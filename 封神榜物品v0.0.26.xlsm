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P000!$A$1:$AP$716</definedName>
  </definedNames>
  <calcPr calcId="125725"/>
</workbook>
</file>

<file path=xl/calcChain.xml><?xml version="1.0" encoding="utf-8"?>
<calcChain xmlns="http://schemas.openxmlformats.org/spreadsheetml/2006/main">
  <c r="CV213" i="2"/>
  <c r="CV214"/>
  <c r="CV215"/>
  <c r="M215" i="1"/>
  <c r="I215"/>
  <c r="K215" s="1"/>
  <c r="B215"/>
  <c r="H215" s="1"/>
  <c r="J215" s="1"/>
  <c r="M214"/>
  <c r="B214"/>
  <c r="H214" s="1"/>
  <c r="J214" s="1"/>
  <c r="M213"/>
  <c r="I213"/>
  <c r="K213" s="1"/>
  <c r="B213"/>
  <c r="H213" s="1"/>
  <c r="J213" s="1"/>
  <c r="M212"/>
  <c r="B212"/>
  <c r="H212" s="1"/>
  <c r="J212" s="1"/>
  <c r="CV212" i="2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CU213" s="1"/>
  <c r="DJ213"/>
  <c r="DI213"/>
  <c r="DH213"/>
  <c r="DG213"/>
  <c r="DF213"/>
  <c r="DE213"/>
  <c r="DD213"/>
  <c r="DC213"/>
  <c r="DB213"/>
  <c r="U213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U214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U215"/>
  <c r="U212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B119" i="1"/>
  <c r="M119" s="1"/>
  <c r="FS119" i="2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CR119"/>
  <c r="CQ119"/>
  <c r="CP119"/>
  <c r="CO119"/>
  <c r="CN1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O262"/>
  <c r="N262"/>
  <c r="M262"/>
  <c r="L262"/>
  <c r="K262"/>
  <c r="J262"/>
  <c r="I262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T234"/>
  <c r="Y234" s="1"/>
  <c r="S234"/>
  <c r="X234" s="1"/>
  <c r="N234"/>
  <c r="M234"/>
  <c r="L234"/>
  <c r="K234"/>
  <c r="J234"/>
  <c r="I234"/>
  <c r="O234" s="1"/>
  <c r="H234"/>
  <c r="V234" s="1"/>
  <c r="AA234" s="1"/>
  <c r="G234"/>
  <c r="U234" s="1"/>
  <c r="Z234" s="1"/>
  <c r="F234"/>
  <c r="E234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V232"/>
  <c r="AA232" s="1"/>
  <c r="N232"/>
  <c r="M232"/>
  <c r="L232"/>
  <c r="K232"/>
  <c r="J232"/>
  <c r="I232"/>
  <c r="O232" s="1"/>
  <c r="H232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U229"/>
  <c r="Z229" s="1"/>
  <c r="N229"/>
  <c r="M229"/>
  <c r="L229"/>
  <c r="K229"/>
  <c r="J229"/>
  <c r="I229"/>
  <c r="O229" s="1"/>
  <c r="H229"/>
  <c r="V229" s="1"/>
  <c r="AA229" s="1"/>
  <c r="G229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S225"/>
  <c r="X225" s="1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T207"/>
  <c r="Y207" s="1"/>
  <c r="N207"/>
  <c r="M207"/>
  <c r="L207"/>
  <c r="K207"/>
  <c r="J207"/>
  <c r="I207"/>
  <c r="O207" s="1"/>
  <c r="H207"/>
  <c r="V207" s="1"/>
  <c r="AA207" s="1"/>
  <c r="G207"/>
  <c r="U207" s="1"/>
  <c r="Z207" s="1"/>
  <c r="F207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S198"/>
  <c r="X198" s="1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T186"/>
  <c r="Y186" s="1"/>
  <c r="N186"/>
  <c r="M186"/>
  <c r="L186"/>
  <c r="K186"/>
  <c r="J186"/>
  <c r="I186"/>
  <c r="O186" s="1"/>
  <c r="H186"/>
  <c r="V186" s="1"/>
  <c r="AA186" s="1"/>
  <c r="G186"/>
  <c r="U186" s="1"/>
  <c r="Z186" s="1"/>
  <c r="F186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U174"/>
  <c r="Z174" s="1"/>
  <c r="N174"/>
  <c r="M174"/>
  <c r="L174"/>
  <c r="K174"/>
  <c r="J174"/>
  <c r="I174"/>
  <c r="O174" s="1"/>
  <c r="H174"/>
  <c r="V174" s="1"/>
  <c r="AA174" s="1"/>
  <c r="G174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V163"/>
  <c r="AA163" s="1"/>
  <c r="N163"/>
  <c r="M163"/>
  <c r="L163"/>
  <c r="K163"/>
  <c r="J163"/>
  <c r="I163"/>
  <c r="O163" s="1"/>
  <c r="H163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P144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U139"/>
  <c r="Z139" s="1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P138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T133"/>
  <c r="Y133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E133"/>
  <c r="S133" s="1"/>
  <c r="X133" s="1"/>
  <c r="D133"/>
  <c r="R133" s="1"/>
  <c r="W133" s="1"/>
  <c r="C133"/>
  <c r="Q133" s="1"/>
  <c r="B133"/>
  <c r="A133"/>
  <c r="O132"/>
  <c r="N132"/>
  <c r="M132"/>
  <c r="L132"/>
  <c r="K132"/>
  <c r="J132"/>
  <c r="I132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O120"/>
  <c r="N120"/>
  <c r="M120"/>
  <c r="L120"/>
  <c r="K120"/>
  <c r="J120"/>
  <c r="I120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O114"/>
  <c r="N114"/>
  <c r="M114"/>
  <c r="L114"/>
  <c r="K114"/>
  <c r="J114"/>
  <c r="I114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O111"/>
  <c r="N111"/>
  <c r="M111"/>
  <c r="L111"/>
  <c r="K111"/>
  <c r="J111"/>
  <c r="I11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O103"/>
  <c r="N103"/>
  <c r="M103"/>
  <c r="L103"/>
  <c r="K103"/>
  <c r="J103"/>
  <c r="I103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O91"/>
  <c r="N91"/>
  <c r="M91"/>
  <c r="L91"/>
  <c r="K91"/>
  <c r="J91"/>
  <c r="I9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S89"/>
  <c r="X89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D89"/>
  <c r="R89" s="1"/>
  <c r="W89" s="1"/>
  <c r="C89"/>
  <c r="Q89" s="1"/>
  <c r="B89"/>
  <c r="A89"/>
  <c r="P89" s="1"/>
  <c r="T88"/>
  <c r="Y88" s="1"/>
  <c r="N88"/>
  <c r="M88"/>
  <c r="L88"/>
  <c r="K88"/>
  <c r="J88"/>
  <c r="I88"/>
  <c r="O88" s="1"/>
  <c r="H88"/>
  <c r="V88" s="1"/>
  <c r="AA88" s="1"/>
  <c r="G88"/>
  <c r="U88" s="1"/>
  <c r="Z88" s="1"/>
  <c r="F88"/>
  <c r="E88"/>
  <c r="S88" s="1"/>
  <c r="X88" s="1"/>
  <c r="D88"/>
  <c r="R88" s="1"/>
  <c r="W88" s="1"/>
  <c r="C88"/>
  <c r="Q88" s="1"/>
  <c r="B88"/>
  <c r="A88"/>
  <c r="P88" s="1"/>
  <c r="O87"/>
  <c r="N87"/>
  <c r="M87"/>
  <c r="L87"/>
  <c r="K87"/>
  <c r="J87"/>
  <c r="I87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T75"/>
  <c r="Y75" s="1"/>
  <c r="N75"/>
  <c r="M75"/>
  <c r="L75"/>
  <c r="K75"/>
  <c r="J75"/>
  <c r="I75"/>
  <c r="O75" s="1"/>
  <c r="H75"/>
  <c r="V75" s="1"/>
  <c r="AA75" s="1"/>
  <c r="G75"/>
  <c r="U75" s="1"/>
  <c r="Z75" s="1"/>
  <c r="F75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S65"/>
  <c r="X65" s="1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U61"/>
  <c r="Z61" s="1"/>
  <c r="N61"/>
  <c r="M61"/>
  <c r="L61"/>
  <c r="K61"/>
  <c r="J61"/>
  <c r="I61"/>
  <c r="O61" s="1"/>
  <c r="H61"/>
  <c r="V61" s="1"/>
  <c r="AA61" s="1"/>
  <c r="G61"/>
  <c r="F61"/>
  <c r="T61" s="1"/>
  <c r="Y61" s="1"/>
  <c r="E61"/>
  <c r="S61" s="1"/>
  <c r="X61" s="1"/>
  <c r="D61"/>
  <c r="R61" s="1"/>
  <c r="W61" s="1"/>
  <c r="C61"/>
  <c r="Q61" s="1"/>
  <c r="B61"/>
  <c r="A61"/>
  <c r="T60"/>
  <c r="Y60" s="1"/>
  <c r="N60"/>
  <c r="M60"/>
  <c r="L60"/>
  <c r="K60"/>
  <c r="J60"/>
  <c r="I60"/>
  <c r="O60" s="1"/>
  <c r="H60"/>
  <c r="V60" s="1"/>
  <c r="AA60" s="1"/>
  <c r="G60"/>
  <c r="U60" s="1"/>
  <c r="Z60" s="1"/>
  <c r="F60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T54"/>
  <c r="Y54" s="1"/>
  <c r="N54"/>
  <c r="M54"/>
  <c r="L54"/>
  <c r="K54"/>
  <c r="J54"/>
  <c r="I54"/>
  <c r="O54" s="1"/>
  <c r="H54"/>
  <c r="V54" s="1"/>
  <c r="AA54" s="1"/>
  <c r="G54"/>
  <c r="U54" s="1"/>
  <c r="Z54" s="1"/>
  <c r="F54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T48"/>
  <c r="Y48" s="1"/>
  <c r="N48"/>
  <c r="M48"/>
  <c r="L48"/>
  <c r="K48"/>
  <c r="J48"/>
  <c r="I48"/>
  <c r="O48" s="1"/>
  <c r="H48"/>
  <c r="V48" s="1"/>
  <c r="AA48" s="1"/>
  <c r="G48"/>
  <c r="U48" s="1"/>
  <c r="Z48" s="1"/>
  <c r="F48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S39"/>
  <c r="X39" s="1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O30"/>
  <c r="N30"/>
  <c r="M30"/>
  <c r="L30"/>
  <c r="K30"/>
  <c r="J30"/>
  <c r="I30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T29"/>
  <c r="Y29" s="1"/>
  <c r="N29"/>
  <c r="M29"/>
  <c r="L29"/>
  <c r="K29"/>
  <c r="J29"/>
  <c r="I29"/>
  <c r="O29" s="1"/>
  <c r="H29"/>
  <c r="V29" s="1"/>
  <c r="AA29" s="1"/>
  <c r="G29"/>
  <c r="U29" s="1"/>
  <c r="Z29" s="1"/>
  <c r="F29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S21"/>
  <c r="X21" s="1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T18"/>
  <c r="Y18" s="1"/>
  <c r="N18"/>
  <c r="M18"/>
  <c r="L18"/>
  <c r="K18"/>
  <c r="J18"/>
  <c r="I18"/>
  <c r="O18" s="1"/>
  <c r="H18"/>
  <c r="V18" s="1"/>
  <c r="AA18" s="1"/>
  <c r="G18"/>
  <c r="U18" s="1"/>
  <c r="Z18" s="1"/>
  <c r="F18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O7"/>
  <c r="N7"/>
  <c r="M7"/>
  <c r="L7"/>
  <c r="K7"/>
  <c r="J7"/>
  <c r="I7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8" i="2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C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T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T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CU77" s="1"/>
  <c r="DC77"/>
  <c r="DB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CU76" s="1"/>
  <c r="DC76"/>
  <c r="DB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CU75" s="1"/>
  <c r="DC75"/>
  <c r="DB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CU74" s="1"/>
  <c r="DC74"/>
  <c r="DB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CU50" s="1"/>
  <c r="DF50"/>
  <c r="DE50"/>
  <c r="DD50"/>
  <c r="DC50"/>
  <c r="DB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CU49" s="1"/>
  <c r="DF49"/>
  <c r="DE49"/>
  <c r="DD49"/>
  <c r="DC49"/>
  <c r="DB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CU48" s="1"/>
  <c r="DF48"/>
  <c r="DE48"/>
  <c r="DD48"/>
  <c r="DC48"/>
  <c r="DB48"/>
  <c r="CR48"/>
  <c r="CQ48"/>
  <c r="CP48"/>
  <c r="CO48"/>
  <c r="CN48"/>
  <c r="AB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CU47" s="1"/>
  <c r="DF47"/>
  <c r="DE47"/>
  <c r="DD47"/>
  <c r="DC47"/>
  <c r="DB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CU46" s="1"/>
  <c r="DF46"/>
  <c r="DE46"/>
  <c r="DD46"/>
  <c r="DC46"/>
  <c r="DB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CU45" s="1"/>
  <c r="DF45"/>
  <c r="DE45"/>
  <c r="DD45"/>
  <c r="DC45"/>
  <c r="DB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CU44" s="1"/>
  <c r="DF44"/>
  <c r="DE44"/>
  <c r="DD44"/>
  <c r="DC44"/>
  <c r="DB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CU43" s="1"/>
  <c r="DF43"/>
  <c r="DE43"/>
  <c r="DD43"/>
  <c r="DC43"/>
  <c r="DB43"/>
  <c r="CR43"/>
  <c r="CQ43"/>
  <c r="CP43"/>
  <c r="CO43"/>
  <c r="CN43"/>
  <c r="AB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CU42" s="1"/>
  <c r="DF42"/>
  <c r="DE42"/>
  <c r="DD42"/>
  <c r="DC42"/>
  <c r="DB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CU41" s="1"/>
  <c r="DF41"/>
  <c r="DE41"/>
  <c r="DD41"/>
  <c r="DC41"/>
  <c r="DB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CU40" s="1"/>
  <c r="DF40"/>
  <c r="DE40"/>
  <c r="DD40"/>
  <c r="DC40"/>
  <c r="DB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CU39" s="1"/>
  <c r="DF39"/>
  <c r="DE39"/>
  <c r="DD39"/>
  <c r="DC39"/>
  <c r="DB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CU38" s="1"/>
  <c r="DF38"/>
  <c r="DE38"/>
  <c r="DD38"/>
  <c r="DC38"/>
  <c r="DB38"/>
  <c r="CR38"/>
  <c r="CQ38"/>
  <c r="CP38"/>
  <c r="CO38"/>
  <c r="CN38"/>
  <c r="AB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CU37" s="1"/>
  <c r="DF37"/>
  <c r="DE37"/>
  <c r="DD37"/>
  <c r="DC37"/>
  <c r="DB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CU36" s="1"/>
  <c r="DF36"/>
  <c r="DE36"/>
  <c r="DD36"/>
  <c r="DC36"/>
  <c r="DB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CU34" s="1"/>
  <c r="DF34"/>
  <c r="DE34"/>
  <c r="DD34"/>
  <c r="DC34"/>
  <c r="DB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CU33" s="1"/>
  <c r="DF33"/>
  <c r="DE33"/>
  <c r="DD33"/>
  <c r="DC33"/>
  <c r="DB33"/>
  <c r="CR33"/>
  <c r="CQ33"/>
  <c r="CP33"/>
  <c r="CO33"/>
  <c r="CN33"/>
  <c r="AB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U24" s="1"/>
  <c r="DB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U23" s="1"/>
  <c r="DB23"/>
  <c r="CR23"/>
  <c r="CQ23"/>
  <c r="CP23"/>
  <c r="CO23"/>
  <c r="CN23"/>
  <c r="AO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U22" s="1"/>
  <c r="DB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U21" s="1"/>
  <c r="DB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U20" s="1"/>
  <c r="DB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U19" s="1"/>
  <c r="DB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U18" s="1"/>
  <c r="DB18"/>
  <c r="CR18"/>
  <c r="CQ18"/>
  <c r="CP18"/>
  <c r="CO18"/>
  <c r="CN18"/>
  <c r="AO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U17" s="1"/>
  <c r="DB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U16" s="1"/>
  <c r="DB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U15" s="1"/>
  <c r="DB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U14" s="1"/>
  <c r="DB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U13" s="1"/>
  <c r="DB13"/>
  <c r="CR13"/>
  <c r="CQ13"/>
  <c r="CP13"/>
  <c r="CO13"/>
  <c r="CN13"/>
  <c r="AO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U12" s="1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U7" s="1"/>
  <c r="DB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U6" s="1"/>
  <c r="DB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9" i="1"/>
  <c r="H259" s="1"/>
  <c r="J259" s="1"/>
  <c r="B258"/>
  <c r="I258" s="1"/>
  <c r="K258" s="1"/>
  <c r="B257"/>
  <c r="M257" s="1"/>
  <c r="B256"/>
  <c r="H256" s="1"/>
  <c r="J256" s="1"/>
  <c r="B255"/>
  <c r="I255" s="1"/>
  <c r="K255" s="1"/>
  <c r="B254"/>
  <c r="M254" s="1"/>
  <c r="B253"/>
  <c r="H253" s="1"/>
  <c r="J253" s="1"/>
  <c r="B252"/>
  <c r="I252" s="1"/>
  <c r="K252" s="1"/>
  <c r="B251"/>
  <c r="M251" s="1"/>
  <c r="B250"/>
  <c r="H250" s="1"/>
  <c r="J250" s="1"/>
  <c r="B249"/>
  <c r="I249" s="1"/>
  <c r="K249" s="1"/>
  <c r="B248"/>
  <c r="M248" s="1"/>
  <c r="B247"/>
  <c r="H247" s="1"/>
  <c r="J247" s="1"/>
  <c r="B246"/>
  <c r="I246" s="1"/>
  <c r="K246" s="1"/>
  <c r="B245"/>
  <c r="M245" s="1"/>
  <c r="B244"/>
  <c r="H244" s="1"/>
  <c r="J244" s="1"/>
  <c r="B243"/>
  <c r="I243" s="1"/>
  <c r="K243" s="1"/>
  <c r="B242"/>
  <c r="M242" s="1"/>
  <c r="B241"/>
  <c r="H241" s="1"/>
  <c r="J241" s="1"/>
  <c r="B240"/>
  <c r="I240" s="1"/>
  <c r="K240" s="1"/>
  <c r="B239"/>
  <c r="M239" s="1"/>
  <c r="B238"/>
  <c r="H238" s="1"/>
  <c r="J238" s="1"/>
  <c r="B237"/>
  <c r="I237" s="1"/>
  <c r="K237" s="1"/>
  <c r="B236"/>
  <c r="M236" s="1"/>
  <c r="B235"/>
  <c r="H235" s="1"/>
  <c r="J235" s="1"/>
  <c r="B234"/>
  <c r="I234" s="1"/>
  <c r="K234" s="1"/>
  <c r="B233"/>
  <c r="M233" s="1"/>
  <c r="B232"/>
  <c r="H232" s="1"/>
  <c r="J232" s="1"/>
  <c r="B231"/>
  <c r="I231" s="1"/>
  <c r="K231" s="1"/>
  <c r="B230"/>
  <c r="M230" s="1"/>
  <c r="B229"/>
  <c r="H229" s="1"/>
  <c r="J229" s="1"/>
  <c r="B228"/>
  <c r="I228" s="1"/>
  <c r="K228" s="1"/>
  <c r="B227"/>
  <c r="M227" s="1"/>
  <c r="B226"/>
  <c r="H226" s="1"/>
  <c r="J226" s="1"/>
  <c r="B225"/>
  <c r="I225" s="1"/>
  <c r="K225" s="1"/>
  <c r="B224"/>
  <c r="M224" s="1"/>
  <c r="B223"/>
  <c r="H223" s="1"/>
  <c r="J223" s="1"/>
  <c r="B222"/>
  <c r="I222" s="1"/>
  <c r="K222" s="1"/>
  <c r="B221"/>
  <c r="M221" s="1"/>
  <c r="B220"/>
  <c r="H220" s="1"/>
  <c r="J220" s="1"/>
  <c r="B219"/>
  <c r="I219" s="1"/>
  <c r="K219" s="1"/>
  <c r="B218"/>
  <c r="M218" s="1"/>
  <c r="B217"/>
  <c r="H217" s="1"/>
  <c r="J217" s="1"/>
  <c r="B216"/>
  <c r="I216" s="1"/>
  <c r="K216" s="1"/>
  <c r="B211"/>
  <c r="M211" s="1"/>
  <c r="B210"/>
  <c r="H210" s="1"/>
  <c r="J210" s="1"/>
  <c r="B209"/>
  <c r="I209" s="1"/>
  <c r="K209" s="1"/>
  <c r="B208"/>
  <c r="M208" s="1"/>
  <c r="B207"/>
  <c r="H207" s="1"/>
  <c r="J207" s="1"/>
  <c r="B206"/>
  <c r="I206" s="1"/>
  <c r="K206" s="1"/>
  <c r="B205"/>
  <c r="M205" s="1"/>
  <c r="B204"/>
  <c r="H204" s="1"/>
  <c r="J204" s="1"/>
  <c r="B203"/>
  <c r="I203" s="1"/>
  <c r="K203" s="1"/>
  <c r="B202"/>
  <c r="M202" s="1"/>
  <c r="B201"/>
  <c r="H201" s="1"/>
  <c r="J201" s="1"/>
  <c r="B200"/>
  <c r="I200" s="1"/>
  <c r="K200" s="1"/>
  <c r="B199"/>
  <c r="M199" s="1"/>
  <c r="B198"/>
  <c r="H198" s="1"/>
  <c r="J198" s="1"/>
  <c r="B197"/>
  <c r="I197" s="1"/>
  <c r="K197" s="1"/>
  <c r="B196"/>
  <c r="M196" s="1"/>
  <c r="B195"/>
  <c r="H195" s="1"/>
  <c r="J195" s="1"/>
  <c r="B194"/>
  <c r="I194" s="1"/>
  <c r="K194" s="1"/>
  <c r="B193"/>
  <c r="M193" s="1"/>
  <c r="B192"/>
  <c r="H192" s="1"/>
  <c r="J192" s="1"/>
  <c r="B191"/>
  <c r="I191" s="1"/>
  <c r="K191" s="1"/>
  <c r="B190"/>
  <c r="M190" s="1"/>
  <c r="B189"/>
  <c r="H189" s="1"/>
  <c r="J189" s="1"/>
  <c r="B188"/>
  <c r="I188" s="1"/>
  <c r="K188" s="1"/>
  <c r="B187"/>
  <c r="M187" s="1"/>
  <c r="B186"/>
  <c r="H186" s="1"/>
  <c r="J186" s="1"/>
  <c r="B185"/>
  <c r="I185" s="1"/>
  <c r="K185" s="1"/>
  <c r="B184"/>
  <c r="M184" s="1"/>
  <c r="B183"/>
  <c r="H183" s="1"/>
  <c r="J183" s="1"/>
  <c r="B182"/>
  <c r="I182" s="1"/>
  <c r="K182" s="1"/>
  <c r="B181"/>
  <c r="M181" s="1"/>
  <c r="B180"/>
  <c r="H180" s="1"/>
  <c r="J180" s="1"/>
  <c r="B179"/>
  <c r="I179" s="1"/>
  <c r="K179" s="1"/>
  <c r="B178"/>
  <c r="M178" s="1"/>
  <c r="B177"/>
  <c r="H177" s="1"/>
  <c r="J177" s="1"/>
  <c r="B176"/>
  <c r="I176" s="1"/>
  <c r="K176" s="1"/>
  <c r="B175"/>
  <c r="I175" s="1"/>
  <c r="K175" s="1"/>
  <c r="B174"/>
  <c r="H174" s="1"/>
  <c r="J174" s="1"/>
  <c r="B173"/>
  <c r="H173" s="1"/>
  <c r="J173" s="1"/>
  <c r="B172"/>
  <c r="H172" s="1"/>
  <c r="J172" s="1"/>
  <c r="B171"/>
  <c r="H171" s="1"/>
  <c r="J171" s="1"/>
  <c r="B170"/>
  <c r="H170" s="1"/>
  <c r="J170" s="1"/>
  <c r="B169"/>
  <c r="M169" s="1"/>
  <c r="B168"/>
  <c r="M168" s="1"/>
  <c r="B167"/>
  <c r="I167" s="1"/>
  <c r="K167" s="1"/>
  <c r="B166"/>
  <c r="H166" s="1"/>
  <c r="J166" s="1"/>
  <c r="B165"/>
  <c r="M165" s="1"/>
  <c r="B164"/>
  <c r="H164" s="1"/>
  <c r="J164" s="1"/>
  <c r="B163"/>
  <c r="H163" s="1"/>
  <c r="J163" s="1"/>
  <c r="B162"/>
  <c r="I162" s="1"/>
  <c r="K162" s="1"/>
  <c r="B161"/>
  <c r="H161" s="1"/>
  <c r="J161" s="1"/>
  <c r="B160"/>
  <c r="I160" s="1"/>
  <c r="K160" s="1"/>
  <c r="B159"/>
  <c r="M159" s="1"/>
  <c r="B158"/>
  <c r="H158" s="1"/>
  <c r="J158" s="1"/>
  <c r="B157"/>
  <c r="H157" s="1"/>
  <c r="J157" s="1"/>
  <c r="B156"/>
  <c r="I156" s="1"/>
  <c r="K156" s="1"/>
  <c r="B155"/>
  <c r="M155" s="1"/>
  <c r="B154"/>
  <c r="H154" s="1"/>
  <c r="J154" s="1"/>
  <c r="B153"/>
  <c r="H153" s="1"/>
  <c r="J153" s="1"/>
  <c r="B152"/>
  <c r="M152" s="1"/>
  <c r="B151"/>
  <c r="I151" s="1"/>
  <c r="K151" s="1"/>
  <c r="B150"/>
  <c r="M150" s="1"/>
  <c r="B149"/>
  <c r="H149" s="1"/>
  <c r="J149" s="1"/>
  <c r="B148"/>
  <c r="H148" s="1"/>
  <c r="J148" s="1"/>
  <c r="B147"/>
  <c r="H147" s="1"/>
  <c r="J147" s="1"/>
  <c r="B146"/>
  <c r="I146" s="1"/>
  <c r="K146" s="1"/>
  <c r="B145"/>
  <c r="M145" s="1"/>
  <c r="B144"/>
  <c r="I144" s="1"/>
  <c r="K144" s="1"/>
  <c r="B143"/>
  <c r="H143" s="1"/>
  <c r="J143" s="1"/>
  <c r="B142"/>
  <c r="H142" s="1"/>
  <c r="J142" s="1"/>
  <c r="B141"/>
  <c r="I141" s="1"/>
  <c r="K141" s="1"/>
  <c r="B140"/>
  <c r="M140" s="1"/>
  <c r="B139"/>
  <c r="I139" s="1"/>
  <c r="K139" s="1"/>
  <c r="B138"/>
  <c r="H138" s="1"/>
  <c r="J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H131" s="1"/>
  <c r="J131" s="1"/>
  <c r="B130"/>
  <c r="M130" s="1"/>
  <c r="B129"/>
  <c r="I129" s="1"/>
  <c r="K129" s="1"/>
  <c r="B128"/>
  <c r="I128" s="1"/>
  <c r="K128" s="1"/>
  <c r="B127"/>
  <c r="I127" s="1"/>
  <c r="K127" s="1"/>
  <c r="B126"/>
  <c r="H126" s="1"/>
  <c r="J126" s="1"/>
  <c r="B125"/>
  <c r="H125" s="1"/>
  <c r="J125" s="1"/>
  <c r="B124"/>
  <c r="H124" s="1"/>
  <c r="J124" s="1"/>
  <c r="B123"/>
  <c r="H123" s="1"/>
  <c r="J123" s="1"/>
  <c r="B122"/>
  <c r="I122" s="1"/>
  <c r="K122" s="1"/>
  <c r="B121"/>
  <c r="H121" s="1"/>
  <c r="J121" s="1"/>
  <c r="B120"/>
  <c r="H120" s="1"/>
  <c r="J120" s="1"/>
  <c r="B118"/>
  <c r="H118" s="1"/>
  <c r="J118" s="1"/>
  <c r="B117"/>
  <c r="H117" s="1"/>
  <c r="J117" s="1"/>
  <c r="B116"/>
  <c r="I116" s="1"/>
  <c r="K116" s="1"/>
  <c r="B115"/>
  <c r="M115" s="1"/>
  <c r="B114"/>
  <c r="H114" s="1"/>
  <c r="J114" s="1"/>
  <c r="B113"/>
  <c r="I113" s="1"/>
  <c r="K113" s="1"/>
  <c r="B112"/>
  <c r="M112" s="1"/>
  <c r="B111"/>
  <c r="H111" s="1"/>
  <c r="J111" s="1"/>
  <c r="B110"/>
  <c r="I110" s="1"/>
  <c r="K110" s="1"/>
  <c r="B109"/>
  <c r="M109" s="1"/>
  <c r="B108"/>
  <c r="H108" s="1"/>
  <c r="J108" s="1"/>
  <c r="B107"/>
  <c r="I107" s="1"/>
  <c r="K107" s="1"/>
  <c r="B106"/>
  <c r="M106" s="1"/>
  <c r="B105"/>
  <c r="H105" s="1"/>
  <c r="J105" s="1"/>
  <c r="B104"/>
  <c r="I104" s="1"/>
  <c r="K104" s="1"/>
  <c r="B103"/>
  <c r="M103" s="1"/>
  <c r="B102"/>
  <c r="H102" s="1"/>
  <c r="J102" s="1"/>
  <c r="B101"/>
  <c r="I101" s="1"/>
  <c r="K101" s="1"/>
  <c r="B100"/>
  <c r="M100" s="1"/>
  <c r="B99"/>
  <c r="H99" s="1"/>
  <c r="J99" s="1"/>
  <c r="B98"/>
  <c r="I98" s="1"/>
  <c r="K98" s="1"/>
  <c r="B97"/>
  <c r="M97" s="1"/>
  <c r="B96"/>
  <c r="H96" s="1"/>
  <c r="J96" s="1"/>
  <c r="B95"/>
  <c r="I95" s="1"/>
  <c r="K95" s="1"/>
  <c r="B94"/>
  <c r="M94" s="1"/>
  <c r="B93"/>
  <c r="H93" s="1"/>
  <c r="J93" s="1"/>
  <c r="B92"/>
  <c r="I92" s="1"/>
  <c r="K92" s="1"/>
  <c r="B91"/>
  <c r="M91" s="1"/>
  <c r="B90"/>
  <c r="H90" s="1"/>
  <c r="J90" s="1"/>
  <c r="B89"/>
  <c r="I89" s="1"/>
  <c r="K89" s="1"/>
  <c r="B88"/>
  <c r="M88" s="1"/>
  <c r="B87"/>
  <c r="H87" s="1"/>
  <c r="J87" s="1"/>
  <c r="B86"/>
  <c r="H86" s="1"/>
  <c r="J86" s="1"/>
  <c r="B85"/>
  <c r="M85" s="1"/>
  <c r="B84"/>
  <c r="H84" s="1"/>
  <c r="J84" s="1"/>
  <c r="B83"/>
  <c r="H83" s="1"/>
  <c r="J83" s="1"/>
  <c r="B82"/>
  <c r="M82" s="1"/>
  <c r="B81"/>
  <c r="H81" s="1"/>
  <c r="J81" s="1"/>
  <c r="B80"/>
  <c r="M80" s="1"/>
  <c r="B79"/>
  <c r="M79" s="1"/>
  <c r="B78"/>
  <c r="H78" s="1"/>
  <c r="J78" s="1"/>
  <c r="H77"/>
  <c r="J77" s="1"/>
  <c r="B77"/>
  <c r="M77" s="1"/>
  <c r="B76"/>
  <c r="M76" s="1"/>
  <c r="B75"/>
  <c r="H75" s="1"/>
  <c r="J75" s="1"/>
  <c r="B74"/>
  <c r="H74" s="1"/>
  <c r="J74" s="1"/>
  <c r="B73"/>
  <c r="M73" s="1"/>
  <c r="M72"/>
  <c r="B72"/>
  <c r="H72" s="1"/>
  <c r="J72" s="1"/>
  <c r="B71"/>
  <c r="H71" s="1"/>
  <c r="J71" s="1"/>
  <c r="B70"/>
  <c r="M70" s="1"/>
  <c r="M69"/>
  <c r="B69"/>
  <c r="H69" s="1"/>
  <c r="J69" s="1"/>
  <c r="M68"/>
  <c r="B68"/>
  <c r="H68" s="1"/>
  <c r="J68" s="1"/>
  <c r="H67"/>
  <c r="J67" s="1"/>
  <c r="B67"/>
  <c r="M67" s="1"/>
  <c r="B66"/>
  <c r="H66" s="1"/>
  <c r="J66" s="1"/>
  <c r="B65"/>
  <c r="H65" s="1"/>
  <c r="J65" s="1"/>
  <c r="H64"/>
  <c r="J64" s="1"/>
  <c r="B64"/>
  <c r="M64" s="1"/>
  <c r="B63"/>
  <c r="H63" s="1"/>
  <c r="J63" s="1"/>
  <c r="B62"/>
  <c r="M62" s="1"/>
  <c r="B61"/>
  <c r="M61" s="1"/>
  <c r="B60"/>
  <c r="H60" s="1"/>
  <c r="J60" s="1"/>
  <c r="B59"/>
  <c r="H59" s="1"/>
  <c r="J59" s="1"/>
  <c r="B58"/>
  <c r="M58" s="1"/>
  <c r="B57"/>
  <c r="H57" s="1"/>
  <c r="J57" s="1"/>
  <c r="B56"/>
  <c r="H56" s="1"/>
  <c r="J56" s="1"/>
  <c r="B55"/>
  <c r="M55" s="1"/>
  <c r="B54"/>
  <c r="H54" s="1"/>
  <c r="J54" s="1"/>
  <c r="B53"/>
  <c r="M53" s="1"/>
  <c r="B52"/>
  <c r="M52" s="1"/>
  <c r="B51"/>
  <c r="H51" s="1"/>
  <c r="J51" s="1"/>
  <c r="B50"/>
  <c r="H50" s="1"/>
  <c r="J50" s="1"/>
  <c r="B49"/>
  <c r="M49" s="1"/>
  <c r="B48"/>
  <c r="H48" s="1"/>
  <c r="J48" s="1"/>
  <c r="B47"/>
  <c r="H47" s="1"/>
  <c r="J47" s="1"/>
  <c r="B46"/>
  <c r="M46" s="1"/>
  <c r="M45"/>
  <c r="B45"/>
  <c r="H45" s="1"/>
  <c r="J45" s="1"/>
  <c r="B44"/>
  <c r="M44" s="1"/>
  <c r="B43"/>
  <c r="M43" s="1"/>
  <c r="B42"/>
  <c r="H42" s="1"/>
  <c r="J42" s="1"/>
  <c r="B41"/>
  <c r="H41" s="1"/>
  <c r="J41" s="1"/>
  <c r="B40"/>
  <c r="M40" s="1"/>
  <c r="B39"/>
  <c r="H39" s="1"/>
  <c r="J39" s="1"/>
  <c r="B38"/>
  <c r="H38" s="1"/>
  <c r="J38" s="1"/>
  <c r="B37"/>
  <c r="M37" s="1"/>
  <c r="B36"/>
  <c r="H36" s="1"/>
  <c r="J36" s="1"/>
  <c r="B35"/>
  <c r="H35" s="1"/>
  <c r="J35" s="1"/>
  <c r="B34"/>
  <c r="M34" s="1"/>
  <c r="B33"/>
  <c r="H33" s="1"/>
  <c r="J33" s="1"/>
  <c r="B32"/>
  <c r="H32" s="1"/>
  <c r="J32" s="1"/>
  <c r="B31"/>
  <c r="M31" s="1"/>
  <c r="B30"/>
  <c r="H30" s="1"/>
  <c r="J30" s="1"/>
  <c r="B29"/>
  <c r="H29" s="1"/>
  <c r="J29" s="1"/>
  <c r="B28"/>
  <c r="M28" s="1"/>
  <c r="B27"/>
  <c r="H27" s="1"/>
  <c r="J27" s="1"/>
  <c r="B26"/>
  <c r="M26" s="1"/>
  <c r="B25"/>
  <c r="M25" s="1"/>
  <c r="B24"/>
  <c r="H24" s="1"/>
  <c r="J24" s="1"/>
  <c r="B23"/>
  <c r="H23" s="1"/>
  <c r="J23" s="1"/>
  <c r="B22"/>
  <c r="M22" s="1"/>
  <c r="B21"/>
  <c r="H21" s="1"/>
  <c r="J21" s="1"/>
  <c r="B20"/>
  <c r="H20" s="1"/>
  <c r="J20" s="1"/>
  <c r="B19"/>
  <c r="M19" s="1"/>
  <c r="B18"/>
  <c r="H18" s="1"/>
  <c r="J18" s="1"/>
  <c r="B17"/>
  <c r="H17" s="1"/>
  <c r="J17" s="1"/>
  <c r="B16"/>
  <c r="M16" s="1"/>
  <c r="B15"/>
  <c r="H15" s="1"/>
  <c r="J15" s="1"/>
  <c r="B14"/>
  <c r="H14" s="1"/>
  <c r="J14" s="1"/>
  <c r="B13"/>
  <c r="M13" s="1"/>
  <c r="B12"/>
  <c r="H12" s="1"/>
  <c r="J12" s="1"/>
  <c r="B11"/>
  <c r="H11" s="1"/>
  <c r="J11" s="1"/>
  <c r="H10"/>
  <c r="J10" s="1"/>
  <c r="B10"/>
  <c r="M10" s="1"/>
  <c r="B9"/>
  <c r="H9" s="1"/>
  <c r="J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H162" l="1"/>
  <c r="J162" s="1"/>
  <c r="I212"/>
  <c r="K212" s="1"/>
  <c r="I214"/>
  <c r="K214" s="1"/>
  <c r="BE252" i="5"/>
  <c r="CF252" s="1"/>
  <c r="M33" i="1"/>
  <c r="M32"/>
  <c r="H31"/>
  <c r="J31" s="1"/>
  <c r="M142"/>
  <c r="AT22" i="5"/>
  <c r="CE22" s="1"/>
  <c r="X63"/>
  <c r="CC63" s="1"/>
  <c r="BE108"/>
  <c r="CF108" s="1"/>
  <c r="M18" i="1"/>
  <c r="I174"/>
  <c r="K174" s="1"/>
  <c r="AI159" i="5"/>
  <c r="CD159" s="1"/>
  <c r="AI267"/>
  <c r="CD267" s="1"/>
  <c r="H4" i="1"/>
  <c r="J4" s="1"/>
  <c r="M14"/>
  <c r="H62"/>
  <c r="J62" s="1"/>
  <c r="BE95" i="5"/>
  <c r="CF95" s="1"/>
  <c r="AI123"/>
  <c r="CD123" s="1"/>
  <c r="AI192"/>
  <c r="CD192" s="1"/>
  <c r="I123" i="1"/>
  <c r="K123" s="1"/>
  <c r="AI219" i="5"/>
  <c r="CD219" s="1"/>
  <c r="M164" i="1"/>
  <c r="BP51" i="5"/>
  <c r="CG51" s="1"/>
  <c r="AI52"/>
  <c r="CD52" s="1"/>
  <c r="BE204"/>
  <c r="CF204" s="1"/>
  <c r="BE225"/>
  <c r="CF225" s="1"/>
  <c r="BE228"/>
  <c r="CF228" s="1"/>
  <c r="BE29"/>
  <c r="CF29" s="1"/>
  <c r="BE77"/>
  <c r="CF77" s="1"/>
  <c r="M27" i="1"/>
  <c r="M35"/>
  <c r="AT82" i="5"/>
  <c r="CE82" s="1"/>
  <c r="BP83"/>
  <c r="CG83" s="1"/>
  <c r="M17" i="1"/>
  <c r="H26"/>
  <c r="J26" s="1"/>
  <c r="M81"/>
  <c r="H140"/>
  <c r="J140" s="1"/>
  <c r="AI291" i="5"/>
  <c r="CD291" s="1"/>
  <c r="N4" i="4"/>
  <c r="N14"/>
  <c r="N20"/>
  <c r="N22"/>
  <c r="N32"/>
  <c r="N38"/>
  <c r="N42"/>
  <c r="N56"/>
  <c r="N60"/>
  <c r="N62"/>
  <c r="N68"/>
  <c r="N74"/>
  <c r="N92"/>
  <c r="N96"/>
  <c r="N98"/>
  <c r="N104"/>
  <c r="N114"/>
  <c r="N135"/>
  <c r="N150"/>
  <c r="N156"/>
  <c r="N168"/>
  <c r="N171"/>
  <c r="N177"/>
  <c r="N212"/>
  <c r="AI147" i="5"/>
  <c r="CD147" s="1"/>
  <c r="BE276"/>
  <c r="CF276" s="1"/>
  <c r="CA296"/>
  <c r="CH296" s="1"/>
  <c r="BE299"/>
  <c r="CF299" s="1"/>
  <c r="BE300"/>
  <c r="CF300" s="1"/>
  <c r="H53" i="1"/>
  <c r="J53" s="1"/>
  <c r="H80"/>
  <c r="J80" s="1"/>
  <c r="I148"/>
  <c r="K148" s="1"/>
  <c r="AT70" i="5"/>
  <c r="CE70" s="1"/>
  <c r="BE132"/>
  <c r="CF132" s="1"/>
  <c r="CA152"/>
  <c r="CH152" s="1"/>
  <c r="CA153"/>
  <c r="CH153" s="1"/>
  <c r="BE155"/>
  <c r="CF155" s="1"/>
  <c r="BE156"/>
  <c r="CF156" s="1"/>
  <c r="AI171"/>
  <c r="CD171" s="1"/>
  <c r="BE180"/>
  <c r="CF180" s="1"/>
  <c r="AI195"/>
  <c r="CD195" s="1"/>
  <c r="AI243"/>
  <c r="CD243" s="1"/>
  <c r="I119" i="1"/>
  <c r="K119" s="1"/>
  <c r="H119"/>
  <c r="J119" s="1"/>
  <c r="X37" i="5"/>
  <c r="CC37" s="1"/>
  <c r="BE52"/>
  <c r="CF52" s="1"/>
  <c r="BP65"/>
  <c r="CG65" s="1"/>
  <c r="AI82"/>
  <c r="CD82" s="1"/>
  <c r="AI134"/>
  <c r="CD134" s="1"/>
  <c r="CA140"/>
  <c r="CH140" s="1"/>
  <c r="CA141"/>
  <c r="CH141" s="1"/>
  <c r="BE144"/>
  <c r="CF144" s="1"/>
  <c r="AI146"/>
  <c r="CD146" s="1"/>
  <c r="AI168"/>
  <c r="CD168" s="1"/>
  <c r="AI278"/>
  <c r="CD278" s="1"/>
  <c r="AI279"/>
  <c r="CD279" s="1"/>
  <c r="CA284"/>
  <c r="CH284" s="1"/>
  <c r="CA285"/>
  <c r="CH285" s="1"/>
  <c r="BE287"/>
  <c r="CF287" s="1"/>
  <c r="BE288"/>
  <c r="CF288" s="1"/>
  <c r="AI290"/>
  <c r="CD290" s="1"/>
  <c r="AI312"/>
  <c r="CD312" s="1"/>
  <c r="H139" i="1"/>
  <c r="J139" s="1"/>
  <c r="I166"/>
  <c r="K166" s="1"/>
  <c r="X39" i="5"/>
  <c r="CC39" s="1"/>
  <c r="X49"/>
  <c r="CC49" s="1"/>
  <c r="BP69"/>
  <c r="CG69" s="1"/>
  <c r="X85"/>
  <c r="CC85" s="1"/>
  <c r="AT88"/>
  <c r="CE88" s="1"/>
  <c r="CA128"/>
  <c r="CH128" s="1"/>
  <c r="CA129"/>
  <c r="CH129" s="1"/>
  <c r="BE131"/>
  <c r="CF131" s="1"/>
  <c r="AI135"/>
  <c r="CD135" s="1"/>
  <c r="BE201"/>
  <c r="CF201" s="1"/>
  <c r="CA272"/>
  <c r="CH272" s="1"/>
  <c r="BE275"/>
  <c r="CF275" s="1"/>
  <c r="I130" i="1"/>
  <c r="K130" s="1"/>
  <c r="BP21" i="5"/>
  <c r="CG21" s="1"/>
  <c r="AI89"/>
  <c r="CD89" s="1"/>
  <c r="AI110"/>
  <c r="CD110" s="1"/>
  <c r="CA116"/>
  <c r="CH116" s="1"/>
  <c r="CA117"/>
  <c r="CH117" s="1"/>
  <c r="BE120"/>
  <c r="CF120" s="1"/>
  <c r="AI144"/>
  <c r="CD144" s="1"/>
  <c r="AI254"/>
  <c r="CD254" s="1"/>
  <c r="AI255"/>
  <c r="CD255" s="1"/>
  <c r="CA260"/>
  <c r="CH260" s="1"/>
  <c r="CA261"/>
  <c r="CH261" s="1"/>
  <c r="BE263"/>
  <c r="CF263" s="1"/>
  <c r="BE264"/>
  <c r="CF264" s="1"/>
  <c r="AI288"/>
  <c r="CD288" s="1"/>
  <c r="M41" i="1"/>
  <c r="M9"/>
  <c r="H130"/>
  <c r="J130" s="1"/>
  <c r="BP19" i="5"/>
  <c r="CG19" s="1"/>
  <c r="BE83"/>
  <c r="CF83" s="1"/>
  <c r="CA84"/>
  <c r="CH84" s="1"/>
  <c r="BP93"/>
  <c r="CG93" s="1"/>
  <c r="BE97"/>
  <c r="CF97" s="1"/>
  <c r="CA104"/>
  <c r="CH104" s="1"/>
  <c r="CA105"/>
  <c r="CH105" s="1"/>
  <c r="BE107"/>
  <c r="CF107" s="1"/>
  <c r="AI111"/>
  <c r="CD111" s="1"/>
  <c r="BE177"/>
  <c r="CF177" s="1"/>
  <c r="CA248"/>
  <c r="CH248" s="1"/>
  <c r="CA249"/>
  <c r="CH249" s="1"/>
  <c r="BE251"/>
  <c r="CF251" s="1"/>
  <c r="X69"/>
  <c r="CC69" s="1"/>
  <c r="BP71"/>
  <c r="CG71" s="1"/>
  <c r="AI76"/>
  <c r="CD76" s="1"/>
  <c r="AI120"/>
  <c r="CD120" s="1"/>
  <c r="AI230"/>
  <c r="CD230" s="1"/>
  <c r="AI231"/>
  <c r="CD231" s="1"/>
  <c r="CA236"/>
  <c r="CH236" s="1"/>
  <c r="CA237"/>
  <c r="CH237" s="1"/>
  <c r="BE240"/>
  <c r="CF240" s="1"/>
  <c r="AI242"/>
  <c r="CD242" s="1"/>
  <c r="AI264"/>
  <c r="CD264" s="1"/>
  <c r="M137" i="1"/>
  <c r="M15"/>
  <c r="M117"/>
  <c r="H137"/>
  <c r="J137" s="1"/>
  <c r="X45" i="5"/>
  <c r="CC45" s="1"/>
  <c r="BP59"/>
  <c r="CG59" s="1"/>
  <c r="AI70"/>
  <c r="CD70" s="1"/>
  <c r="BP72"/>
  <c r="CG72" s="1"/>
  <c r="CA72"/>
  <c r="CH72" s="1"/>
  <c r="BE153"/>
  <c r="CF153" s="1"/>
  <c r="CA224"/>
  <c r="CH224" s="1"/>
  <c r="CA225"/>
  <c r="CH225" s="1"/>
  <c r="BE227"/>
  <c r="CF227" s="1"/>
  <c r="M15" i="4"/>
  <c r="M16"/>
  <c r="M57"/>
  <c r="M58"/>
  <c r="M61"/>
  <c r="M63"/>
  <c r="M67"/>
  <c r="M134"/>
  <c r="M136"/>
  <c r="M138"/>
  <c r="M142"/>
  <c r="M144"/>
  <c r="X5" i="5"/>
  <c r="CC5" s="1"/>
  <c r="X7"/>
  <c r="CC7" s="1"/>
  <c r="AT10"/>
  <c r="CE10" s="1"/>
  <c r="BP30"/>
  <c r="CG30" s="1"/>
  <c r="AT34"/>
  <c r="CE34" s="1"/>
  <c r="M35"/>
  <c r="CB35" s="1"/>
  <c r="CA36"/>
  <c r="CH36" s="1"/>
  <c r="AT40"/>
  <c r="CE40" s="1"/>
  <c r="BP41"/>
  <c r="CG41" s="1"/>
  <c r="X43"/>
  <c r="CC43" s="1"/>
  <c r="BP45"/>
  <c r="CG45" s="1"/>
  <c r="AT46"/>
  <c r="CE46" s="1"/>
  <c r="BP47"/>
  <c r="CG47" s="1"/>
  <c r="BE53"/>
  <c r="CF53" s="1"/>
  <c r="AI58"/>
  <c r="CD58" s="1"/>
  <c r="CA60"/>
  <c r="CH60" s="1"/>
  <c r="X61"/>
  <c r="CC61" s="1"/>
  <c r="BE71"/>
  <c r="CF71" s="1"/>
  <c r="AI206"/>
  <c r="CD206" s="1"/>
  <c r="AI207"/>
  <c r="CD207" s="1"/>
  <c r="CA212"/>
  <c r="CH212" s="1"/>
  <c r="CA213"/>
  <c r="CH213" s="1"/>
  <c r="BE216"/>
  <c r="CF216" s="1"/>
  <c r="AI218"/>
  <c r="CD218" s="1"/>
  <c r="AI240"/>
  <c r="CD240" s="1"/>
  <c r="X3"/>
  <c r="CC3" s="1"/>
  <c r="X11"/>
  <c r="CC11" s="1"/>
  <c r="X29"/>
  <c r="CC29" s="1"/>
  <c r="AI34"/>
  <c r="CD34" s="1"/>
  <c r="AI46"/>
  <c r="CD46" s="1"/>
  <c r="BE59"/>
  <c r="CF59" s="1"/>
  <c r="BE129"/>
  <c r="CF129" s="1"/>
  <c r="CA200"/>
  <c r="CH200" s="1"/>
  <c r="CA201"/>
  <c r="CH201" s="1"/>
  <c r="BE203"/>
  <c r="CF203" s="1"/>
  <c r="M5" i="1"/>
  <c r="I169"/>
  <c r="K169" s="1"/>
  <c r="N19" i="4"/>
  <c r="N37"/>
  <c r="N55"/>
  <c r="N73"/>
  <c r="N109"/>
  <c r="N127"/>
  <c r="N196"/>
  <c r="AT4" i="5"/>
  <c r="CE4" s="1"/>
  <c r="BE11"/>
  <c r="CF11" s="1"/>
  <c r="AT14"/>
  <c r="CE14" s="1"/>
  <c r="BP17"/>
  <c r="CG17" s="1"/>
  <c r="X21"/>
  <c r="CC21" s="1"/>
  <c r="AT64"/>
  <c r="CE64" s="1"/>
  <c r="X98"/>
  <c r="CC98" s="1"/>
  <c r="AI182"/>
  <c r="CD182" s="1"/>
  <c r="CA188"/>
  <c r="CH188" s="1"/>
  <c r="CA189"/>
  <c r="CH189" s="1"/>
  <c r="BE192"/>
  <c r="CF192" s="1"/>
  <c r="AI216"/>
  <c r="CD216" s="1"/>
  <c r="H13" i="1"/>
  <c r="J13" s="1"/>
  <c r="M36"/>
  <c r="M54"/>
  <c r="M71"/>
  <c r="M141"/>
  <c r="I161"/>
  <c r="K161" s="1"/>
  <c r="H169"/>
  <c r="J169" s="1"/>
  <c r="N27" i="4"/>
  <c r="N76"/>
  <c r="N77"/>
  <c r="N82"/>
  <c r="N83"/>
  <c r="N88"/>
  <c r="N89"/>
  <c r="N160"/>
  <c r="N162"/>
  <c r="BE99" i="5"/>
  <c r="CF99" s="1"/>
  <c r="BE105"/>
  <c r="CF105" s="1"/>
  <c r="CA176"/>
  <c r="CH176" s="1"/>
  <c r="CA177"/>
  <c r="CH177" s="1"/>
  <c r="BE179"/>
  <c r="CF179" s="1"/>
  <c r="AI183"/>
  <c r="CD183" s="1"/>
  <c r="BE249"/>
  <c r="CF249" s="1"/>
  <c r="H28" i="1"/>
  <c r="J28" s="1"/>
  <c r="H44"/>
  <c r="J44" s="1"/>
  <c r="M63"/>
  <c r="I133"/>
  <c r="K133" s="1"/>
  <c r="I149"/>
  <c r="K149" s="1"/>
  <c r="BP99" i="5"/>
  <c r="CG99" s="1"/>
  <c r="AI158"/>
  <c r="CD158" s="1"/>
  <c r="CA164"/>
  <c r="CH164" s="1"/>
  <c r="CA165"/>
  <c r="CH165" s="1"/>
  <c r="BE168"/>
  <c r="CF168" s="1"/>
  <c r="AI170"/>
  <c r="CD170" s="1"/>
  <c r="AI302"/>
  <c r="CD302" s="1"/>
  <c r="AI303"/>
  <c r="CD303" s="1"/>
  <c r="CA308"/>
  <c r="CH308" s="1"/>
  <c r="CA309"/>
  <c r="CH309" s="1"/>
  <c r="BE311"/>
  <c r="CF311" s="1"/>
  <c r="BE312"/>
  <c r="CF312" s="1"/>
  <c r="CU212" i="2"/>
  <c r="M135" i="1"/>
  <c r="M23"/>
  <c r="M59"/>
  <c r="M51"/>
  <c r="M87"/>
  <c r="H122"/>
  <c r="J122" s="1"/>
  <c r="H135"/>
  <c r="J135" s="1"/>
  <c r="I140"/>
  <c r="K140" s="1"/>
  <c r="H152"/>
  <c r="J152" s="1"/>
  <c r="H160"/>
  <c r="J160" s="1"/>
  <c r="I173"/>
  <c r="K173" s="1"/>
  <c r="M21" i="4"/>
  <c r="M76"/>
  <c r="N78"/>
  <c r="M79"/>
  <c r="M80"/>
  <c r="N80"/>
  <c r="N91"/>
  <c r="N93"/>
  <c r="N94"/>
  <c r="N95"/>
  <c r="M151"/>
  <c r="N153"/>
  <c r="M154"/>
  <c r="N166"/>
  <c r="N172"/>
  <c r="N178"/>
  <c r="N180"/>
  <c r="BP3" i="5"/>
  <c r="CG3" s="1"/>
  <c r="CA11"/>
  <c r="CH11" s="1"/>
  <c r="AT12"/>
  <c r="CE12" s="1"/>
  <c r="BP15"/>
  <c r="CG15" s="1"/>
  <c r="AT23"/>
  <c r="CE23" s="1"/>
  <c r="BP35"/>
  <c r="CG35" s="1"/>
  <c r="AT38"/>
  <c r="CE38" s="1"/>
  <c r="BP48"/>
  <c r="CG48" s="1"/>
  <c r="CA48"/>
  <c r="CH48" s="1"/>
  <c r="AT50"/>
  <c r="CE50" s="1"/>
  <c r="AT58"/>
  <c r="CE58" s="1"/>
  <c r="AT68"/>
  <c r="CE68" s="1"/>
  <c r="BE70"/>
  <c r="CF70" s="1"/>
  <c r="X73"/>
  <c r="CC73" s="1"/>
  <c r="AT80"/>
  <c r="CE80" s="1"/>
  <c r="CA85"/>
  <c r="CH85" s="1"/>
  <c r="X91"/>
  <c r="CC91" s="1"/>
  <c r="AT94"/>
  <c r="CE94" s="1"/>
  <c r="CA95"/>
  <c r="CH95" s="1"/>
  <c r="X97"/>
  <c r="CC97" s="1"/>
  <c r="AI112"/>
  <c r="CD112" s="1"/>
  <c r="AI115"/>
  <c r="CD115" s="1"/>
  <c r="CA122"/>
  <c r="CH122" s="1"/>
  <c r="AI128"/>
  <c r="CD128" s="1"/>
  <c r="AI136"/>
  <c r="CD136" s="1"/>
  <c r="AI139"/>
  <c r="CD139" s="1"/>
  <c r="AI163"/>
  <c r="CD163" s="1"/>
  <c r="AI187"/>
  <c r="CD187" s="1"/>
  <c r="CA194"/>
  <c r="CH194" s="1"/>
  <c r="AI200"/>
  <c r="CD200" s="1"/>
  <c r="AI211"/>
  <c r="CD211" s="1"/>
  <c r="AI224"/>
  <c r="CD224" s="1"/>
  <c r="AI235"/>
  <c r="CD235" s="1"/>
  <c r="AI259"/>
  <c r="CD259" s="1"/>
  <c r="CA266"/>
  <c r="CH266" s="1"/>
  <c r="AI283"/>
  <c r="CD283" s="1"/>
  <c r="AI292"/>
  <c r="CD292" s="1"/>
  <c r="AI307"/>
  <c r="CD307" s="1"/>
  <c r="M8" i="1"/>
  <c r="M128"/>
  <c r="I165"/>
  <c r="K165" s="1"/>
  <c r="M69" i="4"/>
  <c r="M70"/>
  <c r="N72"/>
  <c r="M73"/>
  <c r="N85"/>
  <c r="N147"/>
  <c r="M148"/>
  <c r="M149"/>
  <c r="AI16" i="5"/>
  <c r="CD16" s="1"/>
  <c r="AT18"/>
  <c r="CE18" s="1"/>
  <c r="BP27"/>
  <c r="CG27" s="1"/>
  <c r="BP43"/>
  <c r="CG43" s="1"/>
  <c r="BP55"/>
  <c r="CG55" s="1"/>
  <c r="CA59"/>
  <c r="CH59" s="1"/>
  <c r="BE66"/>
  <c r="CF66" s="1"/>
  <c r="CA71"/>
  <c r="CH71" s="1"/>
  <c r="BP77"/>
  <c r="CG77" s="1"/>
  <c r="AI95"/>
  <c r="CD95" s="1"/>
  <c r="CA98"/>
  <c r="CH98" s="1"/>
  <c r="H22" i="1"/>
  <c r="J22" s="1"/>
  <c r="M50"/>
  <c r="H58"/>
  <c r="J58" s="1"/>
  <c r="M86"/>
  <c r="H128"/>
  <c r="J128" s="1"/>
  <c r="H144"/>
  <c r="J144" s="1"/>
  <c r="M151"/>
  <c r="H159"/>
  <c r="J159" s="1"/>
  <c r="M172"/>
  <c r="N16" i="4"/>
  <c r="N66"/>
  <c r="N79"/>
  <c r="N141"/>
  <c r="N144"/>
  <c r="AT6" i="5"/>
  <c r="CE6" s="1"/>
  <c r="CA6"/>
  <c r="CH6" s="1"/>
  <c r="AI11"/>
  <c r="CD11" s="1"/>
  <c r="BE13"/>
  <c r="CF13" s="1"/>
  <c r="AT16"/>
  <c r="CE16" s="1"/>
  <c r="BE18"/>
  <c r="CF18" s="1"/>
  <c r="BP25"/>
  <c r="CG25" s="1"/>
  <c r="X27"/>
  <c r="CC27" s="1"/>
  <c r="X31"/>
  <c r="CC31" s="1"/>
  <c r="AI35"/>
  <c r="CD35" s="1"/>
  <c r="AT62"/>
  <c r="CE62" s="1"/>
  <c r="CA74"/>
  <c r="CH74" s="1"/>
  <c r="BE78"/>
  <c r="CF78" s="1"/>
  <c r="BE82"/>
  <c r="CF82" s="1"/>
  <c r="AI88"/>
  <c r="CD88" s="1"/>
  <c r="CA89"/>
  <c r="CH89" s="1"/>
  <c r="BE104"/>
  <c r="CF104" s="1"/>
  <c r="CA119"/>
  <c r="CH119" s="1"/>
  <c r="AI119"/>
  <c r="CD119" s="1"/>
  <c r="BE128"/>
  <c r="CF128" s="1"/>
  <c r="CA143"/>
  <c r="CH143" s="1"/>
  <c r="AI143"/>
  <c r="CD143" s="1"/>
  <c r="BE152"/>
  <c r="CF152" s="1"/>
  <c r="CA167"/>
  <c r="CH167" s="1"/>
  <c r="AI167"/>
  <c r="CD167" s="1"/>
  <c r="BE176"/>
  <c r="CF176" s="1"/>
  <c r="CA191"/>
  <c r="CH191" s="1"/>
  <c r="AI191"/>
  <c r="CD191" s="1"/>
  <c r="BE200"/>
  <c r="CF200" s="1"/>
  <c r="AI208"/>
  <c r="CD208" s="1"/>
  <c r="CA215"/>
  <c r="CH215" s="1"/>
  <c r="AI215"/>
  <c r="CD215" s="1"/>
  <c r="BE224"/>
  <c r="CF224" s="1"/>
  <c r="CA239"/>
  <c r="CH239" s="1"/>
  <c r="AI239"/>
  <c r="CD239" s="1"/>
  <c r="BE248"/>
  <c r="CF248" s="1"/>
  <c r="CA252"/>
  <c r="CH252" s="1"/>
  <c r="AI263"/>
  <c r="CD263" s="1"/>
  <c r="BE272"/>
  <c r="CF272" s="1"/>
  <c r="AI287"/>
  <c r="CD287" s="1"/>
  <c r="BE296"/>
  <c r="CF296" s="1"/>
  <c r="AI311"/>
  <c r="CD311" s="1"/>
  <c r="H49" i="1"/>
  <c r="J49" s="1"/>
  <c r="H85"/>
  <c r="J85" s="1"/>
  <c r="H127"/>
  <c r="J127" s="1"/>
  <c r="I143"/>
  <c r="K143" s="1"/>
  <c r="I150"/>
  <c r="K150" s="1"/>
  <c r="M9" i="4"/>
  <c r="M10"/>
  <c r="N10"/>
  <c r="N54"/>
  <c r="M55"/>
  <c r="N67"/>
  <c r="N69"/>
  <c r="N70"/>
  <c r="N71"/>
  <c r="M124"/>
  <c r="N126"/>
  <c r="M127"/>
  <c r="M128"/>
  <c r="N129"/>
  <c r="M130"/>
  <c r="M131"/>
  <c r="M132"/>
  <c r="N132"/>
  <c r="AI5" i="5"/>
  <c r="CD5" s="1"/>
  <c r="X13"/>
  <c r="CC13" s="1"/>
  <c r="CA29"/>
  <c r="CH29" s="1"/>
  <c r="BE36"/>
  <c r="CF36" s="1"/>
  <c r="BP39"/>
  <c r="CG39" s="1"/>
  <c r="X51"/>
  <c r="CC51" s="1"/>
  <c r="X55"/>
  <c r="CC55" s="1"/>
  <c r="AI59"/>
  <c r="CD59" s="1"/>
  <c r="BP67"/>
  <c r="CG67" s="1"/>
  <c r="AT74"/>
  <c r="CE74" s="1"/>
  <c r="BP79"/>
  <c r="CG79" s="1"/>
  <c r="CA83"/>
  <c r="CH83" s="1"/>
  <c r="BP90"/>
  <c r="CG90" s="1"/>
  <c r="CA90"/>
  <c r="CH90" s="1"/>
  <c r="AT92"/>
  <c r="CE92" s="1"/>
  <c r="BP95"/>
  <c r="CG95" s="1"/>
  <c r="CA108"/>
  <c r="CH108" s="1"/>
  <c r="BE112"/>
  <c r="CF112" s="1"/>
  <c r="CA121"/>
  <c r="CH121" s="1"/>
  <c r="AI122"/>
  <c r="CD122" s="1"/>
  <c r="BE136"/>
  <c r="CF136" s="1"/>
  <c r="CA139"/>
  <c r="CH139" s="1"/>
  <c r="CA145"/>
  <c r="CH145" s="1"/>
  <c r="BE160"/>
  <c r="CF160" s="1"/>
  <c r="CA163"/>
  <c r="CH163" s="1"/>
  <c r="CA169"/>
  <c r="CH169" s="1"/>
  <c r="BE175"/>
  <c r="CF175" s="1"/>
  <c r="CA180"/>
  <c r="CH180" s="1"/>
  <c r="BE184"/>
  <c r="CF184" s="1"/>
  <c r="CA193"/>
  <c r="CH193" s="1"/>
  <c r="AI194"/>
  <c r="CD194" s="1"/>
  <c r="BE199"/>
  <c r="CF199" s="1"/>
  <c r="BE208"/>
  <c r="CF208" s="1"/>
  <c r="CA211"/>
  <c r="CH211" s="1"/>
  <c r="CA217"/>
  <c r="CH217" s="1"/>
  <c r="BE232"/>
  <c r="CF232" s="1"/>
  <c r="CA235"/>
  <c r="CH235" s="1"/>
  <c r="CA241"/>
  <c r="CH241" s="1"/>
  <c r="BE247"/>
  <c r="CF247" s="1"/>
  <c r="BE256"/>
  <c r="CF256" s="1"/>
  <c r="CA265"/>
  <c r="CH265" s="1"/>
  <c r="AI266"/>
  <c r="CD266" s="1"/>
  <c r="BE271"/>
  <c r="CF271" s="1"/>
  <c r="BE280"/>
  <c r="CF280" s="1"/>
  <c r="CA283"/>
  <c r="CH283" s="1"/>
  <c r="CA288"/>
  <c r="CH288" s="1"/>
  <c r="CA289"/>
  <c r="CH289" s="1"/>
  <c r="BE303"/>
  <c r="CF303" s="1"/>
  <c r="BE304"/>
  <c r="CF304" s="1"/>
  <c r="CA307"/>
  <c r="CH307" s="1"/>
  <c r="CA312"/>
  <c r="CH312" s="1"/>
  <c r="CA313"/>
  <c r="CH313" s="1"/>
  <c r="M132" i="1"/>
  <c r="I163"/>
  <c r="K163" s="1"/>
  <c r="M7" i="4"/>
  <c r="N7"/>
  <c r="N8"/>
  <c r="N13"/>
  <c r="N48"/>
  <c r="M49"/>
  <c r="M50"/>
  <c r="N50"/>
  <c r="N61"/>
  <c r="N64"/>
  <c r="N65"/>
  <c r="N120"/>
  <c r="M121"/>
  <c r="M122"/>
  <c r="N122"/>
  <c r="N225"/>
  <c r="BP6" i="5"/>
  <c r="CG6" s="1"/>
  <c r="CA8"/>
  <c r="CH8" s="1"/>
  <c r="X10"/>
  <c r="CC10" s="1"/>
  <c r="BE17"/>
  <c r="CF17" s="1"/>
  <c r="AT24"/>
  <c r="CE24" s="1"/>
  <c r="CA24"/>
  <c r="CH24" s="1"/>
  <c r="BP33"/>
  <c r="CG33" s="1"/>
  <c r="BP37"/>
  <c r="CG37" s="1"/>
  <c r="AT59"/>
  <c r="CE59" s="1"/>
  <c r="BE89"/>
  <c r="CF89" s="1"/>
  <c r="CA275"/>
  <c r="CH275" s="1"/>
  <c r="M3" i="4"/>
  <c r="M39"/>
  <c r="M44"/>
  <c r="N44"/>
  <c r="N57"/>
  <c r="N58"/>
  <c r="N59"/>
  <c r="M112"/>
  <c r="M115"/>
  <c r="M116"/>
  <c r="N116"/>
  <c r="M208"/>
  <c r="M211"/>
  <c r="M214"/>
  <c r="M218"/>
  <c r="N218"/>
  <c r="BE5" i="5"/>
  <c r="CF5" s="1"/>
  <c r="X17"/>
  <c r="CC17" s="1"/>
  <c r="X23"/>
  <c r="CC23" s="1"/>
  <c r="X25"/>
  <c r="CC25" s="1"/>
  <c r="AT28"/>
  <c r="CE28" s="1"/>
  <c r="AI29"/>
  <c r="CD29" s="1"/>
  <c r="CA30"/>
  <c r="CH30" s="1"/>
  <c r="CA37"/>
  <c r="CH37" s="1"/>
  <c r="CA53"/>
  <c r="CH53" s="1"/>
  <c r="BE60"/>
  <c r="CF60" s="1"/>
  <c r="BP63"/>
  <c r="CG63" s="1"/>
  <c r="BP75"/>
  <c r="CG75" s="1"/>
  <c r="BE76"/>
  <c r="CF76" s="1"/>
  <c r="AT86"/>
  <c r="CE86" s="1"/>
  <c r="BP89"/>
  <c r="CG89" s="1"/>
  <c r="X99"/>
  <c r="CC99" s="1"/>
  <c r="AI103"/>
  <c r="CD103" s="1"/>
  <c r="BE109"/>
  <c r="CF109" s="1"/>
  <c r="AI127"/>
  <c r="CD127" s="1"/>
  <c r="BE133"/>
  <c r="CF133" s="1"/>
  <c r="AI140"/>
  <c r="CD140" s="1"/>
  <c r="AI151"/>
  <c r="CD151" s="1"/>
  <c r="AI175"/>
  <c r="CD175" s="1"/>
  <c r="AI199"/>
  <c r="CD199" s="1"/>
  <c r="AI212"/>
  <c r="CD212" s="1"/>
  <c r="AI223"/>
  <c r="CD223" s="1"/>
  <c r="AI247"/>
  <c r="CD247" s="1"/>
  <c r="AI271"/>
  <c r="CD271" s="1"/>
  <c r="AI280"/>
  <c r="CD280" s="1"/>
  <c r="AI295"/>
  <c r="CD295" s="1"/>
  <c r="I142" i="1"/>
  <c r="K142" s="1"/>
  <c r="N9" i="4"/>
  <c r="N49"/>
  <c r="N52"/>
  <c r="N53"/>
  <c r="M105"/>
  <c r="M106"/>
  <c r="M107"/>
  <c r="N108"/>
  <c r="M109"/>
  <c r="M110"/>
  <c r="N110"/>
  <c r="N121"/>
  <c r="N124"/>
  <c r="N125"/>
  <c r="M196"/>
  <c r="M199"/>
  <c r="N200"/>
  <c r="M202"/>
  <c r="M206"/>
  <c r="N206"/>
  <c r="N220"/>
  <c r="AI4" i="5"/>
  <c r="CD4" s="1"/>
  <c r="BP5"/>
  <c r="CG5" s="1"/>
  <c r="AT8"/>
  <c r="CE8" s="1"/>
  <c r="BP13"/>
  <c r="CG13" s="1"/>
  <c r="AI23"/>
  <c r="CD23" s="1"/>
  <c r="AT32"/>
  <c r="CE32" s="1"/>
  <c r="AI40"/>
  <c r="CD40" s="1"/>
  <c r="AT52"/>
  <c r="CE52" s="1"/>
  <c r="BP57"/>
  <c r="CG57" s="1"/>
  <c r="BP61"/>
  <c r="CG61" s="1"/>
  <c r="X67"/>
  <c r="CC67" s="1"/>
  <c r="X75"/>
  <c r="CC75" s="1"/>
  <c r="X79"/>
  <c r="CC79" s="1"/>
  <c r="BE90"/>
  <c r="CF90" s="1"/>
  <c r="N138" i="4"/>
  <c r="H40" i="1"/>
  <c r="J40" s="1"/>
  <c r="H46"/>
  <c r="J46" s="1"/>
  <c r="H76"/>
  <c r="J76" s="1"/>
  <c r="H82"/>
  <c r="J82" s="1"/>
  <c r="M148"/>
  <c r="M154"/>
  <c r="M33" i="4"/>
  <c r="M34"/>
  <c r="N34"/>
  <c r="N43"/>
  <c r="N46"/>
  <c r="N47"/>
  <c r="M99"/>
  <c r="N102"/>
  <c r="M103"/>
  <c r="N115"/>
  <c r="N118"/>
  <c r="N119"/>
  <c r="M184"/>
  <c r="M187"/>
  <c r="N188"/>
  <c r="M190"/>
  <c r="M194"/>
  <c r="N194"/>
  <c r="N208"/>
  <c r="N222"/>
  <c r="N224"/>
  <c r="BP11" i="5"/>
  <c r="CG11" s="1"/>
  <c r="CA18"/>
  <c r="CH18" s="1"/>
  <c r="X19"/>
  <c r="CC19" s="1"/>
  <c r="M23"/>
  <c r="CB23" s="1"/>
  <c r="BP24"/>
  <c r="CG24" s="1"/>
  <c r="CA26"/>
  <c r="CH26" s="1"/>
  <c r="X28"/>
  <c r="CC28" s="1"/>
  <c r="BP29"/>
  <c r="CG29" s="1"/>
  <c r="AI41"/>
  <c r="CD41" s="1"/>
  <c r="AI53"/>
  <c r="CD53" s="1"/>
  <c r="BP54"/>
  <c r="CG54" s="1"/>
  <c r="CA54"/>
  <c r="CH54" s="1"/>
  <c r="CA61"/>
  <c r="CH61" s="1"/>
  <c r="AT83"/>
  <c r="CE83" s="1"/>
  <c r="BE94"/>
  <c r="CF94" s="1"/>
  <c r="CA99"/>
  <c r="CH99" s="1"/>
  <c r="CA100"/>
  <c r="CH100" s="1"/>
  <c r="CA107"/>
  <c r="CH107" s="1"/>
  <c r="AI107"/>
  <c r="CD107" s="1"/>
  <c r="BE116"/>
  <c r="CF116" s="1"/>
  <c r="CA124"/>
  <c r="CH124" s="1"/>
  <c r="CA131"/>
  <c r="CH131" s="1"/>
  <c r="AI131"/>
  <c r="CD131" s="1"/>
  <c r="BE140"/>
  <c r="CF140" s="1"/>
  <c r="CA148"/>
  <c r="CH148" s="1"/>
  <c r="AI155"/>
  <c r="CD155" s="1"/>
  <c r="BE164"/>
  <c r="CF164" s="1"/>
  <c r="CA172"/>
  <c r="CH172" s="1"/>
  <c r="CA179"/>
  <c r="CH179" s="1"/>
  <c r="AI179"/>
  <c r="CD179" s="1"/>
  <c r="BE188"/>
  <c r="CF188" s="1"/>
  <c r="AI196"/>
  <c r="CD196" s="1"/>
  <c r="CA196"/>
  <c r="CH196" s="1"/>
  <c r="CA203"/>
  <c r="CH203" s="1"/>
  <c r="AI203"/>
  <c r="CD203" s="1"/>
  <c r="BE212"/>
  <c r="CF212" s="1"/>
  <c r="AI220"/>
  <c r="CD220" s="1"/>
  <c r="CA220"/>
  <c r="CH220" s="1"/>
  <c r="AI227"/>
  <c r="CD227" s="1"/>
  <c r="BE236"/>
  <c r="CF236" s="1"/>
  <c r="CA251"/>
  <c r="CH251" s="1"/>
  <c r="AI251"/>
  <c r="CD251" s="1"/>
  <c r="BE260"/>
  <c r="CF260" s="1"/>
  <c r="CA264"/>
  <c r="CH264" s="1"/>
  <c r="CA268"/>
  <c r="CH268" s="1"/>
  <c r="AI275"/>
  <c r="CD275" s="1"/>
  <c r="BE284"/>
  <c r="CF284" s="1"/>
  <c r="CA292"/>
  <c r="CH292" s="1"/>
  <c r="AI299"/>
  <c r="CD299" s="1"/>
  <c r="BE308"/>
  <c r="CF308" s="1"/>
  <c r="N40" i="4"/>
  <c r="N41"/>
  <c r="M93"/>
  <c r="M94"/>
  <c r="M95"/>
  <c r="M97"/>
  <c r="N112"/>
  <c r="N113"/>
  <c r="M170"/>
  <c r="M172"/>
  <c r="M173"/>
  <c r="M174"/>
  <c r="M176"/>
  <c r="M178"/>
  <c r="M180"/>
  <c r="M182"/>
  <c r="N182"/>
  <c r="N210"/>
  <c r="N214"/>
  <c r="N216"/>
  <c r="BE23" i="5"/>
  <c r="CF23" s="1"/>
  <c r="BE30"/>
  <c r="CF30" s="1"/>
  <c r="BE34"/>
  <c r="CF34" s="1"/>
  <c r="AT44"/>
  <c r="CE44" s="1"/>
  <c r="BE46"/>
  <c r="CF46" s="1"/>
  <c r="AT56"/>
  <c r="CE56" s="1"/>
  <c r="AI64"/>
  <c r="CD64" s="1"/>
  <c r="CA77"/>
  <c r="CH77" s="1"/>
  <c r="BP91"/>
  <c r="CG91" s="1"/>
  <c r="AI98"/>
  <c r="CD98" s="1"/>
  <c r="BE98"/>
  <c r="CF98" s="1"/>
  <c r="AT100"/>
  <c r="CE100" s="1"/>
  <c r="AI108"/>
  <c r="CD108" s="1"/>
  <c r="BE117"/>
  <c r="CF117" s="1"/>
  <c r="AI132"/>
  <c r="CD132" s="1"/>
  <c r="BE141"/>
  <c r="CF141" s="1"/>
  <c r="AI156"/>
  <c r="CD156" s="1"/>
  <c r="BE165"/>
  <c r="CF165" s="1"/>
  <c r="AI180"/>
  <c r="CD180" s="1"/>
  <c r="BE189"/>
  <c r="CF189" s="1"/>
  <c r="AI204"/>
  <c r="CD204" s="1"/>
  <c r="BE213"/>
  <c r="CF213" s="1"/>
  <c r="AI228"/>
  <c r="CD228" s="1"/>
  <c r="BE237"/>
  <c r="CF237" s="1"/>
  <c r="AI252"/>
  <c r="CD252" s="1"/>
  <c r="BE261"/>
  <c r="CF261" s="1"/>
  <c r="BE273"/>
  <c r="CF273" s="1"/>
  <c r="CA273"/>
  <c r="CH273" s="1"/>
  <c r="AI276"/>
  <c r="CD276" s="1"/>
  <c r="BE297"/>
  <c r="CF297" s="1"/>
  <c r="CA297"/>
  <c r="CH297" s="1"/>
  <c r="AI300"/>
  <c r="CD300" s="1"/>
  <c r="M27" i="4"/>
  <c r="M28"/>
  <c r="N28"/>
  <c r="M88"/>
  <c r="N90"/>
  <c r="M91"/>
  <c r="N103"/>
  <c r="N105"/>
  <c r="N106"/>
  <c r="N107"/>
  <c r="M166"/>
  <c r="N184"/>
  <c r="N198"/>
  <c r="N202"/>
  <c r="N204"/>
  <c r="BP9" i="5"/>
  <c r="CG9" s="1"/>
  <c r="AI22"/>
  <c r="CD22" s="1"/>
  <c r="BP23"/>
  <c r="CG23" s="1"/>
  <c r="AT26"/>
  <c r="CE26" s="1"/>
  <c r="BE41"/>
  <c r="CF41" s="1"/>
  <c r="BE47"/>
  <c r="CF47" s="1"/>
  <c r="CA47"/>
  <c r="CH47" s="1"/>
  <c r="BP53"/>
  <c r="CG53" s="1"/>
  <c r="AI65"/>
  <c r="CD65" s="1"/>
  <c r="AT76"/>
  <c r="CE76" s="1"/>
  <c r="BP81"/>
  <c r="CG81" s="1"/>
  <c r="BP87"/>
  <c r="CG87" s="1"/>
  <c r="BE100"/>
  <c r="CF100" s="1"/>
  <c r="CA103"/>
  <c r="CH103" s="1"/>
  <c r="CA109"/>
  <c r="CH109" s="1"/>
  <c r="BE119"/>
  <c r="CF119" s="1"/>
  <c r="CA120"/>
  <c r="CH120" s="1"/>
  <c r="BE124"/>
  <c r="CF124" s="1"/>
  <c r="CA133"/>
  <c r="CH133" s="1"/>
  <c r="BE143"/>
  <c r="CF143" s="1"/>
  <c r="BE148"/>
  <c r="CF148" s="1"/>
  <c r="CA157"/>
  <c r="CH157" s="1"/>
  <c r="BE167"/>
  <c r="CF167" s="1"/>
  <c r="CA168"/>
  <c r="CH168" s="1"/>
  <c r="BE172"/>
  <c r="CF172" s="1"/>
  <c r="CA175"/>
  <c r="CH175" s="1"/>
  <c r="CA181"/>
  <c r="CH181" s="1"/>
  <c r="BE191"/>
  <c r="CF191" s="1"/>
  <c r="CA192"/>
  <c r="CH192" s="1"/>
  <c r="BE196"/>
  <c r="CF196" s="1"/>
  <c r="CA205"/>
  <c r="CH205" s="1"/>
  <c r="BE211"/>
  <c r="CF211" s="1"/>
  <c r="BE215"/>
  <c r="CF215" s="1"/>
  <c r="BE220"/>
  <c r="CF220" s="1"/>
  <c r="CA229"/>
  <c r="CH229" s="1"/>
  <c r="BE239"/>
  <c r="CF239" s="1"/>
  <c r="CA240"/>
  <c r="CH240" s="1"/>
  <c r="BE244"/>
  <c r="CF244" s="1"/>
  <c r="CA247"/>
  <c r="CH247" s="1"/>
  <c r="CA253"/>
  <c r="CH253" s="1"/>
  <c r="BE268"/>
  <c r="CF268" s="1"/>
  <c r="CA277"/>
  <c r="CH277" s="1"/>
  <c r="BE283"/>
  <c r="CF283" s="1"/>
  <c r="BE291"/>
  <c r="CF291" s="1"/>
  <c r="BE292"/>
  <c r="CF292" s="1"/>
  <c r="CA300"/>
  <c r="CH300" s="1"/>
  <c r="CA301"/>
  <c r="CH301" s="1"/>
  <c r="M122" i="1"/>
  <c r="I152"/>
  <c r="K152" s="1"/>
  <c r="M160"/>
  <c r="M25" i="4"/>
  <c r="N25"/>
  <c r="N26"/>
  <c r="N31"/>
  <c r="N84"/>
  <c r="M85"/>
  <c r="M86"/>
  <c r="N86"/>
  <c r="N97"/>
  <c r="N100"/>
  <c r="N101"/>
  <c r="M157"/>
  <c r="M158"/>
  <c r="N159"/>
  <c r="M160"/>
  <c r="M162"/>
  <c r="M164"/>
  <c r="N164"/>
  <c r="N186"/>
  <c r="N190"/>
  <c r="N192"/>
  <c r="BP7" i="5"/>
  <c r="CG7" s="1"/>
  <c r="X9"/>
  <c r="CC9" s="1"/>
  <c r="CA12"/>
  <c r="CH12" s="1"/>
  <c r="BP18"/>
  <c r="CG18" s="1"/>
  <c r="AT20"/>
  <c r="CE20" s="1"/>
  <c r="BP31"/>
  <c r="CG31" s="1"/>
  <c r="BE35"/>
  <c r="CF35" s="1"/>
  <c r="CA35"/>
  <c r="CH35" s="1"/>
  <c r="BE42"/>
  <c r="CF42" s="1"/>
  <c r="BE49"/>
  <c r="CF49" s="1"/>
  <c r="BE54"/>
  <c r="CF54" s="1"/>
  <c r="BE58"/>
  <c r="CF58" s="1"/>
  <c r="AI77"/>
  <c r="CD77" s="1"/>
  <c r="BP78"/>
  <c r="CG78" s="1"/>
  <c r="CA78"/>
  <c r="CH78" s="1"/>
  <c r="BE88"/>
  <c r="CF88" s="1"/>
  <c r="AI94"/>
  <c r="CD94" s="1"/>
  <c r="CA287"/>
  <c r="CH287" s="1"/>
  <c r="CA311"/>
  <c r="CH311" s="1"/>
  <c r="AB110" i="3"/>
  <c r="AB250"/>
  <c r="AB11"/>
  <c r="M125" i="1"/>
  <c r="H19"/>
  <c r="J19" s="1"/>
  <c r="M24"/>
  <c r="M29"/>
  <c r="H55"/>
  <c r="J55" s="1"/>
  <c r="M60"/>
  <c r="M65"/>
  <c r="M90"/>
  <c r="I94"/>
  <c r="K94" s="1"/>
  <c r="M98"/>
  <c r="M102"/>
  <c r="I106"/>
  <c r="K106" s="1"/>
  <c r="M110"/>
  <c r="M114"/>
  <c r="I125"/>
  <c r="K125" s="1"/>
  <c r="I147"/>
  <c r="K147" s="1"/>
  <c r="H151"/>
  <c r="J151" s="1"/>
  <c r="I155"/>
  <c r="K155" s="1"/>
  <c r="H165"/>
  <c r="J165" s="1"/>
  <c r="H175"/>
  <c r="J175" s="1"/>
  <c r="M179"/>
  <c r="M183"/>
  <c r="I187"/>
  <c r="K187" s="1"/>
  <c r="M191"/>
  <c r="M195"/>
  <c r="I199"/>
  <c r="K199" s="1"/>
  <c r="M203"/>
  <c r="M207"/>
  <c r="I211"/>
  <c r="K211" s="1"/>
  <c r="M219"/>
  <c r="M223"/>
  <c r="I227"/>
  <c r="K227" s="1"/>
  <c r="M231"/>
  <c r="M235"/>
  <c r="I239"/>
  <c r="K239" s="1"/>
  <c r="M243"/>
  <c r="M247"/>
  <c r="I251"/>
  <c r="K251" s="1"/>
  <c r="M255"/>
  <c r="M259"/>
  <c r="M147"/>
  <c r="M3"/>
  <c r="H34"/>
  <c r="J34" s="1"/>
  <c r="M39"/>
  <c r="H70"/>
  <c r="J70" s="1"/>
  <c r="M75"/>
  <c r="I90"/>
  <c r="K90" s="1"/>
  <c r="H94"/>
  <c r="J94" s="1"/>
  <c r="H98"/>
  <c r="J98" s="1"/>
  <c r="I102"/>
  <c r="K102" s="1"/>
  <c r="H106"/>
  <c r="J106" s="1"/>
  <c r="H110"/>
  <c r="J110" s="1"/>
  <c r="I114"/>
  <c r="K114" s="1"/>
  <c r="H129"/>
  <c r="J129" s="1"/>
  <c r="H134"/>
  <c r="J134" s="1"/>
  <c r="I138"/>
  <c r="K138" s="1"/>
  <c r="H179"/>
  <c r="J179" s="1"/>
  <c r="I183"/>
  <c r="K183" s="1"/>
  <c r="H187"/>
  <c r="J187" s="1"/>
  <c r="H191"/>
  <c r="J191" s="1"/>
  <c r="I195"/>
  <c r="K195" s="1"/>
  <c r="H199"/>
  <c r="J199" s="1"/>
  <c r="H203"/>
  <c r="J203" s="1"/>
  <c r="I207"/>
  <c r="K207" s="1"/>
  <c r="H211"/>
  <c r="J211" s="1"/>
  <c r="H219"/>
  <c r="J219" s="1"/>
  <c r="I223"/>
  <c r="K223" s="1"/>
  <c r="H227"/>
  <c r="J227" s="1"/>
  <c r="H231"/>
  <c r="J231" s="1"/>
  <c r="I235"/>
  <c r="K235" s="1"/>
  <c r="H239"/>
  <c r="J239" s="1"/>
  <c r="H243"/>
  <c r="J243" s="1"/>
  <c r="I247"/>
  <c r="K247" s="1"/>
  <c r="H251"/>
  <c r="J251" s="1"/>
  <c r="H255"/>
  <c r="J255" s="1"/>
  <c r="I259"/>
  <c r="K259" s="1"/>
  <c r="M74"/>
  <c r="M146"/>
  <c r="I178"/>
  <c r="K178" s="1"/>
  <c r="M182"/>
  <c r="M186"/>
  <c r="I190"/>
  <c r="K190" s="1"/>
  <c r="M194"/>
  <c r="M198"/>
  <c r="I202"/>
  <c r="K202" s="1"/>
  <c r="M206"/>
  <c r="M210"/>
  <c r="I218"/>
  <c r="K218" s="1"/>
  <c r="M222"/>
  <c r="M226"/>
  <c r="I230"/>
  <c r="K230" s="1"/>
  <c r="M234"/>
  <c r="M238"/>
  <c r="I242"/>
  <c r="K242" s="1"/>
  <c r="M246"/>
  <c r="M250"/>
  <c r="I254"/>
  <c r="K254" s="1"/>
  <c r="M258"/>
  <c r="M38"/>
  <c r="M89"/>
  <c r="M93"/>
  <c r="I97"/>
  <c r="K97" s="1"/>
  <c r="M101"/>
  <c r="M105"/>
  <c r="I109"/>
  <c r="K109" s="1"/>
  <c r="M113"/>
  <c r="I117"/>
  <c r="K117" s="1"/>
  <c r="I154"/>
  <c r="K154" s="1"/>
  <c r="H7"/>
  <c r="J7" s="1"/>
  <c r="M12"/>
  <c r="H43"/>
  <c r="J43" s="1"/>
  <c r="M48"/>
  <c r="H79"/>
  <c r="J79" s="1"/>
  <c r="M84"/>
  <c r="H89"/>
  <c r="J89" s="1"/>
  <c r="I93"/>
  <c r="K93" s="1"/>
  <c r="H97"/>
  <c r="J97" s="1"/>
  <c r="H101"/>
  <c r="J101" s="1"/>
  <c r="I105"/>
  <c r="K105" s="1"/>
  <c r="H109"/>
  <c r="J109" s="1"/>
  <c r="H113"/>
  <c r="J113" s="1"/>
  <c r="M123"/>
  <c r="H146"/>
  <c r="J146" s="1"/>
  <c r="M149"/>
  <c r="I159"/>
  <c r="K159" s="1"/>
  <c r="M163"/>
  <c r="I168"/>
  <c r="K168" s="1"/>
  <c r="M173"/>
  <c r="H178"/>
  <c r="J178" s="1"/>
  <c r="H182"/>
  <c r="J182" s="1"/>
  <c r="I186"/>
  <c r="K186" s="1"/>
  <c r="H190"/>
  <c r="J190" s="1"/>
  <c r="H194"/>
  <c r="J194" s="1"/>
  <c r="I198"/>
  <c r="K198" s="1"/>
  <c r="H202"/>
  <c r="J202" s="1"/>
  <c r="H206"/>
  <c r="J206" s="1"/>
  <c r="I210"/>
  <c r="K210" s="1"/>
  <c r="H218"/>
  <c r="J218" s="1"/>
  <c r="H222"/>
  <c r="J222" s="1"/>
  <c r="I226"/>
  <c r="K226" s="1"/>
  <c r="H230"/>
  <c r="J230" s="1"/>
  <c r="H234"/>
  <c r="J234" s="1"/>
  <c r="I238"/>
  <c r="K238" s="1"/>
  <c r="H242"/>
  <c r="J242" s="1"/>
  <c r="H246"/>
  <c r="J246" s="1"/>
  <c r="I250"/>
  <c r="K250" s="1"/>
  <c r="H254"/>
  <c r="J254" s="1"/>
  <c r="H258"/>
  <c r="J258" s="1"/>
  <c r="M6"/>
  <c r="M11"/>
  <c r="H37"/>
  <c r="J37" s="1"/>
  <c r="M42"/>
  <c r="M47"/>
  <c r="H73"/>
  <c r="J73" s="1"/>
  <c r="M78"/>
  <c r="M83"/>
  <c r="I88"/>
  <c r="K88" s="1"/>
  <c r="M92"/>
  <c r="M96"/>
  <c r="I100"/>
  <c r="K100" s="1"/>
  <c r="M104"/>
  <c r="M108"/>
  <c r="I112"/>
  <c r="K112" s="1"/>
  <c r="M116"/>
  <c r="H132"/>
  <c r="J132" s="1"/>
  <c r="H141"/>
  <c r="J141" s="1"/>
  <c r="I145"/>
  <c r="K145" s="1"/>
  <c r="M153"/>
  <c r="H167"/>
  <c r="J167" s="1"/>
  <c r="M177"/>
  <c r="I181"/>
  <c r="K181" s="1"/>
  <c r="M185"/>
  <c r="M189"/>
  <c r="I193"/>
  <c r="K193" s="1"/>
  <c r="M197"/>
  <c r="M201"/>
  <c r="I205"/>
  <c r="K205" s="1"/>
  <c r="M209"/>
  <c r="M217"/>
  <c r="I221"/>
  <c r="K221" s="1"/>
  <c r="M225"/>
  <c r="M229"/>
  <c r="I233"/>
  <c r="K233" s="1"/>
  <c r="M237"/>
  <c r="M241"/>
  <c r="I245"/>
  <c r="K245" s="1"/>
  <c r="M249"/>
  <c r="M253"/>
  <c r="I257"/>
  <c r="K257" s="1"/>
  <c r="H16"/>
  <c r="J16" s="1"/>
  <c r="M21"/>
  <c r="H52"/>
  <c r="J52" s="1"/>
  <c r="M57"/>
  <c r="H88"/>
  <c r="J88" s="1"/>
  <c r="H92"/>
  <c r="J92" s="1"/>
  <c r="I96"/>
  <c r="K96" s="1"/>
  <c r="H100"/>
  <c r="J100" s="1"/>
  <c r="H104"/>
  <c r="J104" s="1"/>
  <c r="I108"/>
  <c r="K108" s="1"/>
  <c r="H112"/>
  <c r="J112" s="1"/>
  <c r="H116"/>
  <c r="J116" s="1"/>
  <c r="M127"/>
  <c r="M136"/>
  <c r="M158"/>
  <c r="I177"/>
  <c r="K177" s="1"/>
  <c r="H181"/>
  <c r="J181" s="1"/>
  <c r="H185"/>
  <c r="J185" s="1"/>
  <c r="I189"/>
  <c r="K189" s="1"/>
  <c r="H193"/>
  <c r="J193" s="1"/>
  <c r="H197"/>
  <c r="J197" s="1"/>
  <c r="I201"/>
  <c r="K201" s="1"/>
  <c r="H205"/>
  <c r="J205" s="1"/>
  <c r="H209"/>
  <c r="J209" s="1"/>
  <c r="I217"/>
  <c r="K217" s="1"/>
  <c r="H221"/>
  <c r="J221" s="1"/>
  <c r="H225"/>
  <c r="J225" s="1"/>
  <c r="I229"/>
  <c r="K229" s="1"/>
  <c r="H233"/>
  <c r="J233" s="1"/>
  <c r="H237"/>
  <c r="J237" s="1"/>
  <c r="I241"/>
  <c r="K241" s="1"/>
  <c r="H245"/>
  <c r="J245" s="1"/>
  <c r="H249"/>
  <c r="J249" s="1"/>
  <c r="I253"/>
  <c r="K253" s="1"/>
  <c r="H257"/>
  <c r="J257" s="1"/>
  <c r="M56"/>
  <c r="I91"/>
  <c r="K91" s="1"/>
  <c r="M95"/>
  <c r="M99"/>
  <c r="I103"/>
  <c r="K103" s="1"/>
  <c r="M107"/>
  <c r="M111"/>
  <c r="I115"/>
  <c r="K115" s="1"/>
  <c r="M176"/>
  <c r="M180"/>
  <c r="I184"/>
  <c r="K184" s="1"/>
  <c r="M188"/>
  <c r="M192"/>
  <c r="I196"/>
  <c r="K196" s="1"/>
  <c r="M200"/>
  <c r="M204"/>
  <c r="I208"/>
  <c r="K208" s="1"/>
  <c r="M216"/>
  <c r="M220"/>
  <c r="I224"/>
  <c r="K224" s="1"/>
  <c r="M228"/>
  <c r="M232"/>
  <c r="I236"/>
  <c r="K236" s="1"/>
  <c r="M240"/>
  <c r="M244"/>
  <c r="I248"/>
  <c r="K248" s="1"/>
  <c r="M252"/>
  <c r="M256"/>
  <c r="M20"/>
  <c r="H25"/>
  <c r="J25" s="1"/>
  <c r="M30"/>
  <c r="H61"/>
  <c r="J61" s="1"/>
  <c r="M66"/>
  <c r="H91"/>
  <c r="J91" s="1"/>
  <c r="H95"/>
  <c r="J95" s="1"/>
  <c r="I99"/>
  <c r="K99" s="1"/>
  <c r="H103"/>
  <c r="J103" s="1"/>
  <c r="H107"/>
  <c r="J107" s="1"/>
  <c r="I111"/>
  <c r="K111" s="1"/>
  <c r="H115"/>
  <c r="J115" s="1"/>
  <c r="H156"/>
  <c r="J156" s="1"/>
  <c r="H176"/>
  <c r="J176" s="1"/>
  <c r="I180"/>
  <c r="K180" s="1"/>
  <c r="H184"/>
  <c r="J184" s="1"/>
  <c r="H188"/>
  <c r="J188" s="1"/>
  <c r="I192"/>
  <c r="K192" s="1"/>
  <c r="H196"/>
  <c r="J196" s="1"/>
  <c r="H200"/>
  <c r="J200" s="1"/>
  <c r="I204"/>
  <c r="K204" s="1"/>
  <c r="H208"/>
  <c r="J208" s="1"/>
  <c r="H216"/>
  <c r="J216" s="1"/>
  <c r="I220"/>
  <c r="K220" s="1"/>
  <c r="H224"/>
  <c r="J224" s="1"/>
  <c r="H228"/>
  <c r="J228" s="1"/>
  <c r="I232"/>
  <c r="K232" s="1"/>
  <c r="H236"/>
  <c r="J236" s="1"/>
  <c r="H240"/>
  <c r="J240" s="1"/>
  <c r="I244"/>
  <c r="K244" s="1"/>
  <c r="H248"/>
  <c r="J248" s="1"/>
  <c r="H252"/>
  <c r="J252" s="1"/>
  <c r="I256"/>
  <c r="K256" s="1"/>
  <c r="AB27" i="3"/>
  <c r="AB17"/>
  <c r="AB50"/>
  <c r="AB119"/>
  <c r="AB121"/>
  <c r="AB74"/>
  <c r="AB146"/>
  <c r="AB148"/>
  <c r="AB49"/>
  <c r="AB212"/>
  <c r="AB243"/>
  <c r="AB238"/>
  <c r="AB262"/>
  <c r="AB8"/>
  <c r="AB10"/>
  <c r="AB16"/>
  <c r="P21"/>
  <c r="AB29"/>
  <c r="AB31"/>
  <c r="P36"/>
  <c r="AB54"/>
  <c r="AB68"/>
  <c r="AB89"/>
  <c r="AB116"/>
  <c r="AB125"/>
  <c r="AB152"/>
  <c r="AB185"/>
  <c r="AB12"/>
  <c r="AB62"/>
  <c r="AB260"/>
  <c r="AB5"/>
  <c r="AB58"/>
  <c r="AB64"/>
  <c r="AB77"/>
  <c r="AB93"/>
  <c r="AB107"/>
  <c r="AB129"/>
  <c r="AB169"/>
  <c r="AB204"/>
  <c r="AB227"/>
  <c r="AB241"/>
  <c r="AB39"/>
  <c r="AB83"/>
  <c r="AB98"/>
  <c r="AB100"/>
  <c r="AB109"/>
  <c r="AB134"/>
  <c r="AB143"/>
  <c r="AB145"/>
  <c r="AB176"/>
  <c r="AB216"/>
  <c r="AB229"/>
  <c r="AB92"/>
  <c r="AB101"/>
  <c r="AB128"/>
  <c r="AB137"/>
  <c r="AB181"/>
  <c r="AB194"/>
  <c r="AB225"/>
  <c r="AB234"/>
  <c r="AB9"/>
  <c r="AB21"/>
  <c r="AB24"/>
  <c r="AB53"/>
  <c r="AB71"/>
  <c r="AB28"/>
  <c r="AB32"/>
  <c r="AB59"/>
  <c r="AB80"/>
  <c r="AB105"/>
  <c r="AB141"/>
  <c r="AB183"/>
  <c r="AB192"/>
  <c r="AB30"/>
  <c r="AB65"/>
  <c r="AB67"/>
  <c r="AB155"/>
  <c r="AB246"/>
  <c r="AB13"/>
  <c r="AB15"/>
  <c r="AB23"/>
  <c r="AB34"/>
  <c r="AB36"/>
  <c r="AB38"/>
  <c r="AB55"/>
  <c r="AB57"/>
  <c r="AB70"/>
  <c r="AB104"/>
  <c r="AB113"/>
  <c r="AB140"/>
  <c r="AB149"/>
  <c r="AB163"/>
  <c r="AB197"/>
  <c r="AB4"/>
  <c r="AB25"/>
  <c r="AB156"/>
  <c r="AB199"/>
  <c r="AB224"/>
  <c r="AB226"/>
  <c r="AB228"/>
  <c r="AB40"/>
  <c r="AB86"/>
  <c r="AB117"/>
  <c r="AB153"/>
  <c r="AB14"/>
  <c r="AB88"/>
  <c r="AB95"/>
  <c r="AB97"/>
  <c r="AB122"/>
  <c r="AB131"/>
  <c r="AB133"/>
  <c r="AB175"/>
  <c r="AB191"/>
  <c r="AB195"/>
  <c r="AB198"/>
  <c r="AB251"/>
  <c r="AB253"/>
  <c r="P42"/>
  <c r="P6"/>
  <c r="AB35"/>
  <c r="AB41"/>
  <c r="AB48"/>
  <c r="AB52"/>
  <c r="AB20"/>
  <c r="AB22"/>
  <c r="AB33"/>
  <c r="AB37"/>
  <c r="AB43"/>
  <c r="AB3"/>
  <c r="AB7"/>
  <c r="P12"/>
  <c r="AB18"/>
  <c r="AB26"/>
  <c r="AB47"/>
  <c r="AB51"/>
  <c r="AB45"/>
  <c r="AB73"/>
  <c r="P24"/>
  <c r="AB61"/>
  <c r="P45"/>
  <c r="P80"/>
  <c r="P9"/>
  <c r="AB19"/>
  <c r="AB42"/>
  <c r="P58"/>
  <c r="AB6"/>
  <c r="AB44"/>
  <c r="AB46"/>
  <c r="AB56"/>
  <c r="A2" i="1"/>
  <c r="P59" i="3"/>
  <c r="AB76"/>
  <c r="AB96"/>
  <c r="AB108"/>
  <c r="AB120"/>
  <c r="AB132"/>
  <c r="AB144"/>
  <c r="AB159"/>
  <c r="AB165"/>
  <c r="AB189"/>
  <c r="P207"/>
  <c r="P222"/>
  <c r="P230"/>
  <c r="P254"/>
  <c r="M159" i="4"/>
  <c r="P25" i="3"/>
  <c r="P30"/>
  <c r="P35"/>
  <c r="P50"/>
  <c r="M118" i="1"/>
  <c r="H145"/>
  <c r="J145" s="1"/>
  <c r="H150"/>
  <c r="J150" s="1"/>
  <c r="H155"/>
  <c r="J155" s="1"/>
  <c r="M157"/>
  <c r="H168"/>
  <c r="J168" s="1"/>
  <c r="M170"/>
  <c r="AB2" i="3"/>
  <c r="P10"/>
  <c r="P15"/>
  <c r="P20"/>
  <c r="P46"/>
  <c r="P55"/>
  <c r="AB66"/>
  <c r="P73"/>
  <c r="AB79"/>
  <c r="AB157"/>
  <c r="AB162"/>
  <c r="AB170"/>
  <c r="P183"/>
  <c r="AB184"/>
  <c r="AB187"/>
  <c r="AB193"/>
  <c r="AB218"/>
  <c r="AB237"/>
  <c r="P239"/>
  <c r="P245"/>
  <c r="AB252"/>
  <c r="AB261"/>
  <c r="P263"/>
  <c r="M124" i="1"/>
  <c r="M139"/>
  <c r="P5" i="3"/>
  <c r="P31"/>
  <c r="P41"/>
  <c r="P51"/>
  <c r="AB63"/>
  <c r="AB82"/>
  <c r="AB94"/>
  <c r="AB106"/>
  <c r="AB118"/>
  <c r="AB130"/>
  <c r="AB142"/>
  <c r="AB154"/>
  <c r="AB177"/>
  <c r="AB214"/>
  <c r="P228"/>
  <c r="AB235"/>
  <c r="AB248"/>
  <c r="AB255"/>
  <c r="AB257"/>
  <c r="AB259"/>
  <c r="BP137" i="5"/>
  <c r="CG137" s="1"/>
  <c r="AT137"/>
  <c r="CE137" s="1"/>
  <c r="X137"/>
  <c r="CC137" s="1"/>
  <c r="CA137"/>
  <c r="CH137" s="1"/>
  <c r="BE137"/>
  <c r="CF137" s="1"/>
  <c r="AI137"/>
  <c r="CD137" s="1"/>
  <c r="M134" i="1"/>
  <c r="I118"/>
  <c r="K118" s="1"/>
  <c r="I124"/>
  <c r="K124" s="1"/>
  <c r="I157"/>
  <c r="K157" s="1"/>
  <c r="P16" i="3"/>
  <c r="P26"/>
  <c r="AB60"/>
  <c r="P70"/>
  <c r="AB87"/>
  <c r="AB99"/>
  <c r="AB111"/>
  <c r="AB123"/>
  <c r="AB135"/>
  <c r="AB147"/>
  <c r="AB180"/>
  <c r="AB182"/>
  <c r="AB200"/>
  <c r="AB206"/>
  <c r="AB208"/>
  <c r="AB210"/>
  <c r="AB221"/>
  <c r="AB233"/>
  <c r="P237"/>
  <c r="AB240"/>
  <c r="M137" i="5"/>
  <c r="CB137" s="1"/>
  <c r="M129" i="1"/>
  <c r="M162"/>
  <c r="M144"/>
  <c r="M167"/>
  <c r="I170"/>
  <c r="K170" s="1"/>
  <c r="M121"/>
  <c r="M126"/>
  <c r="M131"/>
  <c r="P11" i="3"/>
  <c r="P37"/>
  <c r="P47"/>
  <c r="P56"/>
  <c r="P74"/>
  <c r="P77"/>
  <c r="AB85"/>
  <c r="AB168"/>
  <c r="AB173"/>
  <c r="P177"/>
  <c r="AB196"/>
  <c r="P212"/>
  <c r="P216"/>
  <c r="P22"/>
  <c r="P27"/>
  <c r="P32"/>
  <c r="P52"/>
  <c r="P67"/>
  <c r="AB158"/>
  <c r="P185"/>
  <c r="P210"/>
  <c r="AB223"/>
  <c r="AB231"/>
  <c r="P233"/>
  <c r="P255"/>
  <c r="P248"/>
  <c r="P247"/>
  <c r="P184"/>
  <c r="P262"/>
  <c r="P249"/>
  <c r="P232"/>
  <c r="P214"/>
  <c r="P251"/>
  <c r="P250"/>
  <c r="P178"/>
  <c r="P261"/>
  <c r="P252"/>
  <c r="P236"/>
  <c r="P235"/>
  <c r="P218"/>
  <c r="P217"/>
  <c r="P200"/>
  <c r="P199"/>
  <c r="P186"/>
  <c r="P179"/>
  <c r="P84"/>
  <c r="P81"/>
  <c r="P78"/>
  <c r="P75"/>
  <c r="P72"/>
  <c r="P69"/>
  <c r="P66"/>
  <c r="P63"/>
  <c r="P60"/>
  <c r="P253"/>
  <c r="P259"/>
  <c r="P238"/>
  <c r="P220"/>
  <c r="P202"/>
  <c r="P187"/>
  <c r="P258"/>
  <c r="P257"/>
  <c r="P256"/>
  <c r="P204"/>
  <c r="P241"/>
  <c r="P224"/>
  <c r="P223"/>
  <c r="P206"/>
  <c r="P205"/>
  <c r="P181"/>
  <c r="P174"/>
  <c r="P85"/>
  <c r="P82"/>
  <c r="P79"/>
  <c r="P76"/>
  <c r="P243"/>
  <c r="P226"/>
  <c r="P208"/>
  <c r="P190"/>
  <c r="P175"/>
  <c r="P244"/>
  <c r="I126" i="1"/>
  <c r="K126" s="1"/>
  <c r="I131"/>
  <c r="K131" s="1"/>
  <c r="I136"/>
  <c r="K136" s="1"/>
  <c r="M156"/>
  <c r="I172"/>
  <c r="K172" s="1"/>
  <c r="P7" i="3"/>
  <c r="P17"/>
  <c r="P43"/>
  <c r="P48"/>
  <c r="P57"/>
  <c r="P64"/>
  <c r="P71"/>
  <c r="P83"/>
  <c r="AB90"/>
  <c r="AB102"/>
  <c r="AB114"/>
  <c r="AB126"/>
  <c r="AB138"/>
  <c r="AB150"/>
  <c r="AB160"/>
  <c r="AB166"/>
  <c r="P173"/>
  <c r="AB178"/>
  <c r="P180"/>
  <c r="P182"/>
  <c r="AB188"/>
  <c r="AB203"/>
  <c r="AB219"/>
  <c r="P221"/>
  <c r="AB242"/>
  <c r="P246"/>
  <c r="I121" i="1"/>
  <c r="K121" s="1"/>
  <c r="I164"/>
  <c r="K164" s="1"/>
  <c r="M133"/>
  <c r="M138"/>
  <c r="M143"/>
  <c r="M161"/>
  <c r="M166"/>
  <c r="M174"/>
  <c r="P2" i="3"/>
  <c r="P28"/>
  <c r="P33"/>
  <c r="P38"/>
  <c r="P61"/>
  <c r="AB75"/>
  <c r="AB171"/>
  <c r="AB190"/>
  <c r="AB215"/>
  <c r="AB217"/>
  <c r="AB220"/>
  <c r="P229"/>
  <c r="P231"/>
  <c r="P240"/>
  <c r="AB244"/>
  <c r="AB258"/>
  <c r="P13"/>
  <c r="P18"/>
  <c r="P23"/>
  <c r="P53"/>
  <c r="P68"/>
  <c r="AB78"/>
  <c r="AB112"/>
  <c r="AB124"/>
  <c r="AB136"/>
  <c r="AB161"/>
  <c r="AB164"/>
  <c r="AB179"/>
  <c r="AB205"/>
  <c r="AB209"/>
  <c r="P219"/>
  <c r="AB222"/>
  <c r="P227"/>
  <c r="AB236"/>
  <c r="AB201"/>
  <c r="P203"/>
  <c r="AB213"/>
  <c r="P215"/>
  <c r="P225"/>
  <c r="P242"/>
  <c r="AB249"/>
  <c r="AB256"/>
  <c r="AB263"/>
  <c r="M120" i="1"/>
  <c r="M171"/>
  <c r="P3" i="3"/>
  <c r="P34"/>
  <c r="P39"/>
  <c r="P44"/>
  <c r="P49"/>
  <c r="AB72"/>
  <c r="AB81"/>
  <c r="AB167"/>
  <c r="AB186"/>
  <c r="I120" i="1"/>
  <c r="K120" s="1"/>
  <c r="I153"/>
  <c r="K153" s="1"/>
  <c r="I158"/>
  <c r="K158" s="1"/>
  <c r="I171"/>
  <c r="K171" s="1"/>
  <c r="P19" i="3"/>
  <c r="P29"/>
  <c r="P54"/>
  <c r="P65"/>
  <c r="AB84"/>
  <c r="P86"/>
  <c r="AB174"/>
  <c r="AB202"/>
  <c r="AB207"/>
  <c r="AB211"/>
  <c r="AB230"/>
  <c r="AB232"/>
  <c r="AB239"/>
  <c r="AB254"/>
  <c r="P260"/>
  <c r="P8"/>
  <c r="P4"/>
  <c r="P14"/>
  <c r="P40"/>
  <c r="P62"/>
  <c r="AB69"/>
  <c r="AB91"/>
  <c r="AB103"/>
  <c r="AB115"/>
  <c r="AB127"/>
  <c r="AB139"/>
  <c r="AB151"/>
  <c r="AB172"/>
  <c r="P176"/>
  <c r="P201"/>
  <c r="P209"/>
  <c r="P211"/>
  <c r="P213"/>
  <c r="P234"/>
  <c r="AB245"/>
  <c r="AB247"/>
  <c r="M8" i="4"/>
  <c r="M26"/>
  <c r="M45"/>
  <c r="M46"/>
  <c r="M47"/>
  <c r="M48"/>
  <c r="M81"/>
  <c r="M82"/>
  <c r="M83"/>
  <c r="M84"/>
  <c r="M117"/>
  <c r="M118"/>
  <c r="M119"/>
  <c r="M120"/>
  <c r="M155"/>
  <c r="M156"/>
  <c r="M225"/>
  <c r="AI10" i="5"/>
  <c r="CD10" s="1"/>
  <c r="BE65"/>
  <c r="CF65" s="1"/>
  <c r="BE73"/>
  <c r="CF73" s="1"/>
  <c r="N11" i="4"/>
  <c r="N29"/>
  <c r="N51"/>
  <c r="N87"/>
  <c r="N123"/>
  <c r="M152"/>
  <c r="M153"/>
  <c r="M5"/>
  <c r="N6"/>
  <c r="M6"/>
  <c r="M23"/>
  <c r="N24"/>
  <c r="M24"/>
  <c r="M43"/>
  <c r="M75"/>
  <c r="M77"/>
  <c r="M78"/>
  <c r="M111"/>
  <c r="M113"/>
  <c r="M114"/>
  <c r="M150"/>
  <c r="M212"/>
  <c r="AI28" i="5"/>
  <c r="CD28" s="1"/>
  <c r="CA66"/>
  <c r="CH66" s="1"/>
  <c r="BP281"/>
  <c r="CG281" s="1"/>
  <c r="AT281"/>
  <c r="CE281" s="1"/>
  <c r="X281"/>
  <c r="CC281" s="1"/>
  <c r="CA281"/>
  <c r="CH281" s="1"/>
  <c r="BE281"/>
  <c r="CF281" s="1"/>
  <c r="AI281"/>
  <c r="CD281" s="1"/>
  <c r="M4" i="4"/>
  <c r="M22"/>
  <c r="M40"/>
  <c r="M41"/>
  <c r="M42"/>
  <c r="N45"/>
  <c r="M74"/>
  <c r="N81"/>
  <c r="N117"/>
  <c r="M145"/>
  <c r="M146"/>
  <c r="M147"/>
  <c r="CA42" i="5"/>
  <c r="CH42" s="1"/>
  <c r="M281"/>
  <c r="CB281" s="1"/>
  <c r="M20" i="4"/>
  <c r="M38"/>
  <c r="M71"/>
  <c r="M72"/>
  <c r="M108"/>
  <c r="M143"/>
  <c r="M200"/>
  <c r="N5"/>
  <c r="M19"/>
  <c r="N23"/>
  <c r="M37"/>
  <c r="M68"/>
  <c r="N75"/>
  <c r="M104"/>
  <c r="N111"/>
  <c r="M139"/>
  <c r="M140"/>
  <c r="M141"/>
  <c r="N3"/>
  <c r="M17"/>
  <c r="N18"/>
  <c r="M18"/>
  <c r="N21"/>
  <c r="M35"/>
  <c r="N36"/>
  <c r="M36"/>
  <c r="N39"/>
  <c r="M64"/>
  <c r="M65"/>
  <c r="M66"/>
  <c r="M100"/>
  <c r="M101"/>
  <c r="M102"/>
  <c r="M137"/>
  <c r="M188"/>
  <c r="BP209" i="5"/>
  <c r="CG209" s="1"/>
  <c r="AT209"/>
  <c r="CE209" s="1"/>
  <c r="X209"/>
  <c r="CC209" s="1"/>
  <c r="CA209"/>
  <c r="CH209" s="1"/>
  <c r="BE209"/>
  <c r="CF209" s="1"/>
  <c r="AI209"/>
  <c r="CD209" s="1"/>
  <c r="M62" i="4"/>
  <c r="M98"/>
  <c r="M133"/>
  <c r="M135"/>
  <c r="M209" i="5"/>
  <c r="CB209" s="1"/>
  <c r="M14" i="4"/>
  <c r="M32"/>
  <c r="M59"/>
  <c r="M60"/>
  <c r="M96"/>
  <c r="M177"/>
  <c r="M13"/>
  <c r="N17"/>
  <c r="M31"/>
  <c r="N35"/>
  <c r="M56"/>
  <c r="N63"/>
  <c r="M92"/>
  <c r="N99"/>
  <c r="M129"/>
  <c r="M168"/>
  <c r="M11"/>
  <c r="N12"/>
  <c r="M12"/>
  <c r="N15"/>
  <c r="M29"/>
  <c r="N30"/>
  <c r="M30"/>
  <c r="N33"/>
  <c r="M51"/>
  <c r="M52"/>
  <c r="M53"/>
  <c r="M54"/>
  <c r="M87"/>
  <c r="M89"/>
  <c r="M90"/>
  <c r="M123"/>
  <c r="M125"/>
  <c r="M126"/>
  <c r="CA3" i="5"/>
  <c r="CH3" s="1"/>
  <c r="BE3"/>
  <c r="CF3" s="1"/>
  <c r="AT3"/>
  <c r="CE3" s="1"/>
  <c r="AI3"/>
  <c r="CD3" s="1"/>
  <c r="CA21"/>
  <c r="CH21" s="1"/>
  <c r="BE21"/>
  <c r="CF21" s="1"/>
  <c r="AT21"/>
  <c r="CE21" s="1"/>
  <c r="AI21"/>
  <c r="CD21" s="1"/>
  <c r="CA39"/>
  <c r="CH39" s="1"/>
  <c r="BE39"/>
  <c r="CF39" s="1"/>
  <c r="AT39"/>
  <c r="CE39" s="1"/>
  <c r="AI39"/>
  <c r="CD39" s="1"/>
  <c r="CA63"/>
  <c r="CH63" s="1"/>
  <c r="BE63"/>
  <c r="CF63" s="1"/>
  <c r="AT63"/>
  <c r="CE63" s="1"/>
  <c r="AI63"/>
  <c r="CD63" s="1"/>
  <c r="CA87"/>
  <c r="CH87" s="1"/>
  <c r="BE87"/>
  <c r="CF87" s="1"/>
  <c r="AT87"/>
  <c r="CE87" s="1"/>
  <c r="AI87"/>
  <c r="CD87" s="1"/>
  <c r="X87"/>
  <c r="CC87" s="1"/>
  <c r="BP126"/>
  <c r="CG126" s="1"/>
  <c r="AT126"/>
  <c r="CE126" s="1"/>
  <c r="X126"/>
  <c r="CC126" s="1"/>
  <c r="BE126"/>
  <c r="CF126" s="1"/>
  <c r="AI126"/>
  <c r="CD126" s="1"/>
  <c r="CA126"/>
  <c r="CH126" s="1"/>
  <c r="BP198"/>
  <c r="CG198" s="1"/>
  <c r="AT198"/>
  <c r="CE198" s="1"/>
  <c r="X198"/>
  <c r="CC198" s="1"/>
  <c r="BE198"/>
  <c r="CF198" s="1"/>
  <c r="AI198"/>
  <c r="CD198" s="1"/>
  <c r="CA198"/>
  <c r="CH198" s="1"/>
  <c r="BP270"/>
  <c r="CG270" s="1"/>
  <c r="AT270"/>
  <c r="CE270" s="1"/>
  <c r="X270"/>
  <c r="CC270" s="1"/>
  <c r="BE270"/>
  <c r="CF270" s="1"/>
  <c r="AI270"/>
  <c r="CD270" s="1"/>
  <c r="CA270"/>
  <c r="CH270" s="1"/>
  <c r="N128" i="4"/>
  <c r="N134"/>
  <c r="N140"/>
  <c r="N146"/>
  <c r="N152"/>
  <c r="N158"/>
  <c r="M167"/>
  <c r="N176"/>
  <c r="M185"/>
  <c r="M186"/>
  <c r="M197"/>
  <c r="M198"/>
  <c r="M209"/>
  <c r="M210"/>
  <c r="M223"/>
  <c r="M224"/>
  <c r="M3" i="5"/>
  <c r="CB3" s="1"/>
  <c r="AT11"/>
  <c r="CE11" s="1"/>
  <c r="CA17"/>
  <c r="CH17" s="1"/>
  <c r="CA19"/>
  <c r="CH19" s="1"/>
  <c r="M21"/>
  <c r="CB21" s="1"/>
  <c r="AT29"/>
  <c r="CE29" s="1"/>
  <c r="CA32"/>
  <c r="CH32" s="1"/>
  <c r="M39"/>
  <c r="CB39" s="1"/>
  <c r="X41"/>
  <c r="CC41" s="1"/>
  <c r="AT42"/>
  <c r="CE42" s="1"/>
  <c r="X52"/>
  <c r="CC52" s="1"/>
  <c r="CA56"/>
  <c r="CH56" s="1"/>
  <c r="M63"/>
  <c r="CB63" s="1"/>
  <c r="X65"/>
  <c r="CC65" s="1"/>
  <c r="AT66"/>
  <c r="CE66" s="1"/>
  <c r="X76"/>
  <c r="CC76" s="1"/>
  <c r="AT77"/>
  <c r="CE77" s="1"/>
  <c r="CA80"/>
  <c r="CH80" s="1"/>
  <c r="M87"/>
  <c r="CB87" s="1"/>
  <c r="CA92"/>
  <c r="CH92" s="1"/>
  <c r="CA96"/>
  <c r="CH96" s="1"/>
  <c r="AI97"/>
  <c r="CD97" s="1"/>
  <c r="CA115"/>
  <c r="CH115" s="1"/>
  <c r="M126"/>
  <c r="CB126" s="1"/>
  <c r="CA144"/>
  <c r="CH144" s="1"/>
  <c r="CA146"/>
  <c r="CH146" s="1"/>
  <c r="CA187"/>
  <c r="CH187" s="1"/>
  <c r="M198"/>
  <c r="CB198" s="1"/>
  <c r="CA216"/>
  <c r="CH216" s="1"/>
  <c r="CA218"/>
  <c r="CH218" s="1"/>
  <c r="BE223"/>
  <c r="CF223" s="1"/>
  <c r="CA259"/>
  <c r="CH259" s="1"/>
  <c r="M270"/>
  <c r="CB270" s="1"/>
  <c r="CA290"/>
  <c r="CH290" s="1"/>
  <c r="BE295"/>
  <c r="CF295" s="1"/>
  <c r="CA299"/>
  <c r="CH299" s="1"/>
  <c r="BP125"/>
  <c r="CG125" s="1"/>
  <c r="AT125"/>
  <c r="CE125" s="1"/>
  <c r="X125"/>
  <c r="CC125" s="1"/>
  <c r="CA125"/>
  <c r="CH125" s="1"/>
  <c r="BE125"/>
  <c r="CF125" s="1"/>
  <c r="AI125"/>
  <c r="CD125" s="1"/>
  <c r="BP197"/>
  <c r="CG197" s="1"/>
  <c r="AT197"/>
  <c r="CE197" s="1"/>
  <c r="X197"/>
  <c r="CC197" s="1"/>
  <c r="CA197"/>
  <c r="CH197" s="1"/>
  <c r="BE197"/>
  <c r="CF197" s="1"/>
  <c r="AI197"/>
  <c r="CD197" s="1"/>
  <c r="BP269"/>
  <c r="CG269" s="1"/>
  <c r="AT269"/>
  <c r="CE269" s="1"/>
  <c r="X269"/>
  <c r="CC269" s="1"/>
  <c r="CA269"/>
  <c r="CH269" s="1"/>
  <c r="BE269"/>
  <c r="CF269" s="1"/>
  <c r="AI269"/>
  <c r="CD269" s="1"/>
  <c r="M221" i="4"/>
  <c r="M222"/>
  <c r="AT5" i="5"/>
  <c r="CE5" s="1"/>
  <c r="CA97"/>
  <c r="CH97" s="1"/>
  <c r="CA112"/>
  <c r="CH112" s="1"/>
  <c r="AI116"/>
  <c r="CD116" s="1"/>
  <c r="M125"/>
  <c r="CB125" s="1"/>
  <c r="BE145"/>
  <c r="CF145" s="1"/>
  <c r="AI184"/>
  <c r="CD184" s="1"/>
  <c r="CA184"/>
  <c r="CH184" s="1"/>
  <c r="AI188"/>
  <c r="CD188" s="1"/>
  <c r="M197"/>
  <c r="CB197" s="1"/>
  <c r="AI256"/>
  <c r="CD256" s="1"/>
  <c r="CA256"/>
  <c r="CH256" s="1"/>
  <c r="M269"/>
  <c r="CB269" s="1"/>
  <c r="BP114"/>
  <c r="CG114" s="1"/>
  <c r="AT114"/>
  <c r="CE114" s="1"/>
  <c r="X114"/>
  <c r="CC114" s="1"/>
  <c r="BE114"/>
  <c r="CF114" s="1"/>
  <c r="AI114"/>
  <c r="CD114" s="1"/>
  <c r="CA114"/>
  <c r="CH114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N133" i="4"/>
  <c r="N139"/>
  <c r="N145"/>
  <c r="N151"/>
  <c r="N157"/>
  <c r="N175"/>
  <c r="M175"/>
  <c r="M220"/>
  <c r="BE16" i="5"/>
  <c r="CF16" s="1"/>
  <c r="BE31"/>
  <c r="CF31" s="1"/>
  <c r="M41"/>
  <c r="CB41" s="1"/>
  <c r="CA43"/>
  <c r="CH43" s="1"/>
  <c r="BE55"/>
  <c r="CF55" s="1"/>
  <c r="M65"/>
  <c r="CB65" s="1"/>
  <c r="CA67"/>
  <c r="CH67" s="1"/>
  <c r="BE79"/>
  <c r="CF79" s="1"/>
  <c r="BE91"/>
  <c r="CF91" s="1"/>
  <c r="X95"/>
  <c r="CC95" s="1"/>
  <c r="M114"/>
  <c r="CB114" s="1"/>
  <c r="CA132"/>
  <c r="CH132" s="1"/>
  <c r="CA134"/>
  <c r="CH134" s="1"/>
  <c r="M186"/>
  <c r="CB186" s="1"/>
  <c r="CA204"/>
  <c r="CH204" s="1"/>
  <c r="CA206"/>
  <c r="CH206" s="1"/>
  <c r="M258"/>
  <c r="CB258" s="1"/>
  <c r="CA278"/>
  <c r="CH278" s="1"/>
  <c r="BE309"/>
  <c r="CF309" s="1"/>
  <c r="CA45"/>
  <c r="CH45" s="1"/>
  <c r="BE45"/>
  <c r="CF45" s="1"/>
  <c r="AT45"/>
  <c r="CE45" s="1"/>
  <c r="AI45"/>
  <c r="CD45" s="1"/>
  <c r="CA69"/>
  <c r="CH69" s="1"/>
  <c r="BE69"/>
  <c r="CF69" s="1"/>
  <c r="AT69"/>
  <c r="CE69" s="1"/>
  <c r="AI69"/>
  <c r="CD69" s="1"/>
  <c r="BP113"/>
  <c r="CG113" s="1"/>
  <c r="AT113"/>
  <c r="CE113" s="1"/>
  <c r="X113"/>
  <c r="CC113" s="1"/>
  <c r="CA113"/>
  <c r="CH113" s="1"/>
  <c r="BE113"/>
  <c r="CF113" s="1"/>
  <c r="AI113"/>
  <c r="CD113" s="1"/>
  <c r="BP185"/>
  <c r="CG185" s="1"/>
  <c r="AT185"/>
  <c r="CE185" s="1"/>
  <c r="X185"/>
  <c r="CC185" s="1"/>
  <c r="CA185"/>
  <c r="CH185" s="1"/>
  <c r="BE185"/>
  <c r="CF185" s="1"/>
  <c r="AI185"/>
  <c r="CD185" s="1"/>
  <c r="BP257"/>
  <c r="CG257" s="1"/>
  <c r="AT257"/>
  <c r="CE257" s="1"/>
  <c r="X257"/>
  <c r="CC257" s="1"/>
  <c r="CA257"/>
  <c r="CH257" s="1"/>
  <c r="BE257"/>
  <c r="CF257" s="1"/>
  <c r="AI257"/>
  <c r="CD257" s="1"/>
  <c r="N165" i="4"/>
  <c r="M165"/>
  <c r="N174"/>
  <c r="N183"/>
  <c r="M183"/>
  <c r="N195"/>
  <c r="M195"/>
  <c r="N207"/>
  <c r="M207"/>
  <c r="N219"/>
  <c r="M219"/>
  <c r="BE7" i="5"/>
  <c r="CF7" s="1"/>
  <c r="BP12"/>
  <c r="CG12" s="1"/>
  <c r="AI17"/>
  <c r="CD17" s="1"/>
  <c r="CA20"/>
  <c r="CH20" s="1"/>
  <c r="BE25"/>
  <c r="CF25" s="1"/>
  <c r="X34"/>
  <c r="CC34" s="1"/>
  <c r="AT35"/>
  <c r="CE35" s="1"/>
  <c r="CA38"/>
  <c r="CH38" s="1"/>
  <c r="M45"/>
  <c r="CB45" s="1"/>
  <c r="X47"/>
  <c r="CC47" s="1"/>
  <c r="AT48"/>
  <c r="CE48" s="1"/>
  <c r="X58"/>
  <c r="CC58" s="1"/>
  <c r="CA62"/>
  <c r="CH62" s="1"/>
  <c r="M69"/>
  <c r="CB69" s="1"/>
  <c r="X71"/>
  <c r="CC71" s="1"/>
  <c r="AT72"/>
  <c r="CE72" s="1"/>
  <c r="X82"/>
  <c r="CC82" s="1"/>
  <c r="CA86"/>
  <c r="CH86" s="1"/>
  <c r="AI104"/>
  <c r="CD104" s="1"/>
  <c r="M113"/>
  <c r="CB113" s="1"/>
  <c r="CA155"/>
  <c r="CH155" s="1"/>
  <c r="AI172"/>
  <c r="CD172" s="1"/>
  <c r="AI176"/>
  <c r="CD176" s="1"/>
  <c r="M185"/>
  <c r="CB185" s="1"/>
  <c r="CA227"/>
  <c r="CH227" s="1"/>
  <c r="AI244"/>
  <c r="CD244" s="1"/>
  <c r="CA244"/>
  <c r="CH244" s="1"/>
  <c r="M257"/>
  <c r="CB257" s="1"/>
  <c r="AI268"/>
  <c r="CD268" s="1"/>
  <c r="CA15"/>
  <c r="CH15" s="1"/>
  <c r="BE15"/>
  <c r="CF15" s="1"/>
  <c r="AT15"/>
  <c r="CE15" s="1"/>
  <c r="AI15"/>
  <c r="CD15" s="1"/>
  <c r="BP102"/>
  <c r="CG102" s="1"/>
  <c r="AT102"/>
  <c r="CE102" s="1"/>
  <c r="X102"/>
  <c r="CC102" s="1"/>
  <c r="BE102"/>
  <c r="CF102" s="1"/>
  <c r="AI102"/>
  <c r="CD102" s="1"/>
  <c r="CA102"/>
  <c r="CH10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CA13"/>
  <c r="CH13" s="1"/>
  <c r="M15"/>
  <c r="CB15" s="1"/>
  <c r="AI47"/>
  <c r="CD47" s="1"/>
  <c r="BE48"/>
  <c r="CF48" s="1"/>
  <c r="BP49"/>
  <c r="CG49" s="1"/>
  <c r="AI71"/>
  <c r="CD71" s="1"/>
  <c r="BE72"/>
  <c r="CF72" s="1"/>
  <c r="BP73"/>
  <c r="CG73" s="1"/>
  <c r="X89"/>
  <c r="CC89" s="1"/>
  <c r="AT95"/>
  <c r="CE95" s="1"/>
  <c r="M102"/>
  <c r="CB102" s="1"/>
  <c r="M174"/>
  <c r="CB174" s="1"/>
  <c r="M246"/>
  <c r="CB246" s="1"/>
  <c r="BP101"/>
  <c r="CG101" s="1"/>
  <c r="AT101"/>
  <c r="CE101" s="1"/>
  <c r="X101"/>
  <c r="CC101" s="1"/>
  <c r="CA101"/>
  <c r="CH101" s="1"/>
  <c r="BE101"/>
  <c r="CF101" s="1"/>
  <c r="AI101"/>
  <c r="CD101" s="1"/>
  <c r="BP173"/>
  <c r="CG173" s="1"/>
  <c r="AT173"/>
  <c r="CE173" s="1"/>
  <c r="X173"/>
  <c r="CC173" s="1"/>
  <c r="CA173"/>
  <c r="CH173" s="1"/>
  <c r="BE173"/>
  <c r="CF173" s="1"/>
  <c r="AI173"/>
  <c r="CD173" s="1"/>
  <c r="BP245"/>
  <c r="CG245" s="1"/>
  <c r="AT245"/>
  <c r="CE245" s="1"/>
  <c r="X245"/>
  <c r="CC245" s="1"/>
  <c r="CA245"/>
  <c r="CH245" s="1"/>
  <c r="BE245"/>
  <c r="CF245" s="1"/>
  <c r="AI245"/>
  <c r="CD245" s="1"/>
  <c r="M193" i="4"/>
  <c r="M205"/>
  <c r="M217"/>
  <c r="BE12" i="5"/>
  <c r="CF12" s="1"/>
  <c r="X15"/>
  <c r="CC15" s="1"/>
  <c r="M17"/>
  <c r="CB17" s="1"/>
  <c r="BE37"/>
  <c r="CF37" s="1"/>
  <c r="M47"/>
  <c r="CB47" s="1"/>
  <c r="CA49"/>
  <c r="CH49" s="1"/>
  <c r="BE61"/>
  <c r="CF61" s="1"/>
  <c r="M71"/>
  <c r="CB71" s="1"/>
  <c r="CA73"/>
  <c r="CH73" s="1"/>
  <c r="BE85"/>
  <c r="CF85" s="1"/>
  <c r="AI99"/>
  <c r="CD99" s="1"/>
  <c r="M101"/>
  <c r="CB101" s="1"/>
  <c r="BE121"/>
  <c r="CF121" s="1"/>
  <c r="AI148"/>
  <c r="CD148" s="1"/>
  <c r="AI160"/>
  <c r="CD160" s="1"/>
  <c r="CA160"/>
  <c r="CH160" s="1"/>
  <c r="AI164"/>
  <c r="CD164" s="1"/>
  <c r="M173"/>
  <c r="CB173" s="1"/>
  <c r="AI232"/>
  <c r="CD232" s="1"/>
  <c r="CA232"/>
  <c r="CH232" s="1"/>
  <c r="AI236"/>
  <c r="CD236" s="1"/>
  <c r="M245"/>
  <c r="CB245" s="1"/>
  <c r="CA304"/>
  <c r="CH304" s="1"/>
  <c r="CA51"/>
  <c r="CH51" s="1"/>
  <c r="BE51"/>
  <c r="CF51" s="1"/>
  <c r="AT51"/>
  <c r="CE51" s="1"/>
  <c r="AI51"/>
  <c r="CD51" s="1"/>
  <c r="CA75"/>
  <c r="CH75" s="1"/>
  <c r="BE75"/>
  <c r="CF75" s="1"/>
  <c r="AT75"/>
  <c r="CE75" s="1"/>
  <c r="AI75"/>
  <c r="CD75" s="1"/>
  <c r="BP162"/>
  <c r="CG162" s="1"/>
  <c r="AT162"/>
  <c r="CE162" s="1"/>
  <c r="X162"/>
  <c r="CC162" s="1"/>
  <c r="BE162"/>
  <c r="CF162" s="1"/>
  <c r="AI162"/>
  <c r="CD162" s="1"/>
  <c r="CA162"/>
  <c r="CH162" s="1"/>
  <c r="BP234"/>
  <c r="CG234" s="1"/>
  <c r="AT234"/>
  <c r="CE234" s="1"/>
  <c r="X234"/>
  <c r="CC234" s="1"/>
  <c r="BE234"/>
  <c r="CF234" s="1"/>
  <c r="AI234"/>
  <c r="CD234" s="1"/>
  <c r="CA234"/>
  <c r="CH234" s="1"/>
  <c r="BP306"/>
  <c r="CG306" s="1"/>
  <c r="AT306"/>
  <c r="CE306" s="1"/>
  <c r="X306"/>
  <c r="CC306" s="1"/>
  <c r="BE306"/>
  <c r="CF306" s="1"/>
  <c r="AI306"/>
  <c r="CD306" s="1"/>
  <c r="CA306"/>
  <c r="CH306" s="1"/>
  <c r="N131" i="4"/>
  <c r="N137"/>
  <c r="N143"/>
  <c r="N149"/>
  <c r="N155"/>
  <c r="N163"/>
  <c r="M163"/>
  <c r="N181"/>
  <c r="M181"/>
  <c r="M191"/>
  <c r="M192"/>
  <c r="M203"/>
  <c r="M204"/>
  <c r="M215"/>
  <c r="M216"/>
  <c r="X4" i="5"/>
  <c r="CC4" s="1"/>
  <c r="BE10"/>
  <c r="CF10" s="1"/>
  <c r="X22"/>
  <c r="CC22" s="1"/>
  <c r="BE28"/>
  <c r="CF28" s="1"/>
  <c r="AT30"/>
  <c r="CE30" s="1"/>
  <c r="X40"/>
  <c r="CC40" s="1"/>
  <c r="AT41"/>
  <c r="CE41" s="1"/>
  <c r="CA44"/>
  <c r="CH44" s="1"/>
  <c r="M51"/>
  <c r="CB51" s="1"/>
  <c r="X53"/>
  <c r="CC53" s="1"/>
  <c r="AT54"/>
  <c r="CE54" s="1"/>
  <c r="X64"/>
  <c r="CC64" s="1"/>
  <c r="AT65"/>
  <c r="CE65" s="1"/>
  <c r="CA68"/>
  <c r="CH68" s="1"/>
  <c r="M75"/>
  <c r="CB75" s="1"/>
  <c r="X77"/>
  <c r="CC77" s="1"/>
  <c r="AT78"/>
  <c r="CE78" s="1"/>
  <c r="AT89"/>
  <c r="CE89" s="1"/>
  <c r="AT90"/>
  <c r="CE90" s="1"/>
  <c r="X94"/>
  <c r="CC94" s="1"/>
  <c r="CA110"/>
  <c r="CH110" s="1"/>
  <c r="CA151"/>
  <c r="CH151" s="1"/>
  <c r="M162"/>
  <c r="CB162" s="1"/>
  <c r="CA182"/>
  <c r="CH182" s="1"/>
  <c r="BE187"/>
  <c r="CF187" s="1"/>
  <c r="CA223"/>
  <c r="CH223" s="1"/>
  <c r="M234"/>
  <c r="CB234" s="1"/>
  <c r="CA254"/>
  <c r="CH254" s="1"/>
  <c r="BE259"/>
  <c r="CF259" s="1"/>
  <c r="CA263"/>
  <c r="CH263" s="1"/>
  <c r="BE285"/>
  <c r="CF285" s="1"/>
  <c r="CA295"/>
  <c r="CH295" s="1"/>
  <c r="M306"/>
  <c r="CB306" s="1"/>
  <c r="BP161"/>
  <c r="CG161" s="1"/>
  <c r="AT161"/>
  <c r="CE161" s="1"/>
  <c r="X161"/>
  <c r="CC161" s="1"/>
  <c r="CA161"/>
  <c r="CH161" s="1"/>
  <c r="BE161"/>
  <c r="CF161" s="1"/>
  <c r="AI161"/>
  <c r="CD161" s="1"/>
  <c r="BP233"/>
  <c r="CG233" s="1"/>
  <c r="AT233"/>
  <c r="CE233" s="1"/>
  <c r="X233"/>
  <c r="CC233" s="1"/>
  <c r="CA233"/>
  <c r="CH233" s="1"/>
  <c r="BE233"/>
  <c r="CF233" s="1"/>
  <c r="AI233"/>
  <c r="CD233" s="1"/>
  <c r="BP305"/>
  <c r="CG305" s="1"/>
  <c r="AT305"/>
  <c r="CE305" s="1"/>
  <c r="X305"/>
  <c r="CC305" s="1"/>
  <c r="CA305"/>
  <c r="CH305" s="1"/>
  <c r="BE305"/>
  <c r="CF305" s="1"/>
  <c r="AI305"/>
  <c r="CD305" s="1"/>
  <c r="M171" i="4"/>
  <c r="CA14" i="5"/>
  <c r="CH14" s="1"/>
  <c r="BE19"/>
  <c r="CF19" s="1"/>
  <c r="BP36"/>
  <c r="CG36" s="1"/>
  <c r="BP60"/>
  <c r="CG60" s="1"/>
  <c r="BP84"/>
  <c r="CG84" s="1"/>
  <c r="AI152"/>
  <c r="CD152" s="1"/>
  <c r="M161"/>
  <c r="CB161" s="1"/>
  <c r="M233"/>
  <c r="CB233" s="1"/>
  <c r="M305"/>
  <c r="CB305" s="1"/>
  <c r="CA9"/>
  <c r="CH9" s="1"/>
  <c r="BE9"/>
  <c r="CF9" s="1"/>
  <c r="AT9"/>
  <c r="CE9" s="1"/>
  <c r="AI9"/>
  <c r="CD9" s="1"/>
  <c r="CA27"/>
  <c r="CH27" s="1"/>
  <c r="BE27"/>
  <c r="CF27" s="1"/>
  <c r="AT27"/>
  <c r="CE27" s="1"/>
  <c r="AI27"/>
  <c r="CD27" s="1"/>
  <c r="BP150"/>
  <c r="CG150" s="1"/>
  <c r="AT150"/>
  <c r="CE150" s="1"/>
  <c r="X150"/>
  <c r="CC150" s="1"/>
  <c r="BE150"/>
  <c r="CF150" s="1"/>
  <c r="AI150"/>
  <c r="CD150" s="1"/>
  <c r="CA150"/>
  <c r="CH150" s="1"/>
  <c r="BP222"/>
  <c r="CG222" s="1"/>
  <c r="AT222"/>
  <c r="CE222" s="1"/>
  <c r="X222"/>
  <c r="CC222" s="1"/>
  <c r="BE222"/>
  <c r="CF222" s="1"/>
  <c r="AI222"/>
  <c r="CD222" s="1"/>
  <c r="CA222"/>
  <c r="CH222" s="1"/>
  <c r="BP294"/>
  <c r="CG294" s="1"/>
  <c r="AT294"/>
  <c r="CE294" s="1"/>
  <c r="X294"/>
  <c r="CC294" s="1"/>
  <c r="BE294"/>
  <c r="CF294" s="1"/>
  <c r="AI294"/>
  <c r="CD294" s="1"/>
  <c r="CA294"/>
  <c r="CH294" s="1"/>
  <c r="N130" i="4"/>
  <c r="N136"/>
  <c r="N142"/>
  <c r="N148"/>
  <c r="N154"/>
  <c r="M161"/>
  <c r="N170"/>
  <c r="M179"/>
  <c r="CA5" i="5"/>
  <c r="CH5" s="1"/>
  <c r="CA7"/>
  <c r="CH7" s="1"/>
  <c r="M9"/>
  <c r="CB9" s="1"/>
  <c r="AT17"/>
  <c r="CE17" s="1"/>
  <c r="CA23"/>
  <c r="CH23" s="1"/>
  <c r="CA25"/>
  <c r="CH25" s="1"/>
  <c r="M27"/>
  <c r="CB27" s="1"/>
  <c r="CA31"/>
  <c r="CH31" s="1"/>
  <c r="BE43"/>
  <c r="CF43" s="1"/>
  <c r="AT53"/>
  <c r="CE53" s="1"/>
  <c r="CA55"/>
  <c r="CH55" s="1"/>
  <c r="BE67"/>
  <c r="CF67" s="1"/>
  <c r="M77"/>
  <c r="CB77" s="1"/>
  <c r="CA79"/>
  <c r="CH79" s="1"/>
  <c r="X88"/>
  <c r="CC88" s="1"/>
  <c r="CA91"/>
  <c r="CH91" s="1"/>
  <c r="M150"/>
  <c r="CB150" s="1"/>
  <c r="CA170"/>
  <c r="CH170" s="1"/>
  <c r="M222"/>
  <c r="CB222" s="1"/>
  <c r="CA242"/>
  <c r="CH242" s="1"/>
  <c r="M294"/>
  <c r="CB294" s="1"/>
  <c r="CA33"/>
  <c r="CH33" s="1"/>
  <c r="BE33"/>
  <c r="CF33" s="1"/>
  <c r="AT33"/>
  <c r="CE33" s="1"/>
  <c r="AI33"/>
  <c r="CD33" s="1"/>
  <c r="CA57"/>
  <c r="CH57" s="1"/>
  <c r="BE57"/>
  <c r="CF57" s="1"/>
  <c r="AT57"/>
  <c r="CE57" s="1"/>
  <c r="AI57"/>
  <c r="CD57" s="1"/>
  <c r="CA81"/>
  <c r="CH81" s="1"/>
  <c r="BE81"/>
  <c r="CF81" s="1"/>
  <c r="AT81"/>
  <c r="CE81" s="1"/>
  <c r="AI81"/>
  <c r="CD81" s="1"/>
  <c r="BP149"/>
  <c r="CG149" s="1"/>
  <c r="AT149"/>
  <c r="CE149" s="1"/>
  <c r="X149"/>
  <c r="CC149" s="1"/>
  <c r="CA149"/>
  <c r="CH149" s="1"/>
  <c r="BE149"/>
  <c r="CF149" s="1"/>
  <c r="AI149"/>
  <c r="CD149" s="1"/>
  <c r="BP221"/>
  <c r="CG221" s="1"/>
  <c r="AT221"/>
  <c r="CE221" s="1"/>
  <c r="X221"/>
  <c r="CC221" s="1"/>
  <c r="CA221"/>
  <c r="CH221" s="1"/>
  <c r="BE221"/>
  <c r="CF221" s="1"/>
  <c r="AI221"/>
  <c r="CD221" s="1"/>
  <c r="BP293"/>
  <c r="CG293" s="1"/>
  <c r="AT293"/>
  <c r="CE293" s="1"/>
  <c r="X293"/>
  <c r="CC293" s="1"/>
  <c r="CA293"/>
  <c r="CH293" s="1"/>
  <c r="BE293"/>
  <c r="CF293" s="1"/>
  <c r="AI293"/>
  <c r="CD293" s="1"/>
  <c r="N189" i="4"/>
  <c r="M189"/>
  <c r="N201"/>
  <c r="M201"/>
  <c r="N213"/>
  <c r="M213"/>
  <c r="N215"/>
  <c r="BE6" i="5"/>
  <c r="CF6" s="1"/>
  <c r="M11"/>
  <c r="CB11" s="1"/>
  <c r="BE24"/>
  <c r="CF24" s="1"/>
  <c r="M29"/>
  <c r="CB29" s="1"/>
  <c r="M33"/>
  <c r="CB33" s="1"/>
  <c r="X35"/>
  <c r="CC35" s="1"/>
  <c r="AT36"/>
  <c r="CE36" s="1"/>
  <c r="X46"/>
  <c r="CC46" s="1"/>
  <c r="AT47"/>
  <c r="CE47" s="1"/>
  <c r="CA50"/>
  <c r="CH50" s="1"/>
  <c r="M57"/>
  <c r="CB57" s="1"/>
  <c r="X59"/>
  <c r="CC59" s="1"/>
  <c r="AT60"/>
  <c r="CE60" s="1"/>
  <c r="X70"/>
  <c r="CC70" s="1"/>
  <c r="AT71"/>
  <c r="CE71" s="1"/>
  <c r="M81"/>
  <c r="CB81" s="1"/>
  <c r="X83"/>
  <c r="CC83" s="1"/>
  <c r="AT84"/>
  <c r="CE84" s="1"/>
  <c r="AT99"/>
  <c r="CE99" s="1"/>
  <c r="AI124"/>
  <c r="CD124" s="1"/>
  <c r="CA136"/>
  <c r="CH136" s="1"/>
  <c r="M149"/>
  <c r="CB149" s="1"/>
  <c r="CA208"/>
  <c r="CH208" s="1"/>
  <c r="M221"/>
  <c r="CB221" s="1"/>
  <c r="CA280"/>
  <c r="CH280" s="1"/>
  <c r="M293"/>
  <c r="CB293" s="1"/>
  <c r="CA93"/>
  <c r="CH93" s="1"/>
  <c r="BE93"/>
  <c r="CF93" s="1"/>
  <c r="AT93"/>
  <c r="CE93" s="1"/>
  <c r="AI93"/>
  <c r="CD93" s="1"/>
  <c r="X93"/>
  <c r="CC93" s="1"/>
  <c r="BP138"/>
  <c r="CG138" s="1"/>
  <c r="AT138"/>
  <c r="CE138" s="1"/>
  <c r="X138"/>
  <c r="CC138" s="1"/>
  <c r="BE138"/>
  <c r="CF138" s="1"/>
  <c r="AI138"/>
  <c r="CD138" s="1"/>
  <c r="CA138"/>
  <c r="CH138" s="1"/>
  <c r="BP210"/>
  <c r="CG210" s="1"/>
  <c r="AT210"/>
  <c r="CE210" s="1"/>
  <c r="X210"/>
  <c r="CC210" s="1"/>
  <c r="BE210"/>
  <c r="CF210" s="1"/>
  <c r="AI210"/>
  <c r="CD210" s="1"/>
  <c r="CA210"/>
  <c r="CH210" s="1"/>
  <c r="BP282"/>
  <c r="CG282" s="1"/>
  <c r="AT282"/>
  <c r="CE282" s="1"/>
  <c r="X282"/>
  <c r="CC282" s="1"/>
  <c r="BE282"/>
  <c r="CF282" s="1"/>
  <c r="AI282"/>
  <c r="CD282" s="1"/>
  <c r="CA282"/>
  <c r="CH282" s="1"/>
  <c r="N169" i="4"/>
  <c r="M169"/>
  <c r="BE4" i="5"/>
  <c r="CF4" s="1"/>
  <c r="X16"/>
  <c r="CC16" s="1"/>
  <c r="BE22"/>
  <c r="CF22" s="1"/>
  <c r="X33"/>
  <c r="CC33" s="1"/>
  <c r="BE40"/>
  <c r="CF40" s="1"/>
  <c r="CA41"/>
  <c r="CH41" s="1"/>
  <c r="BP42"/>
  <c r="CG42" s="1"/>
  <c r="X57"/>
  <c r="CC57" s="1"/>
  <c r="BE64"/>
  <c r="CF64" s="1"/>
  <c r="CA65"/>
  <c r="CH65" s="1"/>
  <c r="BP66"/>
  <c r="CG66" s="1"/>
  <c r="X81"/>
  <c r="CC81" s="1"/>
  <c r="AI83"/>
  <c r="CD83" s="1"/>
  <c r="BE84"/>
  <c r="CF84" s="1"/>
  <c r="BP85"/>
  <c r="CG85" s="1"/>
  <c r="M93"/>
  <c r="CB93" s="1"/>
  <c r="CA127"/>
  <c r="CH127" s="1"/>
  <c r="M138"/>
  <c r="CB138" s="1"/>
  <c r="CA156"/>
  <c r="CH156" s="1"/>
  <c r="CA158"/>
  <c r="CH158" s="1"/>
  <c r="CA199"/>
  <c r="CH199" s="1"/>
  <c r="M210"/>
  <c r="CB210" s="1"/>
  <c r="CA228"/>
  <c r="CH228" s="1"/>
  <c r="CA230"/>
  <c r="CH230" s="1"/>
  <c r="BE235"/>
  <c r="CF235" s="1"/>
  <c r="CA271"/>
  <c r="CH271" s="1"/>
  <c r="CA276"/>
  <c r="CH276" s="1"/>
  <c r="M282"/>
  <c r="CB282" s="1"/>
  <c r="CA302"/>
  <c r="CH302" s="1"/>
  <c r="BE307"/>
  <c r="CF307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06"/>
  <c r="CB106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M310"/>
  <c r="CB310" s="1"/>
  <c r="AT111"/>
  <c r="CE111" s="1"/>
  <c r="X111"/>
  <c r="CC111" s="1"/>
  <c r="BP111"/>
  <c r="CG111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M111"/>
  <c r="CB111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M267"/>
  <c r="CB267" s="1"/>
  <c r="M279"/>
  <c r="CB279" s="1"/>
  <c r="M291"/>
  <c r="CB291" s="1"/>
  <c r="M303"/>
  <c r="CB303" s="1"/>
  <c r="X104"/>
  <c r="CC104" s="1"/>
  <c r="BP104"/>
  <c r="CG104" s="1"/>
  <c r="AT104"/>
  <c r="CE104" s="1"/>
  <c r="X116"/>
  <c r="CC116" s="1"/>
  <c r="BP116"/>
  <c r="CG116" s="1"/>
  <c r="AT116"/>
  <c r="CE116" s="1"/>
  <c r="X128"/>
  <c r="CC128" s="1"/>
  <c r="BP128"/>
  <c r="CG128" s="1"/>
  <c r="AT128"/>
  <c r="CE128" s="1"/>
  <c r="X140"/>
  <c r="CC140" s="1"/>
  <c r="BP140"/>
  <c r="CG140" s="1"/>
  <c r="AT140"/>
  <c r="CE140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N187" i="4"/>
  <c r="N193"/>
  <c r="N199"/>
  <c r="N205"/>
  <c r="N211"/>
  <c r="N217"/>
  <c r="N223"/>
  <c r="BP4" i="5"/>
  <c r="CG4" s="1"/>
  <c r="X8"/>
  <c r="CC8" s="1"/>
  <c r="BP10"/>
  <c r="CG10" s="1"/>
  <c r="X14"/>
  <c r="CC14" s="1"/>
  <c r="BP16"/>
  <c r="CG16" s="1"/>
  <c r="X20"/>
  <c r="CC20" s="1"/>
  <c r="BP22"/>
  <c r="CG22" s="1"/>
  <c r="X26"/>
  <c r="CC26" s="1"/>
  <c r="BP28"/>
  <c r="CG28" s="1"/>
  <c r="X32"/>
  <c r="CC32" s="1"/>
  <c r="BP34"/>
  <c r="CG34" s="1"/>
  <c r="X38"/>
  <c r="CC38" s="1"/>
  <c r="BP40"/>
  <c r="CG40" s="1"/>
  <c r="X44"/>
  <c r="CC44" s="1"/>
  <c r="BP46"/>
  <c r="CG46" s="1"/>
  <c r="X50"/>
  <c r="CC50" s="1"/>
  <c r="BP52"/>
  <c r="CG52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BP88"/>
  <c r="CG88" s="1"/>
  <c r="X92"/>
  <c r="CC92" s="1"/>
  <c r="BP94"/>
  <c r="CG94" s="1"/>
  <c r="M104"/>
  <c r="CB104" s="1"/>
  <c r="BE110"/>
  <c r="CF110" s="1"/>
  <c r="M116"/>
  <c r="CB116" s="1"/>
  <c r="BE122"/>
  <c r="CF122" s="1"/>
  <c r="M128"/>
  <c r="CB128" s="1"/>
  <c r="BE134"/>
  <c r="CF134" s="1"/>
  <c r="M140"/>
  <c r="CB140" s="1"/>
  <c r="BE146"/>
  <c r="CF146" s="1"/>
  <c r="M152"/>
  <c r="CB152" s="1"/>
  <c r="BE158"/>
  <c r="CF158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4"/>
  <c r="CH4" s="1"/>
  <c r="M7"/>
  <c r="CB7" s="1"/>
  <c r="AI8"/>
  <c r="CD8" s="1"/>
  <c r="CA10"/>
  <c r="CH10" s="1"/>
  <c r="M13"/>
  <c r="CB13" s="1"/>
  <c r="AI14"/>
  <c r="CD14" s="1"/>
  <c r="CA16"/>
  <c r="CH16" s="1"/>
  <c r="M19"/>
  <c r="CB19" s="1"/>
  <c r="AI20"/>
  <c r="CD20" s="1"/>
  <c r="CA22"/>
  <c r="CH22" s="1"/>
  <c r="M25"/>
  <c r="CB25" s="1"/>
  <c r="AI26"/>
  <c r="CD26" s="1"/>
  <c r="CA28"/>
  <c r="CH28" s="1"/>
  <c r="M31"/>
  <c r="CB31" s="1"/>
  <c r="AI32"/>
  <c r="CD32" s="1"/>
  <c r="CA34"/>
  <c r="CH34" s="1"/>
  <c r="M37"/>
  <c r="CB37" s="1"/>
  <c r="AI38"/>
  <c r="CD38" s="1"/>
  <c r="CA40"/>
  <c r="CH40" s="1"/>
  <c r="M43"/>
  <c r="CB43" s="1"/>
  <c r="AI44"/>
  <c r="CD44" s="1"/>
  <c r="CA46"/>
  <c r="CH46" s="1"/>
  <c r="M49"/>
  <c r="CB49" s="1"/>
  <c r="AI50"/>
  <c r="CD50" s="1"/>
  <c r="CA52"/>
  <c r="CH52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AI80"/>
  <c r="CD80" s="1"/>
  <c r="CA82"/>
  <c r="CH82" s="1"/>
  <c r="M85"/>
  <c r="CB85" s="1"/>
  <c r="AI86"/>
  <c r="CD86" s="1"/>
  <c r="CA88"/>
  <c r="CH88" s="1"/>
  <c r="M91"/>
  <c r="CB91" s="1"/>
  <c r="AI92"/>
  <c r="CD92" s="1"/>
  <c r="CA94"/>
  <c r="CH94" s="1"/>
  <c r="BE103"/>
  <c r="CF103" s="1"/>
  <c r="AI106"/>
  <c r="CD106" s="1"/>
  <c r="M109"/>
  <c r="CB109" s="1"/>
  <c r="BE115"/>
  <c r="CF115" s="1"/>
  <c r="AI118"/>
  <c r="CD118" s="1"/>
  <c r="M121"/>
  <c r="CB121" s="1"/>
  <c r="BE127"/>
  <c r="CF127" s="1"/>
  <c r="AI130"/>
  <c r="CD130" s="1"/>
  <c r="M133"/>
  <c r="CB133" s="1"/>
  <c r="BE139"/>
  <c r="CF139" s="1"/>
  <c r="AI142"/>
  <c r="CD142" s="1"/>
  <c r="M145"/>
  <c r="CB145" s="1"/>
  <c r="BE151"/>
  <c r="CF151" s="1"/>
  <c r="AI154"/>
  <c r="CD154" s="1"/>
  <c r="M157"/>
  <c r="CB157" s="1"/>
  <c r="BE163"/>
  <c r="CF163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96"/>
  <c r="CG96" s="1"/>
  <c r="AT96"/>
  <c r="CE9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6"/>
  <c r="CB6" s="1"/>
  <c r="AI7"/>
  <c r="CD7" s="1"/>
  <c r="BE8"/>
  <c r="CF8" s="1"/>
  <c r="M12"/>
  <c r="CB12" s="1"/>
  <c r="AI13"/>
  <c r="CD13" s="1"/>
  <c r="BE14"/>
  <c r="CF14" s="1"/>
  <c r="M18"/>
  <c r="CB18" s="1"/>
  <c r="AI19"/>
  <c r="CD19" s="1"/>
  <c r="BE20"/>
  <c r="CF20" s="1"/>
  <c r="M24"/>
  <c r="CB24" s="1"/>
  <c r="AI25"/>
  <c r="CD25" s="1"/>
  <c r="BE26"/>
  <c r="CF26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M54"/>
  <c r="CB54" s="1"/>
  <c r="AI55"/>
  <c r="CD55" s="1"/>
  <c r="BE56"/>
  <c r="CF56" s="1"/>
  <c r="M60"/>
  <c r="CB60" s="1"/>
  <c r="AI61"/>
  <c r="CD61" s="1"/>
  <c r="BE62"/>
  <c r="CF62" s="1"/>
  <c r="M66"/>
  <c r="CB66" s="1"/>
  <c r="AI67"/>
  <c r="CD67" s="1"/>
  <c r="BE68"/>
  <c r="CF68" s="1"/>
  <c r="M72"/>
  <c r="CB72" s="1"/>
  <c r="AI73"/>
  <c r="CD73" s="1"/>
  <c r="BE74"/>
  <c r="CF74" s="1"/>
  <c r="M78"/>
  <c r="CB78" s="1"/>
  <c r="AI79"/>
  <c r="CD79" s="1"/>
  <c r="BE80"/>
  <c r="CF80" s="1"/>
  <c r="M84"/>
  <c r="CB84" s="1"/>
  <c r="AI85"/>
  <c r="CD85" s="1"/>
  <c r="BE86"/>
  <c r="CF86" s="1"/>
  <c r="M90"/>
  <c r="CB90" s="1"/>
  <c r="AI91"/>
  <c r="CD91" s="1"/>
  <c r="BE92"/>
  <c r="CF92" s="1"/>
  <c r="M96"/>
  <c r="CB96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M203"/>
  <c r="CB203" s="1"/>
  <c r="M215"/>
  <c r="CB215" s="1"/>
  <c r="M227"/>
  <c r="CB227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N161" i="4"/>
  <c r="N167"/>
  <c r="N173"/>
  <c r="N179"/>
  <c r="N185"/>
  <c r="N191"/>
  <c r="N197"/>
  <c r="N203"/>
  <c r="N209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X54"/>
  <c r="CC54" s="1"/>
  <c r="AT55"/>
  <c r="CE55" s="1"/>
  <c r="BP56"/>
  <c r="CG56" s="1"/>
  <c r="X60"/>
  <c r="CC60" s="1"/>
  <c r="AT61"/>
  <c r="CE61" s="1"/>
  <c r="BP62"/>
  <c r="CG62" s="1"/>
  <c r="X66"/>
  <c r="CC66" s="1"/>
  <c r="AT67"/>
  <c r="CE67" s="1"/>
  <c r="BP68"/>
  <c r="CG68" s="1"/>
  <c r="X72"/>
  <c r="CC72" s="1"/>
  <c r="AT73"/>
  <c r="CE73" s="1"/>
  <c r="BP74"/>
  <c r="CG74" s="1"/>
  <c r="X78"/>
  <c r="CC78" s="1"/>
  <c r="AT79"/>
  <c r="CE79" s="1"/>
  <c r="BP80"/>
  <c r="CG80" s="1"/>
  <c r="X84"/>
  <c r="CC84" s="1"/>
  <c r="AT85"/>
  <c r="CE85" s="1"/>
  <c r="BP86"/>
  <c r="CG86" s="1"/>
  <c r="X90"/>
  <c r="CC90" s="1"/>
  <c r="AT91"/>
  <c r="CE91" s="1"/>
  <c r="BP92"/>
  <c r="CG92" s="1"/>
  <c r="X96"/>
  <c r="CC96" s="1"/>
  <c r="BE106"/>
  <c r="CF106" s="1"/>
  <c r="AI109"/>
  <c r="CD109" s="1"/>
  <c r="M112"/>
  <c r="CB112" s="1"/>
  <c r="BE118"/>
  <c r="CF118" s="1"/>
  <c r="AI121"/>
  <c r="CD121" s="1"/>
  <c r="M124"/>
  <c r="CB124" s="1"/>
  <c r="BE130"/>
  <c r="CF130" s="1"/>
  <c r="AI133"/>
  <c r="CD133" s="1"/>
  <c r="M136"/>
  <c r="CB136" s="1"/>
  <c r="BE142"/>
  <c r="CF142" s="1"/>
  <c r="AI145"/>
  <c r="CD145" s="1"/>
  <c r="M148"/>
  <c r="CB148" s="1"/>
  <c r="BE154"/>
  <c r="CF154" s="1"/>
  <c r="AI157"/>
  <c r="CD157" s="1"/>
  <c r="M160"/>
  <c r="CB160" s="1"/>
  <c r="BE166"/>
  <c r="CF166" s="1"/>
  <c r="AI169"/>
  <c r="CD169" s="1"/>
  <c r="M172"/>
  <c r="CB172" s="1"/>
  <c r="BE178"/>
  <c r="CF178" s="1"/>
  <c r="AI181"/>
  <c r="CD181" s="1"/>
  <c r="M184"/>
  <c r="CB184" s="1"/>
  <c r="BE190"/>
  <c r="CF190" s="1"/>
  <c r="AI193"/>
  <c r="CD193" s="1"/>
  <c r="M196"/>
  <c r="CB196" s="1"/>
  <c r="BE202"/>
  <c r="CF202" s="1"/>
  <c r="AI205"/>
  <c r="CD205" s="1"/>
  <c r="M208"/>
  <c r="CB208" s="1"/>
  <c r="BE214"/>
  <c r="CF214" s="1"/>
  <c r="AI217"/>
  <c r="CD217" s="1"/>
  <c r="M220"/>
  <c r="CB220" s="1"/>
  <c r="BE226"/>
  <c r="CF226" s="1"/>
  <c r="AI229"/>
  <c r="CD229" s="1"/>
  <c r="M232"/>
  <c r="CB232" s="1"/>
  <c r="BE238"/>
  <c r="CF238" s="1"/>
  <c r="AI241"/>
  <c r="CD241" s="1"/>
  <c r="M244"/>
  <c r="CB244" s="1"/>
  <c r="BE250"/>
  <c r="CF250" s="1"/>
  <c r="AI253"/>
  <c r="CD253" s="1"/>
  <c r="M256"/>
  <c r="CB256" s="1"/>
  <c r="BE262"/>
  <c r="CF262" s="1"/>
  <c r="AI265"/>
  <c r="CD265" s="1"/>
  <c r="M268"/>
  <c r="CB268" s="1"/>
  <c r="BE274"/>
  <c r="CF274" s="1"/>
  <c r="AI277"/>
  <c r="CD277" s="1"/>
  <c r="M280"/>
  <c r="CB280" s="1"/>
  <c r="BE286"/>
  <c r="CF286" s="1"/>
  <c r="AI289"/>
  <c r="CD289" s="1"/>
  <c r="M292"/>
  <c r="CB292" s="1"/>
  <c r="BE298"/>
  <c r="CF298" s="1"/>
  <c r="AI301"/>
  <c r="CD301" s="1"/>
  <c r="M304"/>
  <c r="CB304" s="1"/>
  <c r="BE310"/>
  <c r="CF310" s="1"/>
  <c r="AI313"/>
  <c r="CD313" s="1"/>
  <c r="BP100"/>
  <c r="CG100" s="1"/>
  <c r="X100"/>
  <c r="CC100" s="1"/>
  <c r="AT105"/>
  <c r="CE105" s="1"/>
  <c r="X105"/>
  <c r="CC105" s="1"/>
  <c r="BP105"/>
  <c r="CG105" s="1"/>
  <c r="AT117"/>
  <c r="CE117" s="1"/>
  <c r="X117"/>
  <c r="CC117" s="1"/>
  <c r="BP117"/>
  <c r="CG117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M5"/>
  <c r="CB5" s="1"/>
  <c r="AI6"/>
  <c r="CD6" s="1"/>
  <c r="AI12"/>
  <c r="CD12" s="1"/>
  <c r="AI18"/>
  <c r="CD18" s="1"/>
  <c r="AI24"/>
  <c r="CD24" s="1"/>
  <c r="AI30"/>
  <c r="CD30" s="1"/>
  <c r="AI36"/>
  <c r="CD36" s="1"/>
  <c r="AI42"/>
  <c r="CD42" s="1"/>
  <c r="AI48"/>
  <c r="CD48" s="1"/>
  <c r="M53"/>
  <c r="CB53" s="1"/>
  <c r="AI54"/>
  <c r="CD54" s="1"/>
  <c r="M59"/>
  <c r="CB59" s="1"/>
  <c r="AI60"/>
  <c r="CD60" s="1"/>
  <c r="AI66"/>
  <c r="CD66" s="1"/>
  <c r="AI72"/>
  <c r="CD72" s="1"/>
  <c r="AI78"/>
  <c r="CD78" s="1"/>
  <c r="M83"/>
  <c r="CB83" s="1"/>
  <c r="AI84"/>
  <c r="CD84" s="1"/>
  <c r="M89"/>
  <c r="CB89" s="1"/>
  <c r="AI90"/>
  <c r="CD90" s="1"/>
  <c r="M95"/>
  <c r="CB95" s="1"/>
  <c r="AI96"/>
  <c r="CD96" s="1"/>
  <c r="BP97"/>
  <c r="CG97" s="1"/>
  <c r="M97"/>
  <c r="CB97" s="1"/>
  <c r="BP98"/>
  <c r="CG98" s="1"/>
  <c r="M98"/>
  <c r="CB98" s="1"/>
  <c r="M99"/>
  <c r="CB99" s="1"/>
  <c r="M100"/>
  <c r="CB100" s="1"/>
  <c r="M105"/>
  <c r="CB105" s="1"/>
  <c r="BE111"/>
  <c r="CF111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M213"/>
  <c r="CB213" s="1"/>
  <c r="BE219"/>
  <c r="CF219" s="1"/>
  <c r="M225"/>
  <c r="CB225" s="1"/>
  <c r="BE231"/>
  <c r="CF231" s="1"/>
  <c r="M237"/>
  <c r="CB237" s="1"/>
  <c r="BE243"/>
  <c r="CF243" s="1"/>
  <c r="M249"/>
  <c r="CB249" s="1"/>
  <c r="BE255"/>
  <c r="CF255" s="1"/>
  <c r="M261"/>
  <c r="CB261" s="1"/>
  <c r="BE267"/>
  <c r="CF267" s="1"/>
  <c r="M273"/>
  <c r="CB273" s="1"/>
  <c r="BE279"/>
  <c r="CF279" s="1"/>
  <c r="M285"/>
  <c r="CB285" s="1"/>
  <c r="M297"/>
  <c r="CB297" s="1"/>
  <c r="M309"/>
  <c r="CB309" s="1"/>
  <c r="X110"/>
  <c r="CC110" s="1"/>
  <c r="BP110"/>
  <c r="CG110" s="1"/>
  <c r="AT110"/>
  <c r="CE110" s="1"/>
  <c r="X122"/>
  <c r="CC122" s="1"/>
  <c r="BP122"/>
  <c r="CG122" s="1"/>
  <c r="AT122"/>
  <c r="CE122" s="1"/>
  <c r="X134"/>
  <c r="CC134" s="1"/>
  <c r="BP134"/>
  <c r="CG134" s="1"/>
  <c r="AT134"/>
  <c r="CE134" s="1"/>
  <c r="X146"/>
  <c r="CC146" s="1"/>
  <c r="BP146"/>
  <c r="CG146" s="1"/>
  <c r="AT146"/>
  <c r="CE146" s="1"/>
  <c r="X158"/>
  <c r="CC158" s="1"/>
  <c r="BP158"/>
  <c r="CG158" s="1"/>
  <c r="AT158"/>
  <c r="CE158" s="1"/>
  <c r="X170"/>
  <c r="CC170" s="1"/>
  <c r="BP170"/>
  <c r="CG170" s="1"/>
  <c r="AT170"/>
  <c r="CE170" s="1"/>
  <c r="X182"/>
  <c r="CC182" s="1"/>
  <c r="BP182"/>
  <c r="CG182" s="1"/>
  <c r="AT182"/>
  <c r="CE182" s="1"/>
  <c r="X194"/>
  <c r="CC194" s="1"/>
  <c r="BP194"/>
  <c r="CG194" s="1"/>
  <c r="AT194"/>
  <c r="CE194" s="1"/>
  <c r="X206"/>
  <c r="CC206" s="1"/>
  <c r="BP206"/>
  <c r="CG206" s="1"/>
  <c r="AT206"/>
  <c r="CE206" s="1"/>
  <c r="X218"/>
  <c r="CC218" s="1"/>
  <c r="BP218"/>
  <c r="CG218" s="1"/>
  <c r="AT218"/>
  <c r="CE218" s="1"/>
  <c r="X230"/>
  <c r="CC230" s="1"/>
  <c r="BP230"/>
  <c r="CG230" s="1"/>
  <c r="AT230"/>
  <c r="CE230" s="1"/>
  <c r="X242"/>
  <c r="CC242" s="1"/>
  <c r="BP242"/>
  <c r="CG242" s="1"/>
  <c r="AT242"/>
  <c r="CE242" s="1"/>
  <c r="X254"/>
  <c r="CC254" s="1"/>
  <c r="BP254"/>
  <c r="CG254" s="1"/>
  <c r="AT254"/>
  <c r="CE254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3"/>
  <c r="CB103" s="1"/>
  <c r="CA106"/>
  <c r="CH106" s="1"/>
  <c r="M115"/>
  <c r="CB115" s="1"/>
  <c r="CA118"/>
  <c r="CH118" s="1"/>
  <c r="M127"/>
  <c r="CB127" s="1"/>
  <c r="CA130"/>
  <c r="CH130" s="1"/>
  <c r="M139"/>
  <c r="CB139" s="1"/>
  <c r="CA142"/>
  <c r="CH142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BE96"/>
  <c r="CF96" s="1"/>
  <c r="AT97"/>
  <c r="CE97" s="1"/>
  <c r="AT98"/>
  <c r="CE98" s="1"/>
  <c r="AI100"/>
  <c r="CD100" s="1"/>
  <c r="AI105"/>
  <c r="CD105" s="1"/>
  <c r="M108"/>
  <c r="CB108" s="1"/>
  <c r="CA111"/>
  <c r="CH111" s="1"/>
  <c r="AI117"/>
  <c r="CD117" s="1"/>
  <c r="M120"/>
  <c r="CB120" s="1"/>
  <c r="CA123"/>
  <c r="CH123" s="1"/>
  <c r="AI129"/>
  <c r="CD129" s="1"/>
  <c r="M132"/>
  <c r="CB132" s="1"/>
  <c r="CA135"/>
  <c r="CH135" s="1"/>
  <c r="AI141"/>
  <c r="CD141" s="1"/>
  <c r="M144"/>
  <c r="CB144" s="1"/>
  <c r="CA147"/>
  <c r="CH147" s="1"/>
  <c r="AI153"/>
  <c r="CD153" s="1"/>
  <c r="M156"/>
  <c r="CB156" s="1"/>
  <c r="CA159"/>
  <c r="CH159" s="1"/>
  <c r="AI165"/>
  <c r="CD165" s="1"/>
  <c r="M168"/>
  <c r="CB168" s="1"/>
  <c r="CA171"/>
  <c r="CH171" s="1"/>
  <c r="AI177"/>
  <c r="CD177" s="1"/>
  <c r="M180"/>
  <c r="CB180" s="1"/>
  <c r="CA183"/>
  <c r="CH183" s="1"/>
  <c r="AI189"/>
  <c r="CD189" s="1"/>
  <c r="M192"/>
  <c r="CB192" s="1"/>
  <c r="CA195"/>
  <c r="CH195" s="1"/>
  <c r="AI201"/>
  <c r="CD201" s="1"/>
  <c r="M204"/>
  <c r="CB204" s="1"/>
  <c r="CA207"/>
  <c r="CH207" s="1"/>
  <c r="AI213"/>
  <c r="CD213" s="1"/>
  <c r="M216"/>
  <c r="CB216" s="1"/>
  <c r="CA219"/>
  <c r="CH219" s="1"/>
  <c r="AI225"/>
  <c r="CD225" s="1"/>
  <c r="M228"/>
  <c r="CB228" s="1"/>
  <c r="CA231"/>
  <c r="CH231" s="1"/>
  <c r="AI237"/>
  <c r="CD237" s="1"/>
  <c r="M240"/>
  <c r="CB240" s="1"/>
  <c r="CA243"/>
  <c r="CH243" s="1"/>
  <c r="AI249"/>
  <c r="CD249" s="1"/>
  <c r="M252"/>
  <c r="CB252" s="1"/>
  <c r="CA255"/>
  <c r="CH255" s="1"/>
  <c r="AI261"/>
  <c r="CD261" s="1"/>
  <c r="M264"/>
  <c r="CB264" s="1"/>
  <c r="CA267"/>
  <c r="CH267" s="1"/>
  <c r="AI273"/>
  <c r="CD273" s="1"/>
  <c r="M276"/>
  <c r="CB276" s="1"/>
  <c r="CA279"/>
  <c r="CH279" s="1"/>
  <c r="AI285"/>
  <c r="CD285" s="1"/>
  <c r="M288"/>
  <c r="CB288" s="1"/>
  <c r="CA291"/>
  <c r="CH291" s="1"/>
  <c r="AI297"/>
  <c r="CD297" s="1"/>
  <c r="M300"/>
  <c r="CB300" s="1"/>
  <c r="CA303"/>
  <c r="CH303" s="1"/>
  <c r="AI309"/>
  <c r="CD309" s="1"/>
  <c r="M312"/>
  <c r="CB312" s="1"/>
  <c r="CV87" i="2" l="1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64" i="2"/>
  <c r="I64" i="1" s="1"/>
  <c r="K64" s="1"/>
  <c r="CV52" i="2"/>
  <c r="I52" i="1" s="1"/>
  <c r="K52" s="1"/>
  <c r="CV46" i="2"/>
  <c r="I46" i="1" s="1"/>
  <c r="K46" s="1"/>
  <c r="CV43" i="2"/>
  <c r="I43" i="1" s="1"/>
  <c r="K43" s="1"/>
  <c r="CV25" i="2"/>
  <c r="I25" i="1" s="1"/>
  <c r="K25" s="1"/>
  <c r="CV20" i="2"/>
  <c r="I20" i="1" s="1"/>
  <c r="K20" s="1"/>
  <c r="CV60" i="2"/>
  <c r="I60" i="1" s="1"/>
  <c r="K60" s="1"/>
  <c r="CV53" i="2"/>
  <c r="I53" i="1" s="1"/>
  <c r="K53" s="1"/>
  <c r="CV30" i="2"/>
  <c r="I30" i="1" s="1"/>
  <c r="K30" s="1"/>
  <c r="CV27" i="2"/>
  <c r="I27" i="1" s="1"/>
  <c r="K27" s="1"/>
  <c r="CV18" i="2"/>
  <c r="I18" i="1" s="1"/>
  <c r="K18" s="1"/>
  <c r="CV13" i="2"/>
  <c r="I13" i="1" s="1"/>
  <c r="K13" s="1"/>
  <c r="CV55" i="2"/>
  <c r="I55" i="1" s="1"/>
  <c r="K55" s="1"/>
  <c r="CV15" i="2"/>
  <c r="I15" i="1" s="1"/>
  <c r="K15" s="1"/>
  <c r="CV33" i="2"/>
  <c r="I33" i="1" s="1"/>
  <c r="K33" s="1"/>
  <c r="CV47" i="2"/>
  <c r="I47" i="1" s="1"/>
  <c r="K47" s="1"/>
  <c r="CV75" i="2"/>
  <c r="I75" i="1" s="1"/>
  <c r="K75" s="1"/>
  <c r="CV72" i="2"/>
  <c r="I72" i="1" s="1"/>
  <c r="K72" s="1"/>
  <c r="CV69" i="2"/>
  <c r="I69" i="1" s="1"/>
  <c r="K69" s="1"/>
  <c r="CV50" i="2"/>
  <c r="I50" i="1" s="1"/>
  <c r="K50" s="1"/>
  <c r="CV44" i="2"/>
  <c r="I44" i="1" s="1"/>
  <c r="K44" s="1"/>
  <c r="CV41" i="2"/>
  <c r="I41" i="1" s="1"/>
  <c r="K41" s="1"/>
  <c r="CV38" i="2"/>
  <c r="I38" i="1" s="1"/>
  <c r="K38" s="1"/>
  <c r="CV22" i="2"/>
  <c r="I22" i="1" s="1"/>
  <c r="K22" s="1"/>
  <c r="CV6" i="2"/>
  <c r="I6" i="1" s="1"/>
  <c r="K6" s="1"/>
  <c r="CV4" i="2"/>
  <c r="I4" i="1" s="1"/>
  <c r="K4" s="1"/>
  <c r="CV66" i="2"/>
  <c r="I66" i="1" s="1"/>
  <c r="K66" s="1"/>
  <c r="CV57" i="2"/>
  <c r="I57" i="1" s="1"/>
  <c r="K57" s="1"/>
  <c r="CV32" i="2"/>
  <c r="I32" i="1" s="1"/>
  <c r="K32" s="1"/>
  <c r="CV29" i="2"/>
  <c r="I29" i="1" s="1"/>
  <c r="K29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59" i="2"/>
  <c r="I59" i="1" s="1"/>
  <c r="K59" s="1"/>
  <c r="CV24" i="2"/>
  <c r="I24" i="1" s="1"/>
  <c r="K24" s="1"/>
  <c r="CV26" i="2"/>
  <c r="I26" i="1" s="1"/>
  <c r="K26" s="1"/>
  <c r="CV74" i="2"/>
  <c r="I74" i="1" s="1"/>
  <c r="K74" s="1"/>
  <c r="CV71" i="2"/>
  <c r="I71" i="1" s="1"/>
  <c r="K71" s="1"/>
  <c r="CV68" i="2"/>
  <c r="I68" i="1" s="1"/>
  <c r="K68" s="1"/>
  <c r="CV61" i="2"/>
  <c r="I61" i="1" s="1"/>
  <c r="K61" s="1"/>
  <c r="CV54" i="2"/>
  <c r="I54" i="1" s="1"/>
  <c r="K54" s="1"/>
  <c r="CV49" i="2"/>
  <c r="I49" i="1" s="1"/>
  <c r="K49" s="1"/>
  <c r="CV40" i="2"/>
  <c r="I40" i="1" s="1"/>
  <c r="K40" s="1"/>
  <c r="CV19" i="2"/>
  <c r="I19" i="1" s="1"/>
  <c r="K19" s="1"/>
  <c r="CV14" i="2"/>
  <c r="I14" i="1" s="1"/>
  <c r="K14" s="1"/>
  <c r="CV63" i="2"/>
  <c r="I63" i="1" s="1"/>
  <c r="K63" s="1"/>
  <c r="CV31" i="2"/>
  <c r="I31" i="1" s="1"/>
  <c r="K31" s="1"/>
  <c r="CV28" i="2"/>
  <c r="I28" i="1" s="1"/>
  <c r="K28" s="1"/>
  <c r="CV21" i="2"/>
  <c r="I21" i="1" s="1"/>
  <c r="K21" s="1"/>
  <c r="CV65" i="2"/>
  <c r="I65" i="1" s="1"/>
  <c r="K65" s="1"/>
  <c r="CV56" i="2"/>
  <c r="I56" i="1" s="1"/>
  <c r="K56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11" i="2"/>
  <c r="I11" i="1" s="1"/>
  <c r="K11" s="1"/>
  <c r="CV9" i="2"/>
  <c r="I9" i="1" s="1"/>
  <c r="K9" s="1"/>
  <c r="CV76" i="2"/>
  <c r="I76" i="1" s="1"/>
  <c r="K76" s="1"/>
  <c r="CV67" i="2"/>
  <c r="I67" i="1" s="1"/>
  <c r="K67" s="1"/>
  <c r="CV51" i="2"/>
  <c r="I51" i="1" s="1"/>
  <c r="K51" s="1"/>
  <c r="CV45" i="2"/>
  <c r="I45" i="1" s="1"/>
  <c r="K45" s="1"/>
  <c r="CV42" i="2"/>
  <c r="I42" i="1" s="1"/>
  <c r="K42" s="1"/>
  <c r="CV36" i="2"/>
  <c r="I36" i="1" s="1"/>
  <c r="K36" s="1"/>
  <c r="CV73" i="2"/>
  <c r="I73" i="1" s="1"/>
  <c r="K73" s="1"/>
  <c r="CV70" i="2"/>
  <c r="I70" i="1" s="1"/>
  <c r="K70" s="1"/>
  <c r="CV48" i="2"/>
  <c r="I48" i="1" s="1"/>
  <c r="K48" s="1"/>
  <c r="CV39" i="2"/>
  <c r="I39" i="1" s="1"/>
  <c r="K3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<sst xmlns="http://schemas.openxmlformats.org/spreadsheetml/2006/main" count="5784" uniqueCount="923">
  <si>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</si>
  <si>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</si>
  <si>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</si>
  <si>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</si>
  <si>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</si>
  <si>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</si>
  <si>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</si>
  <si>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</si>
  <si>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</si>
  <si>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</si>
  <si>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</si>
  <si>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</si>
  <si>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</si>
  <si>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</si>
  <si>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</si>
  <si>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</si>
  <si>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</si>
  <si>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</si>
  <si>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</si>
  <si>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</si>
  <si>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</si>
  <si>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</si>
  <si>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</si>
  <si>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</si>
  <si>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</si>
  <si>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</si>
  <si>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</si>
  <si>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</si>
  <si>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</si>
  <si>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</si>
  <si>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</si>
  <si>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</si>
  <si>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</si>
  <si>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</si>
  <si>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</si>
  <si>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</si>
  <si>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</si>
  <si>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</si>
  <si>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</si>
  <si>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</si>
  <si>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</si>
  <si>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</si>
  <si>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</si>
  <si>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</si>
  <si>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</si>
  <si>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</si>
  <si>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</si>
  <si>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</si>
  <si>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</si>
  <si>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</si>
  <si>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</si>
  <si>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</si>
  <si>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</si>
  <si>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</si>
  <si>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</si>
  <si>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</si>
  <si>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</si>
  <si>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</si>
  <si>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</si>
  <si>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</si>
  <si>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</si>
  <si>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</si>
  <si>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</si>
  <si>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</si>
  <si>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</si>
  <si>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</si>
  <si>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</si>
  <si>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</si>
  <si>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</si>
  <si>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</si>
  <si>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</si>
  <si>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</si>
  <si>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</si>
  <si>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</si>
  <si>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</si>
  <si>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</si>
  <si>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</si>
  <si>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</si>
  <si>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</si>
  <si>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</si>
  <si>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</si>
  <si>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</si>
  <si>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</si>
  <si>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</si>
  <si>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</si>
  <si>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</si>
  <si>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</si>
  <si>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</si>
  <si>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</si>
  <si>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</si>
  <si>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</si>
  <si>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</si>
  <si>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</si>
  <si>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</si>
  <si>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</si>
  <si>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</si>
  <si>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</si>
  <si>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</si>
  <si>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</si>
  <si>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</si>
  <si>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</si>
  <si>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</si>
  <si>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</si>
  <si>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</si>
  <si>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</si>
  <si>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</si>
  <si>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</si>
  <si>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</si>
  <si>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</si>
  <si>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</si>
  <si>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</si>
  <si>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</si>
  <si>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</si>
  <si>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</si>
  <si>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</si>
  <si>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</si>
  <si>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</si>
  <si>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</si>
  <si>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</si>
  <si>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</si>
  <si>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</si>
  <si>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</si>
  <si>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</si>
  <si>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</si>
  <si>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</si>
  <si>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</si>
  <si>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</si>
  <si>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</si>
  <si>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</si>
  <si>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</si>
  <si>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</si>
  <si>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</si>
  <si>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</si>
  <si>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</si>
  <si>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</si>
  <si>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</si>
  <si>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</si>
  <si>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</si>
  <si>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</si>
  <si>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</si>
  <si>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</si>
  <si>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</si>
  <si>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</si>
  <si>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</si>
  <si>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</si>
  <si>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</si>
  <si>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</si>
  <si>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</si>
  <si>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</si>
  <si>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</si>
  <si>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</si>
  <si>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</si>
  <si>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</si>
  <si>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</si>
  <si>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</si>
  <si>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</si>
  <si>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</si>
  <si>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</si>
  <si>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</si>
  <si>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</si>
  <si>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</si>
  <si>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</si>
  <si>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</si>
  <si>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</si>
  <si>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</si>
  <si>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</si>
  <si>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</si>
  <si>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</si>
  <si>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</si>
  <si>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</si>
  <si>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</si>
  <si>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</si>
  <si>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</si>
  <si>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</si>
  <si>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</si>
  <si>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</si>
  <si>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</si>
  <si>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</si>
  <si>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</si>
  <si>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</si>
  <si>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</si>
  <si>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</si>
  <si>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</si>
  <si>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</si>
  <si>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</si>
  <si>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</si>
  <si>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</si>
  <si>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</si>
  <si>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</si>
  <si>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</si>
  <si>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</si>
  <si>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</si>
  <si>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</si>
  <si>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</si>
  <si>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</si>
  <si>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</si>
  <si>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</si>
  <si>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</si>
  <si>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</si>
  <si>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</si>
  <si>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</si>
  <si>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</si>
  <si>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</si>
  <si>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</si>
  <si>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</si>
  <si>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</si>
  <si>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</si>
  <si>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</si>
  <si>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</si>
  <si>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</si>
  <si>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</si>
  <si>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</si>
  <si>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</si>
  <si>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</si>
  <si>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</si>
  <si>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</si>
  <si>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</si>
  <si>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</si>
  <si>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</si>
  <si>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</si>
  <si>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</si>
  <si>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</si>
  <si>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</si>
  <si>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</si>
  <si>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</si>
  <si>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</si>
  <si>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</si>
  <si>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</si>
  <si>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</si>
  <si>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</si>
  <si>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</si>
  <si>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</si>
  <si>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</si>
  <si>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</si>
  <si>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</si>
  <si>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</si>
  <si>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</si>
  <si>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</si>
  <si>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</si>
  <si>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</si>
  <si>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</si>
  <si>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</si>
  <si>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</si>
  <si>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</si>
  <si>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</si>
  <si>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</si>
  <si>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</si>
  <si>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</si>
  <si>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</si>
  <si>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</si>
  <si>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</si>
  <si>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</si>
  <si>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</si>
  <si>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</si>
  <si>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</si>
  <si>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</si>
  <si>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</si>
  <si>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</si>
  <si>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</si>
  <si>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</si>
  <si>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</si>
  <si>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</si>
  <si>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</si>
  <si>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</si>
  <si>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</si>
  <si>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</si>
  <si>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</si>
  <si>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</si>
  <si>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</si>
  <si>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</si>
  <si>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</si>
  <si>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</si>
  <si>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</si>
  <si>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</si>
  <si>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</si>
  <si>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</si>
  <si>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</si>
  <si>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</si>
  <si>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</si>
  <si>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</si>
  <si>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</si>
  <si>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</si>
  <si>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</si>
  <si>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</si>
  <si>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</si>
  <si>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</si>
  <si>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</si>
  <si>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</si>
  <si>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</si>
  <si>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</si>
  <si>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</si>
  <si>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</si>
  <si>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</si>
  <si>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</si>
  <si>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</si>
  <si>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</si>
  <si>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</si>
  <si>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</si>
  <si>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</si>
  <si>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</si>
  <si>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</si>
  <si>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</si>
  <si>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</si>
  <si>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</si>
  <si>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</si>
  <si>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</si>
  <si>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</si>
  <si>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</si>
  <si>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</si>
  <si>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</si>
  <si>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</si>
  <si>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</si>
  <si>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</si>
  <si>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</si>
  <si>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</si>
  <si>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</si>
  <si>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</si>
  <si>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</si>
  <si>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</si>
  <si>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</si>
  <si>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</si>
  <si>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</si>
  <si>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</si>
  <si>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</si>
  <si>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</si>
  <si>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</si>
  <si>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</si>
  <si>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</si>
  <si>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</si>
  <si>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</si>
  <si>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</si>
  <si>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</si>
  <si>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</si>
  <si>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</si>
  <si>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</si>
  <si>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</si>
  <si>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</si>
  <si>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</si>
  <si>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</si>
  <si>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</si>
  <si>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</si>
  <si>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</si>
  <si>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</si>
  <si>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</si>
  <si>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</si>
  <si>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</si>
  <si>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</si>
  <si>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</si>
  <si>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</si>
  <si>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</si>
  <si>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</si>
  <si>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</si>
  <si>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</si>
  <si>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</si>
  <si>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</si>
  <si>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</si>
  <si>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</si>
  <si>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</si>
  <si>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</si>
  <si>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</si>
  <si>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</si>
  <si>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</si>
  <si>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</si>
  <si>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</si>
  <si>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</si>
  <si>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</si>
  <si>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</si>
  <si>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</si>
  <si>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</si>
  <si>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</si>
  <si>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</si>
  <si>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</si>
  <si>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</si>
  <si>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</si>
  <si>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</si>
  <si>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</si>
  <si>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</si>
  <si>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</si>
  <si>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</si>
  <si>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</si>
  <si>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</si>
  <si>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</si>
  <si>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</si>
  <si>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</si>
  <si>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</si>
  <si>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</si>
  <si>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</si>
  <si>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</si>
  <si>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</si>
  <si>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</si>
  <si>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</si>
  <si>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</si>
  <si>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</si>
  <si>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</si>
  <si>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</si>
  <si>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</si>
  <si>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</si>
  <si>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</si>
  <si>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</si>
  <si>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</si>
  <si>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</si>
  <si>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</si>
  <si>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</si>
  <si>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</si>
  <si>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</si>
  <si>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</si>
  <si>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</si>
  <si>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</si>
  <si>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</si>
  <si>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</si>
  <si>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</si>
  <si>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</si>
  <si>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</si>
  <si>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</si>
  <si>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</si>
  <si>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</si>
  <si>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</si>
  <si>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</si>
  <si>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</si>
  <si>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</si>
  <si>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</si>
  <si>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</si>
  <si>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</si>
  <si>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</si>
  <si>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</si>
  <si>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</si>
  <si>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</si>
  <si>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</si>
  <si>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</si>
  <si>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</si>
  <si>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</si>
  <si>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</si>
  <si>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</si>
  <si>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</si>
  <si>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</si>
  <si>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</si>
  <si>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</si>
  <si>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</si>
  <si>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</si>
  <si>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</si>
  <si>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</si>
  <si>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</si>
  <si>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</si>
  <si>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</si>
  <si>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</si>
  <si>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</si>
  <si>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</si>
  <si>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</si>
  <si>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</si>
  <si>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</si>
  <si>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</si>
  <si>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</si>
  <si>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</si>
  <si>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</si>
  <si>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</si>
  <si>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</si>
  <si>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</si>
  <si>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</si>
  <si>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</si>
  <si>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</si>
  <si>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</si>
  <si>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</si>
  <si>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</si>
  <si>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</si>
  <si>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</si>
  <si>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</si>
  <si>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</si>
  <si>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</si>
  <si>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</si>
  <si>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</si>
  <si>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</si>
  <si>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</si>
  <si>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</si>
  <si>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</si>
  <si>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</si>
  <si>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</si>
  <si>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</si>
  <si>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</si>
  <si>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</si>
  <si>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</si>
  <si>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</si>
  <si>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</si>
  <si>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</si>
  <si>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</si>
  <si>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</si>
  <si>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</si>
  <si>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</si>
  <si>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</si>
  <si>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</si>
  <si>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</si>
  <si>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</si>
  <si>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</si>
  <si>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</si>
  <si>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</si>
  <si>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</si>
  <si>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</si>
  <si>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</si>
  <si>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</si>
  <si>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</si>
  <si>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</si>
  <si>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</si>
  <si>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</si>
  <si>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</si>
  <si>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</si>
  <si>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</si>
  <si>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</si>
  <si>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</si>
  <si>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</si>
  <si>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</si>
  <si>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</si>
  <si>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</si>
  <si>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</si>
  <si>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</si>
  <si>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</si>
  <si>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</si>
  <si>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</si>
  <si>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</si>
  <si>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</si>
  <si>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</si>
  <si>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</si>
  <si>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</si>
  <si>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</si>
  <si>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</si>
  <si>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</si>
  <si>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</si>
  <si>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</si>
  <si>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</si>
  <si>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</si>
  <si>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</si>
  <si>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</si>
  <si>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</si>
  <si>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</si>
  <si>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</si>
  <si>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</si>
  <si>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</si>
  <si>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</si>
  <si>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</si>
  <si>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</si>
  <si>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</si>
  <si>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</si>
  <si>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</si>
  <si>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</si>
  <si>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</si>
  <si>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</si>
  <si>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</si>
  <si>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</si>
  <si>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</si>
  <si>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</si>
  <si>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</si>
  <si>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</si>
  <si>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</si>
  <si>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</si>
  <si>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</si>
  <si>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</si>
  <si>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</si>
  <si>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</si>
  <si>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</si>
  <si>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</si>
  <si>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</si>
  <si>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</si>
  <si>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</si>
  <si>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</si>
  <si>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</si>
  <si>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</si>
  <si>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</si>
  <si>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</si>
  <si>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</si>
  <si>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</si>
  <si>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</si>
  <si>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</si>
  <si>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</si>
  <si>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</si>
  <si>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</si>
  <si>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</si>
  <si>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</si>
  <si>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</si>
  <si>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</si>
  <si>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</si>
  <si>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</si>
  <si>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</si>
  <si>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</si>
  <si>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</si>
  <si>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</si>
  <si>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</si>
  <si>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</si>
  <si>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</si>
  <si>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</si>
  <si>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</si>
  <si>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</si>
  <si>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</si>
  <si>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</si>
  <si>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</si>
  <si>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</si>
  <si>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</si>
  <si>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</si>
  <si>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</si>
  <si>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</si>
  <si>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</si>
  <si>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</si>
  <si>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</si>
  <si>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</si>
  <si>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</si>
  <si>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</si>
  <si>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</si>
  <si>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</si>
  <si>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</si>
  <si>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</si>
  <si>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</si>
  <si>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</si>
  <si>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</si>
  <si>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</si>
  <si>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</si>
  <si>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</si>
  <si>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</si>
  <si>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</si>
  <si>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</si>
  <si>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</si>
  <si>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</si>
  <si>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</si>
  <si>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</si>
  <si>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</si>
  <si>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</si>
  <si>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</si>
  <si>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</si>
  <si>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</si>
  <si>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</si>
  <si>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</si>
  <si>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</si>
  <si>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</si>
  <si>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</si>
  <si>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</si>
  <si>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</si>
  <si>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</si>
  <si>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</si>
  <si>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</si>
  <si>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</si>
  <si>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</si>
  <si>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</si>
  <si>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</si>
  <si>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</si>
  <si>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</si>
  <si>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</si>
  <si>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</si>
  <si>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</si>
  <si>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</si>
  <si>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</si>
  <si>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</si>
  <si>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</si>
  <si>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</si>
  <si>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</si>
  <si>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</si>
  <si>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</si>
  <si>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</si>
  <si>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</si>
  <si>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</si>
  <si>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</si>
  <si>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</si>
  <si>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</si>
  <si>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</si>
  <si>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</si>
  <si>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</si>
  <si>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</si>
  <si>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</si>
  <si>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</si>
  <si>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</si>
  <si>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</si>
  <si>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</si>
  <si>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</si>
  <si>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</si>
  <si>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</si>
  <si>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</si>
  <si>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为|Cffffd24dW技能|r附魔一条|Cffffd24d随机属性|r。</t>
  </si>
  <si>
    <t>ReplaceableTextures\\CommandButtons\\BTNIN02.blp</t>
  </si>
  <si>
    <t>IS23</t>
  </si>
  <si>
    <t>E技能附魔卷</t>
  </si>
  <si>
    <t>为|Cffffd24dE技能|r附魔一条|Cffffd24d随机属性|r。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</si>
  <si>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</si>
  <si>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</si>
  <si>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</si>
  <si>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</si>
  <si>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</si>
  <si>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</si>
  <si>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ReplaceableTextures\\CommandButtons\\BTN010.blp</t>
  </si>
  <si>
    <t>IS26</t>
  </si>
  <si>
    <t>|CffFFD24DE强力附魔卷|r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</si>
  <si>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</si>
  <si>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</si>
  <si>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</si>
  <si>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</si>
  <si>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</si>
  <si>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</si>
  <si>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</si>
  <si>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</si>
  <si>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</si>
  <si>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</si>
  <si>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</si>
  <si>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</si>
  <si>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</si>
  <si>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</si>
  <si>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</si>
  <si>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</si>
  <si>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</si>
  <si>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</si>
  <si>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</si>
  <si>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</si>
  <si>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</si>
  <si>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</si>
  <si>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</si>
  <si>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</si>
  <si>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</si>
  <si>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</si>
  <si>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</si>
  <si>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</si>
  <si>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</si>
  <si>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</si>
  <si>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</si>
  <si>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</si>
  <si>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</si>
  <si>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</si>
  <si>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</si>
  <si>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</si>
  <si>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</si>
  <si>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</si>
  <si>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</si>
  <si>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</si>
  <si>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</si>
  <si>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</si>
  <si>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</si>
  <si>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</si>
  <si>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</si>
  <si>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</si>
  <si>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</si>
  <si>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</si>
  <si>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</si>
  <si>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</si>
  <si>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</si>
  <si>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</si>
  <si>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</si>
  <si>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</si>
  <si>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</si>
  <si>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</si>
  <si>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</si>
  <si>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</si>
  <si>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</si>
  <si>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</si>
  <si>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</si>
  <si>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</si>
  <si>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</si>
  <si>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</si>
  <si>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</si>
  <si>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</si>
  <si>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</si>
  <si>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</si>
  <si>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</si>
  <si>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</si>
  <si>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</si>
  <si>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</si>
  <si>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</si>
  <si>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</si>
  <si>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</si>
  <si>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</si>
  <si>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</si>
  <si>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</si>
  <si>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</si>
  <si>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</si>
  <si>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</si>
  <si>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</si>
  <si>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</si>
  <si>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</si>
  <si>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</si>
  <si>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</si>
  <si>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</si>
  <si>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</si>
  <si>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</si>
  <si>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</si>
  <si>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</si>
  <si>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</si>
  <si>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</si>
  <si>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</si>
  <si>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</si>
  <si>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</si>
  <si>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</si>
  <si>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</si>
  <si>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</si>
  <si>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</si>
  <si>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</si>
  <si>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</si>
  <si>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</si>
  <si>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</si>
  <si>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</si>
  <si>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</si>
  <si>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</si>
  <si>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</si>
  <si>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</si>
  <si>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</si>
  <si>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</si>
  <si>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</si>
  <si>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</si>
  <si>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</si>
  <si>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</si>
  <si>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</si>
  <si>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</si>
  <si>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</si>
  <si>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</si>
  <si>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</si>
  <si>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</si>
  <si>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</si>
  <si>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</si>
  <si>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</si>
  <si>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</si>
  <si>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</si>
  <si>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</si>
  <si>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</si>
  <si>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</si>
  <si>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</si>
  <si>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</si>
  <si>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</si>
  <si>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</si>
  <si>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</si>
  <si>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</si>
  <si>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</si>
  <si>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</si>
  <si>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</si>
  <si>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</si>
  <si>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</si>
  <si>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</si>
  <si>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</si>
  <si>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</si>
  <si>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</si>
  <si>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</si>
  <si>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</si>
  <si>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</si>
  <si>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</si>
  <si>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</si>
  <si>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</si>
  <si>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</si>
  <si>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</si>
  <si>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</si>
  <si>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</si>
  <si>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</si>
  <si>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</si>
  <si>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</si>
  <si>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</si>
  <si>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</si>
  <si>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</si>
  <si>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</si>
  <si>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</si>
  <si>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</si>
  <si>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</si>
  <si>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</si>
  <si>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</si>
  <si>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</si>
  <si>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</si>
  <si>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</si>
  <si>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</si>
  <si>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</si>
  <si>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</si>
  <si>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</si>
  <si>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</si>
  <si>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</si>
  <si>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</si>
  <si>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</si>
  <si>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</si>
  <si>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</si>
  <si>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</si>
  <si>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</si>
  <si>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</si>
  <si>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</si>
  <si>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</si>
  <si>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</si>
  <si>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</si>
  <si>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</si>
  <si>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</si>
  <si>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</si>
  <si>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</si>
  <si>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</si>
  <si>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</si>
  <si>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</si>
  <si>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</si>
  <si>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</si>
  <si>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</si>
  <si>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</si>
  <si>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</si>
  <si>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</si>
  <si>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</si>
  <si>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</si>
  <si>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</si>
  <si>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</si>
  <si>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</si>
  <si>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</si>
  <si>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</si>
  <si>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</si>
  <si>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</si>
  <si>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</si>
  <si>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</si>
  <si>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</si>
  <si>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</si>
  <si>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</si>
  <si>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r>
      <t>|cff33ff00购买魔兽重制版可领取该礼包！|n|n|r属性：|n|cffffcc33金币+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  <phoneticPr fontId="28" type="noConversion"/>
  </si>
  <si>
    <r>
      <t>|cff33ff00购买魔兽重制版可领取该礼包！|n|n|r属性：|n|cffffcc33金币+</t>
    </r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charset val="134"/>
      </rPr>
      <t>000|n每秒攻击+2|n每秒业力+1|r</t>
    </r>
    <phoneticPr fontId="28" type="noConversion"/>
  </si>
  <si>
    <t>I010</t>
    <phoneticPr fontId="28" type="noConversion"/>
  </si>
  <si>
    <r>
      <t>招魂幡Lv</t>
    </r>
    <r>
      <rPr>
        <sz val="11"/>
        <color rgb="FF000000"/>
        <rFont val="等线"/>
        <family val="3"/>
        <charset val="134"/>
        <scheme val="minor"/>
      </rPr>
      <t>0</t>
    </r>
    <phoneticPr fontId="28" type="noConversion"/>
  </si>
  <si>
    <t>护甲|Cffffd24d+10|r|n金币加成|Cffffd24d+10%|n|r|n击杀300个敌人后奖励：|n|CffFFD24D3000~6000|r金币|n|CffCC99FF1000-2000|r业力|n|n|Cff00FF7F同时只能携带一个招魂幡|r</t>
  </si>
  <si>
    <r>
      <t>ReplaceableTextures\\CommandButtons\\</t>
    </r>
    <r>
      <rPr>
        <sz val="11"/>
        <color rgb="FF9C6500"/>
        <rFont val="等线"/>
        <family val="3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family val="3"/>
        <charset val="134"/>
        <scheme val="minor"/>
      </rPr>
      <t>p</t>
    </r>
    <phoneticPr fontId="28" type="noConversion"/>
  </si>
  <si>
    <t>Q技能附魔石</t>
  </si>
  <si>
    <t>W技能附魔石</t>
  </si>
  <si>
    <t>E技能附魔石</t>
  </si>
  <si>
    <t>|CffFFD24DQ强力附魔石|r</t>
  </si>
  <si>
    <t>|CffFFD24DW强力附魔石|r</t>
  </si>
  <si>
    <t>|CffFFD24DE强力附魔石|r</t>
  </si>
  <si>
    <t>使用后获得|Cffffc926随机类型技能附魔石|r</t>
  </si>
  <si>
    <r>
      <t>护甲|cffffd24d+300|n|r金币加成|cffffd24d+35%|n|n|r击杀1000个敌人后奖励：|n|cffffd24d</t>
    </r>
    <r>
      <rPr>
        <sz val="10"/>
        <color rgb="FF000000"/>
        <rFont val="微软雅黑"/>
        <family val="2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family val="2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family val="2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family val="2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  <phoneticPr fontId="28" type="noConversion"/>
  </si>
  <si>
    <r>
      <t>护甲|cffffd24d+200|n|r金币加成|cffffd24d+30%|n|n|r击杀1000个敌人后奖励：|n|cffffd24d</t>
    </r>
    <r>
      <rPr>
        <sz val="10"/>
        <color rgb="FF000000"/>
        <rFont val="微软雅黑"/>
        <family val="2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family val="2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family val="2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family val="2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  <phoneticPr fontId="28" type="noConversion"/>
  </si>
  <si>
    <r>
      <t>护甲|cffffd24d+100|n|r金币加成|cffffd24d+25%|n|n|r击杀1000个敌人后奖励：|n|cffffd24d</t>
    </r>
    <r>
      <rPr>
        <sz val="10"/>
        <color rgb="FF000000"/>
        <rFont val="微软雅黑"/>
        <family val="2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family val="2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family val="2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family val="2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  <phoneticPr fontId="28" type="noConversion"/>
  </si>
  <si>
    <t>天乾地坤</t>
  </si>
  <si>
    <t>五彩凰翼</t>
  </si>
  <si>
    <t>崩鸣刃</t>
  </si>
  <si>
    <t>俯瞰寰宇</t>
  </si>
  <si>
    <t>IY1C</t>
    <phoneticPr fontId="28" type="noConversion"/>
  </si>
  <si>
    <t>IY2C</t>
  </si>
  <si>
    <t>IY3C</t>
  </si>
  <si>
    <t>IY4C</t>
  </si>
  <si>
    <t>代码生成</t>
    <phoneticPr fontId="28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</si>
</sst>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9C6500"/>
      <name val="等线"/>
      <family val="3"/>
      <charset val="134"/>
      <scheme val="minor"/>
    </font>
    <font>
      <sz val="12"/>
      <name val="宋体"/>
      <family val="3"/>
      <charset val="134"/>
    </font>
    <font>
      <sz val="12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11" fillId="9" borderId="0" applyNumberFormat="0" applyBorder="0" applyAlignment="0" applyProtection="0">
      <alignment vertical="center"/>
    </xf>
    <xf numFmtId="0" fontId="22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9" fillId="0" borderId="0"/>
  </cellStyleXfs>
  <cellXfs count="16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Font="1"/>
    <xf numFmtId="0" fontId="26" fillId="0" borderId="0" xfId="0" applyFont="1"/>
    <xf numFmtId="0" fontId="31" fillId="0" borderId="0" xfId="0" applyFont="1" applyAlignment="1">
      <alignment horizontal="left" vertical="center"/>
    </xf>
    <xf numFmtId="0" fontId="32" fillId="11" borderId="3" xfId="4" applyFont="1" applyFill="1" applyBorder="1">
      <alignment vertical="center"/>
    </xf>
    <xf numFmtId="0" fontId="33" fillId="3" borderId="1" xfId="5" applyFont="1" applyFill="1" applyBorder="1"/>
    <xf numFmtId="0" fontId="0" fillId="0" borderId="1" xfId="5" applyFont="1" applyBorder="1"/>
    <xf numFmtId="0" fontId="34" fillId="0" borderId="0" xfId="0" applyFont="1" applyAlignment="1"/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</cellXfs>
  <cellStyles count="6">
    <cellStyle name="差" xfId="1" builtinId="27"/>
    <cellStyle name="常规" xfId="0" builtinId="0"/>
    <cellStyle name="常规 2" xfId="5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8"/>
  <sheetViews>
    <sheetView workbookViewId="0">
      <pane xSplit="8" ySplit="2" topLeftCell="J199" activePane="bottomRight" state="frozen"/>
      <selection pane="topRight"/>
      <selection pane="bottomLeft"/>
      <selection pane="bottomRight" activeCell="K212" sqref="K21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3" customWidth="1"/>
    <col min="10" max="10" width="18.625" customWidth="1"/>
    <col min="11" max="11" width="41" customWidth="1"/>
    <col min="12" max="12" width="9" style="10" customWidth="1"/>
    <col min="13" max="13" width="47.375" style="12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3"/>
    <col min="41" max="16384" width="9" style="10"/>
  </cols>
  <sheetData>
    <row r="1" spans="1:42" s="123" customFormat="1">
      <c r="A1" s="127"/>
      <c r="B1" s="123" t="s">
        <v>0</v>
      </c>
      <c r="C1" s="123" t="s">
        <v>1</v>
      </c>
      <c r="D1" s="123" t="s">
        <v>2</v>
      </c>
      <c r="E1" s="148" t="s">
        <v>3</v>
      </c>
      <c r="F1" s="123" t="s">
        <v>4</v>
      </c>
      <c r="G1" s="123" t="s">
        <v>5</v>
      </c>
      <c r="H1" s="123" t="s">
        <v>6</v>
      </c>
      <c r="I1" s="123" t="s">
        <v>7</v>
      </c>
      <c r="J1" s="124" t="s">
        <v>8</v>
      </c>
      <c r="K1" s="124" t="s">
        <v>9</v>
      </c>
      <c r="L1" s="123" t="s">
        <v>10</v>
      </c>
      <c r="M1" s="123" t="s">
        <v>11</v>
      </c>
      <c r="N1" s="123" t="s">
        <v>12</v>
      </c>
      <c r="O1" s="123" t="s">
        <v>13</v>
      </c>
      <c r="P1" s="123" t="s">
        <v>14</v>
      </c>
      <c r="Q1" s="123" t="s">
        <v>15</v>
      </c>
      <c r="R1" s="123" t="s">
        <v>16</v>
      </c>
      <c r="S1" s="123" t="s">
        <v>17</v>
      </c>
      <c r="T1" s="123" t="s">
        <v>18</v>
      </c>
      <c r="U1" s="123" t="s">
        <v>19</v>
      </c>
      <c r="V1" s="123" t="s">
        <v>20</v>
      </c>
      <c r="W1" s="123" t="s">
        <v>21</v>
      </c>
      <c r="X1" s="123" t="s">
        <v>22</v>
      </c>
      <c r="Y1" s="123" t="s">
        <v>23</v>
      </c>
      <c r="Z1" s="123" t="s">
        <v>24</v>
      </c>
      <c r="AA1" s="123" t="s">
        <v>25</v>
      </c>
      <c r="AB1" s="123" t="s">
        <v>26</v>
      </c>
      <c r="AC1" s="123" t="s">
        <v>27</v>
      </c>
      <c r="AD1" s="123" t="s">
        <v>28</v>
      </c>
      <c r="AE1" s="123" t="s">
        <v>29</v>
      </c>
      <c r="AF1" s="123" t="s">
        <v>30</v>
      </c>
      <c r="AG1" s="123" t="s">
        <v>31</v>
      </c>
      <c r="AH1" s="123" t="s">
        <v>32</v>
      </c>
      <c r="AI1" s="123" t="s">
        <v>33</v>
      </c>
      <c r="AJ1" s="124" t="s">
        <v>34</v>
      </c>
      <c r="AK1" s="123" t="s">
        <v>35</v>
      </c>
      <c r="AL1" s="123" t="s">
        <v>36</v>
      </c>
      <c r="AM1" s="123" t="s">
        <v>37</v>
      </c>
      <c r="AN1" s="123" t="s">
        <v>38</v>
      </c>
      <c r="AO1" s="123" t="s">
        <v>39</v>
      </c>
      <c r="AP1" s="124" t="s">
        <v>40</v>
      </c>
    </row>
    <row r="2" spans="1:42" s="124" customFormat="1" ht="12.75" customHeight="1">
      <c r="A2" s="128">
        <f>COUNTA(B:B)+1</f>
        <v>259</v>
      </c>
      <c r="C2" s="124" t="s">
        <v>41</v>
      </c>
      <c r="D2" s="124" t="s">
        <v>42</v>
      </c>
      <c r="E2" s="124" t="s">
        <v>43</v>
      </c>
      <c r="F2" s="124" t="s">
        <v>44</v>
      </c>
      <c r="G2" s="124" t="s">
        <v>45</v>
      </c>
      <c r="H2" s="124" t="s">
        <v>46</v>
      </c>
      <c r="I2" s="124" t="s">
        <v>47</v>
      </c>
      <c r="J2" s="124" t="s">
        <v>48</v>
      </c>
      <c r="K2" s="124" t="s">
        <v>49</v>
      </c>
      <c r="L2" s="124" t="s">
        <v>50</v>
      </c>
      <c r="M2" s="124" t="s">
        <v>51</v>
      </c>
      <c r="N2" s="124" t="s">
        <v>52</v>
      </c>
      <c r="O2" s="124" t="s">
        <v>53</v>
      </c>
      <c r="P2" s="124" t="s">
        <v>54</v>
      </c>
      <c r="Q2" s="124" t="s">
        <v>55</v>
      </c>
      <c r="R2" s="124" t="s">
        <v>56</v>
      </c>
      <c r="S2" s="124" t="s">
        <v>57</v>
      </c>
      <c r="T2" s="124" t="s">
        <v>58</v>
      </c>
      <c r="U2" s="124" t="s">
        <v>59</v>
      </c>
      <c r="V2" s="124" t="s">
        <v>60</v>
      </c>
      <c r="W2" s="124" t="s">
        <v>61</v>
      </c>
      <c r="X2" s="124" t="s">
        <v>62</v>
      </c>
      <c r="Y2" s="124" t="s">
        <v>63</v>
      </c>
      <c r="Z2" s="124" t="s">
        <v>64</v>
      </c>
      <c r="AA2" s="124" t="s">
        <v>65</v>
      </c>
      <c r="AB2" s="124" t="s">
        <v>66</v>
      </c>
      <c r="AC2" s="124" t="s">
        <v>67</v>
      </c>
      <c r="AD2" s="124" t="s">
        <v>68</v>
      </c>
      <c r="AE2" s="124" t="s">
        <v>69</v>
      </c>
      <c r="AF2" s="124" t="s">
        <v>70</v>
      </c>
      <c r="AG2" s="124" t="s">
        <v>71</v>
      </c>
      <c r="AH2" s="124" t="s">
        <v>72</v>
      </c>
      <c r="AI2" s="124" t="s">
        <v>73</v>
      </c>
      <c r="AJ2" s="124" t="s">
        <v>74</v>
      </c>
      <c r="AK2" s="124" t="s">
        <v>75</v>
      </c>
      <c r="AL2" s="124" t="s">
        <v>76</v>
      </c>
      <c r="AM2" s="124" t="s">
        <v>77</v>
      </c>
      <c r="AN2" s="124" t="s">
        <v>78</v>
      </c>
      <c r="AO2" s="124" t="s">
        <v>79</v>
      </c>
      <c r="AP2" s="124" t="s">
        <v>80</v>
      </c>
    </row>
    <row r="3" spans="1:42">
      <c r="A3" s="12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29" t="str">
        <f t="shared" ref="J3" si="0">H3</f>
        <v>[武器]古纹剑lv1</v>
      </c>
      <c r="K3" s="129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0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27">
        <v>0</v>
      </c>
      <c r="Q3" s="27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27">
        <v>1</v>
      </c>
      <c r="W3" s="27" t="s">
        <v>85</v>
      </c>
      <c r="X3" s="27">
        <v>0</v>
      </c>
      <c r="Y3" s="14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27"/>
      <c r="AJ3" s="27"/>
      <c r="AK3" s="27">
        <v>0</v>
      </c>
      <c r="AL3" s="27">
        <v>0</v>
      </c>
      <c r="AM3" s="148" t="s">
        <v>83</v>
      </c>
      <c r="AN3" s="27"/>
      <c r="AO3" s="27"/>
      <c r="AP3" s="27">
        <v>1</v>
      </c>
    </row>
    <row r="4" spans="1:42">
      <c r="A4" s="12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29" t="str">
        <f t="shared" ref="J4:J7" si="2">H4</f>
        <v>[武器]古纹剑lv2</v>
      </c>
      <c r="K4" s="129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0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27">
        <v>0</v>
      </c>
      <c r="Q4" s="27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27">
        <v>1</v>
      </c>
      <c r="W4" s="27" t="s">
        <v>85</v>
      </c>
      <c r="X4" s="27">
        <v>0</v>
      </c>
      <c r="Y4" s="14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27"/>
      <c r="AJ4" s="27"/>
      <c r="AK4" s="27">
        <v>0</v>
      </c>
      <c r="AL4" s="27">
        <v>0</v>
      </c>
      <c r="AM4" s="148" t="s">
        <v>83</v>
      </c>
      <c r="AN4" s="27"/>
      <c r="AO4" s="27"/>
      <c r="AP4" s="27">
        <v>1</v>
      </c>
    </row>
    <row r="5" spans="1:42">
      <c r="A5" s="12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29" t="str">
        <f t="shared" si="2"/>
        <v>[武器]古纹剑lv3</v>
      </c>
      <c r="K5" s="129" t="str">
        <f t="shared" si="3"/>
        <v>|Cffbbbbbb属性：|r|n攻击+4000|n|n攻击10%概率附加|cffff4646业力*1|r魔法伤害|n|n|Cff00ff7f点击消耗800金币进行强化|n成功率100%</v>
      </c>
      <c r="L5" s="27"/>
      <c r="M5" s="130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27">
        <v>0</v>
      </c>
      <c r="Q5" s="27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27">
        <v>1</v>
      </c>
      <c r="W5" s="27" t="s">
        <v>85</v>
      </c>
      <c r="X5" s="27">
        <v>0</v>
      </c>
      <c r="Y5" s="14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27"/>
      <c r="AJ5" s="27"/>
      <c r="AK5" s="27">
        <v>0</v>
      </c>
      <c r="AL5" s="27">
        <v>0</v>
      </c>
      <c r="AM5" s="148" t="s">
        <v>83</v>
      </c>
      <c r="AN5" s="27"/>
      <c r="AO5" s="27"/>
      <c r="AP5" s="27">
        <v>1</v>
      </c>
    </row>
    <row r="6" spans="1:42">
      <c r="A6" s="12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29" t="str">
        <f t="shared" si="2"/>
        <v>[武器]古纹剑lv4</v>
      </c>
      <c r="K6" s="129" t="str">
        <f t="shared" si="3"/>
        <v>|Cffbbbbbb属性：|r|n攻击+6000|n|n攻击10%概率附加|cffff4646业力*1|r魔法伤害|n|n|Cff00ff7f点击消耗800金币进行强化|n成功率100%</v>
      </c>
      <c r="L6" s="27"/>
      <c r="M6" s="130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27">
        <v>0</v>
      </c>
      <c r="Q6" s="27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27">
        <v>1</v>
      </c>
      <c r="W6" s="27" t="s">
        <v>85</v>
      </c>
      <c r="X6" s="27">
        <v>0</v>
      </c>
      <c r="Y6" s="14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27"/>
      <c r="AJ6" s="27"/>
      <c r="AK6" s="27">
        <v>0</v>
      </c>
      <c r="AL6" s="27">
        <v>0</v>
      </c>
      <c r="AM6" s="148" t="s">
        <v>83</v>
      </c>
      <c r="AN6" s="27"/>
      <c r="AO6" s="27"/>
      <c r="AP6" s="27">
        <v>1</v>
      </c>
    </row>
    <row r="7" spans="1:42">
      <c r="A7" s="12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29" t="str">
        <f t="shared" si="2"/>
        <v>[武器]古纹剑lv5</v>
      </c>
      <c r="K7" s="129" t="str">
        <f t="shared" si="3"/>
        <v>|Cffbbbbbb属性：|r|n攻击+8000|n|n攻击10%概率附加|cffff4646业力*1|r魔法伤害|n|n|Cff00ff7f点击消耗2500金币进行晋阶挑战</v>
      </c>
      <c r="L7" s="27"/>
      <c r="M7" s="130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27">
        <v>0</v>
      </c>
      <c r="Q7" s="27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27">
        <v>1</v>
      </c>
      <c r="W7" s="27" t="s">
        <v>85</v>
      </c>
      <c r="X7" s="27">
        <v>0</v>
      </c>
      <c r="Y7" s="14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27"/>
      <c r="AJ7" s="27"/>
      <c r="AK7" s="27">
        <v>0</v>
      </c>
      <c r="AL7" s="27">
        <v>0</v>
      </c>
      <c r="AM7" s="148" t="s">
        <v>83</v>
      </c>
      <c r="AN7" s="27"/>
      <c r="AO7" s="27"/>
      <c r="AP7" s="27">
        <v>1</v>
      </c>
    </row>
    <row r="8" spans="1:42">
      <c r="A8" s="12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29" t="str">
        <f t="shared" ref="J8:J18" si="4">H8</f>
        <v>|Cff00FF7F[武器]鱼肠剑lv1|r</v>
      </c>
      <c r="K8" s="129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30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27">
        <v>0</v>
      </c>
      <c r="Q8" s="27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27">
        <v>1</v>
      </c>
      <c r="W8" s="27" t="s">
        <v>85</v>
      </c>
      <c r="X8" s="27">
        <v>0</v>
      </c>
      <c r="Y8" s="14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27"/>
      <c r="AJ8" s="27"/>
      <c r="AK8" s="27">
        <v>0</v>
      </c>
      <c r="AL8" s="27">
        <v>0</v>
      </c>
      <c r="AM8" s="148" t="s">
        <v>83</v>
      </c>
      <c r="AN8" s="27"/>
      <c r="AO8" s="27"/>
      <c r="AP8" s="27">
        <v>1</v>
      </c>
    </row>
    <row r="9" spans="1:42">
      <c r="A9" s="12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9" t="str">
        <f t="shared" si="4"/>
        <v>|Cff00FF7F[武器]鱼肠剑lv2|r</v>
      </c>
      <c r="K9" s="129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0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27">
        <v>0</v>
      </c>
      <c r="Q9" s="27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27">
        <v>1</v>
      </c>
      <c r="W9" s="27" t="s">
        <v>85</v>
      </c>
      <c r="X9" s="27">
        <v>0</v>
      </c>
      <c r="Y9" s="14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27"/>
      <c r="AJ9" s="27"/>
      <c r="AK9" s="27">
        <v>0</v>
      </c>
      <c r="AL9" s="27">
        <v>0</v>
      </c>
      <c r="AM9" s="148" t="s">
        <v>83</v>
      </c>
      <c r="AN9" s="27"/>
      <c r="AO9" s="27"/>
      <c r="AP9" s="27">
        <v>1</v>
      </c>
    </row>
    <row r="10" spans="1:42">
      <c r="A10" s="12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9" t="str">
        <f t="shared" si="4"/>
        <v>|Cff00FF7F[武器]鱼肠剑lv3|r</v>
      </c>
      <c r="K10" s="129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0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27">
        <v>0</v>
      </c>
      <c r="Q10" s="27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27">
        <v>1</v>
      </c>
      <c r="W10" s="27" t="s">
        <v>85</v>
      </c>
      <c r="X10" s="27">
        <v>0</v>
      </c>
      <c r="Y10" s="14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27"/>
      <c r="AJ10" s="27"/>
      <c r="AK10" s="27">
        <v>0</v>
      </c>
      <c r="AL10" s="27">
        <v>0</v>
      </c>
      <c r="AM10" s="148" t="s">
        <v>83</v>
      </c>
      <c r="AN10" s="27"/>
      <c r="AO10" s="27"/>
      <c r="AP10" s="27">
        <v>1</v>
      </c>
    </row>
    <row r="11" spans="1:42">
      <c r="A11" s="12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9" t="str">
        <f t="shared" si="4"/>
        <v>|Cff00FF7F[武器]鱼肠剑lv4|r</v>
      </c>
      <c r="K11" s="129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0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27">
        <v>0</v>
      </c>
      <c r="Q11" s="27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27">
        <v>1</v>
      </c>
      <c r="W11" s="27" t="s">
        <v>85</v>
      </c>
      <c r="X11" s="27">
        <v>0</v>
      </c>
      <c r="Y11" s="14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27"/>
      <c r="AJ11" s="27"/>
      <c r="AK11" s="27">
        <v>0</v>
      </c>
      <c r="AL11" s="27">
        <v>0</v>
      </c>
      <c r="AM11" s="148" t="s">
        <v>83</v>
      </c>
      <c r="AN11" s="27"/>
      <c r="AO11" s="27"/>
      <c r="AP11" s="27">
        <v>1</v>
      </c>
    </row>
    <row r="12" spans="1:42">
      <c r="A12" s="12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9" t="str">
        <f t="shared" si="4"/>
        <v>|Cff00FF7F[武器]鱼肠剑lv5|r</v>
      </c>
      <c r="K12" s="129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0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27">
        <v>0</v>
      </c>
      <c r="Q12" s="27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27">
        <v>1</v>
      </c>
      <c r="W12" s="27" t="s">
        <v>85</v>
      </c>
      <c r="X12" s="27">
        <v>0</v>
      </c>
      <c r="Y12" s="14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27"/>
      <c r="AJ12" s="27"/>
      <c r="AK12" s="27">
        <v>0</v>
      </c>
      <c r="AL12" s="27">
        <v>0</v>
      </c>
      <c r="AM12" s="148" t="s">
        <v>83</v>
      </c>
      <c r="AN12" s="27"/>
      <c r="AO12" s="27"/>
      <c r="AP12" s="27">
        <v>1</v>
      </c>
    </row>
    <row r="13" spans="1:42">
      <c r="A13" s="12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29" t="str">
        <f t="shared" si="4"/>
        <v>|Cff00BFFF[武器]太阿剑lv1|r</v>
      </c>
      <c r="K13" s="129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30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27">
        <v>0</v>
      </c>
      <c r="Q13" s="27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27">
        <v>1</v>
      </c>
      <c r="W13" s="27" t="s">
        <v>85</v>
      </c>
      <c r="X13" s="27">
        <v>0</v>
      </c>
      <c r="Y13" s="14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27"/>
      <c r="AJ13" s="27"/>
      <c r="AK13" s="27">
        <v>0</v>
      </c>
      <c r="AL13" s="27">
        <v>0</v>
      </c>
      <c r="AM13" s="148" t="s">
        <v>83</v>
      </c>
      <c r="AN13" s="27"/>
      <c r="AO13" s="27"/>
      <c r="AP13" s="27">
        <v>1</v>
      </c>
    </row>
    <row r="14" spans="1:42">
      <c r="A14" s="12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9" t="str">
        <f t="shared" si="4"/>
        <v>|Cff00BFFF[武器]太阿剑lv2|r</v>
      </c>
      <c r="K14" s="129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0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27">
        <v>0</v>
      </c>
      <c r="Q14" s="27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27">
        <v>1</v>
      </c>
      <c r="W14" s="27" t="s">
        <v>85</v>
      </c>
      <c r="X14" s="27">
        <v>0</v>
      </c>
      <c r="Y14" s="14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27"/>
      <c r="AJ14" s="27"/>
      <c r="AK14" s="27">
        <v>0</v>
      </c>
      <c r="AL14" s="27">
        <v>0</v>
      </c>
      <c r="AM14" s="148" t="s">
        <v>83</v>
      </c>
      <c r="AN14" s="27"/>
      <c r="AO14" s="27"/>
      <c r="AP14" s="27">
        <v>1</v>
      </c>
    </row>
    <row r="15" spans="1:42">
      <c r="A15" s="12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9" t="str">
        <f t="shared" si="4"/>
        <v>|Cff00BFFF[武器]太阿剑lv3|r</v>
      </c>
      <c r="K15" s="129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0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27">
        <v>0</v>
      </c>
      <c r="Q15" s="27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27">
        <v>1</v>
      </c>
      <c r="W15" s="27" t="s">
        <v>85</v>
      </c>
      <c r="X15" s="27">
        <v>0</v>
      </c>
      <c r="Y15" s="14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27"/>
      <c r="AJ15" s="27"/>
      <c r="AK15" s="27">
        <v>0</v>
      </c>
      <c r="AL15" s="27">
        <v>0</v>
      </c>
      <c r="AM15" s="148" t="s">
        <v>83</v>
      </c>
      <c r="AN15" s="27"/>
      <c r="AO15" s="27"/>
      <c r="AP15" s="27">
        <v>1</v>
      </c>
    </row>
    <row r="16" spans="1:42">
      <c r="A16" s="12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9" t="str">
        <f t="shared" si="4"/>
        <v>|Cff00BFFF[武器]太阿剑lv4|r</v>
      </c>
      <c r="K16" s="129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0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27">
        <v>0</v>
      </c>
      <c r="Q16" s="27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27">
        <v>1</v>
      </c>
      <c r="W16" s="27" t="s">
        <v>85</v>
      </c>
      <c r="X16" s="27">
        <v>0</v>
      </c>
      <c r="Y16" s="14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27"/>
      <c r="AJ16" s="27"/>
      <c r="AK16" s="27">
        <v>0</v>
      </c>
      <c r="AL16" s="27">
        <v>0</v>
      </c>
      <c r="AM16" s="148" t="s">
        <v>83</v>
      </c>
      <c r="AN16" s="27"/>
      <c r="AO16" s="27"/>
      <c r="AP16" s="27">
        <v>1</v>
      </c>
    </row>
    <row r="17" spans="1:42">
      <c r="A17" s="12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9" t="str">
        <f t="shared" si="4"/>
        <v>|Cff00BFFF[武器]太阿剑lv5|r</v>
      </c>
      <c r="K17" s="129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0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27">
        <v>0</v>
      </c>
      <c r="Q17" s="27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27">
        <v>1</v>
      </c>
      <c r="W17" s="27" t="s">
        <v>85</v>
      </c>
      <c r="X17" s="27">
        <v>0</v>
      </c>
      <c r="Y17" s="14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27"/>
      <c r="AJ17" s="27"/>
      <c r="AK17" s="27">
        <v>0</v>
      </c>
      <c r="AL17" s="27">
        <v>0</v>
      </c>
      <c r="AM17" s="148" t="s">
        <v>83</v>
      </c>
      <c r="AN17" s="27"/>
      <c r="AO17" s="27"/>
      <c r="AP17" s="27">
        <v>1</v>
      </c>
    </row>
    <row r="18" spans="1:42">
      <c r="A18" s="12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29" t="str">
        <f t="shared" si="4"/>
        <v>|CffFFC926[武器]轩辕剑lv1|r</v>
      </c>
      <c r="K18" s="129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30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27">
        <v>0</v>
      </c>
      <c r="Q18" s="27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27">
        <v>1</v>
      </c>
      <c r="W18" s="27" t="s">
        <v>85</v>
      </c>
      <c r="X18" s="27">
        <v>0</v>
      </c>
      <c r="Y18" s="14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27"/>
      <c r="AJ18" s="27"/>
      <c r="AK18" s="27">
        <v>0</v>
      </c>
      <c r="AL18" s="27">
        <v>0</v>
      </c>
      <c r="AM18" s="148" t="s">
        <v>83</v>
      </c>
      <c r="AN18" s="27"/>
      <c r="AO18" s="27"/>
      <c r="AP18" s="27">
        <v>1</v>
      </c>
    </row>
    <row r="19" spans="1:42">
      <c r="A19" s="12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9" t="str">
        <f t="shared" ref="J19:J35" si="6">H19</f>
        <v>|CffFFC926[武器]轩辕剑lv2|r</v>
      </c>
      <c r="K19" s="129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0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27">
        <v>0</v>
      </c>
      <c r="Q19" s="27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27">
        <v>1</v>
      </c>
      <c r="W19" s="27" t="s">
        <v>85</v>
      </c>
      <c r="X19" s="27">
        <v>0</v>
      </c>
      <c r="Y19" s="14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27"/>
      <c r="AJ19" s="27"/>
      <c r="AK19" s="27">
        <v>0</v>
      </c>
      <c r="AL19" s="27">
        <v>0</v>
      </c>
      <c r="AM19" s="148" t="s">
        <v>83</v>
      </c>
      <c r="AN19" s="27"/>
      <c r="AO19" s="27"/>
      <c r="AP19" s="27">
        <v>1</v>
      </c>
    </row>
    <row r="20" spans="1:42">
      <c r="A20" s="12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9" t="str">
        <f t="shared" si="6"/>
        <v>|CffFFC926[武器]轩辕剑lv3|r</v>
      </c>
      <c r="K20" s="129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0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27">
        <v>0</v>
      </c>
      <c r="Q20" s="27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27">
        <v>1</v>
      </c>
      <c r="W20" s="27" t="s">
        <v>85</v>
      </c>
      <c r="X20" s="27">
        <v>0</v>
      </c>
      <c r="Y20" s="14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27"/>
      <c r="AJ20" s="27"/>
      <c r="AK20" s="27">
        <v>0</v>
      </c>
      <c r="AL20" s="27">
        <v>0</v>
      </c>
      <c r="AM20" s="148" t="s">
        <v>83</v>
      </c>
      <c r="AN20" s="27"/>
      <c r="AO20" s="27"/>
      <c r="AP20" s="27">
        <v>1</v>
      </c>
    </row>
    <row r="21" spans="1:42">
      <c r="A21" s="12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9" t="str">
        <f t="shared" si="6"/>
        <v>|CffFFC926[武器]轩辕剑lv4|r</v>
      </c>
      <c r="K21" s="129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0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27">
        <v>0</v>
      </c>
      <c r="Q21" s="27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27">
        <v>1</v>
      </c>
      <c r="W21" s="27" t="s">
        <v>85</v>
      </c>
      <c r="X21" s="27">
        <v>0</v>
      </c>
      <c r="Y21" s="14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27"/>
      <c r="AJ21" s="27"/>
      <c r="AK21" s="27">
        <v>0</v>
      </c>
      <c r="AL21" s="27">
        <v>0</v>
      </c>
      <c r="AM21" s="148" t="s">
        <v>83</v>
      </c>
      <c r="AN21" s="27"/>
      <c r="AO21" s="27"/>
      <c r="AP21" s="27">
        <v>1</v>
      </c>
    </row>
    <row r="22" spans="1:42">
      <c r="A22" s="12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9" t="str">
        <f t="shared" si="6"/>
        <v>|CffFFC926[武器]轩辕剑lv5|r</v>
      </c>
      <c r="K22" s="129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0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27">
        <v>0</v>
      </c>
      <c r="Q22" s="27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27">
        <v>1</v>
      </c>
      <c r="W22" s="27" t="s">
        <v>85</v>
      </c>
      <c r="X22" s="27">
        <v>0</v>
      </c>
      <c r="Y22" s="14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27"/>
      <c r="AJ22" s="27"/>
      <c r="AK22" s="27">
        <v>0</v>
      </c>
      <c r="AL22" s="27">
        <v>0</v>
      </c>
      <c r="AM22" s="148" t="s">
        <v>83</v>
      </c>
      <c r="AN22" s="27"/>
      <c r="AO22" s="27"/>
      <c r="AP22" s="27">
        <v>1</v>
      </c>
    </row>
    <row r="23" spans="1:42">
      <c r="A23" s="12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29" t="str">
        <f t="shared" si="6"/>
        <v>|CffFF0000[武器]太极八卦剑lv1|r</v>
      </c>
      <c r="K23" s="129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30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27">
        <v>0</v>
      </c>
      <c r="Q23" s="27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27">
        <v>1</v>
      </c>
      <c r="W23" s="27" t="s">
        <v>85</v>
      </c>
      <c r="X23" s="27">
        <v>0</v>
      </c>
      <c r="Y23" s="14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27"/>
      <c r="AJ23" s="27"/>
      <c r="AK23" s="27">
        <v>0</v>
      </c>
      <c r="AL23" s="27">
        <v>0</v>
      </c>
      <c r="AM23" s="148" t="s">
        <v>83</v>
      </c>
      <c r="AN23" s="27"/>
      <c r="AO23" s="27"/>
      <c r="AP23" s="27">
        <v>1</v>
      </c>
    </row>
    <row r="24" spans="1:42">
      <c r="A24" s="12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9" t="str">
        <f t="shared" si="6"/>
        <v>|CffFF0000[武器]太极八卦剑lv2|r</v>
      </c>
      <c r="K24" s="129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0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27">
        <v>0</v>
      </c>
      <c r="Q24" s="27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27">
        <v>1</v>
      </c>
      <c r="W24" s="27" t="s">
        <v>85</v>
      </c>
      <c r="X24" s="27">
        <v>0</v>
      </c>
      <c r="Y24" s="14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27"/>
      <c r="AJ24" s="27"/>
      <c r="AK24" s="27">
        <v>0</v>
      </c>
      <c r="AL24" s="27">
        <v>0</v>
      </c>
      <c r="AM24" s="148" t="s">
        <v>83</v>
      </c>
      <c r="AN24" s="27"/>
      <c r="AO24" s="27"/>
      <c r="AP24" s="27">
        <v>1</v>
      </c>
    </row>
    <row r="25" spans="1:42">
      <c r="A25" s="12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9" t="str">
        <f t="shared" si="6"/>
        <v>|CffFF0000[武器]太极八卦剑lv3|r</v>
      </c>
      <c r="K25" s="129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0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27">
        <v>0</v>
      </c>
      <c r="Q25" s="27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27">
        <v>1</v>
      </c>
      <c r="W25" s="27" t="s">
        <v>85</v>
      </c>
      <c r="X25" s="27">
        <v>0</v>
      </c>
      <c r="Y25" s="14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27"/>
      <c r="AJ25" s="27"/>
      <c r="AK25" s="27">
        <v>0</v>
      </c>
      <c r="AL25" s="27">
        <v>0</v>
      </c>
      <c r="AM25" s="148" t="s">
        <v>83</v>
      </c>
      <c r="AN25" s="27"/>
      <c r="AO25" s="27"/>
      <c r="AP25" s="27">
        <v>1</v>
      </c>
    </row>
    <row r="26" spans="1:42">
      <c r="A26" s="12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9" t="str">
        <f t="shared" si="6"/>
        <v>|CffFF0000[武器]太极八卦剑lv4|r</v>
      </c>
      <c r="K26" s="129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0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27">
        <v>0</v>
      </c>
      <c r="Q26" s="27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27">
        <v>1</v>
      </c>
      <c r="W26" s="27" t="s">
        <v>85</v>
      </c>
      <c r="X26" s="27">
        <v>0</v>
      </c>
      <c r="Y26" s="14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27"/>
      <c r="AJ26" s="27"/>
      <c r="AK26" s="27">
        <v>0</v>
      </c>
      <c r="AL26" s="27">
        <v>0</v>
      </c>
      <c r="AM26" s="148" t="s">
        <v>83</v>
      </c>
      <c r="AN26" s="27"/>
      <c r="AO26" s="27"/>
      <c r="AP26" s="27">
        <v>1</v>
      </c>
    </row>
    <row r="27" spans="1:42">
      <c r="A27" s="127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9" t="str">
        <f t="shared" si="6"/>
        <v>|CffFF0000[武器]太极八卦剑lv5|r</v>
      </c>
      <c r="K27" s="129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0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27">
        <v>0</v>
      </c>
      <c r="Q27" s="27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27">
        <v>1</v>
      </c>
      <c r="W27" s="27" t="s">
        <v>85</v>
      </c>
      <c r="X27" s="27">
        <v>0</v>
      </c>
      <c r="Y27" s="14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27"/>
      <c r="AJ27" s="27"/>
      <c r="AK27" s="27">
        <v>0</v>
      </c>
      <c r="AL27" s="27">
        <v>0</v>
      </c>
      <c r="AM27" s="148" t="s">
        <v>83</v>
      </c>
      <c r="AN27" s="27"/>
      <c r="AO27" s="27"/>
      <c r="AP27" s="27"/>
    </row>
    <row r="28" spans="1:42">
      <c r="A28" s="127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9" t="str">
        <f t="shared" si="6"/>
        <v>[饰品]青珑挂珠lv1</v>
      </c>
      <c r="K28" s="129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0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27">
        <v>0</v>
      </c>
      <c r="Q28" s="27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27">
        <v>2</v>
      </c>
      <c r="W28" s="27" t="s">
        <v>85</v>
      </c>
      <c r="X28" s="27">
        <v>0</v>
      </c>
      <c r="Y28" s="14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27"/>
      <c r="AJ28" s="27"/>
      <c r="AK28" s="27">
        <v>0</v>
      </c>
      <c r="AL28" s="27">
        <v>0</v>
      </c>
      <c r="AM28" s="148" t="s">
        <v>83</v>
      </c>
      <c r="AN28" s="27">
        <v>150</v>
      </c>
      <c r="AO28" s="27"/>
      <c r="AP28" s="27"/>
    </row>
    <row r="29" spans="1:42">
      <c r="A29" s="127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9" t="str">
        <f t="shared" si="6"/>
        <v>[饰品]青珑挂珠lv2</v>
      </c>
      <c r="K29" s="129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0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27">
        <v>0</v>
      </c>
      <c r="Q29" s="27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27">
        <v>2</v>
      </c>
      <c r="W29" s="27" t="s">
        <v>85</v>
      </c>
      <c r="X29" s="27">
        <v>0</v>
      </c>
      <c r="Y29" s="14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27"/>
      <c r="AJ29" s="27"/>
      <c r="AK29" s="27">
        <v>0</v>
      </c>
      <c r="AL29" s="27">
        <v>0</v>
      </c>
      <c r="AM29" s="148" t="s">
        <v>83</v>
      </c>
      <c r="AN29" s="27">
        <v>150</v>
      </c>
      <c r="AO29" s="27"/>
      <c r="AP29" s="27"/>
    </row>
    <row r="30" spans="1:42">
      <c r="A30" s="127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9" t="str">
        <f t="shared" si="6"/>
        <v>[饰品]青珑挂珠lv3</v>
      </c>
      <c r="K30" s="129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0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27">
        <v>0</v>
      </c>
      <c r="Q30" s="27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27">
        <v>2</v>
      </c>
      <c r="W30" s="27" t="s">
        <v>85</v>
      </c>
      <c r="X30" s="27">
        <v>0</v>
      </c>
      <c r="Y30" s="14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27"/>
      <c r="AJ30" s="27"/>
      <c r="AK30" s="27">
        <v>0</v>
      </c>
      <c r="AL30" s="27">
        <v>0</v>
      </c>
      <c r="AM30" s="148" t="s">
        <v>83</v>
      </c>
      <c r="AN30" s="27">
        <v>150</v>
      </c>
      <c r="AO30" s="27"/>
      <c r="AP30" s="27"/>
    </row>
    <row r="31" spans="1:42">
      <c r="A31" s="127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9" t="str">
        <f t="shared" si="6"/>
        <v>[饰品]青珑挂珠lv4</v>
      </c>
      <c r="K31" s="129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0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27">
        <v>0</v>
      </c>
      <c r="Q31" s="27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27">
        <v>2</v>
      </c>
      <c r="W31" s="27" t="s">
        <v>85</v>
      </c>
      <c r="X31" s="27">
        <v>0</v>
      </c>
      <c r="Y31" s="14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27"/>
      <c r="AJ31" s="27"/>
      <c r="AK31" s="27">
        <v>0</v>
      </c>
      <c r="AL31" s="27">
        <v>0</v>
      </c>
      <c r="AM31" s="148" t="s">
        <v>83</v>
      </c>
      <c r="AN31" s="27">
        <v>150</v>
      </c>
      <c r="AO31" s="27"/>
      <c r="AP31" s="27"/>
    </row>
    <row r="32" spans="1:42">
      <c r="A32" s="127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9" t="str">
        <f t="shared" si="6"/>
        <v>[饰品]青珑挂珠lv5</v>
      </c>
      <c r="K32" s="129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0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27">
        <v>0</v>
      </c>
      <c r="Q32" s="27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27">
        <v>2</v>
      </c>
      <c r="W32" s="27" t="s">
        <v>85</v>
      </c>
      <c r="X32" s="27">
        <v>0</v>
      </c>
      <c r="Y32" s="14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27"/>
      <c r="AJ32" s="27"/>
      <c r="AK32" s="27">
        <v>0</v>
      </c>
      <c r="AL32" s="27">
        <v>0</v>
      </c>
      <c r="AM32" s="148" t="s">
        <v>83</v>
      </c>
      <c r="AN32" s="27">
        <v>150</v>
      </c>
      <c r="AO32" s="27"/>
      <c r="AP32" s="27"/>
    </row>
    <row r="33" spans="1:42">
      <c r="A33" s="127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29" t="str">
        <f t="shared" si="6"/>
        <v>|Cff00FF7F[饰品]紫晶坠子lv1|r</v>
      </c>
      <c r="K33" s="129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30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27">
        <v>0</v>
      </c>
      <c r="Q33" s="27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27">
        <v>2</v>
      </c>
      <c r="W33" s="27" t="s">
        <v>85</v>
      </c>
      <c r="X33" s="27">
        <v>0</v>
      </c>
      <c r="Y33" s="14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27"/>
      <c r="AJ33" s="27"/>
      <c r="AK33" s="27">
        <v>0</v>
      </c>
      <c r="AL33" s="27">
        <v>0</v>
      </c>
      <c r="AM33" s="148" t="s">
        <v>83</v>
      </c>
      <c r="AN33" s="27">
        <v>200</v>
      </c>
      <c r="AO33" s="27"/>
      <c r="AP33" s="27"/>
    </row>
    <row r="34" spans="1:42">
      <c r="A34" s="127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9" t="str">
        <f t="shared" si="6"/>
        <v>|Cff00FF7F[饰品]紫晶坠子lv2|r</v>
      </c>
      <c r="K34" s="129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0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27">
        <v>0</v>
      </c>
      <c r="Q34" s="27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27">
        <v>2</v>
      </c>
      <c r="W34" s="27" t="s">
        <v>85</v>
      </c>
      <c r="X34" s="27">
        <v>0</v>
      </c>
      <c r="Y34" s="14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27"/>
      <c r="AJ34" s="27"/>
      <c r="AK34" s="27">
        <v>0</v>
      </c>
      <c r="AL34" s="27">
        <v>0</v>
      </c>
      <c r="AM34" s="148" t="s">
        <v>83</v>
      </c>
      <c r="AN34" s="27">
        <v>200</v>
      </c>
      <c r="AO34" s="27"/>
      <c r="AP34" s="27"/>
    </row>
    <row r="35" spans="1:42">
      <c r="A35" s="127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9" t="str">
        <f t="shared" si="6"/>
        <v>|Cff00FF7F[饰品]紫晶坠子lv3|r</v>
      </c>
      <c r="K35" s="129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0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27">
        <v>0</v>
      </c>
      <c r="Q35" s="27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27">
        <v>2</v>
      </c>
      <c r="W35" s="27" t="s">
        <v>85</v>
      </c>
      <c r="X35" s="27">
        <v>0</v>
      </c>
      <c r="Y35" s="14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27"/>
      <c r="AJ35" s="27"/>
      <c r="AK35" s="27">
        <v>0</v>
      </c>
      <c r="AL35" s="27">
        <v>0</v>
      </c>
      <c r="AM35" s="148" t="s">
        <v>83</v>
      </c>
      <c r="AN35" s="27">
        <v>200</v>
      </c>
      <c r="AO35" s="27"/>
      <c r="AP35" s="27"/>
    </row>
    <row r="36" spans="1:42">
      <c r="A36" s="127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9" t="str">
        <f t="shared" ref="J36:J53" si="8">H36</f>
        <v>|Cff00FF7F[饰品]紫晶坠子lv4|r</v>
      </c>
      <c r="K36" s="129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0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27">
        <v>0</v>
      </c>
      <c r="Q36" s="27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27">
        <v>2</v>
      </c>
      <c r="W36" s="27" t="s">
        <v>85</v>
      </c>
      <c r="X36" s="27">
        <v>0</v>
      </c>
      <c r="Y36" s="14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27"/>
      <c r="AJ36" s="27"/>
      <c r="AK36" s="27">
        <v>0</v>
      </c>
      <c r="AL36" s="27">
        <v>0</v>
      </c>
      <c r="AM36" s="148" t="s">
        <v>83</v>
      </c>
      <c r="AN36" s="27">
        <v>200</v>
      </c>
      <c r="AO36" s="27"/>
      <c r="AP36" s="27"/>
    </row>
    <row r="37" spans="1:42">
      <c r="A37" s="127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9" t="str">
        <f t="shared" si="8"/>
        <v>|Cff00FF7F[饰品]紫晶坠子lv5|r</v>
      </c>
      <c r="K37" s="129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0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27">
        <v>0</v>
      </c>
      <c r="Q37" s="27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27">
        <v>2</v>
      </c>
      <c r="W37" s="27" t="s">
        <v>85</v>
      </c>
      <c r="X37" s="27">
        <v>0</v>
      </c>
      <c r="Y37" s="14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27"/>
      <c r="AJ37" s="27"/>
      <c r="AK37" s="27">
        <v>0</v>
      </c>
      <c r="AL37" s="27">
        <v>0</v>
      </c>
      <c r="AM37" s="148" t="s">
        <v>83</v>
      </c>
      <c r="AN37" s="27">
        <v>200</v>
      </c>
      <c r="AO37" s="27"/>
      <c r="AP37" s="27"/>
    </row>
    <row r="38" spans="1:42">
      <c r="A38" s="127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29" t="str">
        <f t="shared" si="8"/>
        <v>|Cff00BFFF[饰品]三才项圈lv1|r</v>
      </c>
      <c r="K38" s="129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30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27">
        <v>0</v>
      </c>
      <c r="Q38" s="27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27">
        <v>2</v>
      </c>
      <c r="W38" s="27" t="s">
        <v>85</v>
      </c>
      <c r="X38" s="27">
        <v>0</v>
      </c>
      <c r="Y38" s="14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27"/>
      <c r="AJ38" s="27"/>
      <c r="AK38" s="27">
        <v>0</v>
      </c>
      <c r="AL38" s="27">
        <v>0</v>
      </c>
      <c r="AM38" s="148" t="s">
        <v>83</v>
      </c>
      <c r="AN38" s="27">
        <v>300</v>
      </c>
      <c r="AO38" s="27"/>
      <c r="AP38" s="27"/>
    </row>
    <row r="39" spans="1:42">
      <c r="A39" s="127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9" t="str">
        <f t="shared" si="8"/>
        <v>|Cff00BFFF[饰品]三才项圈lv2|r</v>
      </c>
      <c r="K39" s="129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0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27">
        <v>0</v>
      </c>
      <c r="Q39" s="27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27">
        <v>2</v>
      </c>
      <c r="W39" s="27" t="s">
        <v>85</v>
      </c>
      <c r="X39" s="27">
        <v>0</v>
      </c>
      <c r="Y39" s="14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27"/>
      <c r="AJ39" s="27"/>
      <c r="AK39" s="27">
        <v>0</v>
      </c>
      <c r="AL39" s="27">
        <v>0</v>
      </c>
      <c r="AM39" s="148" t="s">
        <v>83</v>
      </c>
      <c r="AN39" s="27">
        <v>300</v>
      </c>
      <c r="AO39" s="27"/>
      <c r="AP39" s="27"/>
    </row>
    <row r="40" spans="1:42">
      <c r="A40" s="127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9" t="str">
        <f t="shared" si="8"/>
        <v>|Cff00BFFF[饰品]三才项圈lv3|r</v>
      </c>
      <c r="K40" s="129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0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27">
        <v>0</v>
      </c>
      <c r="Q40" s="27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27">
        <v>2</v>
      </c>
      <c r="W40" s="27" t="s">
        <v>85</v>
      </c>
      <c r="X40" s="27">
        <v>0</v>
      </c>
      <c r="Y40" s="14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27"/>
      <c r="AJ40" s="27"/>
      <c r="AK40" s="27">
        <v>0</v>
      </c>
      <c r="AL40" s="27">
        <v>0</v>
      </c>
      <c r="AM40" s="148" t="s">
        <v>83</v>
      </c>
      <c r="AN40" s="27">
        <v>300</v>
      </c>
      <c r="AO40" s="27"/>
      <c r="AP40" s="27"/>
    </row>
    <row r="41" spans="1:42">
      <c r="A41" s="127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9" t="str">
        <f t="shared" si="8"/>
        <v>|Cff00BFFF[饰品]三才项圈lv4|r</v>
      </c>
      <c r="K41" s="129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0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27">
        <v>0</v>
      </c>
      <c r="Q41" s="27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27">
        <v>2</v>
      </c>
      <c r="W41" s="27" t="s">
        <v>85</v>
      </c>
      <c r="X41" s="27">
        <v>0</v>
      </c>
      <c r="Y41" s="14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27"/>
      <c r="AJ41" s="27"/>
      <c r="AK41" s="27">
        <v>0</v>
      </c>
      <c r="AL41" s="27">
        <v>0</v>
      </c>
      <c r="AM41" s="148" t="s">
        <v>83</v>
      </c>
      <c r="AN41" s="27">
        <v>300</v>
      </c>
      <c r="AO41" s="27"/>
      <c r="AP41" s="27"/>
    </row>
    <row r="42" spans="1:42">
      <c r="A42" s="127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9" t="str">
        <f t="shared" si="8"/>
        <v>|Cff00BFFF[饰品]三才项圈lv5|r</v>
      </c>
      <c r="K42" s="129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0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27">
        <v>0</v>
      </c>
      <c r="Q42" s="27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27">
        <v>2</v>
      </c>
      <c r="W42" s="27" t="s">
        <v>85</v>
      </c>
      <c r="X42" s="27">
        <v>0</v>
      </c>
      <c r="Y42" s="14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27"/>
      <c r="AJ42" s="27"/>
      <c r="AK42" s="27">
        <v>0</v>
      </c>
      <c r="AL42" s="27">
        <v>0</v>
      </c>
      <c r="AM42" s="148" t="s">
        <v>83</v>
      </c>
      <c r="AN42" s="27">
        <v>300</v>
      </c>
      <c r="AO42" s="27"/>
      <c r="AP42" s="27"/>
    </row>
    <row r="43" spans="1:42">
      <c r="A43" s="127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29" t="str">
        <f t="shared" si="8"/>
        <v>|CffFFC926[饰品]秘魔灵珠lv1|r</v>
      </c>
      <c r="K43" s="129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30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27">
        <v>0</v>
      </c>
      <c r="Q43" s="27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27">
        <v>2</v>
      </c>
      <c r="W43" s="27" t="s">
        <v>85</v>
      </c>
      <c r="X43" s="27">
        <v>0</v>
      </c>
      <c r="Y43" s="14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27"/>
      <c r="AJ43" s="27"/>
      <c r="AK43" s="27">
        <v>0</v>
      </c>
      <c r="AL43" s="27">
        <v>0</v>
      </c>
      <c r="AM43" s="148" t="s">
        <v>83</v>
      </c>
      <c r="AN43" s="27">
        <v>450</v>
      </c>
      <c r="AO43" s="27"/>
      <c r="AP43" s="27"/>
    </row>
    <row r="44" spans="1:42">
      <c r="A44" s="127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9" t="str">
        <f t="shared" si="8"/>
        <v>|CffFFC926[饰品]秘魔灵珠lv2|r</v>
      </c>
      <c r="K44" s="129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0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27">
        <v>0</v>
      </c>
      <c r="Q44" s="27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27">
        <v>2</v>
      </c>
      <c r="W44" s="27" t="s">
        <v>85</v>
      </c>
      <c r="X44" s="27">
        <v>0</v>
      </c>
      <c r="Y44" s="14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27"/>
      <c r="AJ44" s="27"/>
      <c r="AK44" s="27">
        <v>0</v>
      </c>
      <c r="AL44" s="27">
        <v>0</v>
      </c>
      <c r="AM44" s="148" t="s">
        <v>83</v>
      </c>
      <c r="AN44" s="27">
        <v>450</v>
      </c>
      <c r="AO44" s="27"/>
      <c r="AP44" s="27"/>
    </row>
    <row r="45" spans="1:42">
      <c r="A45" s="127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9" t="str">
        <f t="shared" si="8"/>
        <v>|CffFFC926[饰品]秘魔灵珠lv3|r</v>
      </c>
      <c r="K45" s="129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0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27">
        <v>0</v>
      </c>
      <c r="Q45" s="27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27">
        <v>2</v>
      </c>
      <c r="W45" s="27" t="s">
        <v>85</v>
      </c>
      <c r="X45" s="27">
        <v>0</v>
      </c>
      <c r="Y45" s="14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27"/>
      <c r="AJ45" s="27"/>
      <c r="AK45" s="27">
        <v>0</v>
      </c>
      <c r="AL45" s="27">
        <v>0</v>
      </c>
      <c r="AM45" s="148" t="s">
        <v>83</v>
      </c>
      <c r="AN45" s="27">
        <v>450</v>
      </c>
      <c r="AO45" s="27"/>
      <c r="AP45" s="27"/>
    </row>
    <row r="46" spans="1:42">
      <c r="A46" s="127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9" t="str">
        <f t="shared" si="8"/>
        <v>|CffFFC926[饰品]秘魔灵珠lv4|r</v>
      </c>
      <c r="K46" s="129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0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27">
        <v>0</v>
      </c>
      <c r="Q46" s="27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27">
        <v>2</v>
      </c>
      <c r="W46" s="27" t="s">
        <v>85</v>
      </c>
      <c r="X46" s="27">
        <v>0</v>
      </c>
      <c r="Y46" s="14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27"/>
      <c r="AJ46" s="27"/>
      <c r="AK46" s="27">
        <v>0</v>
      </c>
      <c r="AL46" s="27">
        <v>0</v>
      </c>
      <c r="AM46" s="148" t="s">
        <v>83</v>
      </c>
      <c r="AN46" s="27">
        <v>450</v>
      </c>
      <c r="AO46" s="27"/>
      <c r="AP46" s="27"/>
    </row>
    <row r="47" spans="1:42">
      <c r="A47" s="127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9" t="str">
        <f t="shared" si="8"/>
        <v>|CffFFC926[饰品]秘魔灵珠lv5|r</v>
      </c>
      <c r="K47" s="129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0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27">
        <v>0</v>
      </c>
      <c r="Q47" s="27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27">
        <v>2</v>
      </c>
      <c r="W47" s="27" t="s">
        <v>85</v>
      </c>
      <c r="X47" s="27">
        <v>0</v>
      </c>
      <c r="Y47" s="14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27"/>
      <c r="AJ47" s="27"/>
      <c r="AK47" s="27">
        <v>0</v>
      </c>
      <c r="AL47" s="27">
        <v>0</v>
      </c>
      <c r="AM47" s="148" t="s">
        <v>83</v>
      </c>
      <c r="AN47" s="27">
        <v>450</v>
      </c>
      <c r="AO47" s="27"/>
      <c r="AP47" s="27"/>
    </row>
    <row r="48" spans="1:42">
      <c r="A48" s="127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29" t="str">
        <f t="shared" si="8"/>
        <v>|CffFF0000[饰品]流光绝影lv1|r</v>
      </c>
      <c r="K48" s="129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30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27">
        <v>0</v>
      </c>
      <c r="Q48" s="27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27">
        <v>2</v>
      </c>
      <c r="W48" s="27" t="s">
        <v>85</v>
      </c>
      <c r="X48" s="27">
        <v>0</v>
      </c>
      <c r="Y48" s="14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27"/>
      <c r="AJ48" s="27"/>
      <c r="AK48" s="27">
        <v>0</v>
      </c>
      <c r="AL48" s="27">
        <v>0</v>
      </c>
      <c r="AM48" s="148" t="s">
        <v>83</v>
      </c>
      <c r="AN48" s="27">
        <v>550</v>
      </c>
      <c r="AO48" s="27"/>
      <c r="AP48" s="27"/>
    </row>
    <row r="49" spans="1:42">
      <c r="A49" s="127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9" t="str">
        <f t="shared" si="8"/>
        <v>|CffFF0000[饰品]流光绝影lv2|r</v>
      </c>
      <c r="K49" s="129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0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27">
        <v>0</v>
      </c>
      <c r="Q49" s="27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27">
        <v>2</v>
      </c>
      <c r="W49" s="27" t="s">
        <v>85</v>
      </c>
      <c r="X49" s="27">
        <v>0</v>
      </c>
      <c r="Y49" s="14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27"/>
      <c r="AJ49" s="27"/>
      <c r="AK49" s="27">
        <v>0</v>
      </c>
      <c r="AL49" s="27">
        <v>0</v>
      </c>
      <c r="AM49" s="148" t="s">
        <v>83</v>
      </c>
      <c r="AN49" s="27">
        <v>550</v>
      </c>
      <c r="AO49" s="27"/>
      <c r="AP49" s="27"/>
    </row>
    <row r="50" spans="1:42">
      <c r="A50" s="127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9" t="str">
        <f t="shared" si="8"/>
        <v>|CffFF0000[饰品]流光绝影lv3|r</v>
      </c>
      <c r="K50" s="129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0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27">
        <v>0</v>
      </c>
      <c r="Q50" s="27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27">
        <v>2</v>
      </c>
      <c r="W50" s="27" t="s">
        <v>85</v>
      </c>
      <c r="X50" s="27">
        <v>0</v>
      </c>
      <c r="Y50" s="14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27"/>
      <c r="AJ50" s="27"/>
      <c r="AK50" s="27">
        <v>0</v>
      </c>
      <c r="AL50" s="27">
        <v>0</v>
      </c>
      <c r="AM50" s="148" t="s">
        <v>83</v>
      </c>
      <c r="AN50" s="27">
        <v>550</v>
      </c>
      <c r="AO50" s="27"/>
      <c r="AP50" s="27"/>
    </row>
    <row r="51" spans="1:42">
      <c r="A51" s="127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9" t="str">
        <f t="shared" si="8"/>
        <v>|CffFF0000[饰品]流光绝影lv4|r</v>
      </c>
      <c r="K51" s="129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0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27">
        <v>0</v>
      </c>
      <c r="Q51" s="27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27">
        <v>2</v>
      </c>
      <c r="W51" s="27" t="s">
        <v>85</v>
      </c>
      <c r="X51" s="27">
        <v>0</v>
      </c>
      <c r="Y51" s="14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27"/>
      <c r="AJ51" s="27"/>
      <c r="AK51" s="27">
        <v>0</v>
      </c>
      <c r="AL51" s="27">
        <v>0</v>
      </c>
      <c r="AM51" s="148" t="s">
        <v>83</v>
      </c>
      <c r="AN51" s="27">
        <v>550</v>
      </c>
      <c r="AO51" s="27"/>
      <c r="AP51" s="27"/>
    </row>
    <row r="52" spans="1:42">
      <c r="A52" s="127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9" t="str">
        <f t="shared" si="8"/>
        <v>|CffFF0000[饰品]流光绝影lv5|r</v>
      </c>
      <c r="K52" s="129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0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27">
        <v>0</v>
      </c>
      <c r="Q52" s="27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27">
        <v>2</v>
      </c>
      <c r="W52" s="27" t="s">
        <v>85</v>
      </c>
      <c r="X52" s="27">
        <v>0</v>
      </c>
      <c r="Y52" s="14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27"/>
      <c r="AJ52" s="27"/>
      <c r="AK52" s="27">
        <v>0</v>
      </c>
      <c r="AL52" s="27">
        <v>0</v>
      </c>
      <c r="AM52" s="148" t="s">
        <v>83</v>
      </c>
      <c r="AN52" s="27"/>
      <c r="AO52" s="27"/>
      <c r="AP52" s="27"/>
    </row>
    <row r="53" spans="1:42">
      <c r="A53" s="127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29" t="str">
        <f t="shared" si="8"/>
        <v>[防具]贤者道袍lv1</v>
      </c>
      <c r="K53" s="129" t="str">
        <f t="shared" si="9"/>
        <v>|Cffbbbbbb属性：|r|n护甲+30|n生命值+750|n生命回复+15|n|n|Cff00ff7f点击消耗800金币进行强化|n成功率100%</v>
      </c>
      <c r="L53" s="27"/>
      <c r="M53" s="130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27">
        <v>0</v>
      </c>
      <c r="Q53" s="27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27">
        <v>3</v>
      </c>
      <c r="W53" s="27" t="s">
        <v>85</v>
      </c>
      <c r="X53" s="27">
        <v>0</v>
      </c>
      <c r="Y53" s="14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27"/>
      <c r="AJ53" s="27"/>
      <c r="AK53" s="27">
        <v>0</v>
      </c>
      <c r="AL53" s="27">
        <v>0</v>
      </c>
      <c r="AM53" s="148" t="s">
        <v>83</v>
      </c>
      <c r="AN53" s="27"/>
      <c r="AO53" s="27"/>
      <c r="AP53" s="27">
        <v>1</v>
      </c>
    </row>
    <row r="54" spans="1:42">
      <c r="A54" s="127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29" t="str">
        <f t="shared" ref="J54:J58" si="10">H54</f>
        <v>[防具]贤者道袍lv2</v>
      </c>
      <c r="K54" s="129" t="str">
        <f t="shared" ref="K54:K58" si="11">I54</f>
        <v>|Cffbbbbbb属性：|r|n护甲+60|n生命值+1500|n生命回复+30|n|n|Cff00ff7f点击消耗800金币进行强化|n成功率100%</v>
      </c>
      <c r="L54" s="27"/>
      <c r="M54" s="130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27">
        <v>0</v>
      </c>
      <c r="Q54" s="27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27">
        <v>3</v>
      </c>
      <c r="W54" s="27" t="s">
        <v>85</v>
      </c>
      <c r="X54" s="27">
        <v>0</v>
      </c>
      <c r="Y54" s="14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27"/>
      <c r="AJ54" s="27"/>
      <c r="AK54" s="27">
        <v>0</v>
      </c>
      <c r="AL54" s="27">
        <v>0</v>
      </c>
      <c r="AM54" s="148" t="s">
        <v>83</v>
      </c>
      <c r="AN54" s="27"/>
      <c r="AO54" s="27"/>
      <c r="AP54" s="27">
        <v>1</v>
      </c>
    </row>
    <row r="55" spans="1:42">
      <c r="A55" s="127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29" t="str">
        <f t="shared" si="10"/>
        <v>[防具]贤者道袍lv3</v>
      </c>
      <c r="K55" s="129" t="str">
        <f t="shared" si="11"/>
        <v>|Cffbbbbbb属性：|r|n护甲+90|n生命值+2250|n生命回复+45|n|n|Cff00ff7f点击消耗800金币进行强化|n成功率100%</v>
      </c>
      <c r="L55" s="27"/>
      <c r="M55" s="130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27">
        <v>0</v>
      </c>
      <c r="Q55" s="27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27">
        <v>3</v>
      </c>
      <c r="W55" s="27" t="s">
        <v>85</v>
      </c>
      <c r="X55" s="27">
        <v>0</v>
      </c>
      <c r="Y55" s="14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27"/>
      <c r="AJ55" s="27"/>
      <c r="AK55" s="27">
        <v>0</v>
      </c>
      <c r="AL55" s="27">
        <v>0</v>
      </c>
      <c r="AM55" s="148" t="s">
        <v>83</v>
      </c>
      <c r="AN55" s="27"/>
      <c r="AO55" s="27"/>
      <c r="AP55" s="27">
        <v>1</v>
      </c>
    </row>
    <row r="56" spans="1:42">
      <c r="A56" s="127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29" t="str">
        <f t="shared" si="10"/>
        <v>[防具]贤者道袍lv4</v>
      </c>
      <c r="K56" s="129" t="str">
        <f t="shared" si="11"/>
        <v>|Cffbbbbbb属性：|r|n护甲+120|n生命值+3750|n生命回复+75|n|n|Cff00ff7f点击消耗800金币进行强化|n成功率100%</v>
      </c>
      <c r="L56" s="27"/>
      <c r="M56" s="130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27">
        <v>0</v>
      </c>
      <c r="Q56" s="27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27">
        <v>3</v>
      </c>
      <c r="W56" s="27" t="s">
        <v>85</v>
      </c>
      <c r="X56" s="27">
        <v>0</v>
      </c>
      <c r="Y56" s="14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27"/>
      <c r="AJ56" s="27"/>
      <c r="AK56" s="27">
        <v>0</v>
      </c>
      <c r="AL56" s="27">
        <v>0</v>
      </c>
      <c r="AM56" s="148" t="s">
        <v>83</v>
      </c>
      <c r="AN56" s="27"/>
      <c r="AO56" s="27"/>
      <c r="AP56" s="27">
        <v>1</v>
      </c>
    </row>
    <row r="57" spans="1:42">
      <c r="A57" s="127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29" t="str">
        <f t="shared" si="10"/>
        <v>[防具]贤者道袍lv5</v>
      </c>
      <c r="K57" s="129" t="str">
        <f t="shared" si="11"/>
        <v>|Cffbbbbbb属性：|r|n护甲+150|n生命值+5250|n生命回复+105|n|n|Cff00ff7f点击消耗2500金币进行晋阶挑战</v>
      </c>
      <c r="L57" s="27"/>
      <c r="M57" s="130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27">
        <v>0</v>
      </c>
      <c r="Q57" s="27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27">
        <v>3</v>
      </c>
      <c r="W57" s="27" t="s">
        <v>85</v>
      </c>
      <c r="X57" s="27">
        <v>0</v>
      </c>
      <c r="Y57" s="14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27"/>
      <c r="AJ57" s="27"/>
      <c r="AK57" s="27">
        <v>0</v>
      </c>
      <c r="AL57" s="27">
        <v>0</v>
      </c>
      <c r="AM57" s="148" t="s">
        <v>83</v>
      </c>
      <c r="AN57" s="27"/>
      <c r="AO57" s="27"/>
      <c r="AP57" s="27">
        <v>1</v>
      </c>
    </row>
    <row r="58" spans="1:42">
      <c r="A58" s="127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29" t="str">
        <f t="shared" si="10"/>
        <v>|Cff00FF7F[防具]珊瑚玉衣lv1|r</v>
      </c>
      <c r="K58" s="129" t="str">
        <f t="shared" si="11"/>
        <v>|Cffbbbbbb属性：|r|n护甲+200|n生命值+7500|n生命回复+150|n生命恢复%+1|n|n|Cff00ff7f点击消耗2500金币进行强化|n成功率85%</v>
      </c>
      <c r="L58" s="27"/>
      <c r="M58" s="130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27">
        <v>0</v>
      </c>
      <c r="Q58" s="27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27">
        <v>3</v>
      </c>
      <c r="W58" s="27" t="s">
        <v>85</v>
      </c>
      <c r="X58" s="27">
        <v>0</v>
      </c>
      <c r="Y58" s="14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27"/>
      <c r="AJ58" s="27"/>
      <c r="AK58" s="27">
        <v>0</v>
      </c>
      <c r="AL58" s="27">
        <v>0</v>
      </c>
      <c r="AM58" s="148" t="s">
        <v>83</v>
      </c>
      <c r="AN58" s="27"/>
      <c r="AO58" s="27"/>
      <c r="AP58" s="27">
        <v>1</v>
      </c>
    </row>
    <row r="59" spans="1:42">
      <c r="A59" s="127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29" t="str">
        <f t="shared" ref="J59:J62" si="12">H59</f>
        <v>|Cff00FF7F[防具]珊瑚玉衣lv2|r</v>
      </c>
      <c r="K59" s="129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0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27">
        <v>0</v>
      </c>
      <c r="Q59" s="27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27">
        <v>3</v>
      </c>
      <c r="W59" s="27" t="s">
        <v>85</v>
      </c>
      <c r="X59" s="27">
        <v>0</v>
      </c>
      <c r="Y59" s="14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27"/>
      <c r="AJ59" s="27"/>
      <c r="AK59" s="27">
        <v>0</v>
      </c>
      <c r="AL59" s="27">
        <v>0</v>
      </c>
      <c r="AM59" s="148" t="s">
        <v>83</v>
      </c>
      <c r="AN59" s="27"/>
      <c r="AO59" s="27"/>
      <c r="AP59" s="27">
        <v>1</v>
      </c>
    </row>
    <row r="60" spans="1:42">
      <c r="A60" s="127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29" t="str">
        <f t="shared" si="12"/>
        <v>|Cff00FF7F[防具]珊瑚玉衣lv3|r</v>
      </c>
      <c r="K60" s="129" t="str">
        <f t="shared" si="13"/>
        <v>|Cffbbbbbb属性：|r|n护甲+320|n生命值+16500|n生命回复+330|n生命恢复%+1|n|n|Cff00ff7f点击消耗2500金币进行强化|n成功率85%</v>
      </c>
      <c r="L60" s="27"/>
      <c r="M60" s="130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27">
        <v>0</v>
      </c>
      <c r="Q60" s="27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27">
        <v>3</v>
      </c>
      <c r="W60" s="27" t="s">
        <v>85</v>
      </c>
      <c r="X60" s="27">
        <v>0</v>
      </c>
      <c r="Y60" s="14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27"/>
      <c r="AJ60" s="27"/>
      <c r="AK60" s="27">
        <v>0</v>
      </c>
      <c r="AL60" s="27">
        <v>0</v>
      </c>
      <c r="AM60" s="148" t="s">
        <v>83</v>
      </c>
      <c r="AN60" s="27"/>
      <c r="AO60" s="27"/>
      <c r="AP60" s="27">
        <v>1</v>
      </c>
    </row>
    <row r="61" spans="1:42">
      <c r="A61" s="127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29" t="str">
        <f t="shared" si="12"/>
        <v>|Cff00FF7F[防具]珊瑚玉衣lv4|r</v>
      </c>
      <c r="K61" s="129" t="str">
        <f t="shared" si="13"/>
        <v>|Cffbbbbbb属性：|r|n护甲+380|n生命值+21000|n生命回复+420|n生命恢复%+1|n|n|Cff00ff7f点击消耗2500金币进行强化|n成功率85%</v>
      </c>
      <c r="L61" s="27"/>
      <c r="M61" s="130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27">
        <v>0</v>
      </c>
      <c r="Q61" s="27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27">
        <v>3</v>
      </c>
      <c r="W61" s="27" t="s">
        <v>85</v>
      </c>
      <c r="X61" s="27">
        <v>0</v>
      </c>
      <c r="Y61" s="14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27"/>
      <c r="AJ61" s="27"/>
      <c r="AK61" s="27">
        <v>0</v>
      </c>
      <c r="AL61" s="27">
        <v>0</v>
      </c>
      <c r="AM61" s="148" t="s">
        <v>83</v>
      </c>
      <c r="AN61" s="27"/>
      <c r="AO61" s="27"/>
      <c r="AP61" s="27">
        <v>1</v>
      </c>
    </row>
    <row r="62" spans="1:42">
      <c r="A62" s="127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29" t="str">
        <f t="shared" si="12"/>
        <v>|Cff00FF7F[防具]珊瑚玉衣lv5|r</v>
      </c>
      <c r="K62" s="129" t="str">
        <f t="shared" si="13"/>
        <v>|Cffbbbbbb属性：|r|n护甲+440|n生命值+25500|n生命回复+510|n生命恢复%+1|n|n|Cff00ff7f点击消耗10000金币进行晋阶挑战</v>
      </c>
      <c r="L62" s="27"/>
      <c r="M62" s="130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27">
        <v>0</v>
      </c>
      <c r="Q62" s="27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27">
        <v>3</v>
      </c>
      <c r="W62" s="27" t="s">
        <v>85</v>
      </c>
      <c r="X62" s="27">
        <v>0</v>
      </c>
      <c r="Y62" s="14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27"/>
      <c r="AJ62" s="27"/>
      <c r="AK62" s="27">
        <v>0</v>
      </c>
      <c r="AL62" s="27">
        <v>0</v>
      </c>
      <c r="AM62" s="148" t="s">
        <v>83</v>
      </c>
      <c r="AN62" s="27"/>
      <c r="AO62" s="27"/>
      <c r="AP62" s="27">
        <v>1</v>
      </c>
    </row>
    <row r="63" spans="1:42">
      <c r="A63" s="127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29" t="str">
        <f t="shared" ref="J63:J77" si="14">H63</f>
        <v>|Cff00BFFF[防具]圣谕披风lv1|r</v>
      </c>
      <c r="K63" s="129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0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27">
        <v>0</v>
      </c>
      <c r="Q63" s="27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27">
        <v>3</v>
      </c>
      <c r="W63" s="27" t="s">
        <v>85</v>
      </c>
      <c r="X63" s="27">
        <v>0</v>
      </c>
      <c r="Y63" s="14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27"/>
      <c r="AJ63" s="27"/>
      <c r="AK63" s="27">
        <v>0</v>
      </c>
      <c r="AL63" s="27">
        <v>0</v>
      </c>
      <c r="AM63" s="148" t="s">
        <v>83</v>
      </c>
      <c r="AN63" s="27"/>
      <c r="AO63" s="27"/>
      <c r="AP63" s="27">
        <v>1</v>
      </c>
    </row>
    <row r="64" spans="1:42">
      <c r="A64" s="127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29" t="str">
        <f t="shared" si="14"/>
        <v>|Cff00BFFF[防具]圣谕披风lv2|r</v>
      </c>
      <c r="K64" s="129" t="str">
        <f t="shared" si="15"/>
        <v>|Cffbbbbbb属性：|r|n护甲+580|n生命值+52500|n生命回复+1050|n生命恢复%+1|n|n|Cff00ff7f点击消耗8000金币进行强化|n成功率70%</v>
      </c>
      <c r="L64" s="27"/>
      <c r="M64" s="130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27">
        <v>0</v>
      </c>
      <c r="Q64" s="27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27">
        <v>3</v>
      </c>
      <c r="W64" s="27" t="s">
        <v>85</v>
      </c>
      <c r="X64" s="27">
        <v>0</v>
      </c>
      <c r="Y64" s="14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27"/>
      <c r="AJ64" s="27"/>
      <c r="AK64" s="27">
        <v>0</v>
      </c>
      <c r="AL64" s="27">
        <v>0</v>
      </c>
      <c r="AM64" s="148" t="s">
        <v>83</v>
      </c>
      <c r="AN64" s="27"/>
      <c r="AO64" s="27"/>
      <c r="AP64" s="27">
        <v>1</v>
      </c>
    </row>
    <row r="65" spans="1:42">
      <c r="A65" s="127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29" t="str">
        <f t="shared" si="14"/>
        <v>|Cff00BFFF[防具]圣谕披风lv3|r</v>
      </c>
      <c r="K65" s="129" t="str">
        <f t="shared" si="15"/>
        <v>|Cffbbbbbb属性：|r|n护甲+660|n生命值+67500|n生命回复+1350|n生命恢复%+1|n|n|Cff00ff7f点击消耗8000金币进行强化|n成功率70%</v>
      </c>
      <c r="L65" s="27"/>
      <c r="M65" s="130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27">
        <v>0</v>
      </c>
      <c r="Q65" s="27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27">
        <v>3</v>
      </c>
      <c r="W65" s="27" t="s">
        <v>85</v>
      </c>
      <c r="X65" s="27">
        <v>0</v>
      </c>
      <c r="Y65" s="14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27"/>
      <c r="AJ65" s="27"/>
      <c r="AK65" s="27">
        <v>0</v>
      </c>
      <c r="AL65" s="27">
        <v>0</v>
      </c>
      <c r="AM65" s="148" t="s">
        <v>83</v>
      </c>
      <c r="AN65" s="27"/>
      <c r="AO65" s="27"/>
      <c r="AP65" s="27">
        <v>1</v>
      </c>
    </row>
    <row r="66" spans="1:42">
      <c r="A66" s="127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29" t="str">
        <f t="shared" si="14"/>
        <v>|Cff00BFFF[防具]圣谕披风lv4|r</v>
      </c>
      <c r="K66" s="129" t="str">
        <f t="shared" si="15"/>
        <v>|Cffbbbbbb属性：|r|n护甲+740|n生命值+82500|n生命回复+1650|n生命恢复%+1|n|n|Cff00ff7f点击消耗8000金币进行强化|n成功率70%</v>
      </c>
      <c r="L66" s="27"/>
      <c r="M66" s="130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27">
        <v>0</v>
      </c>
      <c r="Q66" s="27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27">
        <v>3</v>
      </c>
      <c r="W66" s="27" t="s">
        <v>85</v>
      </c>
      <c r="X66" s="27">
        <v>0</v>
      </c>
      <c r="Y66" s="14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27"/>
      <c r="AJ66" s="27"/>
      <c r="AK66" s="27">
        <v>0</v>
      </c>
      <c r="AL66" s="27">
        <v>0</v>
      </c>
      <c r="AM66" s="148" t="s">
        <v>83</v>
      </c>
      <c r="AN66" s="27"/>
      <c r="AO66" s="27"/>
      <c r="AP66" s="27">
        <v>1</v>
      </c>
    </row>
    <row r="67" spans="1:42">
      <c r="A67" s="127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29" t="str">
        <f t="shared" si="14"/>
        <v>|Cff00BFFF[防具]圣谕披风lv5|r</v>
      </c>
      <c r="K67" s="129" t="str">
        <f t="shared" si="15"/>
        <v>|Cffbbbbbb属性：|r|n护甲+820|n生命值+97500|n生命回复+1950|n生命恢复%+1|n|n|Cff00ff7f点击消耗30000金币进行晋阶挑战</v>
      </c>
      <c r="L67" s="27"/>
      <c r="M67" s="130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27">
        <v>0</v>
      </c>
      <c r="Q67" s="27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27">
        <v>3</v>
      </c>
      <c r="W67" s="27" t="s">
        <v>85</v>
      </c>
      <c r="X67" s="27">
        <v>0</v>
      </c>
      <c r="Y67" s="14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27"/>
      <c r="AJ67" s="27"/>
      <c r="AK67" s="27">
        <v>0</v>
      </c>
      <c r="AL67" s="27">
        <v>0</v>
      </c>
      <c r="AM67" s="148" t="s">
        <v>83</v>
      </c>
      <c r="AN67" s="27"/>
      <c r="AO67" s="27"/>
      <c r="AP67" s="27">
        <v>1</v>
      </c>
    </row>
    <row r="68" spans="1:42">
      <c r="A68" s="127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29" t="str">
        <f t="shared" si="14"/>
        <v>|CffFFC926[防具]乾坤护心甲lv1|r</v>
      </c>
      <c r="K68" s="129" t="str">
        <f t="shared" si="15"/>
        <v>|Cffbbbbbb属性：|r|n护甲+1000|n生命值+150000|n生命回复+3000|n生命恢复%+2|n|n|Cff00ff7f点击消耗20000金币进行强化|n成功率60%</v>
      </c>
      <c r="L68" s="27"/>
      <c r="M68" s="130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27">
        <v>0</v>
      </c>
      <c r="Q68" s="27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27">
        <v>3</v>
      </c>
      <c r="W68" s="27" t="s">
        <v>85</v>
      </c>
      <c r="X68" s="27">
        <v>0</v>
      </c>
      <c r="Y68" s="14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27"/>
      <c r="AJ68" s="27"/>
      <c r="AK68" s="27">
        <v>0</v>
      </c>
      <c r="AL68" s="27">
        <v>0</v>
      </c>
      <c r="AM68" s="148" t="s">
        <v>83</v>
      </c>
      <c r="AN68" s="27"/>
      <c r="AO68" s="27"/>
      <c r="AP68" s="27">
        <v>1</v>
      </c>
    </row>
    <row r="69" spans="1:42">
      <c r="A69" s="127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29" t="str">
        <f t="shared" si="14"/>
        <v>|CffFFC926[防具]乾坤护心甲lv2|r</v>
      </c>
      <c r="K69" s="129" t="str">
        <f t="shared" si="15"/>
        <v>|Cffbbbbbb属性：|r|n护甲+1100|n生命值+225000|n生命回复+4500|n生命恢复%+2|n|n|Cff00ff7f点击消耗20000金币进行强化|n成功率60%</v>
      </c>
      <c r="L69" s="27"/>
      <c r="M69" s="130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27">
        <v>0</v>
      </c>
      <c r="Q69" s="27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27">
        <v>3</v>
      </c>
      <c r="W69" s="27" t="s">
        <v>85</v>
      </c>
      <c r="X69" s="27">
        <v>0</v>
      </c>
      <c r="Y69" s="14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27"/>
      <c r="AJ69" s="27"/>
      <c r="AK69" s="27">
        <v>0</v>
      </c>
      <c r="AL69" s="27">
        <v>0</v>
      </c>
      <c r="AM69" s="148" t="s">
        <v>83</v>
      </c>
      <c r="AN69" s="27"/>
      <c r="AO69" s="27"/>
      <c r="AP69" s="27">
        <v>1</v>
      </c>
    </row>
    <row r="70" spans="1:42">
      <c r="A70" s="127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29" t="str">
        <f t="shared" si="14"/>
        <v>|CffFFC926[防具]乾坤护心甲lv3|r</v>
      </c>
      <c r="K70" s="129" t="str">
        <f t="shared" si="15"/>
        <v>|Cffbbbbbb属性：|r|n护甲+1200|n生命值+300000|n生命回复+6000|n生命恢复%+2|n|n|Cff00ff7f点击消耗20000金币进行强化|n成功率60%</v>
      </c>
      <c r="L70" s="27"/>
      <c r="M70" s="130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27">
        <v>0</v>
      </c>
      <c r="Q70" s="27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27">
        <v>3</v>
      </c>
      <c r="W70" s="27" t="s">
        <v>85</v>
      </c>
      <c r="X70" s="27">
        <v>0</v>
      </c>
      <c r="Y70" s="14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27"/>
      <c r="AJ70" s="27"/>
      <c r="AK70" s="27">
        <v>0</v>
      </c>
      <c r="AL70" s="27">
        <v>0</v>
      </c>
      <c r="AM70" s="148" t="s">
        <v>83</v>
      </c>
      <c r="AN70" s="27"/>
      <c r="AO70" s="27"/>
      <c r="AP70" s="27">
        <v>1</v>
      </c>
    </row>
    <row r="71" spans="1:42">
      <c r="A71" s="127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29" t="str">
        <f t="shared" si="14"/>
        <v>|CffFFC926[防具]乾坤护心甲lv4|r</v>
      </c>
      <c r="K71" s="129" t="str">
        <f t="shared" si="15"/>
        <v>|Cffbbbbbb属性：|r|n护甲+1300|n生命值+375000|n生命回复+7500|n生命恢复%+2|n|n|Cff00ff7f点击消耗20000金币进行强化|n成功率60%</v>
      </c>
      <c r="L71" s="27"/>
      <c r="M71" s="130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27">
        <v>0</v>
      </c>
      <c r="Q71" s="27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27">
        <v>3</v>
      </c>
      <c r="W71" s="27" t="s">
        <v>85</v>
      </c>
      <c r="X71" s="27">
        <v>0</v>
      </c>
      <c r="Y71" s="14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27"/>
      <c r="AJ71" s="27"/>
      <c r="AK71" s="27">
        <v>0</v>
      </c>
      <c r="AL71" s="27">
        <v>0</v>
      </c>
      <c r="AM71" s="148" t="s">
        <v>83</v>
      </c>
      <c r="AN71" s="27"/>
      <c r="AO71" s="27"/>
      <c r="AP71" s="27">
        <v>1</v>
      </c>
    </row>
    <row r="72" spans="1:42">
      <c r="A72" s="127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29" t="str">
        <f t="shared" si="14"/>
        <v>|CffFFC926[防具]乾坤护心甲lv5|r</v>
      </c>
      <c r="K72" s="129" t="str">
        <f t="shared" si="15"/>
        <v>|Cffbbbbbb属性：|r|n护甲+1400|n生命值+450000|n生命回复+9000|n生命恢复%+2|n|n|Cff00ff7f点击消耗35000金币进行晋阶挑战</v>
      </c>
      <c r="L72" s="27"/>
      <c r="M72" s="130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27">
        <v>0</v>
      </c>
      <c r="Q72" s="27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27">
        <v>3</v>
      </c>
      <c r="W72" s="27" t="s">
        <v>85</v>
      </c>
      <c r="X72" s="27">
        <v>0</v>
      </c>
      <c r="Y72" s="14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27"/>
      <c r="AJ72" s="27"/>
      <c r="AK72" s="27">
        <v>0</v>
      </c>
      <c r="AL72" s="27">
        <v>0</v>
      </c>
      <c r="AM72" s="148" t="s">
        <v>83</v>
      </c>
      <c r="AN72" s="27"/>
      <c r="AO72" s="27"/>
      <c r="AP72" s="27">
        <v>1</v>
      </c>
    </row>
    <row r="73" spans="1:42">
      <c r="A73" s="127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29" t="str">
        <f t="shared" si="14"/>
        <v>|CffFF0000[防具]九龙黄金甲lv1|r</v>
      </c>
      <c r="K73" s="129" t="str">
        <f t="shared" si="15"/>
        <v>|Cffbbbbbb属性：|r|n护甲+1800|n生命值+750000|n生命回复+15000|n生命恢复%+3|n|n|Cff00ff7f点击消耗35000金币进行强化|n成功率50%</v>
      </c>
      <c r="L73" s="27"/>
      <c r="M73" s="130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27">
        <v>0</v>
      </c>
      <c r="Q73" s="27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27">
        <v>3</v>
      </c>
      <c r="W73" s="27" t="s">
        <v>85</v>
      </c>
      <c r="X73" s="27">
        <v>0</v>
      </c>
      <c r="Y73" s="14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27"/>
      <c r="AJ73" s="27"/>
      <c r="AK73" s="27">
        <v>0</v>
      </c>
      <c r="AL73" s="27">
        <v>0</v>
      </c>
      <c r="AM73" s="148" t="s">
        <v>83</v>
      </c>
      <c r="AN73" s="27"/>
      <c r="AO73" s="27"/>
      <c r="AP73" s="27">
        <v>1</v>
      </c>
    </row>
    <row r="74" spans="1:42">
      <c r="A74" s="127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29" t="str">
        <f t="shared" si="14"/>
        <v>|CffFF0000[防具]九龙黄金甲lv2|r</v>
      </c>
      <c r="K74" s="129" t="str">
        <f t="shared" si="15"/>
        <v>|Cffbbbbbb属性：|r|n护甲+2000|n生命值+1200000|n生命回复+24000|n生命恢复%+3|n|n|Cff00ff7f点击消耗35000金币进行强化|n成功率50%</v>
      </c>
      <c r="L74" s="27"/>
      <c r="M74" s="130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27">
        <v>0</v>
      </c>
      <c r="Q74" s="27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27">
        <v>3</v>
      </c>
      <c r="W74" s="27" t="s">
        <v>85</v>
      </c>
      <c r="X74" s="27">
        <v>0</v>
      </c>
      <c r="Y74" s="14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27"/>
      <c r="AJ74" s="27"/>
      <c r="AK74" s="27">
        <v>0</v>
      </c>
      <c r="AL74" s="27">
        <v>0</v>
      </c>
      <c r="AM74" s="148" t="s">
        <v>83</v>
      </c>
      <c r="AN74" s="27"/>
      <c r="AO74" s="27"/>
      <c r="AP74" s="27">
        <v>1</v>
      </c>
    </row>
    <row r="75" spans="1:42">
      <c r="A75" s="127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29" t="str">
        <f t="shared" si="14"/>
        <v>|CffFF0000[防具]九龙黄金甲lv3|r</v>
      </c>
      <c r="K75" s="129" t="str">
        <f t="shared" si="15"/>
        <v>|Cffbbbbbb属性：|r|n护甲+2200|n生命值+1650000|n生命回复+33000|n生命恢复%+3|n|n|Cff00ff7f点击消耗35000金币进行强化|n成功率50%</v>
      </c>
      <c r="L75" s="27"/>
      <c r="M75" s="130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27">
        <v>0</v>
      </c>
      <c r="Q75" s="27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27">
        <v>3</v>
      </c>
      <c r="W75" s="27" t="s">
        <v>85</v>
      </c>
      <c r="X75" s="27">
        <v>0</v>
      </c>
      <c r="Y75" s="14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27"/>
      <c r="AJ75" s="27"/>
      <c r="AK75" s="27">
        <v>0</v>
      </c>
      <c r="AL75" s="27">
        <v>0</v>
      </c>
      <c r="AM75" s="148" t="s">
        <v>83</v>
      </c>
      <c r="AN75" s="27"/>
      <c r="AO75" s="27"/>
      <c r="AP75" s="27">
        <v>1</v>
      </c>
    </row>
    <row r="76" spans="1:42">
      <c r="A76" s="127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29" t="str">
        <f t="shared" si="14"/>
        <v>|CffFF0000[防具]九龙黄金甲lv4|r</v>
      </c>
      <c r="K76" s="129" t="str">
        <f t="shared" si="15"/>
        <v>|Cffbbbbbb属性：|r|n护甲+2400|n生命值+2100000|n生命回复+42000|n生命恢复%+3|n|n|Cff00ff7f点击消耗35000金币进行强化|n成功率50%</v>
      </c>
      <c r="L76" s="27"/>
      <c r="M76" s="130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27">
        <v>0</v>
      </c>
      <c r="Q76" s="27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27">
        <v>3</v>
      </c>
      <c r="W76" s="27" t="s">
        <v>85</v>
      </c>
      <c r="X76" s="27">
        <v>0</v>
      </c>
      <c r="Y76" s="14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27"/>
      <c r="AJ76" s="27"/>
      <c r="AK76" s="27">
        <v>0</v>
      </c>
      <c r="AL76" s="27">
        <v>0</v>
      </c>
      <c r="AM76" s="148" t="s">
        <v>83</v>
      </c>
      <c r="AN76" s="27"/>
      <c r="AO76" s="27"/>
      <c r="AP76" s="27">
        <v>1</v>
      </c>
    </row>
    <row r="77" spans="1:42">
      <c r="A77" s="127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29" t="str">
        <f t="shared" si="14"/>
        <v>|CffFF0000[防具]九龙黄金甲lv5|r</v>
      </c>
      <c r="K77" s="129" t="str">
        <f t="shared" si="15"/>
        <v>|Cffbbbbbb属性：|r|n护甲+2600|n生命值+3000000|n生命回复+60000|n生命恢复%+5|n|Cff999999装备进化：未开放|r</v>
      </c>
      <c r="L77" s="27"/>
      <c r="M77" s="130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27">
        <v>0</v>
      </c>
      <c r="Q77" s="27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27">
        <v>3</v>
      </c>
      <c r="W77" s="27" t="s">
        <v>85</v>
      </c>
      <c r="X77" s="27">
        <v>0</v>
      </c>
      <c r="Y77" s="14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27"/>
      <c r="AJ77" s="27"/>
      <c r="AK77" s="27">
        <v>0</v>
      </c>
      <c r="AL77" s="27">
        <v>0</v>
      </c>
      <c r="AM77" s="148" t="s">
        <v>83</v>
      </c>
      <c r="AN77" s="27"/>
      <c r="AO77" s="27"/>
      <c r="AP77" s="27"/>
    </row>
    <row r="78" spans="1:42">
      <c r="A78" s="127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29" t="str">
        <f t="shared" ref="J78" si="16">H78</f>
        <v>低级道果【1】</v>
      </c>
      <c r="K78" s="129" t="str">
        <f t="shared" ref="K78" si="17">I78</f>
        <v>|Cffbbbbbb属性：|r|n攻击+7500|n生命值+30000|n物理伤害+20%|n法术伤害+20%|n杀敌攻击+8|n杀敌业力+1|n杀敌生命+30|n</v>
      </c>
      <c r="L78" s="27"/>
      <c r="M78" s="130" t="str">
        <f>VLOOKUP(LEFT(RIGHT(B78,5),4),物品!B:CU,20,FALSE)</f>
        <v>ReplaceableTextures\\CommandButtons\\BTNOrbOfFrost.blp</v>
      </c>
      <c r="N78" s="148" t="s">
        <v>83</v>
      </c>
      <c r="O78" s="130" t="s">
        <v>87</v>
      </c>
      <c r="P78" s="27">
        <v>0</v>
      </c>
      <c r="Q78" s="27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27"/>
      <c r="W78" s="27" t="s">
        <v>88</v>
      </c>
      <c r="X78" s="27">
        <v>0</v>
      </c>
      <c r="Y78" s="14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27">
        <v>1</v>
      </c>
      <c r="AJ78" s="27"/>
      <c r="AK78" s="27">
        <v>1</v>
      </c>
      <c r="AL78" s="27">
        <v>1</v>
      </c>
      <c r="AM78" s="148" t="s">
        <v>83</v>
      </c>
      <c r="AN78" s="27">
        <v>1</v>
      </c>
      <c r="AO78" s="27">
        <v>1</v>
      </c>
      <c r="AP78" s="27">
        <v>1</v>
      </c>
    </row>
    <row r="79" spans="1:42">
      <c r="A79" s="127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29" t="str">
        <f t="shared" ref="J79:J82" si="18">H79</f>
        <v>中级道果【2】</v>
      </c>
      <c r="K79" s="129" t="str">
        <f t="shared" ref="K79:K82" si="19">I79</f>
        <v>|Cffbbbbbb属性：|r|n攻击+18000|n生命值+72000|n物理伤害+20%|n法术伤害+20%|n杀敌攻击+8|n杀敌业力+1|n杀敌生命+30|n</v>
      </c>
      <c r="L79" s="27"/>
      <c r="M79" s="130" t="str">
        <f>VLOOKUP(LEFT(RIGHT(B79,5),4),物品!B:CU,20,FALSE)</f>
        <v>ReplaceableTextures\\CommandButtons\\BTNOrbOfVenom.blp</v>
      </c>
      <c r="N79" s="148" t="s">
        <v>83</v>
      </c>
      <c r="O79" s="130" t="s">
        <v>87</v>
      </c>
      <c r="P79" s="27">
        <v>0</v>
      </c>
      <c r="Q79" s="27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27"/>
      <c r="W79" s="27" t="s">
        <v>88</v>
      </c>
      <c r="X79" s="27">
        <v>0</v>
      </c>
      <c r="Y79" s="14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27">
        <v>1</v>
      </c>
      <c r="AJ79" s="27"/>
      <c r="AK79" s="27">
        <v>1</v>
      </c>
      <c r="AL79" s="27">
        <v>1</v>
      </c>
      <c r="AM79" s="148" t="s">
        <v>83</v>
      </c>
      <c r="AN79" s="27">
        <v>1</v>
      </c>
      <c r="AO79" s="27">
        <v>1</v>
      </c>
      <c r="AP79" s="27">
        <v>1</v>
      </c>
    </row>
    <row r="80" spans="1:42">
      <c r="A80" s="127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29" t="str">
        <f t="shared" si="18"/>
        <v>|Cff00FF7F高级道果【3】|r</v>
      </c>
      <c r="K80" s="129" t="str">
        <f t="shared" si="19"/>
        <v>|Cffbbbbbb属性：|r|n攻击+37500|n生命值+150000|n物理伤害+20%|n法术伤害+20%|n杀敌攻击+8|n杀敌业力+1|n杀敌生命+30|n</v>
      </c>
      <c r="L80" s="27"/>
      <c r="M80" s="130" t="str">
        <f>VLOOKUP(LEFT(RIGHT(B80,5),4),物品!B:CU,20,FALSE)</f>
        <v>ReplaceableTextures\\CommandButtons\\BTNOrbOfCorruption.blp</v>
      </c>
      <c r="N80" s="148" t="s">
        <v>83</v>
      </c>
      <c r="O80" s="130" t="s">
        <v>89</v>
      </c>
      <c r="P80" s="27">
        <v>0</v>
      </c>
      <c r="Q80" s="27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27"/>
      <c r="W80" s="27" t="s">
        <v>88</v>
      </c>
      <c r="X80" s="27">
        <v>0</v>
      </c>
      <c r="Y80" s="14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27">
        <v>1</v>
      </c>
      <c r="AJ80" s="27"/>
      <c r="AK80" s="27">
        <v>1</v>
      </c>
      <c r="AL80" s="27">
        <v>1</v>
      </c>
      <c r="AM80" s="148" t="s">
        <v>83</v>
      </c>
      <c r="AN80" s="27">
        <v>1</v>
      </c>
      <c r="AO80" s="27">
        <v>1</v>
      </c>
      <c r="AP80" s="27">
        <v>1</v>
      </c>
    </row>
    <row r="81" spans="1:42">
      <c r="A81" s="127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29" t="str">
        <f t="shared" si="18"/>
        <v>|Cff00FF7F黄级道果【4】|r</v>
      </c>
      <c r="K81" s="129" t="str">
        <f t="shared" si="19"/>
        <v>|Cffbbbbbb属性：|r|n攻击+60000|n生命值+240000|n物理伤害+25%|n法术伤害+25%|n杀敌攻击+8|n杀敌业力+1|n杀敌生命+30|n</v>
      </c>
      <c r="L81" s="27"/>
      <c r="M81" s="130" t="str">
        <f>VLOOKUP(LEFT(RIGHT(B81,5),4),物品!B:CU,20,FALSE)</f>
        <v>ReplaceableTextures\\CommandButtons\\BTNOrbOfFire.blp</v>
      </c>
      <c r="N81" s="148" t="s">
        <v>83</v>
      </c>
      <c r="O81" s="130" t="s">
        <v>89</v>
      </c>
      <c r="P81" s="27">
        <v>0</v>
      </c>
      <c r="Q81" s="27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27"/>
      <c r="W81" s="27" t="s">
        <v>88</v>
      </c>
      <c r="X81" s="27">
        <v>0</v>
      </c>
      <c r="Y81" s="14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27">
        <v>1</v>
      </c>
      <c r="AJ81" s="27"/>
      <c r="AK81" s="27">
        <v>1</v>
      </c>
      <c r="AL81" s="27">
        <v>1</v>
      </c>
      <c r="AM81" s="148" t="s">
        <v>83</v>
      </c>
      <c r="AN81" s="27">
        <v>1</v>
      </c>
      <c r="AO81" s="27">
        <v>1</v>
      </c>
      <c r="AP81" s="27">
        <v>1</v>
      </c>
    </row>
    <row r="82" spans="1:42">
      <c r="A82" s="127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29" t="str">
        <f t="shared" si="18"/>
        <v>|Cff00BFFF玄级道果【5】|r</v>
      </c>
      <c r="K82" s="129" t="str">
        <f t="shared" si="19"/>
        <v>|Cffbbbbbb属性：|r|n攻击+82500|n生命值+330000|n物理伤害+25%|n法术伤害+25%|n杀敌攻击+8|n杀敌业力+1|n杀敌生命+30|n</v>
      </c>
      <c r="L82" s="27"/>
      <c r="M82" s="130" t="str">
        <f>VLOOKUP(LEFT(RIGHT(B82,5),4),物品!B:CU,20,FALSE)</f>
        <v>ReplaceableTextures\\CommandButtons\\BTNUsedSoulGem.blp</v>
      </c>
      <c r="N82" s="148" t="s">
        <v>83</v>
      </c>
      <c r="O82" s="130" t="s">
        <v>90</v>
      </c>
      <c r="P82" s="27">
        <v>0</v>
      </c>
      <c r="Q82" s="27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27"/>
      <c r="W82" s="27" t="s">
        <v>88</v>
      </c>
      <c r="X82" s="27">
        <v>0</v>
      </c>
      <c r="Y82" s="14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27">
        <v>1</v>
      </c>
      <c r="AJ82" s="27"/>
      <c r="AK82" s="27">
        <v>1</v>
      </c>
      <c r="AL82" s="27">
        <v>1</v>
      </c>
      <c r="AM82" s="148" t="s">
        <v>83</v>
      </c>
      <c r="AN82" s="27">
        <v>1</v>
      </c>
      <c r="AO82" s="27">
        <v>1</v>
      </c>
      <c r="AP82" s="27">
        <v>1</v>
      </c>
    </row>
    <row r="83" spans="1:42">
      <c r="A83" s="127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29" t="str">
        <f t="shared" ref="J83:J108" si="20">H83</f>
        <v>|Cff00BFFF地级道果【6】|r</v>
      </c>
      <c r="K83" s="129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0" t="str">
        <f>VLOOKUP(LEFT(RIGHT(B83,5),4),物品!B:CU,20,FALSE)</f>
        <v>ReplaceableTextures\\CommandButtons\\BTNOrbofSlowness.blp</v>
      </c>
      <c r="N83" s="148" t="s">
        <v>83</v>
      </c>
      <c r="O83" s="130" t="s">
        <v>90</v>
      </c>
      <c r="P83" s="27">
        <v>0</v>
      </c>
      <c r="Q83" s="27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27"/>
      <c r="W83" s="27" t="s">
        <v>88</v>
      </c>
      <c r="X83" s="27">
        <v>0</v>
      </c>
      <c r="Y83" s="14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27">
        <v>1</v>
      </c>
      <c r="AJ83" s="27"/>
      <c r="AK83" s="27">
        <v>1</v>
      </c>
      <c r="AL83" s="27">
        <v>1</v>
      </c>
      <c r="AM83" s="148" t="s">
        <v>83</v>
      </c>
      <c r="AN83" s="27">
        <v>1</v>
      </c>
      <c r="AO83" s="27">
        <v>1</v>
      </c>
      <c r="AP83" s="27">
        <v>1</v>
      </c>
    </row>
    <row r="84" spans="1:42">
      <c r="A84" s="127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29" t="str">
        <f t="shared" si="20"/>
        <v>|CffFFC926天级道果【7】|r</v>
      </c>
      <c r="K84" s="129" t="str">
        <f t="shared" si="21"/>
        <v>|Cffbbbbbb属性：|r|n攻击+180000|n生命值+720000|n物理伤害+30%|n法术伤害+30%|n杀敌攻击+8|n杀敌业力+1|n杀敌生命+30|n</v>
      </c>
      <c r="L84" s="27"/>
      <c r="M84" s="130" t="str">
        <f>VLOOKUP(LEFT(RIGHT(B84,5),4),物品!B:CU,20,FALSE)</f>
        <v>ReplaceableTextures\\CommandButtons\\BTNOrbOfLightning.blp</v>
      </c>
      <c r="N84" s="148" t="s">
        <v>83</v>
      </c>
      <c r="O84" s="130" t="s">
        <v>91</v>
      </c>
      <c r="P84" s="27">
        <v>0</v>
      </c>
      <c r="Q84" s="27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27"/>
      <c r="W84" s="27" t="s">
        <v>88</v>
      </c>
      <c r="X84" s="27">
        <v>0</v>
      </c>
      <c r="Y84" s="14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27">
        <v>1</v>
      </c>
      <c r="AJ84" s="27"/>
      <c r="AK84" s="27">
        <v>1</v>
      </c>
      <c r="AL84" s="27">
        <v>1</v>
      </c>
      <c r="AM84" s="148" t="s">
        <v>83</v>
      </c>
      <c r="AN84" s="27">
        <v>1</v>
      </c>
      <c r="AO84" s="27">
        <v>1</v>
      </c>
      <c r="AP84" s="27">
        <v>1</v>
      </c>
    </row>
    <row r="85" spans="1:42">
      <c r="A85" s="127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29" t="str">
        <f t="shared" si="20"/>
        <v>|CffFFC926仙品道果【8】|r</v>
      </c>
      <c r="K85" s="129" t="str">
        <f t="shared" si="21"/>
        <v>|Cffbbbbbb属性：|r|n攻击+300000|n生命值+1200000|n物理伤害+30%|n法术伤害+30%|n杀敌攻击+8|n杀敌业力+1|n杀敌生命+30|n</v>
      </c>
      <c r="L85" s="27"/>
      <c r="M85" s="130" t="str">
        <f>VLOOKUP(LEFT(RIGHT(B85,5),4),物品!B:CU,20,FALSE)</f>
        <v>ReplaceableTextures\\CommandButtons\\BTNHeartOfAszune.blp</v>
      </c>
      <c r="N85" s="148" t="s">
        <v>83</v>
      </c>
      <c r="O85" s="130" t="s">
        <v>91</v>
      </c>
      <c r="P85" s="27">
        <v>0</v>
      </c>
      <c r="Q85" s="27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27"/>
      <c r="W85" s="27" t="s">
        <v>88</v>
      </c>
      <c r="X85" s="27">
        <v>0</v>
      </c>
      <c r="Y85" s="14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27">
        <v>1</v>
      </c>
      <c r="AJ85" s="27"/>
      <c r="AK85" s="27">
        <v>1</v>
      </c>
      <c r="AL85" s="27">
        <v>1</v>
      </c>
      <c r="AM85" s="148" t="s">
        <v>83</v>
      </c>
      <c r="AN85" s="27">
        <v>1</v>
      </c>
      <c r="AO85" s="27">
        <v>1</v>
      </c>
      <c r="AP85" s="27">
        <v>1</v>
      </c>
    </row>
    <row r="86" spans="1:42">
      <c r="A86" s="127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29" t="str">
        <f t="shared" si="20"/>
        <v>|CffFF0000至圣道果【9】|r</v>
      </c>
      <c r="K86" s="129" t="str">
        <f t="shared" si="21"/>
        <v>|Cffbbbbbb属性：|r|n攻击+450000|n生命值+1800000|n物理伤害+30%|n法术伤害+30%|n杀敌攻击+8|n杀敌业力+1|n杀敌生命+30|n</v>
      </c>
      <c r="L86" s="27"/>
      <c r="M86" s="130" t="str">
        <f>VLOOKUP(LEFT(RIGHT(B86,5),4),物品!B:CU,20,FALSE)</f>
        <v>ReplaceableTextures\\CommandButtons\\BTNPhilosophersStone.blp</v>
      </c>
      <c r="N86" s="148" t="s">
        <v>83</v>
      </c>
      <c r="O86" s="130" t="s">
        <v>92</v>
      </c>
      <c r="P86" s="27">
        <v>0</v>
      </c>
      <c r="Q86" s="27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27"/>
      <c r="W86" s="27" t="s">
        <v>88</v>
      </c>
      <c r="X86" s="27">
        <v>0</v>
      </c>
      <c r="Y86" s="14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27">
        <v>1</v>
      </c>
      <c r="AJ86" s="27"/>
      <c r="AK86" s="27">
        <v>1</v>
      </c>
      <c r="AL86" s="27">
        <v>1</v>
      </c>
      <c r="AM86" s="148" t="s">
        <v>83</v>
      </c>
      <c r="AN86" s="27">
        <v>1</v>
      </c>
      <c r="AO86" s="27">
        <v>1</v>
      </c>
      <c r="AP86" s="27">
        <v>1</v>
      </c>
    </row>
    <row r="87" spans="1:42">
      <c r="A87" s="127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29" t="str">
        <f t="shared" si="20"/>
        <v>|CffFF0000混沌道果【10】|r</v>
      </c>
      <c r="K87" s="129" t="str">
        <f t="shared" si="21"/>
        <v>|Cffbbbbbb属性：|r|n攻击+750000|n生命值+3000000|n物理伤害+40%|n法术伤害+40%|n杀敌攻击+8|n杀敌业力+1|n杀敌生命+30|n</v>
      </c>
      <c r="L87" s="27"/>
      <c r="M87" s="130" t="str">
        <f>VLOOKUP(LEFT(RIGHT(B87,5),4),物品!B:CU,20,FALSE)</f>
        <v>ReplaceableTextures\\CommandButtons\\BTNOrbOfDarkness.blp</v>
      </c>
      <c r="N87" s="148" t="s">
        <v>83</v>
      </c>
      <c r="O87" s="130" t="s">
        <v>92</v>
      </c>
      <c r="P87" s="27">
        <v>0</v>
      </c>
      <c r="Q87" s="27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27"/>
      <c r="W87" s="27" t="s">
        <v>88</v>
      </c>
      <c r="X87" s="27">
        <v>0</v>
      </c>
      <c r="Y87" s="14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27">
        <v>1</v>
      </c>
      <c r="AJ87" s="27"/>
      <c r="AK87" s="27">
        <v>1</v>
      </c>
      <c r="AL87" s="27">
        <v>1</v>
      </c>
      <c r="AM87" s="148" t="s">
        <v>83</v>
      </c>
      <c r="AN87" s="27">
        <v>1</v>
      </c>
      <c r="AO87" s="27">
        <v>1</v>
      </c>
      <c r="AP87" s="27">
        <v>1</v>
      </c>
    </row>
    <row r="88" spans="1:42">
      <c r="A88" s="127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9" t="str">
        <f t="shared" ref="J88:J97" si="22">H88</f>
        <v>完美的低级道果【1】</v>
      </c>
      <c r="K88" s="129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0" t="str">
        <f>VLOOKUP(LEFT(RIGHT(B88,5),4),物品!B:CU,20,FALSE)</f>
        <v>ReplaceableTextures\\CommandButtons\\BTNDG11.blp</v>
      </c>
      <c r="N88" s="148" t="s">
        <v>83</v>
      </c>
      <c r="O88" s="130" t="s">
        <v>87</v>
      </c>
      <c r="P88" s="27">
        <v>0</v>
      </c>
      <c r="Q88" s="27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27"/>
      <c r="W88" s="27" t="s">
        <v>93</v>
      </c>
      <c r="X88" s="27">
        <v>0</v>
      </c>
      <c r="Y88" s="148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27"/>
      <c r="AJ88" s="27"/>
      <c r="AK88" s="27">
        <v>1</v>
      </c>
      <c r="AL88" s="27">
        <v>1</v>
      </c>
      <c r="AM88" s="148" t="s">
        <v>83</v>
      </c>
      <c r="AN88" s="27">
        <v>1</v>
      </c>
      <c r="AO88" s="27">
        <v>1</v>
      </c>
      <c r="AP88" s="27">
        <v>1</v>
      </c>
    </row>
    <row r="89" spans="1:42">
      <c r="A89" s="127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29" t="str">
        <f t="shared" si="22"/>
        <v>完美的中级道果【2】</v>
      </c>
      <c r="K89" s="129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0" t="str">
        <f>VLOOKUP(LEFT(RIGHT(B89,5),4),物品!B:CU,20,FALSE)</f>
        <v>ReplaceableTextures\\CommandButtons\\BTNDG12.blp</v>
      </c>
      <c r="N89" s="148" t="s">
        <v>83</v>
      </c>
      <c r="O89" s="130" t="s">
        <v>87</v>
      </c>
      <c r="P89" s="27">
        <v>0</v>
      </c>
      <c r="Q89" s="27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27"/>
      <c r="W89" s="27" t="s">
        <v>93</v>
      </c>
      <c r="X89" s="27">
        <v>0</v>
      </c>
      <c r="Y89" s="148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27"/>
      <c r="AJ89" s="27"/>
      <c r="AK89" s="27">
        <v>1</v>
      </c>
      <c r="AL89" s="27">
        <v>1</v>
      </c>
      <c r="AM89" s="148" t="s">
        <v>83</v>
      </c>
      <c r="AN89" s="27">
        <v>1</v>
      </c>
      <c r="AO89" s="27">
        <v>1</v>
      </c>
      <c r="AP89" s="27">
        <v>1</v>
      </c>
    </row>
    <row r="90" spans="1:42">
      <c r="A90" s="127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29" t="str">
        <f t="shared" si="22"/>
        <v>|Cff00FF7F完美的高级道果【3】|r</v>
      </c>
      <c r="K90" s="129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0" t="str">
        <f>VLOOKUP(LEFT(RIGHT(B90,5),4),物品!B:CU,20,FALSE)</f>
        <v>ReplaceableTextures\\CommandButtons\\BTNDG13.blp</v>
      </c>
      <c r="N90" s="148" t="s">
        <v>83</v>
      </c>
      <c r="O90" s="130" t="s">
        <v>89</v>
      </c>
      <c r="P90" s="27">
        <v>0</v>
      </c>
      <c r="Q90" s="27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27"/>
      <c r="W90" s="27" t="s">
        <v>93</v>
      </c>
      <c r="X90" s="27">
        <v>0</v>
      </c>
      <c r="Y90" s="148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27"/>
      <c r="AJ90" s="27"/>
      <c r="AK90" s="27">
        <v>1</v>
      </c>
      <c r="AL90" s="27">
        <v>1</v>
      </c>
      <c r="AM90" s="148" t="s">
        <v>83</v>
      </c>
      <c r="AN90" s="27">
        <v>1</v>
      </c>
      <c r="AO90" s="27">
        <v>1</v>
      </c>
      <c r="AP90" s="27">
        <v>1</v>
      </c>
    </row>
    <row r="91" spans="1:42">
      <c r="A91" s="127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29" t="str">
        <f t="shared" si="22"/>
        <v>|Cff00FF7F完美的黄级道果【4】|r</v>
      </c>
      <c r="K91" s="129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0" t="str">
        <f>VLOOKUP(LEFT(RIGHT(B91,5),4),物品!B:CU,20,FALSE)</f>
        <v>ReplaceableTextures\\CommandButtons\\BTNDG14.blp</v>
      </c>
      <c r="N91" s="148" t="s">
        <v>83</v>
      </c>
      <c r="O91" s="130" t="s">
        <v>89</v>
      </c>
      <c r="P91" s="27">
        <v>0</v>
      </c>
      <c r="Q91" s="27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27"/>
      <c r="W91" s="27" t="s">
        <v>93</v>
      </c>
      <c r="X91" s="27">
        <v>0</v>
      </c>
      <c r="Y91" s="148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27"/>
      <c r="AJ91" s="27"/>
      <c r="AK91" s="27">
        <v>1</v>
      </c>
      <c r="AL91" s="27">
        <v>1</v>
      </c>
      <c r="AM91" s="148" t="s">
        <v>83</v>
      </c>
      <c r="AN91" s="27">
        <v>1</v>
      </c>
      <c r="AO91" s="27">
        <v>1</v>
      </c>
      <c r="AP91" s="27">
        <v>1</v>
      </c>
    </row>
    <row r="92" spans="1:42">
      <c r="A92" s="127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29" t="str">
        <f t="shared" si="22"/>
        <v>|Cff00BFFF完美的玄级道果【5】|r</v>
      </c>
      <c r="K92" s="129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0" t="str">
        <f>VLOOKUP(LEFT(RIGHT(B92,5),4),物品!B:CU,20,FALSE)</f>
        <v>ReplaceableTextures\\CommandButtons\\BTNDG15.blp</v>
      </c>
      <c r="N92" s="148" t="s">
        <v>83</v>
      </c>
      <c r="O92" s="130" t="s">
        <v>90</v>
      </c>
      <c r="P92" s="27">
        <v>0</v>
      </c>
      <c r="Q92" s="27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27"/>
      <c r="W92" s="27" t="s">
        <v>93</v>
      </c>
      <c r="X92" s="27">
        <v>0</v>
      </c>
      <c r="Y92" s="148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27"/>
      <c r="AJ92" s="27"/>
      <c r="AK92" s="27">
        <v>1</v>
      </c>
      <c r="AL92" s="27">
        <v>1</v>
      </c>
      <c r="AM92" s="148" t="s">
        <v>83</v>
      </c>
      <c r="AN92" s="27">
        <v>1</v>
      </c>
      <c r="AO92" s="27">
        <v>1</v>
      </c>
      <c r="AP92" s="27">
        <v>1</v>
      </c>
    </row>
    <row r="93" spans="1:42">
      <c r="A93" s="127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29" t="str">
        <f t="shared" si="22"/>
        <v>|Cff00BFFF完美的地级道果【6】|r</v>
      </c>
      <c r="K93" s="129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0" t="str">
        <f>VLOOKUP(LEFT(RIGHT(B93,5),4),物品!B:CU,20,FALSE)</f>
        <v>ReplaceableTextures\\CommandButtons\\BTNDG16.blp</v>
      </c>
      <c r="N93" s="148" t="s">
        <v>83</v>
      </c>
      <c r="O93" s="130" t="s">
        <v>90</v>
      </c>
      <c r="P93" s="27">
        <v>0</v>
      </c>
      <c r="Q93" s="27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27"/>
      <c r="W93" s="27" t="s">
        <v>93</v>
      </c>
      <c r="X93" s="27">
        <v>0</v>
      </c>
      <c r="Y93" s="148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27"/>
      <c r="AJ93" s="27"/>
      <c r="AK93" s="27">
        <v>1</v>
      </c>
      <c r="AL93" s="27">
        <v>1</v>
      </c>
      <c r="AM93" s="148" t="s">
        <v>83</v>
      </c>
      <c r="AN93" s="27">
        <v>1</v>
      </c>
      <c r="AO93" s="27">
        <v>1</v>
      </c>
      <c r="AP93" s="27">
        <v>1</v>
      </c>
    </row>
    <row r="94" spans="1:42">
      <c r="A94" s="127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29" t="str">
        <f t="shared" si="22"/>
        <v>|CffFFC926完美的天级道果【7】|r</v>
      </c>
      <c r="K94" s="129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0" t="str">
        <f>VLOOKUP(LEFT(RIGHT(B94,5),4),物品!B:CU,20,FALSE)</f>
        <v>ReplaceableTextures\\CommandButtons\\BTNDG17.blp</v>
      </c>
      <c r="N94" s="148" t="s">
        <v>83</v>
      </c>
      <c r="O94" s="130" t="s">
        <v>91</v>
      </c>
      <c r="P94" s="27">
        <v>0</v>
      </c>
      <c r="Q94" s="27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27"/>
      <c r="W94" s="27" t="s">
        <v>93</v>
      </c>
      <c r="X94" s="27">
        <v>0</v>
      </c>
      <c r="Y94" s="148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27"/>
      <c r="AJ94" s="27"/>
      <c r="AK94" s="27">
        <v>1</v>
      </c>
      <c r="AL94" s="27">
        <v>1</v>
      </c>
      <c r="AM94" s="148" t="s">
        <v>83</v>
      </c>
      <c r="AN94" s="27">
        <v>1</v>
      </c>
      <c r="AO94" s="27">
        <v>1</v>
      </c>
      <c r="AP94" s="27">
        <v>1</v>
      </c>
    </row>
    <row r="95" spans="1:42">
      <c r="A95" s="127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29" t="str">
        <f t="shared" si="22"/>
        <v>|CffFFC926完美的仙品道果【8】|r</v>
      </c>
      <c r="K95" s="129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0" t="str">
        <f>VLOOKUP(LEFT(RIGHT(B95,5),4),物品!B:CU,20,FALSE)</f>
        <v>ReplaceableTextures\\CommandButtons\\BTNDG18.blp</v>
      </c>
      <c r="N95" s="148" t="s">
        <v>83</v>
      </c>
      <c r="O95" s="130" t="s">
        <v>91</v>
      </c>
      <c r="P95" s="27">
        <v>0</v>
      </c>
      <c r="Q95" s="27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27"/>
      <c r="W95" s="27" t="s">
        <v>93</v>
      </c>
      <c r="X95" s="27">
        <v>0</v>
      </c>
      <c r="Y95" s="148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27"/>
      <c r="AJ95" s="27"/>
      <c r="AK95" s="27">
        <v>1</v>
      </c>
      <c r="AL95" s="27">
        <v>1</v>
      </c>
      <c r="AM95" s="148" t="s">
        <v>83</v>
      </c>
      <c r="AN95" s="27">
        <v>1</v>
      </c>
      <c r="AO95" s="27">
        <v>1</v>
      </c>
      <c r="AP95" s="27">
        <v>1</v>
      </c>
    </row>
    <row r="96" spans="1:42">
      <c r="A96" s="127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29" t="str">
        <f t="shared" si="22"/>
        <v>|CffFF0000完美的至圣道果【9】|r</v>
      </c>
      <c r="K96" s="129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0" t="str">
        <f>VLOOKUP(LEFT(RIGHT(B96,5),4),物品!B:CU,20,FALSE)</f>
        <v>ReplaceableTextures\\CommandButtons\\BTNDG19.blp</v>
      </c>
      <c r="N96" s="148" t="s">
        <v>83</v>
      </c>
      <c r="O96" s="130" t="s">
        <v>92</v>
      </c>
      <c r="P96" s="27">
        <v>0</v>
      </c>
      <c r="Q96" s="27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27"/>
      <c r="W96" s="27" t="s">
        <v>93</v>
      </c>
      <c r="X96" s="27">
        <v>0</v>
      </c>
      <c r="Y96" s="148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27"/>
      <c r="AJ96" s="27"/>
      <c r="AK96" s="27">
        <v>1</v>
      </c>
      <c r="AL96" s="27">
        <v>1</v>
      </c>
      <c r="AM96" s="148" t="s">
        <v>83</v>
      </c>
      <c r="AN96" s="27">
        <v>1</v>
      </c>
      <c r="AO96" s="27">
        <v>1</v>
      </c>
      <c r="AP96" s="27">
        <v>1</v>
      </c>
    </row>
    <row r="97" spans="1:42">
      <c r="A97" s="127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29" t="str">
        <f t="shared" si="22"/>
        <v>|CffFF0000完美的混沌道果【10】|r</v>
      </c>
      <c r="K97" s="129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0" t="str">
        <f>VLOOKUP(LEFT(RIGHT(B97,5),4),物品!B:CU,20,FALSE)</f>
        <v>ReplaceableTextures\\CommandButtons\\BTNDG20.blp</v>
      </c>
      <c r="N97" s="148" t="s">
        <v>83</v>
      </c>
      <c r="O97" s="130" t="s">
        <v>92</v>
      </c>
      <c r="P97" s="27">
        <v>0</v>
      </c>
      <c r="Q97" s="27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27"/>
      <c r="W97" s="27" t="s">
        <v>93</v>
      </c>
      <c r="X97" s="27">
        <v>0</v>
      </c>
      <c r="Y97" s="148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27"/>
      <c r="AJ97" s="27"/>
      <c r="AK97" s="27">
        <v>1</v>
      </c>
      <c r="AL97" s="27">
        <v>1</v>
      </c>
      <c r="AM97" s="148" t="s">
        <v>83</v>
      </c>
      <c r="AN97" s="27">
        <v>1</v>
      </c>
      <c r="AO97" s="27">
        <v>1</v>
      </c>
      <c r="AP97" s="27">
        <v>1</v>
      </c>
    </row>
    <row r="98" spans="1:42">
      <c r="A98" s="127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9" t="str">
        <f t="shared" si="20"/>
        <v>残缺的低级道果【1】</v>
      </c>
      <c r="K98" s="129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0" t="str">
        <f>VLOOKUP(LEFT(RIGHT(B98,5),4),物品!B:CU,20,FALSE)</f>
        <v>ReplaceableTextures\\CommandButtons\\BTNDG01.blp</v>
      </c>
      <c r="N98" s="148" t="s">
        <v>83</v>
      </c>
      <c r="O98" s="130" t="s">
        <v>87</v>
      </c>
      <c r="P98" s="27">
        <v>0</v>
      </c>
      <c r="Q98" s="27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27"/>
      <c r="W98" s="27" t="s">
        <v>93</v>
      </c>
      <c r="X98" s="27">
        <v>0</v>
      </c>
      <c r="Y98" s="148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27"/>
      <c r="AJ98" s="27"/>
      <c r="AK98" s="27">
        <v>1</v>
      </c>
      <c r="AL98" s="27">
        <v>1</v>
      </c>
      <c r="AM98" s="148" t="s">
        <v>83</v>
      </c>
      <c r="AN98" s="27">
        <v>1</v>
      </c>
      <c r="AO98" s="27">
        <v>1</v>
      </c>
      <c r="AP98" s="27">
        <v>1</v>
      </c>
    </row>
    <row r="99" spans="1:42">
      <c r="A99" s="127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29" t="str">
        <f t="shared" si="20"/>
        <v>残缺的中级道果【2】</v>
      </c>
      <c r="K99" s="129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0" t="str">
        <f>VLOOKUP(LEFT(RIGHT(B99,5),4),物品!B:CU,20,FALSE)</f>
        <v>ReplaceableTextures\\CommandButtons\\BTNDG02.blp</v>
      </c>
      <c r="N99" s="148" t="s">
        <v>83</v>
      </c>
      <c r="O99" s="130" t="s">
        <v>87</v>
      </c>
      <c r="P99" s="27">
        <v>0</v>
      </c>
      <c r="Q99" s="27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27"/>
      <c r="W99" s="27" t="s">
        <v>93</v>
      </c>
      <c r="X99" s="27">
        <v>0</v>
      </c>
      <c r="Y99" s="148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27"/>
      <c r="AJ99" s="27"/>
      <c r="AK99" s="27">
        <v>1</v>
      </c>
      <c r="AL99" s="27">
        <v>1</v>
      </c>
      <c r="AM99" s="148" t="s">
        <v>83</v>
      </c>
      <c r="AN99" s="27">
        <v>1</v>
      </c>
      <c r="AO99" s="27">
        <v>1</v>
      </c>
      <c r="AP99" s="27">
        <v>1</v>
      </c>
    </row>
    <row r="100" spans="1:42">
      <c r="A100" s="127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29" t="str">
        <f t="shared" ref="J100:J103" si="24">H100</f>
        <v>|Cff00FF7F残缺的高级道果【3】|r</v>
      </c>
      <c r="K100" s="129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0" t="str">
        <f>VLOOKUP(LEFT(RIGHT(B100,5),4),物品!B:CU,20,FALSE)</f>
        <v>ReplaceableTextures\\CommandButtons\\BTNDG03.blp</v>
      </c>
      <c r="N100" s="148" t="s">
        <v>83</v>
      </c>
      <c r="O100" s="130" t="s">
        <v>89</v>
      </c>
      <c r="P100" s="27">
        <v>0</v>
      </c>
      <c r="Q100" s="27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27"/>
      <c r="W100" s="27" t="s">
        <v>93</v>
      </c>
      <c r="X100" s="27">
        <v>0</v>
      </c>
      <c r="Y100" s="148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27"/>
      <c r="AJ100" s="27"/>
      <c r="AK100" s="27">
        <v>1</v>
      </c>
      <c r="AL100" s="27">
        <v>1</v>
      </c>
      <c r="AM100" s="148" t="s">
        <v>83</v>
      </c>
      <c r="AN100" s="27">
        <v>1</v>
      </c>
      <c r="AO100" s="27">
        <v>1</v>
      </c>
      <c r="AP100" s="27">
        <v>1</v>
      </c>
    </row>
    <row r="101" spans="1:42">
      <c r="A101" s="127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29" t="str">
        <f t="shared" si="24"/>
        <v>|Cff00FF7F残缺的黄级道果【4】|r</v>
      </c>
      <c r="K101" s="129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0" t="str">
        <f>VLOOKUP(LEFT(RIGHT(B101,5),4),物品!B:CU,20,FALSE)</f>
        <v>ReplaceableTextures\\CommandButtons\\BTNDG04.blp</v>
      </c>
      <c r="N101" s="148" t="s">
        <v>83</v>
      </c>
      <c r="O101" s="130" t="s">
        <v>89</v>
      </c>
      <c r="P101" s="27">
        <v>0</v>
      </c>
      <c r="Q101" s="27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27"/>
      <c r="W101" s="27" t="s">
        <v>93</v>
      </c>
      <c r="X101" s="27">
        <v>0</v>
      </c>
      <c r="Y101" s="148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27"/>
      <c r="AJ101" s="27"/>
      <c r="AK101" s="27">
        <v>1</v>
      </c>
      <c r="AL101" s="27">
        <v>1</v>
      </c>
      <c r="AM101" s="148" t="s">
        <v>83</v>
      </c>
      <c r="AN101" s="27">
        <v>1</v>
      </c>
      <c r="AO101" s="27">
        <v>1</v>
      </c>
      <c r="AP101" s="27">
        <v>1</v>
      </c>
    </row>
    <row r="102" spans="1:42">
      <c r="A102" s="127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29" t="str">
        <f t="shared" si="24"/>
        <v>|Cff00BFFF残缺的玄级道果【5】|r</v>
      </c>
      <c r="K102" s="129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0" t="str">
        <f>VLOOKUP(LEFT(RIGHT(B102,5),4),物品!B:CU,20,FALSE)</f>
        <v>ReplaceableTextures\\CommandButtons\\BTNDG05.blp</v>
      </c>
      <c r="N102" s="148" t="s">
        <v>83</v>
      </c>
      <c r="O102" s="130" t="s">
        <v>90</v>
      </c>
      <c r="P102" s="27">
        <v>0</v>
      </c>
      <c r="Q102" s="27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27"/>
      <c r="W102" s="27" t="s">
        <v>93</v>
      </c>
      <c r="X102" s="27">
        <v>0</v>
      </c>
      <c r="Y102" s="148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27"/>
      <c r="AJ102" s="27"/>
      <c r="AK102" s="27">
        <v>1</v>
      </c>
      <c r="AL102" s="27">
        <v>1</v>
      </c>
      <c r="AM102" s="148" t="s">
        <v>83</v>
      </c>
      <c r="AN102" s="27">
        <v>1</v>
      </c>
      <c r="AO102" s="27">
        <v>1</v>
      </c>
      <c r="AP102" s="27">
        <v>1</v>
      </c>
    </row>
    <row r="103" spans="1:42">
      <c r="A103" s="127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29" t="str">
        <f t="shared" si="24"/>
        <v>|Cff00BFFF残缺的地级道果【6】|r</v>
      </c>
      <c r="K103" s="129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0" t="str">
        <f>VLOOKUP(LEFT(RIGHT(B103,5),4),物品!B:CU,20,FALSE)</f>
        <v>ReplaceableTextures\\CommandButtons\\BTNDG06.blp</v>
      </c>
      <c r="N103" s="148" t="s">
        <v>83</v>
      </c>
      <c r="O103" s="130" t="s">
        <v>90</v>
      </c>
      <c r="P103" s="27">
        <v>0</v>
      </c>
      <c r="Q103" s="27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27"/>
      <c r="W103" s="27" t="s">
        <v>93</v>
      </c>
      <c r="X103" s="27">
        <v>0</v>
      </c>
      <c r="Y103" s="14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27"/>
      <c r="AJ103" s="27"/>
      <c r="AK103" s="27">
        <v>1</v>
      </c>
      <c r="AL103" s="27">
        <v>1</v>
      </c>
      <c r="AM103" s="148" t="s">
        <v>83</v>
      </c>
      <c r="AN103" s="27">
        <v>1</v>
      </c>
      <c r="AO103" s="27">
        <v>1</v>
      </c>
      <c r="AP103" s="27">
        <v>1</v>
      </c>
    </row>
    <row r="104" spans="1:42">
      <c r="A104" s="127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29" t="str">
        <f t="shared" si="20"/>
        <v>|CffFFC926残缺的天级道果【7】|r</v>
      </c>
      <c r="K104" s="129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0" t="str">
        <f>VLOOKUP(LEFT(RIGHT(B104,5),4),物品!B:CU,20,FALSE)</f>
        <v>ReplaceableTextures\\CommandButtons\\BTNDG07.blp</v>
      </c>
      <c r="N104" s="148" t="s">
        <v>83</v>
      </c>
      <c r="O104" s="130" t="s">
        <v>91</v>
      </c>
      <c r="P104" s="27">
        <v>0</v>
      </c>
      <c r="Q104" s="27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27"/>
      <c r="W104" s="27" t="s">
        <v>93</v>
      </c>
      <c r="X104" s="27">
        <v>0</v>
      </c>
      <c r="Y104" s="14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27"/>
      <c r="AJ104" s="27"/>
      <c r="AK104" s="27">
        <v>1</v>
      </c>
      <c r="AL104" s="27">
        <v>1</v>
      </c>
      <c r="AM104" s="148" t="s">
        <v>83</v>
      </c>
      <c r="AN104" s="27">
        <v>1</v>
      </c>
      <c r="AO104" s="27">
        <v>1</v>
      </c>
      <c r="AP104" s="27">
        <v>1</v>
      </c>
    </row>
    <row r="105" spans="1:42">
      <c r="A105" s="127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29" t="str">
        <f t="shared" si="20"/>
        <v>|CffFFC926残缺的仙品道果【8】|r</v>
      </c>
      <c r="K105" s="129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0" t="str">
        <f>VLOOKUP(LEFT(RIGHT(B105,5),4),物品!B:CU,20,FALSE)</f>
        <v>ReplaceableTextures\\CommandButtons\\BTNDG08.blp</v>
      </c>
      <c r="N105" s="148" t="s">
        <v>83</v>
      </c>
      <c r="O105" s="130" t="s">
        <v>91</v>
      </c>
      <c r="P105" s="27">
        <v>0</v>
      </c>
      <c r="Q105" s="27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27"/>
      <c r="W105" s="27" t="s">
        <v>93</v>
      </c>
      <c r="X105" s="27">
        <v>0</v>
      </c>
      <c r="Y105" s="14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27"/>
      <c r="AJ105" s="27"/>
      <c r="AK105" s="27">
        <v>1</v>
      </c>
      <c r="AL105" s="27">
        <v>1</v>
      </c>
      <c r="AM105" s="148" t="s">
        <v>83</v>
      </c>
      <c r="AN105" s="27">
        <v>1</v>
      </c>
      <c r="AO105" s="27">
        <v>1</v>
      </c>
      <c r="AP105" s="27">
        <v>1</v>
      </c>
    </row>
    <row r="106" spans="1:42">
      <c r="A106" s="127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29" t="str">
        <f t="shared" si="20"/>
        <v>|CffFF0000残缺的至圣道果【9】|r</v>
      </c>
      <c r="K106" s="129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0" t="str">
        <f>VLOOKUP(LEFT(RIGHT(B106,5),4),物品!B:CU,20,FALSE)</f>
        <v>ReplaceableTextures\\CommandButtons\\BTNDG09.blp</v>
      </c>
      <c r="N106" s="148" t="s">
        <v>83</v>
      </c>
      <c r="O106" s="130" t="s">
        <v>92</v>
      </c>
      <c r="P106" s="27">
        <v>0</v>
      </c>
      <c r="Q106" s="27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27"/>
      <c r="W106" s="27" t="s">
        <v>93</v>
      </c>
      <c r="X106" s="27">
        <v>0</v>
      </c>
      <c r="Y106" s="14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27"/>
      <c r="AJ106" s="27"/>
      <c r="AK106" s="27">
        <v>1</v>
      </c>
      <c r="AL106" s="27">
        <v>1</v>
      </c>
      <c r="AM106" s="148" t="s">
        <v>83</v>
      </c>
      <c r="AN106" s="27">
        <v>1</v>
      </c>
      <c r="AO106" s="27">
        <v>1</v>
      </c>
      <c r="AP106" s="27">
        <v>1</v>
      </c>
    </row>
    <row r="107" spans="1:42">
      <c r="A107" s="127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29" t="str">
        <f t="shared" si="20"/>
        <v>|CffFF0000残缺的混沌道果【10】|r</v>
      </c>
      <c r="K107" s="129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0" t="str">
        <f>VLOOKUP(LEFT(RIGHT(B107,5),4),物品!B:CU,20,FALSE)</f>
        <v>ReplaceableTextures\\CommandButtons\\BTNDG10.blp</v>
      </c>
      <c r="N107" s="148" t="s">
        <v>83</v>
      </c>
      <c r="O107" s="130" t="s">
        <v>92</v>
      </c>
      <c r="P107" s="27">
        <v>0</v>
      </c>
      <c r="Q107" s="27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27"/>
      <c r="W107" s="27" t="s">
        <v>93</v>
      </c>
      <c r="X107" s="27">
        <v>0</v>
      </c>
      <c r="Y107" s="14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27"/>
      <c r="AJ107" s="27"/>
      <c r="AK107" s="27">
        <v>1</v>
      </c>
      <c r="AL107" s="27">
        <v>1</v>
      </c>
      <c r="AM107" s="148" t="s">
        <v>83</v>
      </c>
      <c r="AN107" s="27">
        <v>1</v>
      </c>
      <c r="AO107" s="27">
        <v>1</v>
      </c>
      <c r="AP107" s="27">
        <v>1</v>
      </c>
    </row>
    <row r="108" spans="1:42">
      <c r="A108" s="127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29" t="str">
        <f t="shared" si="20"/>
        <v>Q技能随机卷</v>
      </c>
      <c r="K108" s="129" t="str">
        <f t="shared" si="21"/>
        <v>随机获得|Cffffd24d1|r个|Cffffd24dQ技能|r</v>
      </c>
      <c r="L108" s="27"/>
      <c r="M108" s="130" t="str">
        <f>VLOOKUP(LEFT(RIGHT(B108,5),4),物品!B:CU,20,FALSE)</f>
        <v>ReplaceableTextures\\CommandButtons\\BTN001.blp</v>
      </c>
      <c r="N108" s="148" t="s">
        <v>83</v>
      </c>
      <c r="O108" s="130" t="s">
        <v>94</v>
      </c>
      <c r="P108" s="27">
        <v>0</v>
      </c>
      <c r="Q108" s="27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27"/>
      <c r="W108" s="27" t="s">
        <v>93</v>
      </c>
      <c r="X108" s="27">
        <v>0</v>
      </c>
      <c r="Y108" s="14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27"/>
      <c r="AJ108" s="27"/>
      <c r="AK108" s="27">
        <v>1</v>
      </c>
      <c r="AL108" s="27">
        <v>1</v>
      </c>
      <c r="AM108" s="148" t="s">
        <v>83</v>
      </c>
      <c r="AN108" s="27">
        <v>1</v>
      </c>
      <c r="AO108" s="27">
        <v>1</v>
      </c>
      <c r="AP108" s="27">
        <v>1</v>
      </c>
    </row>
    <row r="109" spans="1:42">
      <c r="A109" s="127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29" t="str">
        <f t="shared" ref="J109:J110" si="26">H109</f>
        <v>|Cff00BFFF技能进阶石【完美】|r</v>
      </c>
      <c r="K109" s="129" t="str">
        <f t="shared" ref="K109:K110" si="27">I109</f>
        <v>指定技能|Cffffd24d品质提升一级|r|Cfff0f0f0。|n|n|r|Cff00ff7f最多可提升至A级。|r</v>
      </c>
      <c r="L109" s="27"/>
      <c r="M109" s="130" t="str">
        <f>VLOOKUP(LEFT(RIGHT(B109,5),4),物品!B:CU,20,FALSE)</f>
        <v>ReplaceableTextures\\CommandButtons\\BTNIN05.blp</v>
      </c>
      <c r="N109" s="148" t="s">
        <v>83</v>
      </c>
      <c r="O109" s="130" t="s">
        <v>94</v>
      </c>
      <c r="P109" s="27">
        <v>1</v>
      </c>
      <c r="Q109" s="27">
        <v>2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27"/>
      <c r="W109" s="27" t="s">
        <v>93</v>
      </c>
      <c r="X109" s="27">
        <v>0</v>
      </c>
      <c r="Y109" s="148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27"/>
      <c r="AJ109" s="27"/>
      <c r="AK109" s="27">
        <v>1</v>
      </c>
      <c r="AL109" s="27">
        <v>1</v>
      </c>
      <c r="AM109" s="148" t="s">
        <v>83</v>
      </c>
      <c r="AN109" s="27">
        <v>1</v>
      </c>
      <c r="AO109" s="27">
        <v>1</v>
      </c>
      <c r="AP109" s="27">
        <v>1</v>
      </c>
    </row>
    <row r="110" spans="1:42">
      <c r="A110" s="127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29" t="str">
        <f t="shared" si="26"/>
        <v>|CffFF0000技能进化石【完美】|r</v>
      </c>
      <c r="K110" s="129" t="str">
        <f t="shared" si="27"/>
        <v>使|Cffffd24dA级技能|r|Cfff0f0f0品质提升|r|Cffff0000S级|r|Cfff0f0f0。|r</v>
      </c>
      <c r="L110" s="27"/>
      <c r="M110" s="130" t="str">
        <f>VLOOKUP(LEFT(RIGHT(B110,5),4),物品!B:CU,20,FALSE)</f>
        <v>ReplaceableTextures\\CommandButtons\\BTNIN04.blp</v>
      </c>
      <c r="N110" s="148" t="s">
        <v>83</v>
      </c>
      <c r="O110" s="130" t="s">
        <v>94</v>
      </c>
      <c r="P110" s="27"/>
      <c r="Q110" s="27"/>
      <c r="R110" s="148" t="s">
        <v>83</v>
      </c>
      <c r="S110" s="148" t="s">
        <v>83</v>
      </c>
      <c r="T110" s="148" t="s">
        <v>83</v>
      </c>
      <c r="U110" s="148" t="s">
        <v>83</v>
      </c>
      <c r="V110" s="27"/>
      <c r="W110" s="27" t="s">
        <v>93</v>
      </c>
      <c r="X110" s="27">
        <v>0</v>
      </c>
      <c r="Y110" s="148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27"/>
      <c r="AJ110" s="27"/>
      <c r="AK110" s="27">
        <v>1</v>
      </c>
      <c r="AL110" s="27">
        <v>1</v>
      </c>
      <c r="AM110" s="148" t="s">
        <v>83</v>
      </c>
      <c r="AN110" s="27">
        <v>1</v>
      </c>
      <c r="AO110" s="27">
        <v>1</v>
      </c>
      <c r="AP110" s="27">
        <v>1</v>
      </c>
    </row>
    <row r="111" spans="1:42">
      <c r="A111" s="127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29" t="str">
        <f t="shared" ref="J111" si="28">H111</f>
        <v>|Cff00FF7F技能进阶石【残缺】|r</v>
      </c>
      <c r="K111" s="129" t="str">
        <f t="shared" ref="K111" si="29">I111</f>
        <v>|CffFFD24D50%|r几率使指定技能|Cffffd24d品质提升一级|r|Cfff0f0f0。|n|n|r|Cff00ff7f最多可提升至A级。|r</v>
      </c>
      <c r="L111" s="27"/>
      <c r="M111" s="130" t="str">
        <f>VLOOKUP(LEFT(RIGHT(B111,5),4),物品!B:CU,20,FALSE)</f>
        <v>ReplaceableTextures\\CommandButtons\\BTNIN06.blp</v>
      </c>
      <c r="N111" s="148" t="s">
        <v>83</v>
      </c>
      <c r="O111" s="130" t="s">
        <v>94</v>
      </c>
      <c r="P111" s="27">
        <v>0</v>
      </c>
      <c r="Q111" s="27">
        <v>2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27"/>
      <c r="W111" s="27" t="s">
        <v>93</v>
      </c>
      <c r="X111" s="27">
        <v>0</v>
      </c>
      <c r="Y111" s="148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27"/>
      <c r="AJ111" s="27"/>
      <c r="AK111" s="27">
        <v>1</v>
      </c>
      <c r="AL111" s="27">
        <v>1</v>
      </c>
      <c r="AM111" s="148" t="s">
        <v>83</v>
      </c>
      <c r="AN111" s="27">
        <v>1</v>
      </c>
      <c r="AO111" s="27">
        <v>1</v>
      </c>
      <c r="AP111" s="27">
        <v>1</v>
      </c>
    </row>
    <row r="112" spans="1:42">
      <c r="A112" s="127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29" t="str">
        <f t="shared" ref="J112" si="30">H112</f>
        <v>|CffFFD24D技能进化石【残缺】|r</v>
      </c>
      <c r="K112" s="129" t="str">
        <f t="shared" ref="K112" si="31">I112</f>
        <v>|CffFFD24D50%|r几率使指定|Cffffd24dA级技能|r|Cfff0f0f0品质提升|r|Cffff0000S级|r|Cfff0f0f0。|r</v>
      </c>
      <c r="L112" s="27"/>
      <c r="M112" s="130" t="str">
        <f>VLOOKUP(LEFT(RIGHT(B112,5),4),物品!B:CU,20,FALSE)</f>
        <v>ReplaceableTextures\\CommandButtons\\BTNIN04.blp</v>
      </c>
      <c r="N112" s="148" t="s">
        <v>83</v>
      </c>
      <c r="O112" s="130" t="s">
        <v>94</v>
      </c>
      <c r="P112" s="27">
        <v>2</v>
      </c>
      <c r="Q112" s="27">
        <v>2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27"/>
      <c r="W112" s="27" t="s">
        <v>93</v>
      </c>
      <c r="X112" s="27">
        <v>0</v>
      </c>
      <c r="Y112" s="148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27"/>
      <c r="AJ112" s="27"/>
      <c r="AK112" s="27">
        <v>1</v>
      </c>
      <c r="AL112" s="27">
        <v>1</v>
      </c>
      <c r="AM112" s="148" t="s">
        <v>83</v>
      </c>
      <c r="AN112" s="27">
        <v>1</v>
      </c>
      <c r="AO112" s="27">
        <v>1</v>
      </c>
      <c r="AP112" s="27">
        <v>1</v>
      </c>
    </row>
    <row r="113" spans="1:42" ht="15" customHeight="1">
      <c r="A113" s="127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29" t="str">
        <f t="shared" ref="J113" si="32">H113</f>
        <v>随机法宝</v>
      </c>
      <c r="K113" s="129" t="str">
        <f t="shared" ref="K113" si="33">I113</f>
        <v>获得一个随机品质的法宝。|n|n|Cff00ff7f副本难度影响法宝品质稀有度。|r</v>
      </c>
      <c r="L113" s="27"/>
      <c r="M113" s="130" t="str">
        <f>VLOOKUP(LEFT(RIGHT(B113,5),4),物品!B:CU,20,FALSE)</f>
        <v>ReplaceableTextures\\CommandButtons\\BTNCF01.blp</v>
      </c>
      <c r="N113" s="148" t="s">
        <v>83</v>
      </c>
      <c r="O113" s="130" t="s">
        <v>95</v>
      </c>
      <c r="P113" s="27">
        <v>0</v>
      </c>
      <c r="Q113" s="27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27"/>
      <c r="W113" s="27" t="s">
        <v>88</v>
      </c>
      <c r="X113" s="27">
        <v>0</v>
      </c>
      <c r="Y113" s="14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27">
        <v>1</v>
      </c>
      <c r="AJ113" s="27"/>
      <c r="AK113" s="27">
        <v>1</v>
      </c>
      <c r="AL113" s="27">
        <v>1</v>
      </c>
      <c r="AM113" s="148" t="s">
        <v>83</v>
      </c>
      <c r="AN113" s="27">
        <v>1</v>
      </c>
      <c r="AO113" s="27">
        <v>1</v>
      </c>
      <c r="AP113" s="27">
        <v>1</v>
      </c>
    </row>
    <row r="114" spans="1:42">
      <c r="A114" s="127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29" t="str">
        <f t="shared" ref="J114:J117" si="34">H114</f>
        <v>蛋黄月饼</v>
      </c>
      <c r="K114" s="129" t="str">
        <f t="shared" ref="K114:K117" si="35">I114</f>
        <v>回复|Cffffd24d80%|r生命，|Cff00ff7f解除|r异常状态</v>
      </c>
      <c r="L114" s="27"/>
      <c r="M114" s="130" t="str">
        <f>VLOOKUP(LEFT(RIGHT(B114,5),4),物品!B:CU,20,FALSE)</f>
        <v>ReplaceableTextures\\CommandButtons\\BTNI001.blp</v>
      </c>
      <c r="N114" s="148" t="s">
        <v>83</v>
      </c>
      <c r="O114" s="130" t="s">
        <v>94</v>
      </c>
      <c r="P114" s="27">
        <v>0</v>
      </c>
      <c r="Q114" s="27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27"/>
      <c r="W114" s="27" t="s">
        <v>93</v>
      </c>
      <c r="X114" s="27">
        <v>0</v>
      </c>
      <c r="Y114" s="14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27"/>
      <c r="AJ114" s="27"/>
      <c r="AK114" s="27">
        <v>1</v>
      </c>
      <c r="AL114" s="27">
        <v>1</v>
      </c>
      <c r="AM114" s="148" t="s">
        <v>83</v>
      </c>
      <c r="AN114" s="27">
        <v>1</v>
      </c>
      <c r="AO114" s="27">
        <v>1</v>
      </c>
      <c r="AP114" s="27">
        <v>1</v>
      </c>
    </row>
    <row r="115" spans="1:42">
      <c r="A115" s="127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29" t="str">
        <f t="shared" si="34"/>
        <v>豆沙月饼</v>
      </c>
      <c r="K115" s="129" t="str">
        <f t="shared" si="35"/>
        <v>暴击|Cffff0000+10%|n|n|r|Cff00ff7f效果持续15秒。|r</v>
      </c>
      <c r="L115" s="27"/>
      <c r="M115" s="130" t="str">
        <f>VLOOKUP(LEFT(RIGHT(B115,5),4),物品!B:CU,20,FALSE)</f>
        <v>ReplaceableTextures\\CommandButtons\\BTNI002.blp</v>
      </c>
      <c r="N115" s="148" t="s">
        <v>83</v>
      </c>
      <c r="O115" s="130" t="s">
        <v>94</v>
      </c>
      <c r="P115" s="27">
        <v>0</v>
      </c>
      <c r="Q115" s="27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27"/>
      <c r="W115" s="27" t="s">
        <v>93</v>
      </c>
      <c r="X115" s="27">
        <v>0</v>
      </c>
      <c r="Y115" s="14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27"/>
      <c r="AJ115" s="27"/>
      <c r="AK115" s="27">
        <v>1</v>
      </c>
      <c r="AL115" s="27">
        <v>1</v>
      </c>
      <c r="AM115" s="148" t="s">
        <v>83</v>
      </c>
      <c r="AN115" s="27">
        <v>1</v>
      </c>
      <c r="AO115" s="27">
        <v>1</v>
      </c>
      <c r="AP115" s="27">
        <v>1</v>
      </c>
    </row>
    <row r="116" spans="1:42">
      <c r="A116" s="127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29" t="str">
        <f t="shared" si="34"/>
        <v>冰皮月饼</v>
      </c>
      <c r="K116" s="129" t="str">
        <f t="shared" si="35"/>
        <v>攻击速度|Cffffd24d+40%|r。|n|n|Cff00ff7f持续15秒。|r</v>
      </c>
      <c r="L116" s="27"/>
      <c r="M116" s="130" t="str">
        <f>VLOOKUP(LEFT(RIGHT(B116,5),4),物品!B:CU,20,FALSE)</f>
        <v>ReplaceableTextures\\CommandButtons\\BTNI003.blp</v>
      </c>
      <c r="N116" s="148" t="s">
        <v>83</v>
      </c>
      <c r="O116" s="130" t="s">
        <v>94</v>
      </c>
      <c r="P116" s="27">
        <v>0</v>
      </c>
      <c r="Q116" s="27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27"/>
      <c r="W116" s="27" t="s">
        <v>93</v>
      </c>
      <c r="X116" s="27">
        <v>0</v>
      </c>
      <c r="Y116" s="14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27"/>
      <c r="AJ116" s="27"/>
      <c r="AK116" s="27">
        <v>1</v>
      </c>
      <c r="AL116" s="27">
        <v>1</v>
      </c>
      <c r="AM116" s="148" t="s">
        <v>83</v>
      </c>
      <c r="AN116" s="27">
        <v>1</v>
      </c>
      <c r="AO116" s="27">
        <v>1</v>
      </c>
      <c r="AP116" s="27">
        <v>1</v>
      </c>
    </row>
    <row r="117" spans="1:42">
      <c r="A117" s="127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29" t="str">
        <f t="shared" si="34"/>
        <v>果蔬月饼</v>
      </c>
      <c r="K117" s="129" t="str">
        <f t="shared" si="35"/>
        <v>法术伤害提高|Cffffd24d20%|r|Cfff0f0f0。|n|n|r|Cff00ff7f持续15秒。|r</v>
      </c>
      <c r="L117" s="27"/>
      <c r="M117" s="130" t="str">
        <f>VLOOKUP(LEFT(RIGHT(B117,5),4),物品!B:CU,20,FALSE)</f>
        <v>ReplaceableTextures\\CommandButtons\\BTNI004.blp</v>
      </c>
      <c r="N117" s="148" t="s">
        <v>83</v>
      </c>
      <c r="O117" s="130" t="s">
        <v>94</v>
      </c>
      <c r="P117" s="27">
        <v>0</v>
      </c>
      <c r="Q117" s="27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27"/>
      <c r="W117" s="27" t="s">
        <v>93</v>
      </c>
      <c r="X117" s="27">
        <v>0</v>
      </c>
      <c r="Y117" s="14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27"/>
      <c r="AJ117" s="27"/>
      <c r="AK117" s="27">
        <v>1</v>
      </c>
      <c r="AL117" s="27">
        <v>1</v>
      </c>
      <c r="AM117" s="148" t="s">
        <v>83</v>
      </c>
      <c r="AN117" s="27">
        <v>1</v>
      </c>
      <c r="AO117" s="27">
        <v>1</v>
      </c>
      <c r="AP117" s="27">
        <v>1</v>
      </c>
    </row>
    <row r="118" spans="1:42">
      <c r="A118" s="127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29" t="str">
        <f t="shared" ref="J118:J120" si="36">H118</f>
        <v>鲜肉月饼</v>
      </c>
      <c r="K118" s="129" t="str">
        <f t="shared" ref="K118:K120" si="37">I118</f>
        <v>物理伤害提高|Cffffd24d20%|r。|n|n|Cff00ff7f持续15秒。|r</v>
      </c>
      <c r="L118" s="27"/>
      <c r="M118" s="130" t="str">
        <f>VLOOKUP(LEFT(RIGHT(B118,5),4),物品!B:CU,20,FALSE)</f>
        <v>ReplaceableTextures\\CommandButtons\\BTNI005.blp</v>
      </c>
      <c r="N118" s="148" t="s">
        <v>83</v>
      </c>
      <c r="O118" s="130" t="s">
        <v>94</v>
      </c>
      <c r="P118" s="27">
        <v>0</v>
      </c>
      <c r="Q118" s="27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27"/>
      <c r="W118" s="27" t="s">
        <v>93</v>
      </c>
      <c r="X118" s="27">
        <v>0</v>
      </c>
      <c r="Y118" s="148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27"/>
      <c r="AJ118" s="27"/>
      <c r="AK118" s="27">
        <v>1</v>
      </c>
      <c r="AL118" s="27">
        <v>1</v>
      </c>
      <c r="AM118" s="148" t="s">
        <v>83</v>
      </c>
      <c r="AN118" s="27">
        <v>1</v>
      </c>
      <c r="AO118" s="27">
        <v>1</v>
      </c>
      <c r="AP118" s="27">
        <v>1</v>
      </c>
    </row>
    <row r="119" spans="1:42">
      <c r="A119" s="127"/>
      <c r="B119" s="27" t="str">
        <f>物品!B119</f>
        <v>I010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招魂幡Lv0</v>
      </c>
      <c r="I119" s="27" t="str">
        <f>VLOOKUP(B119,物品!B:CV,99,FALSE)</f>
        <v>护甲|Cffffd24d+10|r|n金币加成|Cffffd24d+10%|n|r|n击杀300个敌人后奖励：|n|CffFFD24D3000~6000|r金币|n|CffCC99FF1000-2000|r业力|n|n|Cff00FF7F同时只能携带一个招魂幡|r</v>
      </c>
      <c r="J119" s="129" t="str">
        <f t="shared" ref="J119" si="38">H119</f>
        <v>招魂幡Lv0</v>
      </c>
      <c r="K119" s="129" t="str">
        <f t="shared" ref="K119" si="39">I119</f>
        <v>护甲|Cffffd24d+10|r|n金币加成|Cffffd24d+10%|n|r|n击杀300个敌人后奖励：|n|CffFFD24D3000~6000|r金币|n|CffCC99FF1000-2000|r业力|n|n|Cff00FF7F同时只能携带一个招魂幡|r</v>
      </c>
      <c r="L119" s="27"/>
      <c r="M119" s="130" t="str">
        <f>VLOOKUP(LEFT(RIGHT(B119,5),4),物品!B:CU,20,FALSE)</f>
        <v>ReplaceableTextures\\CommandButtons\\BTNZHP1.blp</v>
      </c>
      <c r="N119" s="27">
        <v>0.5</v>
      </c>
      <c r="O119" s="130" t="s">
        <v>96</v>
      </c>
      <c r="P119" s="27">
        <v>0</v>
      </c>
      <c r="Q119" s="27">
        <v>0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27">
        <v>4</v>
      </c>
      <c r="W119" s="27" t="s">
        <v>85</v>
      </c>
      <c r="X119" s="27">
        <v>0</v>
      </c>
      <c r="Y119" s="14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27"/>
      <c r="AJ119" s="27"/>
      <c r="AK119" s="27">
        <v>1</v>
      </c>
      <c r="AL119" s="27">
        <v>1</v>
      </c>
      <c r="AM119" s="148" t="s">
        <v>83</v>
      </c>
      <c r="AN119" s="27">
        <v>300</v>
      </c>
      <c r="AO119" s="27"/>
      <c r="AP119" s="27"/>
    </row>
    <row r="120" spans="1:42">
      <c r="A120" s="127"/>
      <c r="B120" s="27" t="str">
        <f>物品!B120</f>
        <v>I011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招魂幡Lv1</v>
      </c>
      <c r="I120" s="27" t="str">
        <f>VLOOKUP(B120,物品!B:CV,99,FALSE)</f>
        <v>护甲|cffffd24d+20|n|r金币加成|cffffd24d+15%|n|n|r击杀1000个敌人后奖励：|n|cffffd24d7000~12000|r金币|n|cffcc99ff2000-5000|r业力|n|n|cff00ff7f同时只能携带一个招魂幡|r</v>
      </c>
      <c r="J120" s="129" t="str">
        <f t="shared" si="36"/>
        <v>招魂幡Lv1</v>
      </c>
      <c r="K120" s="129" t="str">
        <f t="shared" si="37"/>
        <v>护甲|cffffd24d+20|n|r金币加成|cffffd24d+15%|n|n|r击杀1000个敌人后奖励：|n|cffffd24d7000~12000|r金币|n|cffcc99ff2000-5000|r业力|n|n|cff00ff7f同时只能携带一个招魂幡|r</v>
      </c>
      <c r="L120" s="27"/>
      <c r="M120" s="130" t="str">
        <f>VLOOKUP(LEFT(RIGHT(B120,5),4),物品!B:CU,20,FALSE)</f>
        <v>ReplaceableTextures\\CommandButtons\\BTNZHP1.blp</v>
      </c>
      <c r="N120" s="27">
        <v>0.5</v>
      </c>
      <c r="O120" s="130" t="s">
        <v>96</v>
      </c>
      <c r="P120" s="27">
        <v>0</v>
      </c>
      <c r="Q120" s="27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27">
        <v>4</v>
      </c>
      <c r="W120" s="27" t="s">
        <v>85</v>
      </c>
      <c r="X120" s="27">
        <v>0</v>
      </c>
      <c r="Y120" s="14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27"/>
      <c r="AJ120" s="27"/>
      <c r="AK120" s="27">
        <v>1</v>
      </c>
      <c r="AL120" s="27">
        <v>1</v>
      </c>
      <c r="AM120" s="148" t="s">
        <v>83</v>
      </c>
      <c r="AN120" s="27">
        <v>1000</v>
      </c>
      <c r="AO120" s="27"/>
      <c r="AP120" s="27"/>
    </row>
    <row r="121" spans="1:42">
      <c r="A121" s="127"/>
      <c r="B121" s="27" t="str">
        <f>物品!B121</f>
        <v>I012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|Cff00FF7F招魂幡Lv2|r</v>
      </c>
      <c r="I121" s="27" t="str">
        <f>VLOOKUP(B121,物品!B:CV,99,FALSE)</f>
        <v>护甲|cffffd24d+50|n|r金币加成|cffffd24d+20%|n|n|r击杀1000个敌人后奖励：|n|cffffd24d8000~13000|r金币|n|cffcc99ff3000-6000|r业力|n|n|cff00ff7f同时只能携带一个招魂幡|r</v>
      </c>
      <c r="J121" s="129" t="str">
        <f t="shared" ref="J121:J122" si="40">H121</f>
        <v>|Cff00FF7F招魂幡Lv2|r</v>
      </c>
      <c r="K121" s="129" t="str">
        <f t="shared" ref="K121:K122" si="41">I121</f>
        <v>护甲|cffffd24d+50|n|r金币加成|cffffd24d+20%|n|n|r击杀1000个敌人后奖励：|n|cffffd24d8000~13000|r金币|n|cffcc99ff3000-6000|r业力|n|n|cff00ff7f同时只能携带一个招魂幡|r</v>
      </c>
      <c r="L121" s="27"/>
      <c r="M121" s="130" t="str">
        <f>VLOOKUP(LEFT(RIGHT(B121,5),4),物品!B:CU,20,FALSE)</f>
        <v>ReplaceableTextures\\CommandButtons\\BTNZHP2.blp</v>
      </c>
      <c r="N121" s="27">
        <v>0.5</v>
      </c>
      <c r="O121" s="130" t="s">
        <v>96</v>
      </c>
      <c r="P121" s="27">
        <v>1</v>
      </c>
      <c r="Q121" s="27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27">
        <v>4</v>
      </c>
      <c r="W121" s="27" t="s">
        <v>85</v>
      </c>
      <c r="X121" s="27">
        <v>0</v>
      </c>
      <c r="Y121" s="148" t="s">
        <v>83</v>
      </c>
      <c r="Z121" s="27">
        <v>0</v>
      </c>
      <c r="AA121" s="27">
        <v>0</v>
      </c>
      <c r="AB121" s="27">
        <v>25</v>
      </c>
      <c r="AC121" s="27">
        <v>1</v>
      </c>
      <c r="AD121" s="27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27"/>
      <c r="AJ121" s="27"/>
      <c r="AK121" s="27">
        <v>1</v>
      </c>
      <c r="AL121" s="27">
        <v>1</v>
      </c>
      <c r="AM121" s="148" t="s">
        <v>83</v>
      </c>
      <c r="AN121" s="27">
        <v>1000</v>
      </c>
      <c r="AO121" s="27"/>
      <c r="AP121" s="27"/>
    </row>
    <row r="122" spans="1:42">
      <c r="A122" s="127"/>
      <c r="B122" s="27" t="str">
        <f>物品!B122</f>
        <v>I013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|Cff00BFFF招魂幡Lv3|r</v>
      </c>
      <c r="I122" s="27" t="str">
        <f>VLOOKUP(B122,物品!B:CV,99,FALSE)</f>
        <v>护甲|cffffd24d+100|n|r金币加成|cffffd24d+25%|n|n|r击杀1000个敌人后奖励：|n|cffffd24d9000~14000|r金币|n|cffcc99ff4000-7000|r业力|n|n|cff00ff7f同时只能携带一个招魂幡|r</v>
      </c>
      <c r="J122" s="129" t="str">
        <f t="shared" si="40"/>
        <v>|Cff00BFFF招魂幡Lv3|r</v>
      </c>
      <c r="K122" s="129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2" s="27"/>
      <c r="M122" s="130" t="str">
        <f>VLOOKUP(LEFT(RIGHT(B122,5),4),物品!B:CU,20,FALSE)</f>
        <v>ReplaceableTextures\\CommandButtons\\BTNZHP3.blp</v>
      </c>
      <c r="N122" s="27">
        <v>0.5</v>
      </c>
      <c r="O122" s="130" t="s">
        <v>96</v>
      </c>
      <c r="P122" s="27">
        <v>2</v>
      </c>
      <c r="Q122" s="27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27">
        <v>4</v>
      </c>
      <c r="W122" s="27" t="s">
        <v>85</v>
      </c>
      <c r="X122" s="27">
        <v>0</v>
      </c>
      <c r="Y122" s="148" t="s">
        <v>83</v>
      </c>
      <c r="Z122" s="27">
        <v>0</v>
      </c>
      <c r="AA122" s="27">
        <v>0</v>
      </c>
      <c r="AB122" s="27">
        <v>100</v>
      </c>
      <c r="AC122" s="27">
        <v>1</v>
      </c>
      <c r="AD122" s="27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27"/>
      <c r="AJ122" s="27"/>
      <c r="AK122" s="27">
        <v>1</v>
      </c>
      <c r="AL122" s="27">
        <v>1</v>
      </c>
      <c r="AM122" s="148" t="s">
        <v>83</v>
      </c>
      <c r="AN122" s="27">
        <v>1000</v>
      </c>
      <c r="AO122" s="27"/>
      <c r="AP122" s="27"/>
    </row>
    <row r="123" spans="1:42">
      <c r="A123" s="127"/>
      <c r="B123" s="27" t="str">
        <f>物品!B123</f>
        <v>I014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|CffFFD24D招魂幡Lv4|r</v>
      </c>
      <c r="I123" s="27" t="str">
        <f>VLOOKUP(B123,物品!B:CV,99,FALSE)</f>
        <v>护甲|cffffd24d+200|n|r金币加成|cffffd24d+30%|n|n|r击杀1000个敌人后奖励：|n|cffffd24d10000~15000|r金币|n|cffcc99ff5000-8000|r业力|n|n|cff00ff7f同时只能携带一个招魂幡|r</v>
      </c>
      <c r="J123" s="129" t="str">
        <f t="shared" ref="J123:J125" si="42">H123</f>
        <v>|CffFFD24D招魂幡Lv4|r</v>
      </c>
      <c r="K123" s="129" t="str">
        <f t="shared" ref="K123:K125" si="43">I123</f>
        <v>护甲|cffffd24d+200|n|r金币加成|cffffd24d+30%|n|n|r击杀1000个敌人后奖励：|n|cffffd24d10000~15000|r金币|n|cffcc99ff5000-8000|r业力|n|n|cff00ff7f同时只能携带一个招魂幡|r</v>
      </c>
      <c r="L123" s="27"/>
      <c r="M123" s="130" t="str">
        <f>VLOOKUP(LEFT(RIGHT(B123,5),4),物品!B:CU,20,FALSE)</f>
        <v>ReplaceableTextures\\CommandButtons\\BTNZHP4.blp</v>
      </c>
      <c r="N123" s="27">
        <v>0.5</v>
      </c>
      <c r="O123" s="130" t="s">
        <v>96</v>
      </c>
      <c r="P123" s="27">
        <v>3</v>
      </c>
      <c r="Q123" s="27">
        <v>1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27">
        <v>4</v>
      </c>
      <c r="W123" s="27" t="s">
        <v>85</v>
      </c>
      <c r="X123" s="27">
        <v>0</v>
      </c>
      <c r="Y123" s="148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27"/>
      <c r="AJ123" s="27"/>
      <c r="AK123" s="27">
        <v>1</v>
      </c>
      <c r="AL123" s="27">
        <v>1</v>
      </c>
      <c r="AM123" s="148" t="s">
        <v>83</v>
      </c>
      <c r="AN123" s="27">
        <v>1000</v>
      </c>
      <c r="AO123" s="27"/>
      <c r="AP123" s="27"/>
    </row>
    <row r="124" spans="1:42">
      <c r="A124" s="127"/>
      <c r="B124" s="27" t="str">
        <f>物品!B124</f>
        <v>I015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|CffFF0000招魂幡Lv5|r</v>
      </c>
      <c r="I124" s="27" t="str">
        <f>VLOOKUP(B124,物品!B:CV,99,FALSE)</f>
        <v>护甲|cffffd24d+300|n|r金币加成|cffffd24d+35%|n|n|r击杀1000个敌人后奖励：|n|cffffd24d12000~17000|r金币|n|cffcc99ff6000-9000|r业力|n|n|cff00ff7f同时只能携带一个招魂幡|r</v>
      </c>
      <c r="J124" s="129" t="str">
        <f t="shared" ref="J124" si="44">H124</f>
        <v>|CffFF0000招魂幡Lv5|r</v>
      </c>
      <c r="K124" s="129" t="str">
        <f t="shared" ref="K124" si="45">I124</f>
        <v>护甲|cffffd24d+300|n|r金币加成|cffffd24d+35%|n|n|r击杀1000个敌人后奖励：|n|cffffd24d12000~17000|r金币|n|cffcc99ff6000-9000|r业力|n|n|cff00ff7f同时只能携带一个招魂幡|r</v>
      </c>
      <c r="L124" s="27"/>
      <c r="M124" s="130" t="str">
        <f>VLOOKUP(LEFT(RIGHT(B124,5),4),物品!B:CU,20,FALSE)</f>
        <v>ReplaceableTextures\\CommandButtons\\BTNZHP5.blp</v>
      </c>
      <c r="N124" s="27">
        <v>0.5</v>
      </c>
      <c r="O124" s="130" t="s">
        <v>96</v>
      </c>
      <c r="P124" s="27">
        <v>0</v>
      </c>
      <c r="Q124" s="27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27">
        <v>4</v>
      </c>
      <c r="W124" s="27" t="s">
        <v>85</v>
      </c>
      <c r="X124" s="27">
        <v>0</v>
      </c>
      <c r="Y124" s="148" t="s">
        <v>83</v>
      </c>
      <c r="Z124" s="27">
        <v>0</v>
      </c>
      <c r="AA124" s="27">
        <v>0</v>
      </c>
      <c r="AB124" s="27">
        <v>500</v>
      </c>
      <c r="AC124" s="27">
        <v>1</v>
      </c>
      <c r="AD124" s="27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27"/>
      <c r="AJ124" s="27"/>
      <c r="AK124" s="27">
        <v>1</v>
      </c>
      <c r="AL124" s="27">
        <v>1</v>
      </c>
      <c r="AM124" s="148" t="s">
        <v>83</v>
      </c>
      <c r="AN124" s="27">
        <v>1000</v>
      </c>
      <c r="AO124" s="27"/>
      <c r="AP124" s="27"/>
    </row>
    <row r="125" spans="1:42">
      <c r="A125" s="127"/>
      <c r="B125" s="27" t="str">
        <f>物品!B125</f>
        <v>IN00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|CffFFD24D锦囊|r</v>
      </c>
      <c r="I125" s="27" t="str">
        <f>VLOOKUP(B125,物品!B:CV,99,FALSE)</f>
        <v>开启后获得一个|Cffffd24d随机锦囊|r。</v>
      </c>
      <c r="J125" s="129" t="str">
        <f t="shared" si="42"/>
        <v>|CffFFD24D锦囊|r</v>
      </c>
      <c r="K125" s="129" t="str">
        <f t="shared" si="43"/>
        <v>开启后获得一个|Cffffd24d随机锦囊|r。</v>
      </c>
      <c r="L125" s="27"/>
      <c r="M125" s="130" t="str">
        <f>VLOOKUP(LEFT(RIGHT(B125,5),4),物品!B:CU,20,FALSE)</f>
        <v>ReplaceableTextures\\CommandButtons\\BTNIN00.blp</v>
      </c>
      <c r="N125" s="27">
        <v>0.8</v>
      </c>
      <c r="O125" s="130" t="s">
        <v>97</v>
      </c>
      <c r="P125" s="27">
        <v>0</v>
      </c>
      <c r="Q125" s="27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27"/>
      <c r="W125" s="27" t="s">
        <v>93</v>
      </c>
      <c r="X125" s="27">
        <v>0</v>
      </c>
      <c r="Y125" s="148" t="s">
        <v>83</v>
      </c>
      <c r="Z125" s="27">
        <v>0</v>
      </c>
      <c r="AA125" s="27">
        <v>0</v>
      </c>
      <c r="AB125" s="27">
        <v>10</v>
      </c>
      <c r="AC125" s="27">
        <v>1</v>
      </c>
      <c r="AD125" s="27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27"/>
      <c r="AJ125" s="27"/>
      <c r="AK125" s="27">
        <v>1</v>
      </c>
      <c r="AL125" s="27">
        <v>1</v>
      </c>
      <c r="AM125" s="148" t="s">
        <v>83</v>
      </c>
      <c r="AN125" s="27">
        <v>1</v>
      </c>
      <c r="AO125" s="27">
        <v>1</v>
      </c>
      <c r="AP125" s="27">
        <v>1</v>
      </c>
    </row>
    <row r="126" spans="1:42">
      <c r="A126" s="127"/>
      <c r="B126" s="27" t="str">
        <f>物品!B126</f>
        <v>IN07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来份快餐</v>
      </c>
      <c r="I126" s="27" t="str">
        <f>VLOOKUP(B126,物品!B:CV,99,FALSE)</f>
        <v>每秒回复|Cffffd24d10%|r生命值，持续|Cffffd24d10|r秒</v>
      </c>
      <c r="J126" s="129" t="str">
        <f t="shared" ref="J126" si="46">H126</f>
        <v>来份快餐</v>
      </c>
      <c r="K126" s="129" t="str">
        <f t="shared" ref="K126" si="47">I126</f>
        <v>每秒回复|Cffffd24d10%|r生命值，持续|Cffffd24d10|r秒</v>
      </c>
      <c r="L126" s="27"/>
      <c r="M126" s="130" t="str">
        <f>VLOOKUP(LEFT(RIGHT(B126,5),4),物品!B:CU,20,FALSE)</f>
        <v>ReplaceableTextures\\CommandButtons\\BTNIN07.blp</v>
      </c>
      <c r="N126" s="148" t="s">
        <v>83</v>
      </c>
      <c r="O126" s="130" t="s">
        <v>94</v>
      </c>
      <c r="P126" s="27">
        <v>0</v>
      </c>
      <c r="Q126" s="27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27"/>
      <c r="W126" s="27" t="s">
        <v>93</v>
      </c>
      <c r="X126" s="27">
        <v>0</v>
      </c>
      <c r="Y126" s="148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27"/>
      <c r="AJ126" s="27"/>
      <c r="AK126" s="27">
        <v>1</v>
      </c>
      <c r="AL126" s="27">
        <v>1</v>
      </c>
      <c r="AM126" s="148" t="s">
        <v>83</v>
      </c>
      <c r="AN126" s="27">
        <v>1</v>
      </c>
      <c r="AO126" s="27">
        <v>1</v>
      </c>
      <c r="AP126" s="27">
        <v>1</v>
      </c>
    </row>
    <row r="127" spans="1:42">
      <c r="A127" s="127"/>
      <c r="B127" s="27" t="str">
        <f>物品!B127</f>
        <v>IN08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抬你一手</v>
      </c>
      <c r="I127" s="27" t="str">
        <f>VLOOKUP(B127,物品!B:CV,99,FALSE)</f>
        <v>|CffFFC926击杀|r当前存在的|Cffffc926进攻怪|r和|Cffffc926Boss|r。|n|n|Cff00ff7f无法在大决战时使用|r</v>
      </c>
      <c r="J127" s="129" t="str">
        <f t="shared" ref="J127:J129" si="48">H127</f>
        <v>抬你一手</v>
      </c>
      <c r="K127" s="129" t="str">
        <f t="shared" ref="K127:K129" si="49">I127</f>
        <v>|CffFFC926击杀|r当前存在的|Cffffc926进攻怪|r和|Cffffc926Boss|r。|n|n|Cff00ff7f无法在大决战时使用|r</v>
      </c>
      <c r="L127" s="27"/>
      <c r="M127" s="130" t="str">
        <f>VLOOKUP(LEFT(RIGHT(B127,5),4),物品!B:CU,20,FALSE)</f>
        <v>ReplaceableTextures\\CommandButtons\\BTNIN08.blp</v>
      </c>
      <c r="N127" s="148" t="s">
        <v>83</v>
      </c>
      <c r="O127" s="130" t="s">
        <v>94</v>
      </c>
      <c r="P127" s="27">
        <v>0</v>
      </c>
      <c r="Q127" s="27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27"/>
      <c r="W127" s="27" t="s">
        <v>93</v>
      </c>
      <c r="X127" s="27">
        <v>0</v>
      </c>
      <c r="Y127" s="148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27"/>
      <c r="AJ127" s="27"/>
      <c r="AK127" s="27">
        <v>1</v>
      </c>
      <c r="AL127" s="27">
        <v>1</v>
      </c>
      <c r="AM127" s="148" t="s">
        <v>83</v>
      </c>
      <c r="AN127" s="27">
        <v>1</v>
      </c>
      <c r="AO127" s="27">
        <v>1</v>
      </c>
      <c r="AP127" s="27">
        <v>1</v>
      </c>
    </row>
    <row r="128" spans="1:42">
      <c r="A128" s="127"/>
      <c r="B128" s="27" t="str">
        <f>物品!B128</f>
        <v>IN09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死者苏生</v>
      </c>
      <c r="I128" s="27" t="str">
        <f>VLOOKUP(B128,物品!B:CV,99,FALSE)</f>
        <v>死亡时复活。</v>
      </c>
      <c r="J128" s="129" t="str">
        <f t="shared" si="48"/>
        <v>死者苏生</v>
      </c>
      <c r="K128" s="129" t="str">
        <f t="shared" si="49"/>
        <v>死亡时复活。</v>
      </c>
      <c r="L128" s="27"/>
      <c r="M128" s="130" t="str">
        <f>VLOOKUP(LEFT(RIGHT(B128,5),4),物品!B:CU,20,FALSE)</f>
        <v>ReplaceableTextures\\CommandButtons\\BTNIN09.blp</v>
      </c>
      <c r="N128" s="148" t="s">
        <v>83</v>
      </c>
      <c r="O128" s="130" t="s">
        <v>94</v>
      </c>
      <c r="P128" s="27">
        <v>0</v>
      </c>
      <c r="Q128" s="27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27"/>
      <c r="W128" s="27" t="s">
        <v>93</v>
      </c>
      <c r="X128" s="27">
        <v>0</v>
      </c>
      <c r="Y128" s="148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148" t="s">
        <v>83</v>
      </c>
      <c r="AF128" s="148" t="s">
        <v>83</v>
      </c>
      <c r="AG128" s="148" t="s">
        <v>83</v>
      </c>
      <c r="AH128" s="148" t="s">
        <v>83</v>
      </c>
      <c r="AI128" s="27"/>
      <c r="AJ128" s="27"/>
      <c r="AK128" s="27">
        <v>1</v>
      </c>
      <c r="AL128" s="27">
        <v>1</v>
      </c>
      <c r="AM128" s="148" t="s">
        <v>83</v>
      </c>
      <c r="AN128" s="27">
        <v>1</v>
      </c>
      <c r="AO128" s="27">
        <v>1</v>
      </c>
      <c r="AP128" s="27">
        <v>1</v>
      </c>
    </row>
    <row r="129" spans="1:42">
      <c r="A129" s="127"/>
      <c r="B129" s="27" t="str">
        <f>物品!B129</f>
        <v>IN10</v>
      </c>
      <c r="C129" s="27" t="s">
        <v>41</v>
      </c>
      <c r="D129" s="27" t="s">
        <v>81</v>
      </c>
      <c r="E129" s="27" t="s">
        <v>98</v>
      </c>
      <c r="F129" s="27"/>
      <c r="G129" s="27"/>
      <c r="H129" s="27" t="str">
        <f>VLOOKUP(LEFT(RIGHT(B129,5),4),物品!B:CU,2,FALSE)</f>
        <v>福娃这么可爱..</v>
      </c>
      <c r="I129" s="27" t="str">
        <f>VLOOKUP(B129,物品!B:CV,99,FALSE)</f>
        <v>点金一个|Cffffd24d练功房福娃|r，获得|Cffffd24d100|r倍金币奖励</v>
      </c>
      <c r="J129" s="129" t="str">
        <f t="shared" si="48"/>
        <v>福娃这么可爱..</v>
      </c>
      <c r="K129" s="129" t="str">
        <f t="shared" si="49"/>
        <v>点金一个|Cffffd24d练功房福娃|r，获得|Cffffd24d100|r倍金币奖励</v>
      </c>
      <c r="L129" s="27"/>
      <c r="M129" s="130" t="str">
        <f>VLOOKUP(LEFT(RIGHT(B129,5),4),物品!B:CU,20,FALSE)</f>
        <v>ReplaceableTextures\\CommandButtons\\BTNIN10.blp</v>
      </c>
      <c r="N129" s="148" t="s">
        <v>83</v>
      </c>
      <c r="O129" s="130" t="s">
        <v>94</v>
      </c>
      <c r="P129" s="27">
        <v>0</v>
      </c>
      <c r="Q129" s="27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27"/>
      <c r="W129" s="27" t="s">
        <v>93</v>
      </c>
      <c r="X129" s="27">
        <v>0</v>
      </c>
      <c r="Y129" s="148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27" t="s">
        <v>98</v>
      </c>
      <c r="AF129" s="27">
        <v>1</v>
      </c>
      <c r="AG129" s="148" t="s">
        <v>83</v>
      </c>
      <c r="AH129" s="148" t="s">
        <v>83</v>
      </c>
      <c r="AI129" s="27"/>
      <c r="AJ129" s="27"/>
      <c r="AK129" s="27">
        <v>1</v>
      </c>
      <c r="AL129" s="27">
        <v>1</v>
      </c>
      <c r="AM129" s="148" t="s">
        <v>83</v>
      </c>
      <c r="AN129" s="27">
        <v>0</v>
      </c>
      <c r="AO129" s="27">
        <v>0</v>
      </c>
      <c r="AP129" s="27">
        <v>1</v>
      </c>
    </row>
    <row r="130" spans="1:42">
      <c r="A130" s="127"/>
      <c r="B130" s="27" t="str">
        <f>物品!B130</f>
        <v>IN11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奥里给Lo他</v>
      </c>
      <c r="I130" s="27" t="str">
        <f>VLOOKUP(B130,物品!B:CV,99,FALSE)</f>
        <v>|CffFFD24D5|r秒内提高|Cffffd24d100%|r物理伤害</v>
      </c>
      <c r="J130" s="129" t="str">
        <f t="shared" ref="J130:J136" si="50">H130</f>
        <v>奥里给Lo他</v>
      </c>
      <c r="K130" s="129" t="str">
        <f t="shared" ref="K130:K136" si="51">I130</f>
        <v>|CffFFD24D5|r秒内提高|Cffffd24d100%|r物理伤害</v>
      </c>
      <c r="L130" s="27"/>
      <c r="M130" s="130" t="str">
        <f>VLOOKUP(LEFT(RIGHT(B130,5),4),物品!B:CU,20,FALSE)</f>
        <v>ReplaceableTextures\\CommandButtons\\BTNIN11.blp</v>
      </c>
      <c r="N130" s="148" t="s">
        <v>83</v>
      </c>
      <c r="O130" s="130" t="s">
        <v>94</v>
      </c>
      <c r="P130" s="27">
        <v>0</v>
      </c>
      <c r="Q130" s="27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27"/>
      <c r="W130" s="27" t="s">
        <v>93</v>
      </c>
      <c r="X130" s="27">
        <v>0</v>
      </c>
      <c r="Y130" s="148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27"/>
      <c r="AJ130" s="27"/>
      <c r="AK130" s="27">
        <v>1</v>
      </c>
      <c r="AL130" s="27">
        <v>1</v>
      </c>
      <c r="AM130" s="148" t="s">
        <v>83</v>
      </c>
      <c r="AN130" s="27">
        <v>1</v>
      </c>
      <c r="AO130" s="27">
        <v>1</v>
      </c>
      <c r="AP130" s="27">
        <v>1</v>
      </c>
    </row>
    <row r="131" spans="1:42">
      <c r="A131" s="127"/>
      <c r="B131" s="27" t="str">
        <f>物品!B131</f>
        <v>IN12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以逸待劳</v>
      </c>
      <c r="I131" s="27" t="str">
        <f>VLOOKUP(B131,物品!B:CV,99,FALSE)</f>
        <v>在|Cffffd24d基地-周文王|r附近召唤|Cffffd24d1|r个|Cffffd24d黑市商店|r，仅存在|Cffffd24d30|r秒。</v>
      </c>
      <c r="J131" s="129" t="str">
        <f t="shared" si="50"/>
        <v>以逸待劳</v>
      </c>
      <c r="K131" s="129" t="str">
        <f t="shared" si="51"/>
        <v>在|Cffffd24d基地-周文王|r附近召唤|Cffffd24d1|r个|Cffffd24d黑市商店|r，仅存在|Cffffd24d30|r秒。</v>
      </c>
      <c r="L131" s="27"/>
      <c r="M131" s="130" t="str">
        <f>VLOOKUP(LEFT(RIGHT(B131,5),4),物品!B:CU,20,FALSE)</f>
        <v>ReplaceableTextures\\CommandButtons\\BTNIN12.blp</v>
      </c>
      <c r="N131" s="148" t="s">
        <v>83</v>
      </c>
      <c r="O131" s="130" t="s">
        <v>94</v>
      </c>
      <c r="P131" s="27">
        <v>0</v>
      </c>
      <c r="Q131" s="27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27"/>
      <c r="W131" s="27" t="s">
        <v>93</v>
      </c>
      <c r="X131" s="27">
        <v>0</v>
      </c>
      <c r="Y131" s="148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27"/>
      <c r="AJ131" s="27"/>
      <c r="AK131" s="27">
        <v>1</v>
      </c>
      <c r="AL131" s="27">
        <v>1</v>
      </c>
      <c r="AM131" s="148" t="s">
        <v>83</v>
      </c>
      <c r="AN131" s="27">
        <v>1</v>
      </c>
      <c r="AO131" s="27">
        <v>1</v>
      </c>
      <c r="AP131" s="27">
        <v>1</v>
      </c>
    </row>
    <row r="132" spans="1:42">
      <c r="A132" s="127"/>
      <c r="B132" s="27" t="str">
        <f>物品!B132</f>
        <v>IN13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全军出击</v>
      </c>
      <c r="I132" s="27" t="str">
        <f>VLOOKUP(B132,物品!B:CV,99,FALSE)</f>
        <v>场上存活的队友|Cffffd24d10|r秒内提高|Cffffd24d30%|r法术伤害</v>
      </c>
      <c r="J132" s="129" t="str">
        <f t="shared" si="50"/>
        <v>全军出击</v>
      </c>
      <c r="K132" s="129" t="str">
        <f t="shared" si="51"/>
        <v>场上存活的队友|Cffffd24d10|r秒内提高|Cffffd24d30%|r法术伤害</v>
      </c>
      <c r="L132" s="27"/>
      <c r="M132" s="130" t="str">
        <f>VLOOKUP(LEFT(RIGHT(B132,5),4),物品!B:CU,20,FALSE)</f>
        <v>ReplaceableTextures\\CommandButtons\\BTNIN13.blp</v>
      </c>
      <c r="N132" s="148" t="s">
        <v>83</v>
      </c>
      <c r="O132" s="130" t="s">
        <v>94</v>
      </c>
      <c r="P132" s="27">
        <v>0</v>
      </c>
      <c r="Q132" s="27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27"/>
      <c r="W132" s="27" t="s">
        <v>93</v>
      </c>
      <c r="X132" s="27">
        <v>0</v>
      </c>
      <c r="Y132" s="148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27"/>
      <c r="AJ132" s="27"/>
      <c r="AK132" s="27">
        <v>1</v>
      </c>
      <c r="AL132" s="27">
        <v>1</v>
      </c>
      <c r="AM132" s="148" t="s">
        <v>83</v>
      </c>
      <c r="AN132" s="27">
        <v>1</v>
      </c>
      <c r="AO132" s="27">
        <v>1</v>
      </c>
      <c r="AP132" s="27">
        <v>1</v>
      </c>
    </row>
    <row r="133" spans="1:42">
      <c r="A133" s="127"/>
      <c r="B133" s="27" t="str">
        <f>物品!B133</f>
        <v>IN14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心跳时刻</v>
      </c>
      <c r="I133" s="27" t="str">
        <f>VLOOKUP(B133,物品!B:CV,99,FALSE)</f>
        <v>使用后基地无敌|Cffffd24d5|r秒。</v>
      </c>
      <c r="J133" s="129" t="str">
        <f t="shared" si="50"/>
        <v>心跳时刻</v>
      </c>
      <c r="K133" s="129" t="str">
        <f t="shared" si="51"/>
        <v>使用后基地无敌|Cffffd24d5|r秒。</v>
      </c>
      <c r="L133" s="27"/>
      <c r="M133" s="130" t="str">
        <f>VLOOKUP(LEFT(RIGHT(B133,5),4),物品!B:CU,20,FALSE)</f>
        <v>ReplaceableTextures\\CommandButtons\\BTNIN14.blp</v>
      </c>
      <c r="N133" s="148" t="s">
        <v>83</v>
      </c>
      <c r="O133" s="130" t="s">
        <v>94</v>
      </c>
      <c r="P133" s="27">
        <v>0</v>
      </c>
      <c r="Q133" s="27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27"/>
      <c r="W133" s="27" t="s">
        <v>93</v>
      </c>
      <c r="X133" s="27">
        <v>0</v>
      </c>
      <c r="Y133" s="148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27"/>
      <c r="AJ133" s="27"/>
      <c r="AK133" s="27">
        <v>1</v>
      </c>
      <c r="AL133" s="27">
        <v>1</v>
      </c>
      <c r="AM133" s="148" t="s">
        <v>83</v>
      </c>
      <c r="AN133" s="27">
        <v>1</v>
      </c>
      <c r="AO133" s="27">
        <v>1</v>
      </c>
      <c r="AP133" s="27">
        <v>1</v>
      </c>
    </row>
    <row r="134" spans="1:42">
      <c r="A134" s="127"/>
      <c r="B134" s="27" t="str">
        <f>物品!B134</f>
        <v>IN15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据守</v>
      </c>
      <c r="I134" s="27" t="str">
        <f>VLOOKUP(B134,物品!B:CV,99,FALSE)</f>
        <v>场上存活的队友|Cffffd24d10|r秒内减少|Cffffd24d20%|r承受伤害</v>
      </c>
      <c r="J134" s="129" t="str">
        <f t="shared" si="50"/>
        <v>据守</v>
      </c>
      <c r="K134" s="129" t="str">
        <f t="shared" si="51"/>
        <v>场上存活的队友|Cffffd24d10|r秒内减少|Cffffd24d20%|r承受伤害</v>
      </c>
      <c r="L134" s="27"/>
      <c r="M134" s="130" t="str">
        <f>VLOOKUP(LEFT(RIGHT(B134,5),4),物品!B:CU,20,FALSE)</f>
        <v>ReplaceableTextures\\CommandButtons\\BTNIN15.blp</v>
      </c>
      <c r="N134" s="148" t="s">
        <v>83</v>
      </c>
      <c r="O134" s="130" t="s">
        <v>94</v>
      </c>
      <c r="P134" s="27">
        <v>0</v>
      </c>
      <c r="Q134" s="27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27"/>
      <c r="W134" s="27" t="s">
        <v>93</v>
      </c>
      <c r="X134" s="27">
        <v>0</v>
      </c>
      <c r="Y134" s="148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27"/>
      <c r="AJ134" s="27"/>
      <c r="AK134" s="27">
        <v>1</v>
      </c>
      <c r="AL134" s="27">
        <v>1</v>
      </c>
      <c r="AM134" s="148" t="s">
        <v>83</v>
      </c>
      <c r="AN134" s="27">
        <v>1</v>
      </c>
      <c r="AO134" s="27">
        <v>1</v>
      </c>
      <c r="AP134" s="27">
        <v>1</v>
      </c>
    </row>
    <row r="135" spans="1:42">
      <c r="A135" s="127"/>
      <c r="B135" s="27" t="str">
        <f>物品!B135</f>
        <v>IN16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赌输可退</v>
      </c>
      <c r="I135" s="27" t="str">
        <f>VLOOKUP(B135,物品!B:CV,99,FALSE)</f>
        <v>使|Cffffd24d1|r个|Cffffd24d道果品质|r提高|Cffffd24d-1~+2|r。|n|n|Cff00ff7f只能对天级【7】或以下的道果使用|r</v>
      </c>
      <c r="J135" s="129" t="str">
        <f t="shared" si="50"/>
        <v>赌输可退</v>
      </c>
      <c r="K135" s="129" t="str">
        <f t="shared" si="51"/>
        <v>使|Cffffd24d1|r个|Cffffd24d道果品质|r提高|Cffffd24d-1~+2|r。|n|n|Cff00ff7f只能对天级【7】或以下的道果使用|r</v>
      </c>
      <c r="L135" s="27"/>
      <c r="M135" s="130" t="str">
        <f>VLOOKUP(LEFT(RIGHT(B135,5),4),物品!B:CU,20,FALSE)</f>
        <v>ReplaceableTextures\\CommandButtons\\BTNIN16.blp</v>
      </c>
      <c r="N135" s="148" t="s">
        <v>83</v>
      </c>
      <c r="O135" s="130" t="s">
        <v>94</v>
      </c>
      <c r="P135" s="27">
        <v>0</v>
      </c>
      <c r="Q135" s="27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27"/>
      <c r="W135" s="27" t="s">
        <v>93</v>
      </c>
      <c r="X135" s="27">
        <v>0</v>
      </c>
      <c r="Y135" s="148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27"/>
      <c r="AJ135" s="27"/>
      <c r="AK135" s="27">
        <v>1</v>
      </c>
      <c r="AL135" s="27">
        <v>1</v>
      </c>
      <c r="AM135" s="148" t="s">
        <v>83</v>
      </c>
      <c r="AN135" s="27">
        <v>1</v>
      </c>
      <c r="AO135" s="27">
        <v>1</v>
      </c>
      <c r="AP135" s="27">
        <v>1</v>
      </c>
    </row>
    <row r="136" spans="1:42">
      <c r="A136" s="127"/>
      <c r="B136" s="27" t="str">
        <f>物品!B136</f>
        <v>IN17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来点玄铁</v>
      </c>
      <c r="I136" s="27" t="str">
        <f>VLOOKUP(B136,物品!B:CV,99,FALSE)</f>
        <v>玄铁|Cffffd24d+5~50|r</v>
      </c>
      <c r="J136" s="129" t="str">
        <f t="shared" si="50"/>
        <v>来点玄铁</v>
      </c>
      <c r="K136" s="129" t="str">
        <f t="shared" si="51"/>
        <v>玄铁|Cffffd24d+5~50|r</v>
      </c>
      <c r="L136" s="27"/>
      <c r="M136" s="130" t="str">
        <f>VLOOKUP(LEFT(RIGHT(B136,5),4),物品!B:CU,20,FALSE)</f>
        <v>ReplaceableTextures\\CommandButtons\\BTNIN17.blp</v>
      </c>
      <c r="N136" s="148" t="s">
        <v>83</v>
      </c>
      <c r="O136" s="130" t="s">
        <v>94</v>
      </c>
      <c r="P136" s="27">
        <v>0</v>
      </c>
      <c r="Q136" s="27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27"/>
      <c r="W136" s="27" t="s">
        <v>93</v>
      </c>
      <c r="X136" s="27">
        <v>0</v>
      </c>
      <c r="Y136" s="14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27"/>
      <c r="AJ136" s="27"/>
      <c r="AK136" s="27">
        <v>1</v>
      </c>
      <c r="AL136" s="27">
        <v>1</v>
      </c>
      <c r="AM136" s="148" t="s">
        <v>83</v>
      </c>
      <c r="AN136" s="27">
        <v>1</v>
      </c>
      <c r="AO136" s="27">
        <v>1</v>
      </c>
      <c r="AP136" s="27">
        <v>1</v>
      </c>
    </row>
    <row r="137" spans="1:42">
      <c r="A137" s="127"/>
      <c r="B137" s="27" t="str">
        <f>物品!B137</f>
        <v>IN18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恭喜发财</v>
      </c>
      <c r="I137" s="27" t="str">
        <f>VLOOKUP(B137,物品!B:CV,99,FALSE)</f>
        <v>|CffFFD24D30|r秒内增加|Cffffd24d30%|r金币加成</v>
      </c>
      <c r="J137" s="129" t="str">
        <f t="shared" ref="J137" si="52">H137</f>
        <v>恭喜发财</v>
      </c>
      <c r="K137" s="129" t="str">
        <f t="shared" ref="K137" si="53">I137</f>
        <v>|CffFFD24D30|r秒内增加|Cffffd24d30%|r金币加成</v>
      </c>
      <c r="L137" s="27"/>
      <c r="M137" s="130" t="str">
        <f>VLOOKUP(LEFT(RIGHT(B137,5),4),物品!B:CU,20,FALSE)</f>
        <v>ReplaceableTextures\\CommandButtons\\BTNIN18.blp</v>
      </c>
      <c r="N137" s="148" t="s">
        <v>83</v>
      </c>
      <c r="O137" s="130" t="s">
        <v>94</v>
      </c>
      <c r="P137" s="27">
        <v>0</v>
      </c>
      <c r="Q137" s="27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27"/>
      <c r="W137" s="27" t="s">
        <v>93</v>
      </c>
      <c r="X137" s="27">
        <v>0</v>
      </c>
      <c r="Y137" s="14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27"/>
      <c r="AJ137" s="27"/>
      <c r="AK137" s="27">
        <v>1</v>
      </c>
      <c r="AL137" s="27">
        <v>1</v>
      </c>
      <c r="AM137" s="148" t="s">
        <v>83</v>
      </c>
      <c r="AN137" s="27">
        <v>1</v>
      </c>
      <c r="AO137" s="27">
        <v>1</v>
      </c>
      <c r="AP137" s="27">
        <v>1</v>
      </c>
    </row>
    <row r="138" spans="1:42">
      <c r="A138" s="127"/>
      <c r="B138" s="27" t="str">
        <f>物品!B138</f>
        <v>IN19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附魔宝箱</v>
      </c>
      <c r="I138" s="27" t="str">
        <f>VLOOKUP(B138,物品!B:CV,99,FALSE)</f>
        <v>使用后获得|Cffffc926随机类型技能附魔石|r</v>
      </c>
      <c r="J138" s="129" t="str">
        <f t="shared" ref="J138:J146" si="54">H138</f>
        <v>附魔宝箱</v>
      </c>
      <c r="K138" s="129" t="str">
        <f t="shared" ref="K138:K146" si="55">I138</f>
        <v>使用后获得|Cffffc926随机类型技能附魔石|r</v>
      </c>
      <c r="L138" s="27"/>
      <c r="M138" s="130" t="str">
        <f>VLOOKUP(LEFT(RIGHT(B138,5),4),物品!B:CU,20,FALSE)</f>
        <v>ReplaceableTextures\\CommandButtons\\BTNIN16.blp</v>
      </c>
      <c r="N138" s="148" t="s">
        <v>83</v>
      </c>
      <c r="O138" s="130" t="s">
        <v>99</v>
      </c>
      <c r="P138" s="27">
        <v>0</v>
      </c>
      <c r="Q138" s="27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27"/>
      <c r="W138" s="27" t="s">
        <v>93</v>
      </c>
      <c r="X138" s="27">
        <v>0</v>
      </c>
      <c r="Y138" s="14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27"/>
      <c r="AJ138" s="27"/>
      <c r="AK138" s="27">
        <v>1</v>
      </c>
      <c r="AL138" s="27">
        <v>1</v>
      </c>
      <c r="AM138" s="148" t="s">
        <v>83</v>
      </c>
      <c r="AN138" s="27">
        <v>1</v>
      </c>
      <c r="AO138" s="27">
        <v>1</v>
      </c>
      <c r="AP138" s="27">
        <v>1</v>
      </c>
    </row>
    <row r="139" spans="1:42">
      <c r="A139" s="127"/>
      <c r="B139" s="27" t="str">
        <f>物品!B139</f>
        <v>IN20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鼠年大吉</v>
      </c>
      <c r="I139" s="27" t="str">
        <f>VLOOKUP(B139,物品!B:CV,99,FALSE)</f>
        <v>|CffFFD24D30|r秒内杀敌金币|Cffffd24d+10|r</v>
      </c>
      <c r="J139" s="129" t="str">
        <f t="shared" si="54"/>
        <v>鼠年大吉</v>
      </c>
      <c r="K139" s="129" t="str">
        <f t="shared" si="55"/>
        <v>|CffFFD24D30|r秒内杀敌金币|Cffffd24d+10|r</v>
      </c>
      <c r="L139" s="27"/>
      <c r="M139" s="130" t="str">
        <f>VLOOKUP(LEFT(RIGHT(B139,5),4),物品!B:CU,20,FALSE)</f>
        <v>ReplaceableTextures\\CommandButtons\\BTNIN20.blp</v>
      </c>
      <c r="N139" s="148" t="s">
        <v>83</v>
      </c>
      <c r="O139" s="130" t="s">
        <v>94</v>
      </c>
      <c r="P139" s="27">
        <v>0</v>
      </c>
      <c r="Q139" s="27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27"/>
      <c r="W139" s="27" t="s">
        <v>93</v>
      </c>
      <c r="X139" s="27">
        <v>0</v>
      </c>
      <c r="Y139" s="14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27"/>
      <c r="AJ139" s="27"/>
      <c r="AK139" s="27">
        <v>1</v>
      </c>
      <c r="AL139" s="27">
        <v>1</v>
      </c>
      <c r="AM139" s="148" t="s">
        <v>83</v>
      </c>
      <c r="AN139" s="27">
        <v>1</v>
      </c>
      <c r="AO139" s="27">
        <v>1</v>
      </c>
      <c r="AP139" s="27">
        <v>1</v>
      </c>
    </row>
    <row r="140" spans="1:42">
      <c r="A140" s="127"/>
      <c r="B140" s="27" t="str">
        <f>物品!B140</f>
        <v>IN21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兄弟们拼了</v>
      </c>
      <c r="I140" s="27" t="str">
        <f>VLOOKUP(B140,物品!B:CV,99,FALSE)</f>
        <v>全体队友|Cffffd24d10|r秒内提高|Cffffd24d30%|r生命恢复，|Cffffd24d物理及法术伤害提高50%|r。|n|Cff00ff7f效果结束时，所有队友当前生命值降低至20%|r|r</v>
      </c>
      <c r="J140" s="129" t="str">
        <f t="shared" si="54"/>
        <v>兄弟们拼了</v>
      </c>
      <c r="K140" s="129" t="str">
        <f t="shared" si="55"/>
        <v>全体队友|Cffffd24d10|r秒内提高|Cffffd24d30%|r生命恢复，|Cffffd24d物理及法术伤害提高50%|r。|n|Cff00ff7f效果结束时，所有队友当前生命值降低至20%|r|r</v>
      </c>
      <c r="L140" s="27"/>
      <c r="M140" s="130" t="str">
        <f>VLOOKUP(LEFT(RIGHT(B140,5),4),物品!B:CU,20,FALSE)</f>
        <v>ReplaceableTextures\\CommandButtons\\BTNIN21.blp</v>
      </c>
      <c r="N140" s="148" t="s">
        <v>83</v>
      </c>
      <c r="O140" s="130" t="s">
        <v>94</v>
      </c>
      <c r="P140" s="27">
        <v>0</v>
      </c>
      <c r="Q140" s="27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27"/>
      <c r="W140" s="27" t="s">
        <v>93</v>
      </c>
      <c r="X140" s="27">
        <v>0</v>
      </c>
      <c r="Y140" s="14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27"/>
      <c r="AJ140" s="27"/>
      <c r="AK140" s="27">
        <v>1</v>
      </c>
      <c r="AL140" s="27">
        <v>1</v>
      </c>
      <c r="AM140" s="148" t="s">
        <v>83</v>
      </c>
      <c r="AN140" s="27">
        <v>1</v>
      </c>
      <c r="AO140" s="27">
        <v>1</v>
      </c>
      <c r="AP140" s="27">
        <v>1</v>
      </c>
    </row>
    <row r="141" spans="1:42">
      <c r="A141" s="127"/>
      <c r="B141" s="27" t="str">
        <f>物品!B141</f>
        <v>IN22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老铁忍住啊</v>
      </c>
      <c r="I141" s="27" t="str">
        <f>VLOOKUP(B141,物品!B:CV,99,FALSE)</f>
        <v>使用后|Cffffd24d5|r分钟内|Cffffd24d不使用任何主动技能/药水|r，获得|Cffffd24d1|r个|Cffff0000附魔宝箱|r</v>
      </c>
      <c r="J141" s="129" t="str">
        <f t="shared" si="54"/>
        <v>老铁忍住啊</v>
      </c>
      <c r="K141" s="129" t="str">
        <f t="shared" si="55"/>
        <v>使用后|Cffffd24d5|r分钟内|Cffffd24d不使用任何主动技能/药水|r，获得|Cffffd24d1|r个|Cffff0000附魔宝箱|r</v>
      </c>
      <c r="L141" s="27"/>
      <c r="M141" s="130" t="str">
        <f>VLOOKUP(LEFT(RIGHT(B141,5),4),物品!B:CU,20,FALSE)</f>
        <v>ReplaceableTextures\\CommandButtons\\BTNIN22.blp</v>
      </c>
      <c r="N141" s="148" t="s">
        <v>83</v>
      </c>
      <c r="O141" s="130" t="s">
        <v>94</v>
      </c>
      <c r="P141" s="27">
        <v>0</v>
      </c>
      <c r="Q141" s="27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27"/>
      <c r="W141" s="27" t="s">
        <v>93</v>
      </c>
      <c r="X141" s="27">
        <v>0</v>
      </c>
      <c r="Y141" s="14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27"/>
      <c r="AJ141" s="27"/>
      <c r="AK141" s="27">
        <v>1</v>
      </c>
      <c r="AL141" s="27">
        <v>1</v>
      </c>
      <c r="AM141" s="148" t="s">
        <v>83</v>
      </c>
      <c r="AN141" s="27">
        <v>1</v>
      </c>
      <c r="AO141" s="27">
        <v>1</v>
      </c>
      <c r="AP141" s="27">
        <v>1</v>
      </c>
    </row>
    <row r="142" spans="1:42">
      <c r="A142" s="127"/>
      <c r="B142" s="27" t="str">
        <f>物品!B142</f>
        <v>IN23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老铁忍住呀</v>
      </c>
      <c r="I142" s="27" t="str">
        <f>VLOOKUP(B142,物品!B:CV,99,FALSE)</f>
        <v>使用后|Cffffd24d5|r分钟内|Cffffd24d不进行任何挑战|r，获得|Cffffd24d1|r个|Cffff0000附魔宝箱|r</v>
      </c>
      <c r="J142" s="129" t="str">
        <f t="shared" si="54"/>
        <v>老铁忍住呀</v>
      </c>
      <c r="K142" s="129" t="str">
        <f t="shared" si="55"/>
        <v>使用后|Cffffd24d5|r分钟内|Cffffd24d不进行任何挑战|r，获得|Cffffd24d1|r个|Cffff0000附魔宝箱|r</v>
      </c>
      <c r="L142" s="27"/>
      <c r="M142" s="130" t="str">
        <f>VLOOKUP(LEFT(RIGHT(B142,5),4),物品!B:CU,20,FALSE)</f>
        <v>ReplaceableTextures\\CommandButtons\\BTNIN23.blp</v>
      </c>
      <c r="N142" s="148" t="s">
        <v>83</v>
      </c>
      <c r="O142" s="130" t="s">
        <v>94</v>
      </c>
      <c r="P142" s="27">
        <v>0</v>
      </c>
      <c r="Q142" s="27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27"/>
      <c r="W142" s="27" t="s">
        <v>93</v>
      </c>
      <c r="X142" s="27">
        <v>0</v>
      </c>
      <c r="Y142" s="14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27"/>
      <c r="AJ142" s="27"/>
      <c r="AK142" s="27">
        <v>1</v>
      </c>
      <c r="AL142" s="27">
        <v>1</v>
      </c>
      <c r="AM142" s="148" t="s">
        <v>83</v>
      </c>
      <c r="AN142" s="27">
        <v>1</v>
      </c>
      <c r="AO142" s="27">
        <v>1</v>
      </c>
      <c r="AP142" s="27">
        <v>1</v>
      </c>
    </row>
    <row r="143" spans="1:42">
      <c r="A143" s="127"/>
      <c r="B143" s="27" t="str">
        <f>物品!B143</f>
        <v>IN24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跳不动了</v>
      </c>
      <c r="I143" s="27" t="str">
        <f>VLOOKUP(B143,物品!B:CV,99,FALSE)</f>
        <v>使用后|Cffffd24d5|r分钟内|Cffffd24d不使用轻功|r，获得|Cffffd24d1|r个|Cffff0000附魔宝箱|r</v>
      </c>
      <c r="J143" s="129" t="str">
        <f t="shared" si="54"/>
        <v>跳不动了</v>
      </c>
      <c r="K143" s="129" t="str">
        <f t="shared" si="55"/>
        <v>使用后|Cffffd24d5|r分钟内|Cffffd24d不使用轻功|r，获得|Cffffd24d1|r个|Cffff0000附魔宝箱|r</v>
      </c>
      <c r="L143" s="27"/>
      <c r="M143" s="130" t="str">
        <f>VLOOKUP(LEFT(RIGHT(B143,5),4),物品!B:CU,20,FALSE)</f>
        <v>ReplaceableTextures\\CommandButtons\\BTNIN24.blp</v>
      </c>
      <c r="N143" s="148" t="s">
        <v>83</v>
      </c>
      <c r="O143" s="130" t="s">
        <v>94</v>
      </c>
      <c r="P143" s="27">
        <v>0</v>
      </c>
      <c r="Q143" s="27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27"/>
      <c r="W143" s="27" t="s">
        <v>93</v>
      </c>
      <c r="X143" s="27">
        <v>0</v>
      </c>
      <c r="Y143" s="148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27"/>
      <c r="AJ143" s="27"/>
      <c r="AK143" s="27">
        <v>1</v>
      </c>
      <c r="AL143" s="27">
        <v>1</v>
      </c>
      <c r="AM143" s="148" t="s">
        <v>83</v>
      </c>
      <c r="AN143" s="27">
        <v>1</v>
      </c>
      <c r="AO143" s="27">
        <v>1</v>
      </c>
      <c r="AP143" s="27">
        <v>1</v>
      </c>
    </row>
    <row r="144" spans="1:42">
      <c r="A144" s="127"/>
      <c r="B144" s="27" t="str">
        <f>物品!B144</f>
        <v>IN25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|Cff00BFFF入门道果箱|r</v>
      </c>
      <c r="I144" s="27" t="str">
        <f>VLOOKUP(B144,物品!B:CV,99,FALSE)</f>
        <v>打开后有几率获得以下奖励：|n【随机品质】中级道果|n|Cff00ff7f【随机品质】高级道果|r</v>
      </c>
      <c r="J144" s="129" t="str">
        <f t="shared" si="54"/>
        <v>|Cff00BFFF入门道果箱|r</v>
      </c>
      <c r="K144" s="129" t="str">
        <f t="shared" si="55"/>
        <v>打开后有几率获得以下奖励：|n【随机品质】中级道果|n|Cff00ff7f【随机品质】高级道果|r</v>
      </c>
      <c r="L144" s="27"/>
      <c r="M144" s="130" t="str">
        <f>VLOOKUP(LEFT(RIGHT(B144,5),4),物品!B:CU,20,FALSE)</f>
        <v>ReplaceableTextures\\CommandButtons\\BTNAM20.blp</v>
      </c>
      <c r="N144" s="148" t="s">
        <v>83</v>
      </c>
      <c r="O144" s="10" t="s">
        <v>100</v>
      </c>
      <c r="P144" s="27">
        <v>0</v>
      </c>
      <c r="Q144" s="27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27"/>
      <c r="W144" s="27" t="s">
        <v>93</v>
      </c>
      <c r="X144" s="27">
        <v>0</v>
      </c>
      <c r="Y144" s="148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27"/>
      <c r="AJ144" s="27"/>
      <c r="AK144" s="27">
        <v>1</v>
      </c>
      <c r="AL144" s="27">
        <v>1</v>
      </c>
      <c r="AM144" s="148" t="s">
        <v>83</v>
      </c>
      <c r="AN144" s="27">
        <v>1</v>
      </c>
      <c r="AO144" s="27">
        <v>1</v>
      </c>
      <c r="AP144" s="27">
        <v>1</v>
      </c>
    </row>
    <row r="145" spans="1:42">
      <c r="A145" s="127"/>
      <c r="B145" s="27" t="str">
        <f>物品!B145</f>
        <v>IN26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|CffFFD24D后天道果箱|r</v>
      </c>
      <c r="I145" s="27" t="str">
        <f>VLOOKUP(B145,物品!B:CV,99,FALSE)</f>
        <v>打开后有几率获得以下奖励：|n|Cff00ff7f【随机品质】黄级道果|r|n|Cff00bfff【随机品质】玄级道果|n【随机品质】地级道果|r</v>
      </c>
      <c r="J145" s="129" t="str">
        <f t="shared" si="54"/>
        <v>|CffFFD24D后天道果箱|r</v>
      </c>
      <c r="K145" s="129" t="str">
        <f t="shared" si="55"/>
        <v>打开后有几率获得以下奖励：|n|Cff00ff7f【随机品质】黄级道果|r|n|Cff00bfff【随机品质】玄级道果|n【随机品质】地级道果|r</v>
      </c>
      <c r="L145" s="27"/>
      <c r="M145" s="130" t="str">
        <f>VLOOKUP(LEFT(RIGHT(B145,5),4),物品!B:CU,20,FALSE)</f>
        <v>ReplaceableTextures\\CommandButtons\\BTNAM21.blp</v>
      </c>
      <c r="N145" s="148" t="s">
        <v>83</v>
      </c>
      <c r="O145" s="10" t="s">
        <v>101</v>
      </c>
      <c r="P145" s="27">
        <v>0</v>
      </c>
      <c r="Q145" s="27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27"/>
      <c r="W145" s="27" t="s">
        <v>93</v>
      </c>
      <c r="X145" s="27">
        <v>0</v>
      </c>
      <c r="Y145" s="148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27"/>
      <c r="AJ145" s="27"/>
      <c r="AK145" s="27">
        <v>1</v>
      </c>
      <c r="AL145" s="27">
        <v>1</v>
      </c>
      <c r="AM145" s="148" t="s">
        <v>83</v>
      </c>
      <c r="AN145" s="27">
        <v>1</v>
      </c>
      <c r="AO145" s="27">
        <v>1</v>
      </c>
      <c r="AP145" s="27">
        <v>1</v>
      </c>
    </row>
    <row r="146" spans="1:42">
      <c r="A146" s="127"/>
      <c r="B146" s="27" t="str">
        <f>物品!B146</f>
        <v>IN27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|CffFF0000先天道果箱|r</v>
      </c>
      <c r="I146" s="27" t="str">
        <f>VLOOKUP(B146,物品!B:CV,99,FALSE)</f>
        <v>打开后有几率获得以下奖励：|n|Cffffd24d【随机品质】天级道果|n【随机品质】仙品道果|n|r|Cffff0000【随机品质】至圣道果|n【随机品质】混沌道果|r</v>
      </c>
      <c r="J146" s="129" t="str">
        <f t="shared" si="54"/>
        <v>|CffFF0000先天道果箱|r</v>
      </c>
      <c r="K146" s="129" t="str">
        <f t="shared" si="55"/>
        <v>打开后有几率获得以下奖励：|n|Cffffd24d【随机品质】天级道果|n【随机品质】仙品道果|n|r|Cffff0000【随机品质】至圣道果|n【随机品质】混沌道果|r</v>
      </c>
      <c r="L146" s="27"/>
      <c r="M146" s="130" t="str">
        <f>VLOOKUP(LEFT(RIGHT(B146,5),4),物品!B:CU,20,FALSE)</f>
        <v>ReplaceableTextures\\CommandButtons\\BTNAM22.blp</v>
      </c>
      <c r="N146" s="148" t="s">
        <v>83</v>
      </c>
      <c r="O146" s="130" t="s">
        <v>102</v>
      </c>
      <c r="P146" s="27">
        <v>0</v>
      </c>
      <c r="Q146" s="27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27"/>
      <c r="W146" s="27" t="s">
        <v>93</v>
      </c>
      <c r="X146" s="27">
        <v>0</v>
      </c>
      <c r="Y146" s="148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27"/>
      <c r="AJ146" s="27"/>
      <c r="AK146" s="27">
        <v>1</v>
      </c>
      <c r="AL146" s="27">
        <v>1</v>
      </c>
      <c r="AM146" s="148" t="s">
        <v>83</v>
      </c>
      <c r="AN146" s="27">
        <v>1</v>
      </c>
      <c r="AO146" s="27">
        <v>1</v>
      </c>
      <c r="AP146" s="27">
        <v>1</v>
      </c>
    </row>
    <row r="147" spans="1:42">
      <c r="A147" s="127"/>
      <c r="B147" s="27" t="str">
        <f>物品!B147</f>
        <v>IN28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|CffFFD24D技能宝箱|r</v>
      </c>
      <c r="I147" s="27" t="str">
        <f>VLOOKUP(B147,物品!B:CV,99,FALSE)</f>
        <v>使用后获得|Cffffc926随机类型技能升阶石|r</v>
      </c>
      <c r="J147" s="129" t="str">
        <f t="shared" ref="J147:J148" si="56">H147</f>
        <v>|CffFFD24D技能宝箱|r</v>
      </c>
      <c r="K147" s="129" t="str">
        <f t="shared" ref="K147:K148" si="57">I147</f>
        <v>使用后获得|Cffffc926随机类型技能升阶石|r</v>
      </c>
      <c r="L147" s="27"/>
      <c r="M147" s="130" t="str">
        <f>VLOOKUP(LEFT(RIGHT(B147,5),4),物品!B:CU,20,FALSE)</f>
        <v>ReplaceableTextures\\CommandButtons\\BTNAM23.blp</v>
      </c>
      <c r="N147" s="148" t="s">
        <v>83</v>
      </c>
      <c r="O147" s="10" t="s">
        <v>101</v>
      </c>
      <c r="P147" s="27">
        <v>0</v>
      </c>
      <c r="Q147" s="27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27"/>
      <c r="W147" s="27" t="s">
        <v>93</v>
      </c>
      <c r="X147" s="27">
        <v>0</v>
      </c>
      <c r="Y147" s="148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27"/>
      <c r="AJ147" s="27"/>
      <c r="AK147" s="27">
        <v>1</v>
      </c>
      <c r="AL147" s="27">
        <v>1</v>
      </c>
      <c r="AM147" s="148" t="s">
        <v>83</v>
      </c>
      <c r="AN147" s="27">
        <v>1</v>
      </c>
      <c r="AO147" s="27">
        <v>1</v>
      </c>
      <c r="AP147" s="27">
        <v>1</v>
      </c>
    </row>
    <row r="148" spans="1:42">
      <c r="A148" s="127"/>
      <c r="B148" s="27" t="str">
        <f>物品!B148</f>
        <v>IN29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|CffFFD24D附魔宝箱|r</v>
      </c>
      <c r="I148" s="27" t="str">
        <f>VLOOKUP(B148,物品!B:CV,99,FALSE)</f>
        <v>使用后获得|Cffffc926随机类型技能附魔石|r</v>
      </c>
      <c r="J148" s="129" t="str">
        <f t="shared" si="56"/>
        <v>|CffFFD24D附魔宝箱|r</v>
      </c>
      <c r="K148" s="129" t="str">
        <f t="shared" si="57"/>
        <v>使用后获得|Cffffc926随机类型技能附魔石|r</v>
      </c>
      <c r="L148" s="27"/>
      <c r="M148" s="130" t="str">
        <f>VLOOKUP(LEFT(RIGHT(B148,5),4),物品!B:CU,20,FALSE)</f>
        <v>ReplaceableTextures\\CommandButtons\\BTNAM24.blp</v>
      </c>
      <c r="N148" s="148" t="s">
        <v>83</v>
      </c>
      <c r="O148" s="10" t="s">
        <v>101</v>
      </c>
      <c r="P148" s="27">
        <v>0</v>
      </c>
      <c r="Q148" s="27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27"/>
      <c r="W148" s="27" t="s">
        <v>93</v>
      </c>
      <c r="X148" s="27">
        <v>0</v>
      </c>
      <c r="Y148" s="148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27"/>
      <c r="AJ148" s="27"/>
      <c r="AK148" s="27">
        <v>1</v>
      </c>
      <c r="AL148" s="27">
        <v>1</v>
      </c>
      <c r="AM148" s="148" t="s">
        <v>83</v>
      </c>
      <c r="AN148" s="27">
        <v>1</v>
      </c>
      <c r="AO148" s="27">
        <v>1</v>
      </c>
      <c r="AP148" s="27">
        <v>1</v>
      </c>
    </row>
    <row r="149" spans="1:42">
      <c r="A149" s="127"/>
      <c r="B149" s="27" t="str">
        <f>物品!B149</f>
        <v>IN30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|Cff00FF7F幸运星盒|r</v>
      </c>
      <c r="I149" s="27" t="str">
        <f>VLOOKUP(B149,物品!B:CV,99,FALSE)</f>
        <v>开启后获得|Cff00bfff随机奖励|r。</v>
      </c>
      <c r="J149" s="129" t="str">
        <f t="shared" ref="J149:J150" si="58">H149</f>
        <v>|Cff00FF7F幸运星盒|r</v>
      </c>
      <c r="K149" s="129" t="str">
        <f t="shared" ref="K149:K150" si="59">I149</f>
        <v>开启后获得|Cff00bfff随机奖励|r。</v>
      </c>
      <c r="L149" s="27"/>
      <c r="M149" s="130" t="str">
        <f>VLOOKUP(LEFT(RIGHT(B149,5),4),物品!B:CU,20,FALSE)</f>
        <v>ReplaceableTextures\\CommandButtons\\BTNI013.blp</v>
      </c>
      <c r="N149" s="27">
        <v>0.5</v>
      </c>
      <c r="O149" s="10" t="s">
        <v>103</v>
      </c>
      <c r="P149" s="27">
        <v>0</v>
      </c>
      <c r="Q149" s="27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27"/>
      <c r="W149" s="27" t="s">
        <v>93</v>
      </c>
      <c r="X149" s="27">
        <v>0</v>
      </c>
      <c r="Y149" s="148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27"/>
      <c r="AJ149" s="27"/>
      <c r="AK149" s="27">
        <v>1</v>
      </c>
      <c r="AL149" s="27">
        <v>1</v>
      </c>
      <c r="AM149" s="148" t="s">
        <v>83</v>
      </c>
      <c r="AN149" s="27">
        <v>1</v>
      </c>
      <c r="AO149" s="27">
        <v>1</v>
      </c>
      <c r="AP149" s="27">
        <v>1</v>
      </c>
    </row>
    <row r="150" spans="1:42">
      <c r="A150" s="127"/>
      <c r="B150" s="27" t="str">
        <f>物品!B150</f>
        <v>IN31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|CffFFD24D炽星魔盒|r</v>
      </c>
      <c r="I150" s="27" t="str">
        <f>VLOOKUP(B150,物品!B:CV,99,FALSE)</f>
        <v>开启后获得|Cffffd24d随机奖励|r。</v>
      </c>
      <c r="J150" s="129" t="str">
        <f t="shared" si="58"/>
        <v>|CffFFD24D炽星魔盒|r</v>
      </c>
      <c r="K150" s="129" t="str">
        <f t="shared" si="59"/>
        <v>开启后获得|Cffffd24d随机奖励|r。</v>
      </c>
      <c r="L150" s="27"/>
      <c r="M150" s="130" t="str">
        <f>VLOOKUP(LEFT(RIGHT(B150,5),4),物品!B:CU,20,FALSE)</f>
        <v>ReplaceableTextures\\CommandButtons\\BTNI014.blp</v>
      </c>
      <c r="N150" s="27">
        <v>0.5</v>
      </c>
      <c r="O150" s="10" t="s">
        <v>103</v>
      </c>
      <c r="P150" s="27">
        <v>0</v>
      </c>
      <c r="Q150" s="27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27"/>
      <c r="W150" s="27" t="s">
        <v>93</v>
      </c>
      <c r="X150" s="27">
        <v>0</v>
      </c>
      <c r="Y150" s="148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27"/>
      <c r="AJ150" s="27"/>
      <c r="AK150" s="27">
        <v>1</v>
      </c>
      <c r="AL150" s="27">
        <v>1</v>
      </c>
      <c r="AM150" s="148" t="s">
        <v>83</v>
      </c>
      <c r="AN150" s="27">
        <v>1</v>
      </c>
      <c r="AO150" s="27">
        <v>1</v>
      </c>
      <c r="AP150" s="27">
        <v>1</v>
      </c>
    </row>
    <row r="151" spans="1:42">
      <c r="A151" s="127"/>
      <c r="B151" s="27" t="str">
        <f>物品!B151</f>
        <v>IN32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29" t="str">
        <f t="shared" ref="J151" si="60">H151</f>
        <v>|CffFFD24D技能宝箱|r</v>
      </c>
      <c r="K151" s="129" t="str">
        <f t="shared" ref="K151" si="61">I151</f>
        <v>使用后获得|Cffffc926随机类型技能升阶石|r</v>
      </c>
      <c r="L151" s="27"/>
      <c r="M151" s="130" t="str">
        <f>VLOOKUP(LEFT(RIGHT(B151,5),4),物品!B:CU,20,FALSE)</f>
        <v>ReplaceableTextures\\CommandButtons\\BTNAM23.blp</v>
      </c>
      <c r="N151" s="27">
        <v>0.5</v>
      </c>
      <c r="O151" s="10" t="s">
        <v>103</v>
      </c>
      <c r="P151" s="27">
        <v>0</v>
      </c>
      <c r="Q151" s="27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27"/>
      <c r="W151" s="27" t="s">
        <v>93</v>
      </c>
      <c r="X151" s="27">
        <v>0</v>
      </c>
      <c r="Y151" s="14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27"/>
      <c r="AJ151" s="27"/>
      <c r="AK151" s="27">
        <v>1</v>
      </c>
      <c r="AL151" s="27">
        <v>1</v>
      </c>
      <c r="AM151" s="148" t="s">
        <v>83</v>
      </c>
      <c r="AN151" s="27">
        <v>1</v>
      </c>
      <c r="AO151" s="27">
        <v>1</v>
      </c>
      <c r="AP151" s="27">
        <v>1</v>
      </c>
    </row>
    <row r="152" spans="1:42">
      <c r="A152" s="127"/>
      <c r="B152" s="27" t="str">
        <f>物品!B152</f>
        <v>IP01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|CffFF0000时渊入场券|r</v>
      </c>
      <c r="I152" s="27" t="str">
        <f>VLOOKUP(B152,物品!B:CV,99,FALSE)</f>
        <v>每次|Cffffd24d完成|r时渊副本将消耗|Cffffd24d1|r个|Cffffd24d时渊入场券|r</v>
      </c>
      <c r="J152" s="129" t="str">
        <f t="shared" ref="J152" si="62">H152</f>
        <v>|CffFF0000时渊入场券|r</v>
      </c>
      <c r="K152" s="129" t="str">
        <f t="shared" ref="K152" si="63">I152</f>
        <v>每次|Cffffd24d完成|r时渊副本将消耗|Cffffd24d1|r个|Cffffd24d时渊入场券|r</v>
      </c>
      <c r="L152" s="27"/>
      <c r="M152" s="130" t="str">
        <f>VLOOKUP(LEFT(RIGHT(B152,5),4),物品!B:CU,20,FALSE)</f>
        <v>ReplaceableTextures\\CommandButtons\\BTNIP01.blp</v>
      </c>
      <c r="N152" s="148" t="s">
        <v>83</v>
      </c>
      <c r="O152" s="130" t="s">
        <v>95</v>
      </c>
      <c r="P152" s="27">
        <v>0</v>
      </c>
      <c r="Q152" s="27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27"/>
      <c r="W152" s="27" t="s">
        <v>88</v>
      </c>
      <c r="X152" s="27">
        <v>0</v>
      </c>
      <c r="Y152" s="148" t="s">
        <v>83</v>
      </c>
      <c r="Z152" s="27">
        <v>0</v>
      </c>
      <c r="AA152" s="27">
        <v>0</v>
      </c>
      <c r="AB152" s="27">
        <v>50</v>
      </c>
      <c r="AC152" s="27">
        <v>1</v>
      </c>
      <c r="AD152" s="27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27">
        <v>1</v>
      </c>
      <c r="AJ152" s="27"/>
      <c r="AK152" s="27">
        <v>1</v>
      </c>
      <c r="AL152" s="27">
        <v>1</v>
      </c>
      <c r="AM152" s="148" t="s">
        <v>83</v>
      </c>
      <c r="AN152" s="27">
        <v>1</v>
      </c>
      <c r="AO152" s="27">
        <v>1</v>
      </c>
      <c r="AP152" s="27">
        <v>1</v>
      </c>
    </row>
    <row r="153" spans="1:42">
      <c r="A153" s="127"/>
      <c r="B153" s="27" t="str">
        <f>物品!B153</f>
        <v>IP02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|CffFFD24D补天石|r</v>
      </c>
      <c r="I153" s="27" t="str">
        <f>VLOOKUP(B153,物品!B:CV,99,FALSE)</f>
        <v>点击|Cffffc926选中指定法宝|r后，再点击|Cffffc926重铸|r，可|Cffffc926重置|r指定法宝，|Cffffc926品质不变|r。|n|n|Cff00ff7f每次重铸消耗1个补天石|r</v>
      </c>
      <c r="J153" s="129" t="str">
        <f t="shared" ref="J153:J161" si="64">H153</f>
        <v>|CffFFD24D补天石|r</v>
      </c>
      <c r="K153" s="129" t="str">
        <f t="shared" ref="K153:K161" si="65">I153</f>
        <v>点击|Cffffc926选中指定法宝|r后，再点击|Cffffc926重铸|r，可|Cffffc926重置|r指定法宝，|Cffffc926品质不变|r。|n|n|Cff00ff7f每次重铸消耗1个补天石|r</v>
      </c>
      <c r="L153" s="27"/>
      <c r="M153" s="130" t="str">
        <f>VLOOKUP(LEFT(RIGHT(B153,5),4),物品!B:CU,20,FALSE)</f>
        <v>ReplaceableTextures\\CommandButtons\\BTNIP02.blp</v>
      </c>
      <c r="N153" s="148" t="s">
        <v>83</v>
      </c>
      <c r="O153" s="130" t="s">
        <v>95</v>
      </c>
      <c r="P153" s="27">
        <v>0</v>
      </c>
      <c r="Q153" s="27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27"/>
      <c r="W153" s="27" t="s">
        <v>88</v>
      </c>
      <c r="X153" s="27">
        <v>0</v>
      </c>
      <c r="Y153" s="148" t="s">
        <v>83</v>
      </c>
      <c r="Z153" s="27">
        <v>0</v>
      </c>
      <c r="AA153" s="27">
        <v>0</v>
      </c>
      <c r="AB153" s="27">
        <v>80</v>
      </c>
      <c r="AC153" s="27">
        <v>1</v>
      </c>
      <c r="AD153" s="27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27">
        <v>1</v>
      </c>
      <c r="AJ153" s="27"/>
      <c r="AK153" s="27">
        <v>1</v>
      </c>
      <c r="AL153" s="27">
        <v>1</v>
      </c>
      <c r="AM153" s="148" t="s">
        <v>83</v>
      </c>
      <c r="AN153" s="27">
        <v>1</v>
      </c>
      <c r="AO153" s="27">
        <v>1</v>
      </c>
      <c r="AP153" s="27">
        <v>1</v>
      </c>
    </row>
    <row r="154" spans="1:42">
      <c r="A154" s="127"/>
      <c r="B154" s="27" t="str">
        <f>物品!B154</f>
        <v>IP03</v>
      </c>
      <c r="C154" s="27" t="s">
        <v>41</v>
      </c>
      <c r="D154" s="27" t="s">
        <v>81</v>
      </c>
      <c r="E154" s="27"/>
      <c r="F154" s="27"/>
      <c r="G154" s="27"/>
      <c r="H154" s="27" t="str">
        <f>VLOOKUP(LEFT(RIGHT(B154,5),4),物品!B:CU,2,FALSE)</f>
        <v>|CffFF0000鸿蒙结晶|r</v>
      </c>
      <c r="I154" s="27" t="str">
        <f>VLOOKUP(B154,物品!B:CV,99,FALSE)</f>
        <v>点击|Cffffc926选中指定法宝|r后，再点击|Cffffc926锻造|r，可|Cffffc926重置|r指定法宝，|Cffffc926品质提升一级|r。|n|n|Cff00ff7f每次重铸消耗1个鸿蒙结晶|r</v>
      </c>
      <c r="J154" s="129" t="str">
        <f t="shared" si="64"/>
        <v>|CffFF0000鸿蒙结晶|r</v>
      </c>
      <c r="K154" s="129" t="str">
        <f t="shared" si="65"/>
        <v>点击|Cffffc926选中指定法宝|r后，再点击|Cffffc926锻造|r，可|Cffffc926重置|r指定法宝，|Cffffc926品质提升一级|r。|n|n|Cff00ff7f每次重铸消耗1个鸿蒙结晶|r</v>
      </c>
      <c r="L154" s="27"/>
      <c r="M154" s="130" t="str">
        <f>VLOOKUP(LEFT(RIGHT(B154,5),4),物品!B:CU,20,FALSE)</f>
        <v>ReplaceableTextures\\CommandButtons\\BTNIP03.blp</v>
      </c>
      <c r="N154" s="148" t="s">
        <v>83</v>
      </c>
      <c r="O154" s="130" t="s">
        <v>95</v>
      </c>
      <c r="P154" s="27">
        <v>0</v>
      </c>
      <c r="Q154" s="27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27"/>
      <c r="W154" s="27" t="s">
        <v>88</v>
      </c>
      <c r="X154" s="27">
        <v>0</v>
      </c>
      <c r="Y154" s="148" t="s">
        <v>83</v>
      </c>
      <c r="Z154" s="27">
        <v>0</v>
      </c>
      <c r="AA154" s="27">
        <v>0</v>
      </c>
      <c r="AB154" s="27">
        <v>200</v>
      </c>
      <c r="AC154" s="27">
        <v>1</v>
      </c>
      <c r="AD154" s="27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27">
        <v>1</v>
      </c>
      <c r="AJ154" s="27"/>
      <c r="AK154" s="27">
        <v>1</v>
      </c>
      <c r="AL154" s="27">
        <v>1</v>
      </c>
      <c r="AM154" s="148" t="s">
        <v>83</v>
      </c>
      <c r="AN154" s="27">
        <v>1</v>
      </c>
      <c r="AO154" s="27">
        <v>1</v>
      </c>
      <c r="AP154" s="27">
        <v>1</v>
      </c>
    </row>
    <row r="155" spans="1:42">
      <c r="A155" s="127"/>
      <c r="B155" s="27" t="str">
        <f>物品!B155</f>
        <v>IP04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|CffFF0000神兽洗灵石|r</v>
      </c>
      <c r="I155" s="27" t="str">
        <f>VLOOKUP(B155,物品!B:CV,99,FALSE)</f>
        <v>使用后|Cffffd24d重置|r当前|Cffff0000神兽神通【R】|r|Cfff0f0f0。|r</v>
      </c>
      <c r="J155" s="129" t="str">
        <f t="shared" ref="J155:J156" si="66">H155</f>
        <v>|CffFF0000神兽洗灵石|r</v>
      </c>
      <c r="K155" s="129" t="str">
        <f t="shared" ref="K155:K156" si="67">I155</f>
        <v>使用后|Cffffd24d重置|r当前|Cffff0000神兽神通【R】|r|Cfff0f0f0。|r</v>
      </c>
      <c r="L155" s="27"/>
      <c r="M155" s="130" t="str">
        <f>VLOOKUP(LEFT(RIGHT(B155,5),4),物品!B:CU,20,FALSE)</f>
        <v>ReplaceableTextures\\CommandButtons\\BTNIN08.blp</v>
      </c>
      <c r="N155" s="148" t="s">
        <v>83</v>
      </c>
      <c r="O155" s="130" t="s">
        <v>95</v>
      </c>
      <c r="P155" s="27">
        <v>1</v>
      </c>
      <c r="Q155" s="27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27"/>
      <c r="W155" s="27" t="s">
        <v>93</v>
      </c>
      <c r="X155" s="27">
        <v>80000</v>
      </c>
      <c r="Y155" s="14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27"/>
      <c r="AJ155" s="27"/>
      <c r="AK155" s="27">
        <v>1</v>
      </c>
      <c r="AL155" s="27">
        <v>1</v>
      </c>
      <c r="AM155" s="148" t="s">
        <v>83</v>
      </c>
      <c r="AN155" s="27">
        <v>1</v>
      </c>
      <c r="AO155" s="27">
        <v>1</v>
      </c>
      <c r="AP155" s="27">
        <v>1</v>
      </c>
    </row>
    <row r="156" spans="1:42">
      <c r="A156" s="127"/>
      <c r="B156" s="27" t="str">
        <f>物品!B156</f>
        <v>IP05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|CffFF0000虚空圣战卡|r</v>
      </c>
      <c r="I156" s="27" t="str">
        <f>VLOOKUP(B156,物品!B:CV,99,FALSE)</f>
        <v>开启|Cffffd24d结界|r，前往虚空终止|Cffff0000封神圣战|r。</v>
      </c>
      <c r="J156" s="129" t="str">
        <f t="shared" si="66"/>
        <v>|CffFF0000虚空圣战卡|r</v>
      </c>
      <c r="K156" s="129" t="str">
        <f t="shared" si="67"/>
        <v>开启|Cffffd24d结界|r，前往虚空终止|Cffff0000封神圣战|r。</v>
      </c>
      <c r="L156" s="27"/>
      <c r="M156" s="130" t="str">
        <f>VLOOKUP(LEFT(RIGHT(B156,5),4),物品!B:CU,20,FALSE)</f>
        <v>ReplaceableTextures\\CommandButtons\\BTNIP05.blp</v>
      </c>
      <c r="N156" s="148" t="s">
        <v>83</v>
      </c>
      <c r="O156" s="130" t="s">
        <v>95</v>
      </c>
      <c r="P156" s="27">
        <v>0</v>
      </c>
      <c r="Q156" s="27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27"/>
      <c r="W156" s="27" t="s">
        <v>93</v>
      </c>
      <c r="X156" s="27">
        <v>0</v>
      </c>
      <c r="Y156" s="14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27"/>
      <c r="AJ156" s="27"/>
      <c r="AK156" s="27">
        <v>1</v>
      </c>
      <c r="AL156" s="27">
        <v>1</v>
      </c>
      <c r="AM156" s="148" t="s">
        <v>83</v>
      </c>
      <c r="AN156" s="27">
        <v>1</v>
      </c>
      <c r="AO156" s="27">
        <v>1</v>
      </c>
      <c r="AP156" s="27">
        <v>1</v>
      </c>
    </row>
    <row r="157" spans="1:42">
      <c r="A157" s="127"/>
      <c r="B157" s="27" t="str">
        <f>物品!B157</f>
        <v>IP06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|Cff00FF7F大补丸|r</v>
      </c>
      <c r="I157" s="27" t="str">
        <f>VLOOKUP(B157,物品!B:CV,99,FALSE)</f>
        <v>使用后增加|Cffffd24d100点|r境界经验。</v>
      </c>
      <c r="J157" s="129" t="str">
        <f t="shared" ref="J157:J158" si="68">H157</f>
        <v>|Cff00FF7F大补丸|r</v>
      </c>
      <c r="K157" s="129" t="str">
        <f t="shared" ref="K157:K158" si="69">I157</f>
        <v>使用后增加|Cffffd24d100点|r境界经验。</v>
      </c>
      <c r="L157" s="27"/>
      <c r="M157" s="130" t="str">
        <f>VLOOKUP(LEFT(RIGHT(B157,5),4),物品!B:CU,20,FALSE)</f>
        <v>ReplaceableTextures\\CommandButtons\\BTNAM40.blp</v>
      </c>
      <c r="N157" s="148" t="s">
        <v>83</v>
      </c>
      <c r="O157" s="130" t="s">
        <v>95</v>
      </c>
      <c r="P157" s="27">
        <v>0</v>
      </c>
      <c r="Q157" s="27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27"/>
      <c r="W157" s="27" t="s">
        <v>93</v>
      </c>
      <c r="X157" s="27">
        <v>0</v>
      </c>
      <c r="Y157" s="14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27"/>
      <c r="AJ157" s="27"/>
      <c r="AK157" s="27">
        <v>1</v>
      </c>
      <c r="AL157" s="27">
        <v>1</v>
      </c>
      <c r="AM157" s="148" t="s">
        <v>83</v>
      </c>
      <c r="AN157" s="27">
        <v>1</v>
      </c>
      <c r="AO157" s="27">
        <v>1</v>
      </c>
      <c r="AP157" s="27">
        <v>1</v>
      </c>
    </row>
    <row r="158" spans="1:42">
      <c r="A158" s="127"/>
      <c r="B158" s="27" t="str">
        <f>物品!B158</f>
        <v>IP07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|Cff00FF7F抽奖抵用券|r</v>
      </c>
      <c r="I158" s="27" t="str">
        <f>VLOOKUP(B158,物品!B:CV,99,FALSE)</f>
        <v>可抵扣|Cffffd24d1|r次抽奖消耗</v>
      </c>
      <c r="J158" s="129" t="str">
        <f t="shared" si="68"/>
        <v>|Cff00FF7F抽奖抵用券|r</v>
      </c>
      <c r="K158" s="129" t="str">
        <f t="shared" si="69"/>
        <v>可抵扣|Cffffd24d1|r次抽奖消耗</v>
      </c>
      <c r="L158" s="27"/>
      <c r="M158" s="130" t="str">
        <f>VLOOKUP(LEFT(RIGHT(B158,5),4),物品!B:CU,20,FALSE)</f>
        <v>ReplaceableTextures\\CommandButtons\\BTNIP07.blp</v>
      </c>
      <c r="N158" s="148" t="s">
        <v>83</v>
      </c>
      <c r="O158" s="130" t="s">
        <v>95</v>
      </c>
      <c r="P158" s="27">
        <v>0</v>
      </c>
      <c r="Q158" s="27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27"/>
      <c r="W158" s="27" t="s">
        <v>93</v>
      </c>
      <c r="X158" s="27">
        <v>0</v>
      </c>
      <c r="Y158" s="14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27"/>
      <c r="AJ158" s="27"/>
      <c r="AK158" s="27">
        <v>1</v>
      </c>
      <c r="AL158" s="27">
        <v>1</v>
      </c>
      <c r="AM158" s="148" t="s">
        <v>83</v>
      </c>
      <c r="AN158" s="27">
        <v>1</v>
      </c>
      <c r="AO158" s="27">
        <v>1</v>
      </c>
      <c r="AP158" s="27">
        <v>1</v>
      </c>
    </row>
    <row r="159" spans="1:42">
      <c r="A159" s="127"/>
      <c r="B159" s="27" t="str">
        <f>物品!B159</f>
        <v>IP08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|Cff00FF7F超级大补丸|r</v>
      </c>
      <c r="I159" s="27" t="str">
        <f>VLOOKUP(B159,物品!B:CV,99,FALSE)</f>
        <v>使用后增加|Cffffd24d300点|r境界经验。</v>
      </c>
      <c r="J159" s="129" t="str">
        <f t="shared" ref="J159:J160" si="70">H159</f>
        <v>|Cff00FF7F超级大补丸|r</v>
      </c>
      <c r="K159" s="129" t="str">
        <f t="shared" ref="K159:K160" si="71">I159</f>
        <v>使用后增加|Cffffd24d300点|r境界经验。</v>
      </c>
      <c r="L159" s="27"/>
      <c r="M159" s="130" t="str">
        <f>VLOOKUP(LEFT(RIGHT(B159,5),4),物品!B:CU,20,FALSE)</f>
        <v>ReplaceableTextures\\CommandButtons\\BTNAM41.blp</v>
      </c>
      <c r="N159" s="148" t="s">
        <v>83</v>
      </c>
      <c r="O159" s="130" t="s">
        <v>95</v>
      </c>
      <c r="P159" s="27">
        <v>0</v>
      </c>
      <c r="Q159" s="27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27"/>
      <c r="W159" s="27" t="s">
        <v>93</v>
      </c>
      <c r="X159" s="27">
        <v>0</v>
      </c>
      <c r="Y159" s="14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27"/>
      <c r="AJ159" s="27"/>
      <c r="AK159" s="27">
        <v>1</v>
      </c>
      <c r="AL159" s="27">
        <v>1</v>
      </c>
      <c r="AM159" s="148" t="s">
        <v>83</v>
      </c>
      <c r="AN159" s="27">
        <v>1</v>
      </c>
      <c r="AO159" s="27">
        <v>1</v>
      </c>
      <c r="AP159" s="27">
        <v>1</v>
      </c>
    </row>
    <row r="160" spans="1:42">
      <c r="A160" s="127"/>
      <c r="B160" s="27" t="str">
        <f>物品!B160</f>
        <v>IP09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|Cff00FF7F特级大补丸|r</v>
      </c>
      <c r="I160" s="27" t="str">
        <f>VLOOKUP(B160,物品!B:CV,99,FALSE)</f>
        <v>使用后增加|Cffffd24d500点|r境界经验。</v>
      </c>
      <c r="J160" s="129" t="str">
        <f t="shared" si="70"/>
        <v>|Cff00FF7F特级大补丸|r</v>
      </c>
      <c r="K160" s="129" t="str">
        <f t="shared" si="71"/>
        <v>使用后增加|Cffffd24d500点|r境界经验。</v>
      </c>
      <c r="L160" s="27"/>
      <c r="M160" s="130" t="str">
        <f>VLOOKUP(LEFT(RIGHT(B160,5),4),物品!B:CU,20,FALSE)</f>
        <v>ReplaceableTextures\\CommandButtons\\BTNAM42.blp</v>
      </c>
      <c r="N160" s="148" t="s">
        <v>83</v>
      </c>
      <c r="O160" s="130" t="s">
        <v>95</v>
      </c>
      <c r="P160" s="27">
        <v>0</v>
      </c>
      <c r="Q160" s="27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27"/>
      <c r="W160" s="27" t="s">
        <v>93</v>
      </c>
      <c r="X160" s="27">
        <v>0</v>
      </c>
      <c r="Y160" s="14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27"/>
      <c r="AJ160" s="27"/>
      <c r="AK160" s="27">
        <v>1</v>
      </c>
      <c r="AL160" s="27">
        <v>1</v>
      </c>
      <c r="AM160" s="148" t="s">
        <v>83</v>
      </c>
      <c r="AN160" s="27">
        <v>1</v>
      </c>
      <c r="AO160" s="27">
        <v>1</v>
      </c>
      <c r="AP160" s="27">
        <v>1</v>
      </c>
    </row>
    <row r="161" spans="1:42">
      <c r="A161" s="127"/>
      <c r="B161" s="27" t="str">
        <f>物品!B161</f>
        <v>IT01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噬心劫</v>
      </c>
      <c r="I161" s="27" t="str">
        <f>VLOOKUP(B161,物品!B:CV,99,FALSE)</f>
        <v>渡过该劫后可结成|CffCCCCCC低级道果|r。|n|n|CffCCCCCC低级道果：|r|n攻击+7500|n生命值+30000|n物理伤害+20%|n法术伤害+20%|n杀敌攻击+8|n杀敌业力+1|n杀敌生命+30|n</v>
      </c>
      <c r="J161" s="129" t="str">
        <f t="shared" si="64"/>
        <v>噬心劫</v>
      </c>
      <c r="K161" s="129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1" s="27"/>
      <c r="M161" s="130" t="str">
        <f>VLOOKUP(LEFT(RIGHT(B161,5),4),物品!B:CU,20,FALSE)</f>
        <v>ReplaceableTextures\\CommandButtons\\BTNIT01.blp</v>
      </c>
      <c r="N161" s="148" t="s">
        <v>83</v>
      </c>
      <c r="O161" s="130" t="s">
        <v>95</v>
      </c>
      <c r="P161" s="27">
        <v>0</v>
      </c>
      <c r="Q161" s="27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27"/>
      <c r="W161" s="27" t="s">
        <v>88</v>
      </c>
      <c r="X161" s="27">
        <v>3000</v>
      </c>
      <c r="Y161" s="148" t="s">
        <v>83</v>
      </c>
      <c r="Z161" s="27">
        <v>0</v>
      </c>
      <c r="AA161" s="27">
        <v>0</v>
      </c>
      <c r="AB161" s="129">
        <v>0</v>
      </c>
      <c r="AC161" s="27">
        <v>1</v>
      </c>
      <c r="AD161" s="27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27">
        <v>1</v>
      </c>
      <c r="AJ161" s="27"/>
      <c r="AK161" s="27">
        <v>1</v>
      </c>
      <c r="AL161" s="27">
        <v>1</v>
      </c>
      <c r="AM161" s="148" t="s">
        <v>83</v>
      </c>
      <c r="AN161" s="27">
        <v>1</v>
      </c>
      <c r="AO161" s="27">
        <v>1</v>
      </c>
      <c r="AP161" s="27">
        <v>1</v>
      </c>
    </row>
    <row r="162" spans="1:42">
      <c r="A162" s="127"/>
      <c r="B162" s="27" t="str">
        <f>物品!B162</f>
        <v>IT02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三重轰雷劫</v>
      </c>
      <c r="I162" s="27" t="str">
        <f>VLOOKUP(B162,物品!B:CV,99,FALSE)</f>
        <v>渡过该劫后可结成|CffCCCCCC中级道果|r。|n|n|CffCCCCCC中级道果：|r|n攻击+18000|n生命值+72000|n物理伤害+20%|n法术伤害+20%|n杀敌攻击+8|n杀敌业力+1|n杀敌生命+30|n</v>
      </c>
      <c r="J162" s="129" t="str">
        <f t="shared" ref="J162:J192" si="72">H162</f>
        <v>三重轰雷劫</v>
      </c>
      <c r="K162" s="129" t="str">
        <f t="shared" ref="K162:K192" si="73">I162</f>
        <v>渡过该劫后可结成|CffCCCCCC中级道果|r。|n|n|CffCCCCCC中级道果：|r|n攻击+18000|n生命值+72000|n物理伤害+20%|n法术伤害+20%|n杀敌攻击+8|n杀敌业力+1|n杀敌生命+30|n</v>
      </c>
      <c r="L162" s="27"/>
      <c r="M162" s="130" t="str">
        <f>VLOOKUP(LEFT(RIGHT(B162,5),4),物品!B:CU,20,FALSE)</f>
        <v>ReplaceableTextures\\CommandButtons\\BTNIT02.blp</v>
      </c>
      <c r="N162" s="148" t="s">
        <v>83</v>
      </c>
      <c r="O162" s="130" t="s">
        <v>95</v>
      </c>
      <c r="P162" s="27">
        <v>1</v>
      </c>
      <c r="Q162" s="27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27"/>
      <c r="W162" s="27" t="s">
        <v>88</v>
      </c>
      <c r="X162" s="27">
        <v>3000</v>
      </c>
      <c r="Y162" s="148" t="s">
        <v>83</v>
      </c>
      <c r="Z162" s="27">
        <v>0</v>
      </c>
      <c r="AA162" s="27">
        <v>0</v>
      </c>
      <c r="AB162" s="129">
        <v>2</v>
      </c>
      <c r="AC162" s="27">
        <v>1</v>
      </c>
      <c r="AD162" s="27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27">
        <v>1</v>
      </c>
      <c r="AJ162" s="27"/>
      <c r="AK162" s="27">
        <v>1</v>
      </c>
      <c r="AL162" s="27">
        <v>1</v>
      </c>
      <c r="AM162" s="148" t="s">
        <v>83</v>
      </c>
      <c r="AN162" s="27">
        <v>1</v>
      </c>
      <c r="AO162" s="27">
        <v>1</v>
      </c>
      <c r="AP162" s="27">
        <v>1</v>
      </c>
    </row>
    <row r="163" spans="1:42">
      <c r="A163" s="127"/>
      <c r="B163" s="27" t="str">
        <f>物品!B163</f>
        <v>IT03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|Cff00FF7F六重天雷劫|r</v>
      </c>
      <c r="I163" s="27" t="str">
        <f>VLOOKUP(B163,物品!B:CV,99,FALSE)</f>
        <v>渡过该劫后可结成|Cff00ff7f高级道果|r。|n|n|Cff00ff7f高级道果：|r|n攻击+37500|n生命值+150000|n物理伤害+20%|n法术伤害+20%|n杀敌攻击+8|n杀敌业力+1|n杀敌生命+30|n</v>
      </c>
      <c r="J163" s="129" t="str">
        <f t="shared" si="72"/>
        <v>|Cff00FF7F六重天雷劫|r</v>
      </c>
      <c r="K163" s="129" t="str">
        <f t="shared" si="73"/>
        <v>渡过该劫后可结成|Cff00ff7f高级道果|r。|n|n|Cff00ff7f高级道果：|r|n攻击+37500|n生命值+150000|n物理伤害+20%|n法术伤害+20%|n杀敌攻击+8|n杀敌业力+1|n杀敌生命+30|n</v>
      </c>
      <c r="L163" s="27"/>
      <c r="M163" s="130" t="str">
        <f>VLOOKUP(LEFT(RIGHT(B163,5),4),物品!B:CU,20,FALSE)</f>
        <v>ReplaceableTextures\\CommandButtons\\BTNIT03.blp</v>
      </c>
      <c r="N163" s="148" t="s">
        <v>83</v>
      </c>
      <c r="O163" s="130" t="s">
        <v>95</v>
      </c>
      <c r="P163" s="27">
        <v>2</v>
      </c>
      <c r="Q163" s="27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27"/>
      <c r="W163" s="27" t="s">
        <v>88</v>
      </c>
      <c r="X163" s="27">
        <v>5000</v>
      </c>
      <c r="Y163" s="148" t="s">
        <v>83</v>
      </c>
      <c r="Z163" s="27">
        <v>0</v>
      </c>
      <c r="AA163" s="27">
        <v>0</v>
      </c>
      <c r="AB163" s="129">
        <v>3</v>
      </c>
      <c r="AC163" s="27">
        <v>1</v>
      </c>
      <c r="AD163" s="27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27">
        <v>1</v>
      </c>
      <c r="AJ163" s="27"/>
      <c r="AK163" s="27">
        <v>1</v>
      </c>
      <c r="AL163" s="27">
        <v>1</v>
      </c>
      <c r="AM163" s="148" t="s">
        <v>83</v>
      </c>
      <c r="AN163" s="27">
        <v>1</v>
      </c>
      <c r="AO163" s="27">
        <v>1</v>
      </c>
      <c r="AP163" s="27">
        <v>1</v>
      </c>
    </row>
    <row r="164" spans="1:42">
      <c r="A164" s="127"/>
      <c r="B164" s="27" t="str">
        <f>物品!B164</f>
        <v>IT04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|Cff00FF7F九重煅神劫|r</v>
      </c>
      <c r="I164" s="27" t="str">
        <f>VLOOKUP(B164,物品!B:CV,99,FALSE)</f>
        <v>渡过该劫后可结成|Cff00ff7f黄级道果|r。|n|n|Cff00ff7f黄级道果：|r|n攻击+60000|n生命值+240000|n物理伤害+25%|n法术伤害+25%|n杀敌攻击+8|n杀敌业力+1|n杀敌生命+30|n</v>
      </c>
      <c r="J164" s="129" t="str">
        <f t="shared" si="72"/>
        <v>|Cff00FF7F九重煅神劫|r</v>
      </c>
      <c r="K164" s="129" t="str">
        <f t="shared" si="73"/>
        <v>渡过该劫后可结成|Cff00ff7f黄级道果|r。|n|n|Cff00ff7f黄级道果：|r|n攻击+60000|n生命值+240000|n物理伤害+25%|n法术伤害+25%|n杀敌攻击+8|n杀敌业力+1|n杀敌生命+30|n</v>
      </c>
      <c r="L164" s="27"/>
      <c r="M164" s="130" t="str">
        <f>VLOOKUP(LEFT(RIGHT(B164,5),4),物品!B:CU,20,FALSE)</f>
        <v>ReplaceableTextures\\CommandButtons\\BTNIT04.blp</v>
      </c>
      <c r="N164" s="148" t="s">
        <v>83</v>
      </c>
      <c r="O164" s="130" t="s">
        <v>95</v>
      </c>
      <c r="P164" s="27">
        <v>3</v>
      </c>
      <c r="Q164" s="27">
        <v>0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27"/>
      <c r="W164" s="27" t="s">
        <v>88</v>
      </c>
      <c r="X164" s="27">
        <v>7000</v>
      </c>
      <c r="Y164" s="148" t="s">
        <v>83</v>
      </c>
      <c r="Z164" s="27">
        <v>0</v>
      </c>
      <c r="AA164" s="27">
        <v>0</v>
      </c>
      <c r="AB164" s="129">
        <v>5</v>
      </c>
      <c r="AC164" s="27">
        <v>1</v>
      </c>
      <c r="AD164" s="27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27">
        <v>1</v>
      </c>
      <c r="AJ164" s="27"/>
      <c r="AK164" s="27">
        <v>1</v>
      </c>
      <c r="AL164" s="27">
        <v>1</v>
      </c>
      <c r="AM164" s="148" t="s">
        <v>83</v>
      </c>
      <c r="AN164" s="27">
        <v>1</v>
      </c>
      <c r="AO164" s="27">
        <v>1</v>
      </c>
      <c r="AP164" s="27">
        <v>1</v>
      </c>
    </row>
    <row r="165" spans="1:42">
      <c r="A165" s="127"/>
      <c r="B165" s="27" t="str">
        <f>物品!B165</f>
        <v>IT05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|Cff00BFFF灭魄血煞劫|r</v>
      </c>
      <c r="I165" s="27" t="str">
        <f>VLOOKUP(B165,物品!B:CV,99,FALSE)</f>
        <v>渡过该劫后可结成|Cff00bfff玄级道果|r。|n|n|Cff00bfff玄级道果：|r|n攻击+82500|n生命值+330000|n物理伤害+25%|n法术伤害+25%|n杀敌攻击+8|n杀敌业力+1|n杀敌生命+30|n</v>
      </c>
      <c r="J165" s="129" t="str">
        <f t="shared" si="72"/>
        <v>|Cff00BFFF灭魄血煞劫|r</v>
      </c>
      <c r="K165" s="129" t="str">
        <f t="shared" si="73"/>
        <v>渡过该劫后可结成|Cff00bfff玄级道果|r。|n|n|Cff00bfff玄级道果：|r|n攻击+82500|n生命值+330000|n物理伤害+25%|n法术伤害+25%|n杀敌攻击+8|n杀敌业力+1|n杀敌生命+30|n</v>
      </c>
      <c r="L165" s="27"/>
      <c r="M165" s="130" t="str">
        <f>VLOOKUP(LEFT(RIGHT(B165,5),4),物品!B:CU,20,FALSE)</f>
        <v>ReplaceableTextures\\CommandButtons\\BTNIT05.blp</v>
      </c>
      <c r="N165" s="148" t="s">
        <v>83</v>
      </c>
      <c r="O165" s="130" t="s">
        <v>95</v>
      </c>
      <c r="P165" s="27">
        <v>0</v>
      </c>
      <c r="Q165" s="27">
        <v>1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27"/>
      <c r="W165" s="27" t="s">
        <v>88</v>
      </c>
      <c r="X165" s="27">
        <v>10000</v>
      </c>
      <c r="Y165" s="148" t="s">
        <v>83</v>
      </c>
      <c r="Z165" s="27">
        <v>0</v>
      </c>
      <c r="AA165" s="27">
        <v>0</v>
      </c>
      <c r="AB165" s="129">
        <v>7</v>
      </c>
      <c r="AC165" s="27">
        <v>1</v>
      </c>
      <c r="AD165" s="27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27">
        <v>1</v>
      </c>
      <c r="AJ165" s="27"/>
      <c r="AK165" s="27">
        <v>1</v>
      </c>
      <c r="AL165" s="27">
        <v>1</v>
      </c>
      <c r="AM165" s="148" t="s">
        <v>83</v>
      </c>
      <c r="AN165" s="27">
        <v>1</v>
      </c>
      <c r="AO165" s="27">
        <v>1</v>
      </c>
      <c r="AP165" s="27">
        <v>1</v>
      </c>
    </row>
    <row r="166" spans="1:42">
      <c r="A166" s="127"/>
      <c r="B166" s="27" t="str">
        <f>物品!B166</f>
        <v>IT06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|Cff00BFFF入微洞虚劫|r</v>
      </c>
      <c r="I166" s="27" t="str">
        <f>VLOOKUP(B166,物品!B:CV,99,FALSE)</f>
        <v>渡过该劫后可结成|Cff00bfff地级道果|r。|n|n|Cff00bfff地级道果：|r|n攻击+120000|n生命值+480000|n物理伤害+25%|n法术伤害+25%|n杀敌攻击+8|n杀敌业力+1|n杀敌生命+30|n</v>
      </c>
      <c r="J166" s="129" t="str">
        <f t="shared" si="72"/>
        <v>|Cff00BFFF入微洞虚劫|r</v>
      </c>
      <c r="K166" s="129" t="str">
        <f t="shared" si="73"/>
        <v>渡过该劫后可结成|Cff00bfff地级道果|r。|n|n|Cff00bfff地级道果：|r|n攻击+120000|n生命值+480000|n物理伤害+25%|n法术伤害+25%|n杀敌攻击+8|n杀敌业力+1|n杀敌生命+30|n</v>
      </c>
      <c r="L166" s="27"/>
      <c r="M166" s="130" t="str">
        <f>VLOOKUP(LEFT(RIGHT(B166,5),4),物品!B:CU,20,FALSE)</f>
        <v>ReplaceableTextures\\CommandButtons\\BTNIT06.blp</v>
      </c>
      <c r="N166" s="148" t="s">
        <v>83</v>
      </c>
      <c r="O166" s="130" t="s">
        <v>95</v>
      </c>
      <c r="P166" s="27">
        <v>1</v>
      </c>
      <c r="Q166" s="27">
        <v>1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27"/>
      <c r="W166" s="27" t="s">
        <v>88</v>
      </c>
      <c r="X166" s="27">
        <v>15000</v>
      </c>
      <c r="Y166" s="148" t="s">
        <v>83</v>
      </c>
      <c r="Z166" s="27">
        <v>0</v>
      </c>
      <c r="AA166" s="27">
        <v>0</v>
      </c>
      <c r="AB166" s="129">
        <v>10</v>
      </c>
      <c r="AC166" s="27">
        <v>1</v>
      </c>
      <c r="AD166" s="27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27">
        <v>1</v>
      </c>
      <c r="AJ166" s="27"/>
      <c r="AK166" s="27">
        <v>1</v>
      </c>
      <c r="AL166" s="27">
        <v>1</v>
      </c>
      <c r="AM166" s="148" t="s">
        <v>83</v>
      </c>
      <c r="AN166" s="27">
        <v>1</v>
      </c>
      <c r="AO166" s="27">
        <v>1</v>
      </c>
      <c r="AP166" s="27">
        <v>1</v>
      </c>
    </row>
    <row r="167" spans="1:42">
      <c r="A167" s="127"/>
      <c r="B167" s="27" t="str">
        <f>物品!B167</f>
        <v>IT07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|CffFFD24D因果厄难劫|r</v>
      </c>
      <c r="I167" s="27" t="str">
        <f>VLOOKUP(B167,物品!B:CV,99,FALSE)</f>
        <v>渡过该劫后可结成|Cffffc926天级道果|r。|n|n|Cffffc926天级道果：|r|n攻击+180000|n生命值+720000|n物理伤害+30%|n法术伤害+30%|n杀敌攻击+8|n杀敌业力+1|n杀敌生命+30|n</v>
      </c>
      <c r="J167" s="129" t="str">
        <f t="shared" si="72"/>
        <v>|CffFFD24D因果厄难劫|r</v>
      </c>
      <c r="K167" s="129" t="str">
        <f t="shared" si="73"/>
        <v>渡过该劫后可结成|Cffffc926天级道果|r。|n|n|Cffffc926天级道果：|r|n攻击+180000|n生命值+720000|n物理伤害+30%|n法术伤害+30%|n杀敌攻击+8|n杀敌业力+1|n杀敌生命+30|n</v>
      </c>
      <c r="L167" s="27"/>
      <c r="M167" s="130" t="str">
        <f>VLOOKUP(LEFT(RIGHT(B167,5),4),物品!B:CU,20,FALSE)</f>
        <v>ReplaceableTextures\\CommandButtons\\BTNIT07.blp</v>
      </c>
      <c r="N167" s="148" t="s">
        <v>83</v>
      </c>
      <c r="O167" s="130" t="s">
        <v>95</v>
      </c>
      <c r="P167" s="27">
        <v>2</v>
      </c>
      <c r="Q167" s="27">
        <v>1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27"/>
      <c r="W167" s="27" t="s">
        <v>88</v>
      </c>
      <c r="X167" s="27">
        <v>20000</v>
      </c>
      <c r="Y167" s="148" t="s">
        <v>83</v>
      </c>
      <c r="Z167" s="27">
        <v>0</v>
      </c>
      <c r="AA167" s="27">
        <v>0</v>
      </c>
      <c r="AB167" s="129">
        <v>13</v>
      </c>
      <c r="AC167" s="27">
        <v>1</v>
      </c>
      <c r="AD167" s="27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27">
        <v>1</v>
      </c>
      <c r="AJ167" s="27"/>
      <c r="AK167" s="27">
        <v>1</v>
      </c>
      <c r="AL167" s="27">
        <v>1</v>
      </c>
      <c r="AM167" s="148" t="s">
        <v>83</v>
      </c>
      <c r="AN167" s="27">
        <v>1</v>
      </c>
      <c r="AO167" s="27">
        <v>1</v>
      </c>
      <c r="AP167" s="27">
        <v>1</v>
      </c>
    </row>
    <row r="168" spans="1:42">
      <c r="A168" s="127"/>
      <c r="B168" s="27" t="str">
        <f>物品!B168</f>
        <v>IT08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|CffFFD24D迷魂幻世劫|r</v>
      </c>
      <c r="I168" s="27" t="str">
        <f>VLOOKUP(B168,物品!B:CV,99,FALSE)</f>
        <v>渡过该劫后可结成|Cffffc926仙品道果|r。|n|n|Cffffc926仙品道果：|r|n攻击+300000|n生命值+1200000|n物理伤害+30%|n法术伤害+30%|n杀敌攻击+8|n杀敌业力+1|n杀敌生命+30|n</v>
      </c>
      <c r="J168" s="129" t="str">
        <f t="shared" si="72"/>
        <v>|CffFFD24D迷魂幻世劫|r</v>
      </c>
      <c r="K168" s="129" t="str">
        <f t="shared" si="73"/>
        <v>渡过该劫后可结成|Cffffc926仙品道果|r。|n|n|Cffffc926仙品道果：|r|n攻击+300000|n生命值+1200000|n物理伤害+30%|n法术伤害+30%|n杀敌攻击+8|n杀敌业力+1|n杀敌生命+30|n</v>
      </c>
      <c r="L168" s="27"/>
      <c r="M168" s="130" t="str">
        <f>VLOOKUP(LEFT(RIGHT(B168,5),4),物品!B:CU,20,FALSE)</f>
        <v>ReplaceableTextures\\CommandButtons\\BTNIT08.blp</v>
      </c>
      <c r="N168" s="148" t="s">
        <v>83</v>
      </c>
      <c r="O168" s="130" t="s">
        <v>95</v>
      </c>
      <c r="P168" s="27">
        <v>3</v>
      </c>
      <c r="Q168" s="27">
        <v>1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27"/>
      <c r="W168" s="27" t="s">
        <v>88</v>
      </c>
      <c r="X168" s="27">
        <v>25000</v>
      </c>
      <c r="Y168" s="148" t="s">
        <v>83</v>
      </c>
      <c r="Z168" s="27">
        <v>0</v>
      </c>
      <c r="AA168" s="27">
        <v>0</v>
      </c>
      <c r="AB168" s="129">
        <v>16</v>
      </c>
      <c r="AC168" s="27">
        <v>1</v>
      </c>
      <c r="AD168" s="27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27">
        <v>1</v>
      </c>
      <c r="AJ168" s="27"/>
      <c r="AK168" s="27">
        <v>1</v>
      </c>
      <c r="AL168" s="27">
        <v>1</v>
      </c>
      <c r="AM168" s="148" t="s">
        <v>83</v>
      </c>
      <c r="AN168" s="27">
        <v>1</v>
      </c>
      <c r="AO168" s="27">
        <v>1</v>
      </c>
      <c r="AP168" s="27">
        <v>1</v>
      </c>
    </row>
    <row r="169" spans="1:42">
      <c r="A169" s="127"/>
      <c r="B169" s="27" t="str">
        <f>物品!B169</f>
        <v>IT09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|CffFF0000天人五衰劫|r</v>
      </c>
      <c r="I169" s="27" t="str">
        <f>VLOOKUP(B169,物品!B:CV,99,FALSE)</f>
        <v>渡过该劫后可结成|Cffff0000至圣道果|r。|n|n|Cffff0000至圣道果：|r|n攻击+450000|n生命值+1800000|n物理伤害+30%|n法术伤害+30%|n杀敌攻击+8|n杀敌业力+1|n杀敌生命+30|n</v>
      </c>
      <c r="J169" s="129" t="str">
        <f t="shared" si="72"/>
        <v>|CffFF0000天人五衰劫|r</v>
      </c>
      <c r="K169" s="129" t="str">
        <f t="shared" si="73"/>
        <v>渡过该劫后可结成|Cffff0000至圣道果|r。|n|n|Cffff0000至圣道果：|r|n攻击+450000|n生命值+1800000|n物理伤害+30%|n法术伤害+30%|n杀敌攻击+8|n杀敌业力+1|n杀敌生命+30|n</v>
      </c>
      <c r="L169" s="27"/>
      <c r="M169" s="130" t="str">
        <f>VLOOKUP(LEFT(RIGHT(B169,5),4),物品!B:CU,20,FALSE)</f>
        <v>ReplaceableTextures\\CommandButtons\\BTNIT09.blp</v>
      </c>
      <c r="N169" s="148" t="s">
        <v>83</v>
      </c>
      <c r="O169" s="130" t="s">
        <v>95</v>
      </c>
      <c r="P169" s="27">
        <v>0</v>
      </c>
      <c r="Q169" s="27">
        <v>2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27"/>
      <c r="W169" s="27" t="s">
        <v>88</v>
      </c>
      <c r="X169" s="27">
        <v>30000</v>
      </c>
      <c r="Y169" s="148" t="s">
        <v>83</v>
      </c>
      <c r="Z169" s="27">
        <v>0</v>
      </c>
      <c r="AA169" s="27">
        <v>0</v>
      </c>
      <c r="AB169" s="129">
        <v>19</v>
      </c>
      <c r="AC169" s="27">
        <v>1</v>
      </c>
      <c r="AD169" s="27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27">
        <v>1</v>
      </c>
      <c r="AJ169" s="27"/>
      <c r="AK169" s="27">
        <v>1</v>
      </c>
      <c r="AL169" s="27">
        <v>1</v>
      </c>
      <c r="AM169" s="148" t="s">
        <v>83</v>
      </c>
      <c r="AN169" s="27">
        <v>1</v>
      </c>
      <c r="AO169" s="27">
        <v>1</v>
      </c>
      <c r="AP169" s="27">
        <v>1</v>
      </c>
    </row>
    <row r="170" spans="1:42">
      <c r="A170" s="127"/>
      <c r="B170" s="27" t="str">
        <f>物品!B170</f>
        <v>IT10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|CffFF0000混元灭世劫|r</v>
      </c>
      <c r="I170" s="27" t="str">
        <f>VLOOKUP(B170,物品!B:CV,99,FALSE)</f>
        <v>渡过该劫后可结成|Cffff0000混沌道果|r。|n|n|Cffff0000混沌道果：|r|n攻击+750000|n生命值+3000000|n物理伤害+40%|n法术伤害+40%|n杀敌攻击+8|n杀敌业力+1|n杀敌生命+30|n</v>
      </c>
      <c r="J170" s="129" t="str">
        <f t="shared" si="72"/>
        <v>|CffFF0000混元灭世劫|r</v>
      </c>
      <c r="K170" s="129" t="str">
        <f t="shared" si="73"/>
        <v>渡过该劫后可结成|Cffff0000混沌道果|r。|n|n|Cffff0000混沌道果：|r|n攻击+750000|n生命值+3000000|n物理伤害+40%|n法术伤害+40%|n杀敌攻击+8|n杀敌业力+1|n杀敌生命+30|n</v>
      </c>
      <c r="L170" s="27"/>
      <c r="M170" s="130" t="str">
        <f>VLOOKUP(LEFT(RIGHT(B170,5),4),物品!B:CU,20,FALSE)</f>
        <v>ReplaceableTextures\\CommandButtons\\BTNIT10.blp</v>
      </c>
      <c r="N170" s="148" t="s">
        <v>83</v>
      </c>
      <c r="O170" s="130" t="s">
        <v>95</v>
      </c>
      <c r="P170" s="27">
        <v>1</v>
      </c>
      <c r="Q170" s="27">
        <v>2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27"/>
      <c r="W170" s="27" t="s">
        <v>88</v>
      </c>
      <c r="X170" s="27">
        <v>50000</v>
      </c>
      <c r="Y170" s="148" t="s">
        <v>83</v>
      </c>
      <c r="Z170" s="27">
        <v>0</v>
      </c>
      <c r="AA170" s="27">
        <v>0</v>
      </c>
      <c r="AB170" s="129">
        <v>25</v>
      </c>
      <c r="AC170" s="27">
        <v>1</v>
      </c>
      <c r="AD170" s="27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27">
        <v>1</v>
      </c>
      <c r="AJ170" s="27"/>
      <c r="AK170" s="27">
        <v>1</v>
      </c>
      <c r="AL170" s="27">
        <v>1</v>
      </c>
      <c r="AM170" s="148" t="s">
        <v>83</v>
      </c>
      <c r="AN170" s="27">
        <v>1</v>
      </c>
      <c r="AO170" s="27">
        <v>1</v>
      </c>
      <c r="AP170" s="27">
        <v>1</v>
      </c>
    </row>
    <row r="171" spans="1:42">
      <c r="A171" s="127"/>
      <c r="B171" s="27" t="str">
        <f>物品!B171</f>
        <v>IT11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斩三尸</v>
      </c>
      <c r="I171" s="27" t="str">
        <f>VLOOKUP(B171,物品!B:CV,99,FALSE)</f>
        <v>境界挑战11</v>
      </c>
      <c r="J171" s="129" t="str">
        <f t="shared" ref="J171:J178" si="74">H171</f>
        <v>斩三尸</v>
      </c>
      <c r="K171" s="129" t="str">
        <f t="shared" ref="K171:K178" si="75">I171</f>
        <v>境界挑战11</v>
      </c>
      <c r="L171" s="27"/>
      <c r="M171" s="130" t="str">
        <f>VLOOKUP(LEFT(RIGHT(B171,5),4),物品!B:CU,20,FALSE)</f>
        <v>ReplaceableTextures\\CommandButtons\\BTNIT11.blp</v>
      </c>
      <c r="N171" s="148" t="s">
        <v>83</v>
      </c>
      <c r="O171" s="130" t="s">
        <v>95</v>
      </c>
      <c r="P171" s="27">
        <v>2</v>
      </c>
      <c r="Q171" s="27">
        <v>1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27"/>
      <c r="W171" s="27" t="s">
        <v>88</v>
      </c>
      <c r="X171" s="27">
        <v>0</v>
      </c>
      <c r="Y171" s="14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27">
        <v>1</v>
      </c>
      <c r="AJ171" s="27"/>
      <c r="AK171" s="27">
        <v>1</v>
      </c>
      <c r="AL171" s="27">
        <v>1</v>
      </c>
      <c r="AM171" s="148" t="s">
        <v>83</v>
      </c>
      <c r="AN171" s="27">
        <v>1</v>
      </c>
      <c r="AO171" s="27">
        <v>1</v>
      </c>
      <c r="AP171" s="27">
        <v>1</v>
      </c>
    </row>
    <row r="172" spans="1:42">
      <c r="A172" s="127"/>
      <c r="B172" s="27" t="str">
        <f>物品!B172</f>
        <v>IT12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无量量劫</v>
      </c>
      <c r="I172" s="27" t="str">
        <f>VLOOKUP(B172,物品!B:CV,99,FALSE)</f>
        <v>境界挑战12</v>
      </c>
      <c r="J172" s="129" t="str">
        <f t="shared" si="74"/>
        <v>无量量劫</v>
      </c>
      <c r="K172" s="129" t="str">
        <f t="shared" si="75"/>
        <v>境界挑战12</v>
      </c>
      <c r="L172" s="27"/>
      <c r="M172" s="130" t="str">
        <f>VLOOKUP(LEFT(RIGHT(B172,5),4),物品!B:CU,20,FALSE)</f>
        <v>ReplaceableTextures\\CommandButtons\\BTNIT12.blp</v>
      </c>
      <c r="N172" s="148" t="s">
        <v>83</v>
      </c>
      <c r="O172" s="130" t="s">
        <v>95</v>
      </c>
      <c r="P172" s="27">
        <v>3</v>
      </c>
      <c r="Q172" s="27">
        <v>1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27"/>
      <c r="W172" s="27" t="s">
        <v>88</v>
      </c>
      <c r="X172" s="27">
        <v>0</v>
      </c>
      <c r="Y172" s="14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27">
        <v>1</v>
      </c>
      <c r="AJ172" s="27"/>
      <c r="AK172" s="27">
        <v>1</v>
      </c>
      <c r="AL172" s="27">
        <v>1</v>
      </c>
      <c r="AM172" s="148" t="s">
        <v>83</v>
      </c>
      <c r="AN172" s="27">
        <v>1</v>
      </c>
      <c r="AO172" s="27">
        <v>1</v>
      </c>
      <c r="AP172" s="27">
        <v>1</v>
      </c>
    </row>
    <row r="173" spans="1:42">
      <c r="A173" s="127"/>
      <c r="B173" s="27" t="str">
        <f>物品!B173</f>
        <v>IT13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鸿钧对练</v>
      </c>
      <c r="I173" s="27" t="str">
        <f>VLOOKUP(B173,物品!B:CV,99,FALSE)</f>
        <v>境界挑战13</v>
      </c>
      <c r="J173" s="129" t="str">
        <f t="shared" si="74"/>
        <v>鸿钧对练</v>
      </c>
      <c r="K173" s="129" t="str">
        <f t="shared" si="75"/>
        <v>境界挑战13</v>
      </c>
      <c r="L173" s="27"/>
      <c r="M173" s="130" t="str">
        <f>VLOOKUP(LEFT(RIGHT(B173,5),4),物品!B:CU,20,FALSE)</f>
        <v>ReplaceableTextures\\CommandButtons\\BTNIT13.blp</v>
      </c>
      <c r="N173" s="148" t="s">
        <v>83</v>
      </c>
      <c r="O173" s="130" t="s">
        <v>95</v>
      </c>
      <c r="P173" s="27">
        <v>0</v>
      </c>
      <c r="Q173" s="27">
        <v>2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27"/>
      <c r="W173" s="27" t="s">
        <v>88</v>
      </c>
      <c r="X173" s="27">
        <v>0</v>
      </c>
      <c r="Y173" s="14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27">
        <v>1</v>
      </c>
      <c r="AJ173" s="27"/>
      <c r="AK173" s="27">
        <v>1</v>
      </c>
      <c r="AL173" s="27">
        <v>1</v>
      </c>
      <c r="AM173" s="148" t="s">
        <v>83</v>
      </c>
      <c r="AN173" s="27">
        <v>1</v>
      </c>
      <c r="AO173" s="27">
        <v>1</v>
      </c>
      <c r="AP173" s="27">
        <v>1</v>
      </c>
    </row>
    <row r="174" spans="1:42">
      <c r="A174" s="127"/>
      <c r="B174" s="27" t="str">
        <f>物品!B174</f>
        <v>IT14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境界挑战14</v>
      </c>
      <c r="I174" s="27" t="str">
        <f>VLOOKUP(B174,物品!B:CV,99,FALSE)</f>
        <v>境界挑战14</v>
      </c>
      <c r="J174" s="129" t="str">
        <f t="shared" si="74"/>
        <v>境界挑战14</v>
      </c>
      <c r="K174" s="129" t="str">
        <f t="shared" si="75"/>
        <v>境界挑战14</v>
      </c>
      <c r="L174" s="27"/>
      <c r="M174" s="130" t="str">
        <f>VLOOKUP(LEFT(RIGHT(B174,5),4),物品!B:CU,20,FALSE)</f>
        <v>ReplaceableTextures\\CommandButtons\\BTNIT14.blp</v>
      </c>
      <c r="N174" s="148" t="s">
        <v>83</v>
      </c>
      <c r="O174" s="130" t="s">
        <v>95</v>
      </c>
      <c r="P174" s="27">
        <v>1</v>
      </c>
      <c r="Q174" s="27">
        <v>2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27"/>
      <c r="W174" s="27" t="s">
        <v>88</v>
      </c>
      <c r="X174" s="27">
        <v>0</v>
      </c>
      <c r="Y174" s="148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27">
        <v>1</v>
      </c>
      <c r="AJ174" s="27"/>
      <c r="AK174" s="27">
        <v>1</v>
      </c>
      <c r="AL174" s="27">
        <v>1</v>
      </c>
      <c r="AM174" s="148" t="s">
        <v>83</v>
      </c>
      <c r="AN174" s="27">
        <v>1</v>
      </c>
      <c r="AO174" s="27">
        <v>1</v>
      </c>
      <c r="AP174" s="27">
        <v>1</v>
      </c>
    </row>
    <row r="175" spans="1:42">
      <c r="A175" s="127"/>
      <c r="B175" s="27" t="str">
        <f>物品!B175</f>
        <v>IZ0A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暂停进攻</v>
      </c>
      <c r="I175" s="27" t="str">
        <f>VLOOKUP(B175,物品!B:CV,99,FALSE)</f>
        <v>延缓敌军2分钟进攻时间。|n|n|Cff999999狗策划一直不想做这个功能，你们就省着点用吧~（逃|r</v>
      </c>
      <c r="J175" s="129" t="str">
        <f t="shared" si="74"/>
        <v>暂停进攻</v>
      </c>
      <c r="K175" s="129" t="str">
        <f t="shared" si="75"/>
        <v>延缓敌军2分钟进攻时间。|n|n|Cff999999狗策划一直不想做这个功能，你们就省着点用吧~（逃|r</v>
      </c>
      <c r="L175" s="27"/>
      <c r="M175" s="131" t="s">
        <v>104</v>
      </c>
      <c r="N175" s="148" t="s">
        <v>83</v>
      </c>
      <c r="O175" s="130" t="s">
        <v>95</v>
      </c>
      <c r="P175" s="27">
        <v>0</v>
      </c>
      <c r="Q175" s="27">
        <v>0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27"/>
      <c r="W175" s="27" t="s">
        <v>88</v>
      </c>
      <c r="X175" s="27">
        <v>10000</v>
      </c>
      <c r="Y175" s="148" t="s">
        <v>83</v>
      </c>
      <c r="Z175" s="27">
        <v>120</v>
      </c>
      <c r="AA175" s="27">
        <v>300</v>
      </c>
      <c r="AB175" s="27">
        <v>0</v>
      </c>
      <c r="AC175" s="27">
        <v>1</v>
      </c>
      <c r="AD175" s="27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27">
        <v>1</v>
      </c>
      <c r="AJ175" s="27"/>
      <c r="AK175" s="27">
        <v>1</v>
      </c>
      <c r="AL175" s="27">
        <v>1</v>
      </c>
      <c r="AM175" s="148" t="s">
        <v>83</v>
      </c>
      <c r="AN175" s="27">
        <v>1</v>
      </c>
      <c r="AO175" s="27">
        <v>1</v>
      </c>
      <c r="AP175" s="27">
        <v>1</v>
      </c>
    </row>
    <row r="176" spans="1:42">
      <c r="A176" s="127"/>
      <c r="B176" s="27" t="str">
        <f>物品!B176</f>
        <v>IZ0B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奇经八脉</v>
      </c>
      <c r="I176" s="27" t="str">
        <f>VLOOKUP(B176,物品!B:CV,99,FALSE)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6" s="129" t="str">
        <f t="shared" ref="J176" si="76">H176</f>
        <v>奇经八脉</v>
      </c>
      <c r="K176" s="129" t="str">
        <f t="shared" ref="K176" si="77">I176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6" s="27"/>
      <c r="M176" s="130" t="str">
        <f>VLOOKUP(LEFT(RIGHT(B176,5),4),物品!B:CU,20,FALSE)</f>
        <v>ReplaceableTextures\\CommandButtons\\BTNIZ0B.blp</v>
      </c>
      <c r="N176" s="148" t="s">
        <v>83</v>
      </c>
      <c r="O176" s="130" t="s">
        <v>95</v>
      </c>
      <c r="P176" s="27">
        <v>2</v>
      </c>
      <c r="Q176" s="27">
        <v>2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27"/>
      <c r="W176" s="27" t="s">
        <v>88</v>
      </c>
      <c r="X176" s="27">
        <v>0</v>
      </c>
      <c r="Y176" s="148" t="s">
        <v>83</v>
      </c>
      <c r="Z176" s="27">
        <v>0</v>
      </c>
      <c r="AA176" s="27">
        <v>600</v>
      </c>
      <c r="AB176" s="27">
        <v>0</v>
      </c>
      <c r="AC176" s="27">
        <v>1</v>
      </c>
      <c r="AD176" s="27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27">
        <v>1</v>
      </c>
      <c r="AJ176" s="27"/>
      <c r="AK176" s="27">
        <v>1</v>
      </c>
      <c r="AL176" s="27">
        <v>1</v>
      </c>
      <c r="AM176" s="148" t="s">
        <v>83</v>
      </c>
      <c r="AN176" s="27">
        <v>1</v>
      </c>
      <c r="AO176" s="27">
        <v>1</v>
      </c>
      <c r="AP176" s="27">
        <v>1</v>
      </c>
    </row>
    <row r="177" spans="1:42">
      <c r="A177" s="127"/>
      <c r="B177" s="27" t="str">
        <f>物品!B177</f>
        <v>IZ01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|CffFF0000团队副本-万仙阵|r</v>
      </c>
      <c r="I177" s="27" t="str">
        <f>VLOOKUP(B177,物品!B:CV,99,FALSE)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7" s="129" t="str">
        <f t="shared" ref="J177" si="78">H177</f>
        <v>|CffFF0000团队副本-万仙阵|r</v>
      </c>
      <c r="K177" s="129" t="str">
        <f t="shared" ref="K177" si="79">I177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7" s="27"/>
      <c r="M177" s="130" t="str">
        <f>VLOOKUP(LEFT(RIGHT(B177,5),4),物品!B:CU,20,FALSE)</f>
        <v>ReplaceableTextures\\CommandButtons\\BTNIZ01.blp</v>
      </c>
      <c r="N177" s="148" t="s">
        <v>83</v>
      </c>
      <c r="O177" s="130" t="s">
        <v>95</v>
      </c>
      <c r="P177" s="27">
        <v>1</v>
      </c>
      <c r="Q177" s="27">
        <v>2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27"/>
      <c r="W177" s="27" t="s">
        <v>88</v>
      </c>
      <c r="X177" s="27">
        <v>0</v>
      </c>
      <c r="Y177" s="14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27">
        <v>1</v>
      </c>
      <c r="AJ177" s="27"/>
      <c r="AK177" s="27">
        <v>1</v>
      </c>
      <c r="AL177" s="27">
        <v>1</v>
      </c>
      <c r="AM177" s="148" t="s">
        <v>83</v>
      </c>
      <c r="AN177" s="27">
        <v>1</v>
      </c>
      <c r="AO177" s="27">
        <v>1</v>
      </c>
      <c r="AP177" s="27">
        <v>1</v>
      </c>
    </row>
    <row r="178" spans="1:42">
      <c r="A178" s="127"/>
      <c r="B178" s="27" t="str">
        <f>物品!B178</f>
        <v>IS01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学习Q技能</v>
      </c>
      <c r="I178" s="27" t="str">
        <f>VLOOKUP(B178,物品!B:CV,99,FALSE)</f>
        <v>学习或重置当前|cffffd24dQ技能|r。|n|cffffcc00抽取消耗：|r1500金币*次数|n|cffffcc00抽取次数：|r0/10|n|n|cff00ff7f单局最多抽取10次|r</v>
      </c>
      <c r="J178" s="129" t="str">
        <f t="shared" si="74"/>
        <v>学习Q技能</v>
      </c>
      <c r="K178" s="129" t="str">
        <f t="shared" si="75"/>
        <v>学习或重置当前|cffffd24dQ技能|r。|n|cffffcc00抽取消耗：|r1500金币*次数|n|cffffcc00抽取次数：|r0/10|n|n|cff00ff7f单局最多抽取10次|r</v>
      </c>
      <c r="L178" s="27"/>
      <c r="M178" s="130" t="str">
        <f>VLOOKUP(LEFT(RIGHT(B178,5),4),物品!B:CU,20,FALSE)</f>
        <v>ReplaceableTextures\\CommandButtons\\BTN001.blp</v>
      </c>
      <c r="N178" s="148" t="s">
        <v>83</v>
      </c>
      <c r="O178" s="130" t="s">
        <v>95</v>
      </c>
      <c r="P178" s="27">
        <v>0</v>
      </c>
      <c r="Q178" s="27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27"/>
      <c r="W178" s="27" t="s">
        <v>88</v>
      </c>
      <c r="X178" s="27">
        <v>0</v>
      </c>
      <c r="Y178" s="14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27">
        <v>1</v>
      </c>
      <c r="AJ178" s="27"/>
      <c r="AK178" s="27">
        <v>1</v>
      </c>
      <c r="AL178" s="27">
        <v>1</v>
      </c>
      <c r="AM178" s="148" t="s">
        <v>83</v>
      </c>
      <c r="AN178" s="27">
        <v>1</v>
      </c>
      <c r="AO178" s="27">
        <v>1</v>
      </c>
      <c r="AP178" s="27">
        <v>1</v>
      </c>
    </row>
    <row r="179" spans="1:42">
      <c r="A179" s="127"/>
      <c r="B179" s="27" t="str">
        <f>物品!B179</f>
        <v>IS02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学习W技能</v>
      </c>
      <c r="I179" s="27" t="str">
        <f>VLOOKUP(B179,物品!B:CV,99,FALSE)</f>
        <v>学习或重置当前|cffffd24dW技能|r。|n|cffffcc00抽取消耗：|r5000金币*次数|n|cffffcc00抽取次数：|r0/10|n|n|cff00ff7f单局最多抽取10次|r</v>
      </c>
      <c r="J179" s="129" t="str">
        <f t="shared" si="72"/>
        <v>学习W技能</v>
      </c>
      <c r="K179" s="129" t="str">
        <f t="shared" si="73"/>
        <v>学习或重置当前|cffffd24dW技能|r。|n|cffffcc00抽取消耗：|r5000金币*次数|n|cffffcc00抽取次数：|r0/10|n|n|cff00ff7f单局最多抽取10次|r</v>
      </c>
      <c r="L179" s="27"/>
      <c r="M179" s="130" t="str">
        <f>VLOOKUP(LEFT(RIGHT(B179,5),4),物品!B:CU,20,FALSE)</f>
        <v>ReplaceableTextures\\CommandButtons\\BTN002.blp</v>
      </c>
      <c r="N179" s="148" t="s">
        <v>83</v>
      </c>
      <c r="O179" s="130" t="s">
        <v>95</v>
      </c>
      <c r="P179" s="27">
        <v>1</v>
      </c>
      <c r="Q179" s="27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27"/>
      <c r="W179" s="27" t="s">
        <v>88</v>
      </c>
      <c r="X179" s="27">
        <v>0</v>
      </c>
      <c r="Y179" s="14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27">
        <v>1</v>
      </c>
      <c r="AJ179" s="27"/>
      <c r="AK179" s="27">
        <v>1</v>
      </c>
      <c r="AL179" s="27">
        <v>1</v>
      </c>
      <c r="AM179" s="148" t="s">
        <v>83</v>
      </c>
      <c r="AN179" s="27">
        <v>1</v>
      </c>
      <c r="AO179" s="27">
        <v>1</v>
      </c>
      <c r="AP179" s="27">
        <v>1</v>
      </c>
    </row>
    <row r="180" spans="1:42">
      <c r="A180" s="127"/>
      <c r="B180" s="27" t="str">
        <f>物品!B180</f>
        <v>IS03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学习E技能</v>
      </c>
      <c r="I180" s="27" t="str">
        <f>VLOOKUP(B180,物品!B:CV,99,FALSE)</f>
        <v>学习或重置当前|cffffd24dE技能|r。|n|cffffcc00抽取消耗：|r15000金币*次数|n|cffffcc00抽取次数：|r0/10|n|n|cff00ff7f单局最多抽取10次|r</v>
      </c>
      <c r="J180" s="129" t="str">
        <f t="shared" si="72"/>
        <v>学习E技能</v>
      </c>
      <c r="K180" s="129" t="str">
        <f t="shared" si="73"/>
        <v>学习或重置当前|cffffd24dE技能|r。|n|cffffcc00抽取消耗：|r15000金币*次数|n|cffffcc00抽取次数：|r0/10|n|n|cff00ff7f单局最多抽取10次|r</v>
      </c>
      <c r="L180" s="27"/>
      <c r="M180" s="130" t="str">
        <f>VLOOKUP(LEFT(RIGHT(B180,5),4),物品!B:CU,20,FALSE)</f>
        <v>ReplaceableTextures\\CommandButtons\\BTN003.blp</v>
      </c>
      <c r="N180" s="148" t="s">
        <v>83</v>
      </c>
      <c r="O180" s="130" t="s">
        <v>95</v>
      </c>
      <c r="P180" s="27">
        <v>2</v>
      </c>
      <c r="Q180" s="27">
        <v>0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27"/>
      <c r="W180" s="27" t="s">
        <v>88</v>
      </c>
      <c r="X180" s="27">
        <v>0</v>
      </c>
      <c r="Y180" s="14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27">
        <v>1</v>
      </c>
      <c r="AJ180" s="27"/>
      <c r="AK180" s="27">
        <v>1</v>
      </c>
      <c r="AL180" s="27">
        <v>1</v>
      </c>
      <c r="AM180" s="148" t="s">
        <v>83</v>
      </c>
      <c r="AN180" s="27">
        <v>1</v>
      </c>
      <c r="AO180" s="27">
        <v>1</v>
      </c>
      <c r="AP180" s="27">
        <v>1</v>
      </c>
    </row>
    <row r="181" spans="1:42">
      <c r="A181" s="127"/>
      <c r="B181" s="27" t="str">
        <f>物品!B181</f>
        <v>IS21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Q技能附魔石</v>
      </c>
      <c r="I181" s="27" t="str">
        <f>VLOOKUP(B181,物品!B:CV,99,FALSE)</f>
        <v>为|Cffffd24dQ技能|r附魔一条|Cffffd24d随机属性|r。</v>
      </c>
      <c r="J181" s="129" t="str">
        <f t="shared" si="72"/>
        <v>Q技能附魔石</v>
      </c>
      <c r="K181" s="129" t="str">
        <f t="shared" si="73"/>
        <v>为|Cffffd24dQ技能|r附魔一条|Cffffd24d随机属性|r。</v>
      </c>
      <c r="L181" s="27"/>
      <c r="M181" s="130" t="str">
        <f>VLOOKUP(LEFT(RIGHT(B181,5),4),物品!B:CU,20,FALSE)</f>
        <v>ReplaceableTextures\\CommandButtons\\BTNIN01.blp</v>
      </c>
      <c r="N181" s="148" t="s">
        <v>83</v>
      </c>
      <c r="O181" s="130" t="s">
        <v>95</v>
      </c>
      <c r="P181" s="27">
        <v>0</v>
      </c>
      <c r="Q181" s="27">
        <v>2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27"/>
      <c r="W181" s="27" t="s">
        <v>93</v>
      </c>
      <c r="X181" s="27">
        <v>0</v>
      </c>
      <c r="Y181" s="14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27">
        <v>0</v>
      </c>
      <c r="AJ181" s="27"/>
      <c r="AK181" s="27">
        <v>1</v>
      </c>
      <c r="AL181" s="27">
        <v>1</v>
      </c>
      <c r="AM181" s="148" t="s">
        <v>83</v>
      </c>
      <c r="AN181" s="27">
        <v>1</v>
      </c>
      <c r="AO181" s="27">
        <v>1</v>
      </c>
      <c r="AP181" s="27">
        <v>1</v>
      </c>
    </row>
    <row r="182" spans="1:42">
      <c r="A182" s="127"/>
      <c r="B182" s="27" t="str">
        <f>物品!B182</f>
        <v>IS22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W技能附魔石</v>
      </c>
      <c r="I182" s="27" t="str">
        <f>VLOOKUP(B182,物品!B:CV,99,FALSE)</f>
        <v>为|Cffffd24dW技能|r附魔一条|Cffffd24d随机属性|r。</v>
      </c>
      <c r="J182" s="129" t="str">
        <f t="shared" ref="J182:J184" si="80">H182</f>
        <v>W技能附魔石</v>
      </c>
      <c r="K182" s="129" t="str">
        <f t="shared" ref="K182:K184" si="81">I182</f>
        <v>为|Cffffd24dW技能|r附魔一条|Cffffd24d随机属性|r。</v>
      </c>
      <c r="L182" s="27"/>
      <c r="M182" s="130" t="str">
        <f>VLOOKUP(LEFT(RIGHT(B182,5),4),物品!B:CU,20,FALSE)</f>
        <v>ReplaceableTextures\\CommandButtons\\BTNIN02.blp</v>
      </c>
      <c r="N182" s="148" t="s">
        <v>83</v>
      </c>
      <c r="O182" s="130" t="s">
        <v>95</v>
      </c>
      <c r="P182" s="27">
        <v>1</v>
      </c>
      <c r="Q182" s="27">
        <v>2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27"/>
      <c r="W182" s="27" t="s">
        <v>93</v>
      </c>
      <c r="X182" s="27">
        <v>0</v>
      </c>
      <c r="Y182" s="14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27">
        <v>0</v>
      </c>
      <c r="AJ182" s="27"/>
      <c r="AK182" s="27">
        <v>1</v>
      </c>
      <c r="AL182" s="27">
        <v>1</v>
      </c>
      <c r="AM182" s="148" t="s">
        <v>83</v>
      </c>
      <c r="AN182" s="27">
        <v>1</v>
      </c>
      <c r="AO182" s="27">
        <v>1</v>
      </c>
      <c r="AP182" s="27">
        <v>1</v>
      </c>
    </row>
    <row r="183" spans="1:42">
      <c r="A183" s="127"/>
      <c r="B183" s="27" t="str">
        <f>物品!B183</f>
        <v>IS23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E技能附魔石</v>
      </c>
      <c r="I183" s="27" t="str">
        <f>VLOOKUP(B183,物品!B:CV,99,FALSE)</f>
        <v>为|Cffffd24dE技能|r附魔一条|Cffffd24d随机属性|r。</v>
      </c>
      <c r="J183" s="129" t="str">
        <f t="shared" si="80"/>
        <v>E技能附魔石</v>
      </c>
      <c r="K183" s="129" t="str">
        <f t="shared" si="81"/>
        <v>为|Cffffd24dE技能|r附魔一条|Cffffd24d随机属性|r。</v>
      </c>
      <c r="L183" s="27"/>
      <c r="M183" s="130" t="str">
        <f>VLOOKUP(LEFT(RIGHT(B183,5),4),物品!B:CU,20,FALSE)</f>
        <v>ReplaceableTextures\\CommandButtons\\BTNIN03.blp</v>
      </c>
      <c r="N183" s="148" t="s">
        <v>83</v>
      </c>
      <c r="O183" s="130" t="s">
        <v>95</v>
      </c>
      <c r="P183" s="27">
        <v>2</v>
      </c>
      <c r="Q183" s="27">
        <v>2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27"/>
      <c r="W183" s="27" t="s">
        <v>93</v>
      </c>
      <c r="X183" s="27">
        <v>0</v>
      </c>
      <c r="Y183" s="14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27">
        <v>0</v>
      </c>
      <c r="AJ183" s="27"/>
      <c r="AK183" s="27">
        <v>1</v>
      </c>
      <c r="AL183" s="27">
        <v>1</v>
      </c>
      <c r="AM183" s="148" t="s">
        <v>83</v>
      </c>
      <c r="AN183" s="27">
        <v>1</v>
      </c>
      <c r="AO183" s="27">
        <v>1</v>
      </c>
      <c r="AP183" s="27">
        <v>1</v>
      </c>
    </row>
    <row r="184" spans="1:42">
      <c r="A184" s="127"/>
      <c r="B184" s="27" t="str">
        <f>物品!B184</f>
        <v>IS24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|CffFFD24DQ强力附魔石|r</v>
      </c>
      <c r="I184" s="27" t="str">
        <f>VLOOKUP(B184,物品!B:CV,99,FALSE)</f>
        <v>为|Cffffd24dQ技能|r附魔一条|Cffffd24d随机属性|r。</v>
      </c>
      <c r="J184" s="129" t="str">
        <f t="shared" si="80"/>
        <v>|CffFFD24DQ强力附魔石|r</v>
      </c>
      <c r="K184" s="129" t="str">
        <f t="shared" si="81"/>
        <v>为|Cffffd24dQ技能|r附魔一条|Cffffd24d随机属性|r。</v>
      </c>
      <c r="L184" s="27"/>
      <c r="M184" s="130" t="str">
        <f>VLOOKUP(LEFT(RIGHT(B184,5),4),物品!B:CU,20,FALSE)</f>
        <v>ReplaceableTextures\\CommandButtons\\BTN009.blp</v>
      </c>
      <c r="N184" s="148" t="s">
        <v>83</v>
      </c>
      <c r="O184" s="130" t="s">
        <v>95</v>
      </c>
      <c r="P184" s="27">
        <v>0</v>
      </c>
      <c r="Q184" s="27">
        <v>2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27"/>
      <c r="W184" s="27" t="s">
        <v>93</v>
      </c>
      <c r="X184" s="27">
        <v>0</v>
      </c>
      <c r="Y184" s="148" t="s">
        <v>83</v>
      </c>
      <c r="Z184" s="27">
        <v>0</v>
      </c>
      <c r="AA184" s="27">
        <v>0</v>
      </c>
      <c r="AB184" s="27">
        <v>30</v>
      </c>
      <c r="AC184" s="27">
        <v>1</v>
      </c>
      <c r="AD184" s="27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27">
        <v>0</v>
      </c>
      <c r="AJ184" s="27"/>
      <c r="AK184" s="27">
        <v>1</v>
      </c>
      <c r="AL184" s="27">
        <v>1</v>
      </c>
      <c r="AM184" s="148" t="s">
        <v>83</v>
      </c>
      <c r="AN184" s="27">
        <v>1</v>
      </c>
      <c r="AO184" s="27">
        <v>1</v>
      </c>
      <c r="AP184" s="27">
        <v>1</v>
      </c>
    </row>
    <row r="185" spans="1:42">
      <c r="A185" s="127"/>
      <c r="B185" s="27" t="str">
        <f>物品!B185</f>
        <v>IS25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|CffFFD24DW强力附魔石|r</v>
      </c>
      <c r="I185" s="27" t="str">
        <f>VLOOKUP(B185,物品!B:CV,99,FALSE)</f>
        <v>为|Cffffd24dW技能|r附魔一条|Cffffd24d随机属性|r。</v>
      </c>
      <c r="J185" s="129" t="str">
        <f t="shared" ref="J185:J186" si="82">H185</f>
        <v>|CffFFD24DW强力附魔石|r</v>
      </c>
      <c r="K185" s="129" t="str">
        <f t="shared" ref="K185:K186" si="83">I185</f>
        <v>为|Cffffd24dW技能|r附魔一条|Cffffd24d随机属性|r。</v>
      </c>
      <c r="L185" s="27"/>
      <c r="M185" s="130" t="str">
        <f>VLOOKUP(LEFT(RIGHT(B185,5),4),物品!B:CU,20,FALSE)</f>
        <v>ReplaceableTextures\\CommandButtons\\BTN010.blp</v>
      </c>
      <c r="N185" s="148" t="s">
        <v>83</v>
      </c>
      <c r="O185" s="130" t="s">
        <v>95</v>
      </c>
      <c r="P185" s="27">
        <v>1</v>
      </c>
      <c r="Q185" s="27">
        <v>2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27"/>
      <c r="W185" s="27" t="s">
        <v>93</v>
      </c>
      <c r="X185" s="27">
        <v>0</v>
      </c>
      <c r="Y185" s="148" t="s">
        <v>83</v>
      </c>
      <c r="Z185" s="27">
        <v>0</v>
      </c>
      <c r="AA185" s="27">
        <v>0</v>
      </c>
      <c r="AB185" s="27">
        <v>30</v>
      </c>
      <c r="AC185" s="27">
        <v>1</v>
      </c>
      <c r="AD185" s="27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27">
        <v>0</v>
      </c>
      <c r="AJ185" s="27"/>
      <c r="AK185" s="27">
        <v>1</v>
      </c>
      <c r="AL185" s="27">
        <v>1</v>
      </c>
      <c r="AM185" s="148" t="s">
        <v>83</v>
      </c>
      <c r="AN185" s="27">
        <v>1</v>
      </c>
      <c r="AO185" s="27">
        <v>1</v>
      </c>
      <c r="AP185" s="27">
        <v>1</v>
      </c>
    </row>
    <row r="186" spans="1:42">
      <c r="A186" s="127"/>
      <c r="B186" s="27" t="str">
        <f>物品!B186</f>
        <v>IS26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|CffFFD24DE强力附魔石|r</v>
      </c>
      <c r="I186" s="27" t="str">
        <f>VLOOKUP(B186,物品!B:CV,99,FALSE)</f>
        <v>为|Cffffd24dE技能|r附魔一条|Cffffd24d随机属性|r。</v>
      </c>
      <c r="J186" s="129" t="str">
        <f t="shared" si="82"/>
        <v>|CffFFD24DE强力附魔石|r</v>
      </c>
      <c r="K186" s="129" t="str">
        <f t="shared" si="83"/>
        <v>为|Cffffd24dE技能|r附魔一条|Cffffd24d随机属性|r。</v>
      </c>
      <c r="L186" s="27"/>
      <c r="M186" s="130" t="str">
        <f>VLOOKUP(LEFT(RIGHT(B186,5),4),物品!B:CU,20,FALSE)</f>
        <v>ReplaceableTextures\\CommandButtons\\BTN011.blp</v>
      </c>
      <c r="N186" s="148" t="s">
        <v>83</v>
      </c>
      <c r="O186" s="130" t="s">
        <v>95</v>
      </c>
      <c r="P186" s="27">
        <v>2</v>
      </c>
      <c r="Q186" s="27">
        <v>2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27"/>
      <c r="W186" s="27" t="s">
        <v>93</v>
      </c>
      <c r="X186" s="27">
        <v>0</v>
      </c>
      <c r="Y186" s="148" t="s">
        <v>83</v>
      </c>
      <c r="Z186" s="27">
        <v>0</v>
      </c>
      <c r="AA186" s="27">
        <v>0</v>
      </c>
      <c r="AB186" s="27">
        <v>30</v>
      </c>
      <c r="AC186" s="27">
        <v>1</v>
      </c>
      <c r="AD186" s="27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27">
        <v>0</v>
      </c>
      <c r="AJ186" s="27"/>
      <c r="AK186" s="27">
        <v>1</v>
      </c>
      <c r="AL186" s="27">
        <v>1</v>
      </c>
      <c r="AM186" s="148" t="s">
        <v>83</v>
      </c>
      <c r="AN186" s="27">
        <v>1</v>
      </c>
      <c r="AO186" s="27">
        <v>1</v>
      </c>
      <c r="AP186" s="27">
        <v>1</v>
      </c>
    </row>
    <row r="187" spans="1:42">
      <c r="A187" s="127"/>
      <c r="B187" s="27" t="str">
        <f>物品!B187</f>
        <v>IS11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|CffFF0000占星|r</v>
      </c>
      <c r="I187" s="27" t="str">
        <f>VLOOKUP(B187,物品!B:CV,99,FALSE)</f>
        <v>|CffFF0000占星|r</v>
      </c>
      <c r="J187" s="129" t="str">
        <f t="shared" ref="J187" si="84">H187</f>
        <v>|CffFF0000占星|r</v>
      </c>
      <c r="K187" s="129" t="str">
        <f t="shared" ref="K187" si="85">I187</f>
        <v>|CffFF0000占星|r</v>
      </c>
      <c r="L187" s="27"/>
      <c r="M187" s="130" t="str">
        <f>VLOOKUP(LEFT(RIGHT(B187,5),4),物品!B:CU,20,FALSE)</f>
        <v>ReplaceableTextures\\CommandButtons\\BTNIS11.blp</v>
      </c>
      <c r="N187" s="148" t="s">
        <v>83</v>
      </c>
      <c r="O187" s="130" t="s">
        <v>95</v>
      </c>
      <c r="P187" s="27">
        <v>0</v>
      </c>
      <c r="Q187" s="27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27"/>
      <c r="W187" s="27" t="s">
        <v>88</v>
      </c>
      <c r="X187" s="27">
        <v>0</v>
      </c>
      <c r="Y187" s="148" t="s">
        <v>83</v>
      </c>
      <c r="Z187" s="27">
        <v>0</v>
      </c>
      <c r="AA187" s="27">
        <v>240</v>
      </c>
      <c r="AB187" s="27">
        <v>0</v>
      </c>
      <c r="AC187" s="27">
        <v>1</v>
      </c>
      <c r="AD187" s="27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27">
        <v>1</v>
      </c>
      <c r="AJ187" s="27"/>
      <c r="AK187" s="27">
        <v>1</v>
      </c>
      <c r="AL187" s="27">
        <v>1</v>
      </c>
      <c r="AM187" s="148" t="s">
        <v>83</v>
      </c>
      <c r="AN187" s="27">
        <v>1</v>
      </c>
      <c r="AO187" s="27">
        <v>1</v>
      </c>
      <c r="AP187" s="27">
        <v>1</v>
      </c>
    </row>
    <row r="188" spans="1:42">
      <c r="A188" s="127"/>
      <c r="B188" s="27" t="str">
        <f>物品!B188</f>
        <v>IS12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29" t="str">
        <f t="shared" si="72"/>
        <v>|CffFFD24D兽魂抽奖|r</v>
      </c>
      <c r="K188" s="129" t="str">
        <f t="shared" si="73"/>
        <v>|CffFFD24D兽魂抽奖|r</v>
      </c>
      <c r="L188" s="27"/>
      <c r="M188" s="130" t="str">
        <f>VLOOKUP(LEFT(RIGHT(B188,5),4),物品!B:CU,20,FALSE)</f>
        <v>ReplaceableTextures\\CommandButtons\\BTNIH00.blp</v>
      </c>
      <c r="N188" s="148" t="s">
        <v>83</v>
      </c>
      <c r="O188" s="130" t="s">
        <v>95</v>
      </c>
      <c r="P188" s="27">
        <v>0</v>
      </c>
      <c r="Q188" s="27">
        <v>0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27"/>
      <c r="W188" s="27" t="s">
        <v>88</v>
      </c>
      <c r="X188" s="27">
        <v>0</v>
      </c>
      <c r="Y188" s="148" t="s">
        <v>83</v>
      </c>
      <c r="Z188" s="27">
        <v>0</v>
      </c>
      <c r="AA188" s="27">
        <v>3</v>
      </c>
      <c r="AB188" s="27">
        <v>0</v>
      </c>
      <c r="AC188" s="27">
        <v>1</v>
      </c>
      <c r="AD188" s="27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27">
        <v>1</v>
      </c>
      <c r="AJ188" s="27"/>
      <c r="AK188" s="27">
        <v>1</v>
      </c>
      <c r="AL188" s="27">
        <v>1</v>
      </c>
      <c r="AM188" s="148" t="s">
        <v>83</v>
      </c>
      <c r="AN188" s="27">
        <v>1</v>
      </c>
      <c r="AO188" s="27">
        <v>1</v>
      </c>
      <c r="AP188" s="27">
        <v>1</v>
      </c>
    </row>
    <row r="189" spans="1:42">
      <c r="A189" s="127"/>
      <c r="B189" s="27" t="str">
        <f>物品!B189</f>
        <v>IZ0C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|CffFFD24D兽魂抽奖|r</v>
      </c>
      <c r="I189" s="27" t="str">
        <f>VLOOKUP(B189,物品!B:CV,99,FALSE)</f>
        <v>|CffFFD24D兽魂抽奖|r</v>
      </c>
      <c r="J189" s="129" t="str">
        <f t="shared" si="72"/>
        <v>|CffFFD24D兽魂抽奖|r</v>
      </c>
      <c r="K189" s="129" t="str">
        <f t="shared" si="73"/>
        <v>|CffFFD24D兽魂抽奖|r</v>
      </c>
      <c r="L189" s="27"/>
      <c r="M189" s="130" t="str">
        <f>VLOOKUP(LEFT(RIGHT(B189,5),4),物品!B:CU,20,FALSE)</f>
        <v>ReplaceableTextures\\CommandButtons\\BTNIH00.blp</v>
      </c>
      <c r="N189" s="148" t="s">
        <v>83</v>
      </c>
      <c r="O189" s="130" t="s">
        <v>95</v>
      </c>
      <c r="P189" s="27">
        <v>0</v>
      </c>
      <c r="Q189" s="27">
        <v>0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27"/>
      <c r="W189" s="27" t="s">
        <v>88</v>
      </c>
      <c r="X189" s="27">
        <v>0</v>
      </c>
      <c r="Y189" s="148" t="s">
        <v>83</v>
      </c>
      <c r="Z189" s="27">
        <v>0</v>
      </c>
      <c r="AA189" s="27">
        <v>9999999</v>
      </c>
      <c r="AB189" s="27">
        <v>0</v>
      </c>
      <c r="AC189" s="27">
        <v>1</v>
      </c>
      <c r="AD189" s="27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27">
        <v>1</v>
      </c>
      <c r="AJ189" s="27"/>
      <c r="AK189" s="27">
        <v>1</v>
      </c>
      <c r="AL189" s="27">
        <v>1</v>
      </c>
      <c r="AM189" s="148" t="s">
        <v>83</v>
      </c>
      <c r="AN189" s="27">
        <v>1</v>
      </c>
      <c r="AO189" s="27">
        <v>1</v>
      </c>
      <c r="AP189" s="27">
        <v>1</v>
      </c>
    </row>
    <row r="190" spans="1:42">
      <c r="A190" s="127"/>
      <c r="B190" s="27" t="str">
        <f>物品!B190</f>
        <v>IZ10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</v>
      </c>
      <c r="I190" s="27" t="str">
        <f>VLOOKUP(B190,物品!B:CV,99,FALSE)</f>
        <v>|CffF0F0F0有几率获得|r|Cffffd24d好东西|r|Cfff0f0f0，也有可能|r|Cffcccccc打水漂|r|Cfff0f0f0。|n|n|r|Cff00ff7f观今夜星象，抽就完事了...|r</v>
      </c>
      <c r="J190" s="129" t="str">
        <f t="shared" si="72"/>
        <v>|CffFFD24D占星卜卦|r</v>
      </c>
      <c r="K190" s="129" t="str">
        <f t="shared" si="73"/>
        <v>|CffF0F0F0有几率获得|r|Cffffd24d好东西|r|Cfff0f0f0，也有可能|r|Cffcccccc打水漂|r|Cfff0f0f0。|n|n|r|Cff00ff7f观今夜星象，抽就完事了...|r</v>
      </c>
      <c r="L190" s="27"/>
      <c r="M190" s="130" t="str">
        <f>VLOOKUP(LEFT(RIGHT(B190,5),4),物品!B:CU,20,FALSE)</f>
        <v>ReplaceableTextures\\CommandButtons\\BTNIH00.blp</v>
      </c>
      <c r="N190" s="148" t="s">
        <v>83</v>
      </c>
      <c r="O190" s="130" t="s">
        <v>95</v>
      </c>
      <c r="P190" s="27">
        <v>0</v>
      </c>
      <c r="Q190" s="27">
        <v>0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27"/>
      <c r="W190" s="27" t="s">
        <v>88</v>
      </c>
      <c r="X190" s="27">
        <v>3888</v>
      </c>
      <c r="Y190" s="148" t="s">
        <v>83</v>
      </c>
      <c r="Z190" s="27">
        <v>0</v>
      </c>
      <c r="AA190" s="27">
        <v>1</v>
      </c>
      <c r="AB190" s="27">
        <v>0</v>
      </c>
      <c r="AC190" s="27">
        <v>1</v>
      </c>
      <c r="AD190" s="27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27">
        <v>1</v>
      </c>
      <c r="AJ190" s="27"/>
      <c r="AK190" s="27">
        <v>1</v>
      </c>
      <c r="AL190" s="27">
        <v>1</v>
      </c>
      <c r="AM190" s="148" t="s">
        <v>83</v>
      </c>
      <c r="AN190" s="27">
        <v>1</v>
      </c>
      <c r="AO190" s="27">
        <v>1</v>
      </c>
      <c r="AP190" s="27">
        <v>1</v>
      </c>
    </row>
    <row r="191" spans="1:42">
      <c r="A191" s="127"/>
      <c r="B191" s="27" t="str">
        <f>物品!B191</f>
        <v>IZ11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|CffFFD24D占星卜卦|r - [|cffffcc0010连|r]</v>
      </c>
      <c r="I191" s="27" t="str">
        <f>VLOOKUP(B191,物品!B:CV,99,FALSE)</f>
        <v>|CffF0F0F0有几率获得|r|Cffffd24d很多好东西|r|Cfff0f0f0，也有可能|r|Cffcccccc打很多水漂|r|Cfff0f0f0。|n|n|r|Cff00ff7f观今夜星象，使劲抽就完事了...|r</v>
      </c>
      <c r="J191" s="129" t="str">
        <f t="shared" si="72"/>
        <v>|CffFFD24D占星卜卦|r - [|cffffcc0010连|r]</v>
      </c>
      <c r="K191" s="129" t="str">
        <f t="shared" si="73"/>
        <v>|CffF0F0F0有几率获得|r|Cffffd24d很多好东西|r|Cfff0f0f0，也有可能|r|Cffcccccc打很多水漂|r|Cfff0f0f0。|n|n|r|Cff00ff7f观今夜星象，使劲抽就完事了...|r</v>
      </c>
      <c r="L191" s="27"/>
      <c r="M191" s="130" t="str">
        <f>VLOOKUP(LEFT(RIGHT(B191,5),4),物品!B:CU,20,FALSE)</f>
        <v>ReplaceableTextures\\CommandButtons\\BTNIH00.blp</v>
      </c>
      <c r="N191" s="148" t="s">
        <v>83</v>
      </c>
      <c r="O191" s="130" t="s">
        <v>95</v>
      </c>
      <c r="P191" s="27">
        <v>0</v>
      </c>
      <c r="Q191" s="27">
        <v>0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27"/>
      <c r="W191" s="27" t="s">
        <v>88</v>
      </c>
      <c r="X191" s="27">
        <v>39999</v>
      </c>
      <c r="Y191" s="14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27">
        <v>1</v>
      </c>
      <c r="AJ191" s="27"/>
      <c r="AK191" s="27">
        <v>1</v>
      </c>
      <c r="AL191" s="27">
        <v>1</v>
      </c>
      <c r="AM191" s="148" t="s">
        <v>83</v>
      </c>
      <c r="AN191" s="27">
        <v>1</v>
      </c>
      <c r="AO191" s="27">
        <v>1</v>
      </c>
      <c r="AP191" s="27">
        <v>1</v>
      </c>
    </row>
    <row r="192" spans="1:42">
      <c r="A192" s="127"/>
      <c r="B192" s="27" t="str">
        <f>物品!B192</f>
        <v>IS13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|cffffd24d强化饰品等级|n|r</v>
      </c>
      <c r="I192" s="27" t="str">
        <f>VLOOKUP(B192,物品!B:CV,99,FALSE)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2" s="129" t="str">
        <f t="shared" si="72"/>
        <v>|cffffd24d强化饰品等级|n|r</v>
      </c>
      <c r="K192" s="129" t="str">
        <f t="shared" si="73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2" s="27"/>
      <c r="M192" s="130" t="str">
        <f>VLOOKUP(LEFT(RIGHT(B192,5),4),物品!B:CU,20,FALSE)</f>
        <v>ReplaceableTextures\\CommandButtons\\BTNZ10.blp</v>
      </c>
      <c r="N192" s="148" t="s">
        <v>83</v>
      </c>
      <c r="O192" s="130" t="s">
        <v>95</v>
      </c>
      <c r="P192" s="27">
        <v>2</v>
      </c>
      <c r="Q192" s="27">
        <v>0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27"/>
      <c r="W192" s="27" t="s">
        <v>88</v>
      </c>
      <c r="X192" s="27">
        <v>0</v>
      </c>
      <c r="Y192" s="14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27">
        <v>1</v>
      </c>
      <c r="AJ192" s="27"/>
      <c r="AK192" s="27">
        <v>1</v>
      </c>
      <c r="AL192" s="27">
        <v>1</v>
      </c>
      <c r="AM192" s="148" t="s">
        <v>83</v>
      </c>
      <c r="AN192" s="27">
        <v>1</v>
      </c>
      <c r="AO192" s="27">
        <v>1</v>
      </c>
      <c r="AP192" s="27">
        <v>1</v>
      </c>
    </row>
    <row r="193" spans="1:42">
      <c r="A193" s="127"/>
      <c r="B193" s="27" t="str">
        <f>物品!B193</f>
        <v>IS14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|CffFFD24D强化药品等级|r</v>
      </c>
      <c r="I193" s="27" t="str">
        <f>VLOOKUP(B193,物品!B:CV,99,FALSE)</f>
        <v>|cffffcc00升级消耗：|r150+等级*150杀敌数|n|n|cff00ff7f最高升至10级|r</v>
      </c>
      <c r="J193" s="129" t="str">
        <f t="shared" ref="J193" si="86">H193</f>
        <v>|CffFFD24D强化药品等级|r</v>
      </c>
      <c r="K193" s="129" t="str">
        <f t="shared" ref="K193" si="87">I193</f>
        <v>|cffffcc00升级消耗：|r150+等级*150杀敌数|n|n|cff00ff7f最高升至10级|r</v>
      </c>
      <c r="L193" s="27"/>
      <c r="M193" s="130" t="str">
        <f>VLOOKUP(LEFT(RIGHT(B193,5),4),物品!B:CU,20,FALSE)</f>
        <v>ReplaceableTextures\\CommandButtons\\BTNAG06.blp</v>
      </c>
      <c r="N193" s="148" t="s">
        <v>83</v>
      </c>
      <c r="O193" s="130" t="s">
        <v>95</v>
      </c>
      <c r="P193" s="27">
        <v>0</v>
      </c>
      <c r="Q193" s="27">
        <v>1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27"/>
      <c r="W193" s="27" t="s">
        <v>88</v>
      </c>
      <c r="X193" s="27">
        <v>0</v>
      </c>
      <c r="Y193" s="14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27">
        <v>1</v>
      </c>
      <c r="AJ193" s="27"/>
      <c r="AK193" s="27">
        <v>1</v>
      </c>
      <c r="AL193" s="27">
        <v>1</v>
      </c>
      <c r="AM193" s="148" t="s">
        <v>83</v>
      </c>
      <c r="AN193" s="27">
        <v>1</v>
      </c>
      <c r="AO193" s="27">
        <v>1</v>
      </c>
      <c r="AP193" s="27">
        <v>1</v>
      </c>
    </row>
    <row r="194" spans="1:42">
      <c r="A194" s="127"/>
      <c r="B194" s="27" t="str">
        <f>物品!B194</f>
        <v>IB01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公众号礼包</v>
      </c>
      <c r="I194" s="27" t="str">
        <f>VLOOKUP(B194,物品!B:CV,99,FALSE)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4" s="129" t="str">
        <f t="shared" ref="J194:K198" si="88">H194</f>
        <v>公众号礼包</v>
      </c>
      <c r="K194" s="129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4" s="27"/>
      <c r="M194" s="130" t="str">
        <f>VLOOKUP(LEFT(RIGHT(B194,5),4),物品!B:CU,20,FALSE)</f>
        <v>ReplaceableTextures\\CommandButtons\\BTNIB01.blp</v>
      </c>
      <c r="N194" s="148" t="s">
        <v>83</v>
      </c>
      <c r="O194" s="130" t="s">
        <v>95</v>
      </c>
      <c r="P194" s="27">
        <v>0</v>
      </c>
      <c r="Q194" s="27">
        <v>0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27"/>
      <c r="W194" s="27" t="s">
        <v>88</v>
      </c>
      <c r="X194" s="27">
        <v>0</v>
      </c>
      <c r="Y194" s="14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27">
        <v>1</v>
      </c>
      <c r="AJ194" s="27"/>
      <c r="AK194" s="27">
        <v>1</v>
      </c>
      <c r="AL194" s="27">
        <v>1</v>
      </c>
      <c r="AM194" s="148" t="s">
        <v>83</v>
      </c>
      <c r="AN194" s="27">
        <v>1</v>
      </c>
      <c r="AO194" s="27">
        <v>1</v>
      </c>
      <c r="AP194" s="27">
        <v>1</v>
      </c>
    </row>
    <row r="195" spans="1:42">
      <c r="A195" s="127"/>
      <c r="B195" s="27" t="str">
        <f>物品!B195</f>
        <v>IB02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入群礼包</v>
      </c>
      <c r="I195" s="27" t="str">
        <f>VLOOKUP(B195,物品!B:CV,99,FALSE)</f>
        <v>加入《|cff00ffcc全民封神|r》官方QQ群，即可获得入群礼包码！|n|n输入礼包码即可获得：|n|cff00ff7f招魂幡Lv2|r</v>
      </c>
      <c r="J195" s="129" t="str">
        <f t="shared" si="88"/>
        <v>入群礼包</v>
      </c>
      <c r="K195" s="129" t="str">
        <f t="shared" si="88"/>
        <v>加入《|cff00ffcc全民封神|r》官方QQ群，即可获得入群礼包码！|n|n输入礼包码即可获得：|n|cff00ff7f招魂幡Lv2|r</v>
      </c>
      <c r="L195" s="27"/>
      <c r="M195" s="130" t="str">
        <f>VLOOKUP(LEFT(RIGHT(B195,5),4),物品!B:CU,20,FALSE)</f>
        <v>ReplaceableTextures\\CommandButtons\\BTNIB02.blp</v>
      </c>
      <c r="N195" s="148" t="s">
        <v>83</v>
      </c>
      <c r="O195" s="130" t="s">
        <v>95</v>
      </c>
      <c r="P195" s="27">
        <v>1</v>
      </c>
      <c r="Q195" s="27">
        <v>0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27"/>
      <c r="W195" s="27" t="s">
        <v>88</v>
      </c>
      <c r="X195" s="27">
        <v>0</v>
      </c>
      <c r="Y195" s="14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27">
        <v>1</v>
      </c>
      <c r="AJ195" s="27"/>
      <c r="AK195" s="27">
        <v>1</v>
      </c>
      <c r="AL195" s="27">
        <v>1</v>
      </c>
      <c r="AM195" s="148" t="s">
        <v>83</v>
      </c>
      <c r="AN195" s="27">
        <v>1</v>
      </c>
      <c r="AO195" s="27">
        <v>1</v>
      </c>
      <c r="AP195" s="27">
        <v>1</v>
      </c>
    </row>
    <row r="196" spans="1:42">
      <c r="A196" s="127"/>
      <c r="B196" s="27" t="str">
        <f>物品!B196</f>
        <v>IB03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拜年礼包</v>
      </c>
      <c r="I196" s="27" t="str">
        <f>VLOOKUP(B196,物品!B:CV,99,FALSE)</f>
        <v>|cff99ccff给与地图有效评论建议|r即可领取：|n|cffffff00杀敌生命+5+3*通行证等级|n杀敌业力+1|n|n|r|cff808080地图等级达到3级可领取|r</v>
      </c>
      <c r="J196" s="129" t="str">
        <f t="shared" si="88"/>
        <v>拜年礼包</v>
      </c>
      <c r="K196" s="129" t="str">
        <f t="shared" si="88"/>
        <v>|cff99ccff给与地图有效评论建议|r即可领取：|n|cffffff00杀敌生命+5+3*通行证等级|n杀敌业力+1|n|n|r|cff808080地图等级达到3级可领取|r</v>
      </c>
      <c r="L196" s="27"/>
      <c r="M196" s="130" t="str">
        <f>VLOOKUP(LEFT(RIGHT(B196,5),4),物品!B:CU,20,FALSE)</f>
        <v>ReplaceableTextures\\CommandButtons\\BTNIB03.blp</v>
      </c>
      <c r="N196" s="148" t="s">
        <v>83</v>
      </c>
      <c r="O196" s="130" t="s">
        <v>95</v>
      </c>
      <c r="P196" s="27">
        <v>2</v>
      </c>
      <c r="Q196" s="27">
        <v>0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27"/>
      <c r="W196" s="27" t="s">
        <v>88</v>
      </c>
      <c r="X196" s="27">
        <v>0</v>
      </c>
      <c r="Y196" s="14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27">
        <v>1</v>
      </c>
      <c r="AJ196" s="27"/>
      <c r="AK196" s="27">
        <v>1</v>
      </c>
      <c r="AL196" s="27">
        <v>1</v>
      </c>
      <c r="AM196" s="148" t="s">
        <v>83</v>
      </c>
      <c r="AN196" s="27">
        <v>1</v>
      </c>
      <c r="AO196" s="27">
        <v>1</v>
      </c>
      <c r="AP196" s="27">
        <v>1</v>
      </c>
    </row>
    <row r="197" spans="1:42">
      <c r="A197" s="127"/>
      <c r="B197" s="27" t="str">
        <f>物品!B197</f>
        <v>IB04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收藏礼包</v>
      </c>
      <c r="I197" s="27" t="str">
        <f>VLOOKUP(B197,物品!B:CV,99,FALSE)</f>
        <v>|cff99ccff房间大厅界面点击右上角《|r|cffcc99ff收藏|r|cff99ccff》后可领取该礼包。|n|n|r属性：|n|cffffcc33物理伤害+5%|n法术伤害+5%|r</v>
      </c>
      <c r="J197" s="129" t="str">
        <f t="shared" si="88"/>
        <v>收藏礼包</v>
      </c>
      <c r="K197" s="129" t="str">
        <f t="shared" si="88"/>
        <v>|cff99ccff房间大厅界面点击右上角《|r|cffcc99ff收藏|r|cff99ccff》后可领取该礼包。|n|n|r属性：|n|cffffcc33物理伤害+5%|n法术伤害+5%|r</v>
      </c>
      <c r="L197" s="27"/>
      <c r="M197" s="130" t="str">
        <f>VLOOKUP(LEFT(RIGHT(B197,5),4),物品!B:CU,20,FALSE)</f>
        <v>ReplaceableTextures\\CommandButtons\\BTNIB04.blp</v>
      </c>
      <c r="N197" s="148" t="s">
        <v>83</v>
      </c>
      <c r="O197" s="130" t="s">
        <v>95</v>
      </c>
      <c r="P197" s="27">
        <v>3</v>
      </c>
      <c r="Q197" s="27">
        <v>0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27"/>
      <c r="W197" s="27" t="s">
        <v>88</v>
      </c>
      <c r="X197" s="27">
        <v>0</v>
      </c>
      <c r="Y197" s="14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27">
        <v>1</v>
      </c>
      <c r="AJ197" s="27"/>
      <c r="AK197" s="27">
        <v>1</v>
      </c>
      <c r="AL197" s="27">
        <v>1</v>
      </c>
      <c r="AM197" s="148" t="s">
        <v>83</v>
      </c>
      <c r="AN197" s="27">
        <v>1</v>
      </c>
      <c r="AO197" s="27">
        <v>1</v>
      </c>
      <c r="AP197" s="27">
        <v>1</v>
      </c>
    </row>
    <row r="198" spans="1:42">
      <c r="A198" s="127"/>
      <c r="B198" s="27" t="str">
        <f>物品!B198</f>
        <v>IB05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重置版礼包</v>
      </c>
      <c r="I198" s="27" t="str">
        <f>VLOOKUP(B198,物品!B:CV,99,FALSE)</f>
        <v>|cff33ff00购买魔兽重制版可领取该礼包！|n|n|r属性：|n|cffffcc33金币+1000|n每秒攻击+2|n每秒业力+1|r</v>
      </c>
      <c r="J198" s="129" t="str">
        <f t="shared" si="88"/>
        <v>重置版礼包</v>
      </c>
      <c r="K198" s="129" t="str">
        <f t="shared" si="88"/>
        <v>|cff33ff00购买魔兽重制版可领取该礼包！|n|n|r属性：|n|cffffcc33金币+1000|n每秒攻击+2|n每秒业力+1|r</v>
      </c>
      <c r="L198" s="27"/>
      <c r="M198" s="130" t="str">
        <f>VLOOKUP(LEFT(RIGHT(B198,5),4),物品!B:CU,20,FALSE)</f>
        <v>ReplaceableTextures\\CommandButtons\\BTNIB05.blp</v>
      </c>
      <c r="N198" s="148" t="s">
        <v>83</v>
      </c>
      <c r="O198" s="130" t="s">
        <v>95</v>
      </c>
      <c r="P198" s="27">
        <v>0</v>
      </c>
      <c r="Q198" s="27">
        <v>1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27"/>
      <c r="W198" s="27" t="s">
        <v>88</v>
      </c>
      <c r="X198" s="27">
        <v>0</v>
      </c>
      <c r="Y198" s="14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27">
        <v>1</v>
      </c>
      <c r="AJ198" s="27"/>
      <c r="AK198" s="27">
        <v>1</v>
      </c>
      <c r="AL198" s="27">
        <v>1</v>
      </c>
      <c r="AM198" s="148" t="s">
        <v>83</v>
      </c>
      <c r="AN198" s="27">
        <v>1</v>
      </c>
      <c r="AO198" s="27">
        <v>1</v>
      </c>
      <c r="AP198" s="27">
        <v>1</v>
      </c>
    </row>
    <row r="199" spans="1:42">
      <c r="A199" s="127"/>
      <c r="B199" s="27" t="str">
        <f>物品!B199</f>
        <v>IB06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公会福利</v>
      </c>
      <c r="I199" s="27" t="str">
        <f>VLOOKUP(B199,物品!B:CV,99,FALSE)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9" s="129" t="str">
        <f t="shared" ref="J199:J203" si="89">H199</f>
        <v>公会福利</v>
      </c>
      <c r="K199" s="129" t="str">
        <f t="shared" ref="K199:K203" si="90">I199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9" s="27"/>
      <c r="M199" s="130" t="str">
        <f>VLOOKUP(LEFT(RIGHT(B199,5),4),物品!B:CU,20,FALSE)</f>
        <v>ReplaceableTextures\\CommandButtons\\BTNIB06.blp</v>
      </c>
      <c r="N199" s="148" t="s">
        <v>83</v>
      </c>
      <c r="O199" s="130" t="s">
        <v>95</v>
      </c>
      <c r="P199" s="27">
        <v>1</v>
      </c>
      <c r="Q199" s="27">
        <v>1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27"/>
      <c r="W199" s="27" t="s">
        <v>88</v>
      </c>
      <c r="X199" s="27">
        <v>0</v>
      </c>
      <c r="Y199" s="14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27">
        <v>1</v>
      </c>
      <c r="AJ199" s="27"/>
      <c r="AK199" s="27">
        <v>1</v>
      </c>
      <c r="AL199" s="27">
        <v>1</v>
      </c>
      <c r="AM199" s="148" t="s">
        <v>83</v>
      </c>
      <c r="AN199" s="27">
        <v>1</v>
      </c>
      <c r="AO199" s="27">
        <v>1</v>
      </c>
      <c r="AP199" s="27">
        <v>1</v>
      </c>
    </row>
    <row r="200" spans="1:42">
      <c r="A200" s="127"/>
      <c r="B200" s="27" t="str">
        <f>物品!B200</f>
        <v>IB07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星耀礼包</v>
      </c>
      <c r="I200" s="27" t="str">
        <f>VLOOKUP(B200,物品!B:CV,99,FALSE)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0" s="129" t="str">
        <f t="shared" si="89"/>
        <v>星耀礼包</v>
      </c>
      <c r="K200" s="129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0" s="27"/>
      <c r="M200" s="130" t="str">
        <f>VLOOKUP(LEFT(RIGHT(B200,5),4),物品!B:CU,20,FALSE)</f>
        <v>ReplaceableTextures\\CommandButtons\\BTNIB07.blp</v>
      </c>
      <c r="N200" s="148" t="s">
        <v>83</v>
      </c>
      <c r="O200" s="130" t="s">
        <v>95</v>
      </c>
      <c r="P200" s="27">
        <v>2</v>
      </c>
      <c r="Q200" s="27">
        <v>1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27"/>
      <c r="W200" s="27" t="s">
        <v>88</v>
      </c>
      <c r="X200" s="27">
        <v>0</v>
      </c>
      <c r="Y200" s="14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27">
        <v>1</v>
      </c>
      <c r="AJ200" s="27"/>
      <c r="AK200" s="27">
        <v>1</v>
      </c>
      <c r="AL200" s="27">
        <v>1</v>
      </c>
      <c r="AM200" s="148" t="s">
        <v>83</v>
      </c>
      <c r="AN200" s="27">
        <v>1</v>
      </c>
      <c r="AO200" s="27">
        <v>1</v>
      </c>
      <c r="AP200" s="27">
        <v>1</v>
      </c>
    </row>
    <row r="201" spans="1:42">
      <c r="A201" s="127"/>
      <c r="B201" s="27" t="str">
        <f>物品!B201</f>
        <v>IB08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魔芝RPG礼包</v>
      </c>
      <c r="I201" s="27" t="str">
        <f>VLOOKUP(B201,物品!B:CV,99,FALSE)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1" s="129" t="str">
        <f t="shared" si="89"/>
        <v>魔芝RPG礼包</v>
      </c>
      <c r="K201" s="129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1" s="27"/>
      <c r="M201" s="130" t="str">
        <f>VLOOKUP(LEFT(RIGHT(B201,5),4),物品!B:CU,20,FALSE)</f>
        <v>ReplaceableTextures\\CommandButtons\\BTNIB08.blp</v>
      </c>
      <c r="N201" s="148" t="s">
        <v>83</v>
      </c>
      <c r="O201" s="130" t="s">
        <v>95</v>
      </c>
      <c r="P201" s="27">
        <v>2</v>
      </c>
      <c r="Q201" s="27">
        <v>0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27"/>
      <c r="W201" s="27" t="s">
        <v>88</v>
      </c>
      <c r="X201" s="27">
        <v>0</v>
      </c>
      <c r="Y201" s="14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27">
        <v>1</v>
      </c>
      <c r="AJ201" s="27"/>
      <c r="AK201" s="27">
        <v>1</v>
      </c>
      <c r="AL201" s="27">
        <v>1</v>
      </c>
      <c r="AM201" s="148" t="s">
        <v>83</v>
      </c>
      <c r="AN201" s="27">
        <v>1</v>
      </c>
      <c r="AO201" s="27">
        <v>1</v>
      </c>
      <c r="AP201" s="27">
        <v>1</v>
      </c>
    </row>
    <row r="202" spans="1:42">
      <c r="A202" s="127"/>
      <c r="B202" s="27" t="str">
        <f>物品!B202</f>
        <v>IB09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老铁礼包</v>
      </c>
      <c r="I202" s="27">
        <f>VLOOKUP(B202,物品!B:CV,99,FALSE)</f>
        <v>0</v>
      </c>
      <c r="J202" s="129" t="str">
        <f t="shared" si="89"/>
        <v>老铁礼包</v>
      </c>
      <c r="K202" s="129">
        <f t="shared" si="90"/>
        <v>0</v>
      </c>
      <c r="L202" s="27"/>
      <c r="M202" s="130" t="str">
        <f>VLOOKUP(LEFT(RIGHT(B202,5),4),物品!B:CU,20,FALSE)</f>
        <v>ReplaceableTextures\\CommandButtons\\BTNIB09.blp</v>
      </c>
      <c r="N202" s="148" t="s">
        <v>83</v>
      </c>
      <c r="O202" s="130" t="s">
        <v>95</v>
      </c>
      <c r="P202" s="27">
        <v>0</v>
      </c>
      <c r="Q202" s="27">
        <v>0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27"/>
      <c r="W202" s="27" t="s">
        <v>88</v>
      </c>
      <c r="X202" s="27">
        <v>0</v>
      </c>
      <c r="Y202" s="14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27">
        <v>1</v>
      </c>
      <c r="AJ202" s="27"/>
      <c r="AK202" s="27">
        <v>1</v>
      </c>
      <c r="AL202" s="27">
        <v>1</v>
      </c>
      <c r="AM202" s="148" t="s">
        <v>83</v>
      </c>
      <c r="AN202" s="27">
        <v>1</v>
      </c>
      <c r="AO202" s="27">
        <v>1</v>
      </c>
      <c r="AP202" s="27">
        <v>1</v>
      </c>
    </row>
    <row r="203" spans="1:42">
      <c r="A203" s="127"/>
      <c r="B203" s="27" t="str">
        <f>物品!B203</f>
        <v>IB51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已领取公众号礼包</v>
      </c>
      <c r="I203" s="27" t="str">
        <f>VLOOKUP(B203,物品!B:CV,99,FALSE)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3" s="129" t="str">
        <f t="shared" si="89"/>
        <v>已领取公众号礼包</v>
      </c>
      <c r="K203" s="129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3" s="27"/>
      <c r="M203" s="130" t="str">
        <f>VLOOKUP(LEFT(RIGHT(B203,5),4),物品!B:CU,20,FALSE)</f>
        <v>ReplaceableTextures\\commandButtons\\BTNLBUI01.blp</v>
      </c>
      <c r="N203" s="148" t="s">
        <v>83</v>
      </c>
      <c r="O203" s="130" t="s">
        <v>95</v>
      </c>
      <c r="P203" s="27">
        <v>0</v>
      </c>
      <c r="Q203" s="27">
        <v>0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27"/>
      <c r="W203" s="27" t="s">
        <v>88</v>
      </c>
      <c r="X203" s="27">
        <v>0</v>
      </c>
      <c r="Y203" s="148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27">
        <v>1</v>
      </c>
      <c r="AJ203" s="27"/>
      <c r="AK203" s="27">
        <v>1</v>
      </c>
      <c r="AL203" s="27">
        <v>1</v>
      </c>
      <c r="AM203" s="148" t="s">
        <v>83</v>
      </c>
      <c r="AN203" s="27">
        <v>1</v>
      </c>
      <c r="AO203" s="27">
        <v>1</v>
      </c>
      <c r="AP203" s="27">
        <v>1</v>
      </c>
    </row>
    <row r="204" spans="1:42">
      <c r="A204" s="127"/>
      <c r="B204" s="27" t="str">
        <f>物品!B204</f>
        <v>IB52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已领取入群礼包</v>
      </c>
      <c r="I204" s="27" t="str">
        <f>VLOOKUP(B204,物品!B:CV,99,FALSE)</f>
        <v>加入《|cff00ffcc全民封神|r》官方QQ群，即可获得入群礼包码！|n|n输入礼包码即可获得：|n|cff00ff7f招魂幡Lv2|r</v>
      </c>
      <c r="J204" s="129" t="str">
        <f t="shared" ref="J204:J215" si="91">H204</f>
        <v>已领取入群礼包</v>
      </c>
      <c r="K204" s="129" t="str">
        <f t="shared" ref="K204:K215" si="92">I204</f>
        <v>加入《|cff00ffcc全民封神|r》官方QQ群，即可获得入群礼包码！|n|n输入礼包码即可获得：|n|cff00ff7f招魂幡Lv2|r</v>
      </c>
      <c r="L204" s="27"/>
      <c r="M204" s="130" t="str">
        <f>VLOOKUP(LEFT(RIGHT(B204,5),4),物品!B:CU,20,FALSE)</f>
        <v>ReplaceableTextures\\commandButtons\\BTNLBUI01.blp</v>
      </c>
      <c r="N204" s="148" t="s">
        <v>83</v>
      </c>
      <c r="O204" s="130" t="s">
        <v>95</v>
      </c>
      <c r="P204" s="27">
        <v>1</v>
      </c>
      <c r="Q204" s="27">
        <v>0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27"/>
      <c r="W204" s="27" t="s">
        <v>88</v>
      </c>
      <c r="X204" s="27">
        <v>0</v>
      </c>
      <c r="Y204" s="148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27">
        <v>1</v>
      </c>
      <c r="AJ204" s="27"/>
      <c r="AK204" s="27">
        <v>1</v>
      </c>
      <c r="AL204" s="27">
        <v>1</v>
      </c>
      <c r="AM204" s="148" t="s">
        <v>83</v>
      </c>
      <c r="AN204" s="27">
        <v>1</v>
      </c>
      <c r="AO204" s="27">
        <v>1</v>
      </c>
      <c r="AP204" s="27">
        <v>1</v>
      </c>
    </row>
    <row r="205" spans="1:42">
      <c r="A205" s="127"/>
      <c r="B205" s="27" t="str">
        <f>物品!B205</f>
        <v>IB53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已领取拜年礼包</v>
      </c>
      <c r="I205" s="27" t="str">
        <f>VLOOKUP(B205,物品!B:CV,99,FALSE)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5" s="129" t="str">
        <f t="shared" si="91"/>
        <v>已领取拜年礼包</v>
      </c>
      <c r="K205" s="129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5" s="27"/>
      <c r="M205" s="130" t="str">
        <f>VLOOKUP(LEFT(RIGHT(B205,5),4),物品!B:CU,20,FALSE)</f>
        <v>ReplaceableTextures\\commandButtons\\BTNLBUI01.blp</v>
      </c>
      <c r="N205" s="148" t="s">
        <v>83</v>
      </c>
      <c r="O205" s="130" t="s">
        <v>95</v>
      </c>
      <c r="P205" s="27">
        <v>2</v>
      </c>
      <c r="Q205" s="27">
        <v>0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27"/>
      <c r="W205" s="27" t="s">
        <v>88</v>
      </c>
      <c r="X205" s="27">
        <v>0</v>
      </c>
      <c r="Y205" s="148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27">
        <v>1</v>
      </c>
      <c r="AJ205" s="27"/>
      <c r="AK205" s="27">
        <v>1</v>
      </c>
      <c r="AL205" s="27">
        <v>1</v>
      </c>
      <c r="AM205" s="148" t="s">
        <v>83</v>
      </c>
      <c r="AN205" s="27">
        <v>1</v>
      </c>
      <c r="AO205" s="27">
        <v>1</v>
      </c>
      <c r="AP205" s="27">
        <v>1</v>
      </c>
    </row>
    <row r="206" spans="1:42">
      <c r="A206" s="127"/>
      <c r="B206" s="27" t="str">
        <f>物品!B206</f>
        <v>IB54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已领取收藏礼包</v>
      </c>
      <c r="I206" s="27" t="str">
        <f>VLOOKUP(B206,物品!B:CV,99,FALSE)</f>
        <v>|cff99ccff房间大厅界面点击右上角《|r|cffcc99ff收藏|r|cff99ccff》后可领取该礼包。|n|n|r属性：|n|cffffcc33物理伤害+5%|n法术伤害+5%|r</v>
      </c>
      <c r="J206" s="129" t="str">
        <f t="shared" si="91"/>
        <v>已领取收藏礼包</v>
      </c>
      <c r="K206" s="129" t="str">
        <f t="shared" si="92"/>
        <v>|cff99ccff房间大厅界面点击右上角《|r|cffcc99ff收藏|r|cff99ccff》后可领取该礼包。|n|n|r属性：|n|cffffcc33物理伤害+5%|n法术伤害+5%|r</v>
      </c>
      <c r="L206" s="27"/>
      <c r="M206" s="130" t="str">
        <f>VLOOKUP(LEFT(RIGHT(B206,5),4),物品!B:CU,20,FALSE)</f>
        <v>ReplaceableTextures\\commandButtons\\BTNLBUI01.blp</v>
      </c>
      <c r="N206" s="148" t="s">
        <v>83</v>
      </c>
      <c r="O206" s="130" t="s">
        <v>95</v>
      </c>
      <c r="P206" s="27">
        <v>3</v>
      </c>
      <c r="Q206" s="27">
        <v>0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27"/>
      <c r="W206" s="27" t="s">
        <v>88</v>
      </c>
      <c r="X206" s="27">
        <v>0</v>
      </c>
      <c r="Y206" s="148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27">
        <v>1</v>
      </c>
      <c r="AJ206" s="27"/>
      <c r="AK206" s="27">
        <v>1</v>
      </c>
      <c r="AL206" s="27">
        <v>1</v>
      </c>
      <c r="AM206" s="148" t="s">
        <v>83</v>
      </c>
      <c r="AN206" s="27">
        <v>1</v>
      </c>
      <c r="AO206" s="27">
        <v>1</v>
      </c>
      <c r="AP206" s="27">
        <v>1</v>
      </c>
    </row>
    <row r="207" spans="1:42">
      <c r="A207" s="127"/>
      <c r="B207" s="27" t="str">
        <f>物品!B207</f>
        <v>IB55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已领取重置版礼包</v>
      </c>
      <c r="I207" s="27" t="str">
        <f>VLOOKUP(B207,物品!B:CV,99,FALSE)</f>
        <v>|cff33ff00购买魔兽重制版可领取该礼包！|n|n|r属性：|n|cffffcc33金币+1000|n每秒攻击+2|n每秒业力+1|r</v>
      </c>
      <c r="J207" s="129" t="str">
        <f t="shared" si="91"/>
        <v>已领取重置版礼包</v>
      </c>
      <c r="K207" s="129" t="str">
        <f t="shared" si="92"/>
        <v>|cff33ff00购买魔兽重制版可领取该礼包！|n|n|r属性：|n|cffffcc33金币+1000|n每秒攻击+2|n每秒业力+1|r</v>
      </c>
      <c r="L207" s="27"/>
      <c r="M207" s="130" t="str">
        <f>VLOOKUP(LEFT(RIGHT(B207,5),4),物品!B:CU,20,FALSE)</f>
        <v>ReplaceableTextures\\commandButtons\\BTNLBUI01.blp</v>
      </c>
      <c r="N207" s="148" t="s">
        <v>83</v>
      </c>
      <c r="O207" s="130" t="s">
        <v>95</v>
      </c>
      <c r="P207" s="27">
        <v>0</v>
      </c>
      <c r="Q207" s="27">
        <v>1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27"/>
      <c r="W207" s="27" t="s">
        <v>88</v>
      </c>
      <c r="X207" s="27">
        <v>0</v>
      </c>
      <c r="Y207" s="148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27">
        <v>1</v>
      </c>
      <c r="AJ207" s="27"/>
      <c r="AK207" s="27">
        <v>1</v>
      </c>
      <c r="AL207" s="27">
        <v>1</v>
      </c>
      <c r="AM207" s="148" t="s">
        <v>83</v>
      </c>
      <c r="AN207" s="27">
        <v>1</v>
      </c>
      <c r="AO207" s="27">
        <v>1</v>
      </c>
      <c r="AP207" s="27">
        <v>1</v>
      </c>
    </row>
    <row r="208" spans="1:42">
      <c r="A208" s="127"/>
      <c r="B208" s="27" t="str">
        <f>物品!B208</f>
        <v>IB56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已领取公会福利</v>
      </c>
      <c r="I208" s="27" t="str">
        <f>VLOOKUP(B208,物品!B:CV,99,FALSE)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8" s="129" t="str">
        <f t="shared" si="91"/>
        <v>已领取公会福利</v>
      </c>
      <c r="K208" s="129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8" s="27"/>
      <c r="M208" s="130" t="str">
        <f>VLOOKUP(LEFT(RIGHT(B208,5),4),物品!B:CU,20,FALSE)</f>
        <v>ReplaceableTextures\\commandButtons\\BTNLBUI01.blp</v>
      </c>
      <c r="N208" s="148" t="s">
        <v>83</v>
      </c>
      <c r="O208" s="130" t="s">
        <v>95</v>
      </c>
      <c r="P208" s="27">
        <v>1</v>
      </c>
      <c r="Q208" s="27">
        <v>1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27"/>
      <c r="W208" s="27" t="s">
        <v>88</v>
      </c>
      <c r="X208" s="27">
        <v>0</v>
      </c>
      <c r="Y208" s="148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27">
        <v>1</v>
      </c>
      <c r="AJ208" s="27"/>
      <c r="AK208" s="27">
        <v>1</v>
      </c>
      <c r="AL208" s="27">
        <v>1</v>
      </c>
      <c r="AM208" s="148" t="s">
        <v>83</v>
      </c>
      <c r="AN208" s="27">
        <v>1</v>
      </c>
      <c r="AO208" s="27">
        <v>1</v>
      </c>
      <c r="AP208" s="27">
        <v>1</v>
      </c>
    </row>
    <row r="209" spans="1:42">
      <c r="A209" s="127"/>
      <c r="B209" s="27" t="str">
        <f>物品!B209</f>
        <v>IB57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已领取星耀礼包</v>
      </c>
      <c r="I209" s="27" t="str">
        <f>VLOOKUP(B209,物品!B:CV,99,FALSE)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9" s="129" t="str">
        <f t="shared" si="91"/>
        <v>已领取星耀礼包</v>
      </c>
      <c r="K209" s="129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9" s="27"/>
      <c r="M209" s="130" t="str">
        <f>VLOOKUP(LEFT(RIGHT(B209,5),4),物品!B:CU,20,FALSE)</f>
        <v>ReplaceableTextures\\commandButtons\\BTNLBUI01.blp</v>
      </c>
      <c r="N209" s="148" t="s">
        <v>83</v>
      </c>
      <c r="O209" s="130" t="s">
        <v>95</v>
      </c>
      <c r="P209" s="27">
        <v>2</v>
      </c>
      <c r="Q209" s="27">
        <v>1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27"/>
      <c r="W209" s="27" t="s">
        <v>88</v>
      </c>
      <c r="X209" s="27">
        <v>0</v>
      </c>
      <c r="Y209" s="148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27">
        <v>1</v>
      </c>
      <c r="AJ209" s="27"/>
      <c r="AK209" s="27">
        <v>1</v>
      </c>
      <c r="AL209" s="27">
        <v>1</v>
      </c>
      <c r="AM209" s="148" t="s">
        <v>83</v>
      </c>
      <c r="AN209" s="27">
        <v>1</v>
      </c>
      <c r="AO209" s="27">
        <v>1</v>
      </c>
      <c r="AP209" s="27">
        <v>1</v>
      </c>
    </row>
    <row r="210" spans="1:42">
      <c r="A210" s="127"/>
      <c r="B210" s="27" t="str">
        <f>物品!B210</f>
        <v>IB58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已领取魔芝RPG礼包</v>
      </c>
      <c r="I210" s="27" t="str">
        <f>VLOOKUP(B210,物品!B:CV,99,FALSE)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0" s="129" t="str">
        <f t="shared" si="91"/>
        <v>已领取魔芝RPG礼包</v>
      </c>
      <c r="K210" s="129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0" s="27"/>
      <c r="M210" s="130" t="str">
        <f>VLOOKUP(LEFT(RIGHT(B210,5),4),物品!B:CU,20,FALSE)</f>
        <v>ReplaceableTextures\\commandButtons\\BTNLBUI01.blp</v>
      </c>
      <c r="N210" s="148" t="s">
        <v>83</v>
      </c>
      <c r="O210" s="130" t="s">
        <v>95</v>
      </c>
      <c r="P210" s="27">
        <v>2</v>
      </c>
      <c r="Q210" s="27">
        <v>0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27"/>
      <c r="W210" s="27" t="s">
        <v>88</v>
      </c>
      <c r="X210" s="27">
        <v>0</v>
      </c>
      <c r="Y210" s="148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27">
        <v>1</v>
      </c>
      <c r="AJ210" s="27"/>
      <c r="AK210" s="27">
        <v>1</v>
      </c>
      <c r="AL210" s="27">
        <v>1</v>
      </c>
      <c r="AM210" s="148" t="s">
        <v>83</v>
      </c>
      <c r="AN210" s="27">
        <v>1</v>
      </c>
      <c r="AO210" s="27">
        <v>1</v>
      </c>
      <c r="AP210" s="27">
        <v>1</v>
      </c>
    </row>
    <row r="211" spans="1:42">
      <c r="A211" s="127"/>
      <c r="B211" s="27" t="str">
        <f>物品!B211</f>
        <v>IB59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已领取老铁礼包</v>
      </c>
      <c r="I211" s="27" t="str">
        <f>VLOOKUP(B211,物品!B:CV,99,FALSE)</f>
        <v>已领取老铁礼包</v>
      </c>
      <c r="J211" s="129" t="str">
        <f t="shared" si="91"/>
        <v>已领取老铁礼包</v>
      </c>
      <c r="K211" s="129" t="str">
        <f t="shared" si="92"/>
        <v>已领取老铁礼包</v>
      </c>
      <c r="L211" s="27"/>
      <c r="M211" s="130" t="str">
        <f>VLOOKUP(LEFT(RIGHT(B211,5),4),物品!B:CU,20,FALSE)</f>
        <v>ReplaceableTextures\\commandButtons\\BTNLBUI01.blp</v>
      </c>
      <c r="N211" s="148" t="s">
        <v>83</v>
      </c>
      <c r="O211" s="130" t="s">
        <v>95</v>
      </c>
      <c r="P211" s="27">
        <v>0</v>
      </c>
      <c r="Q211" s="27">
        <v>0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27"/>
      <c r="W211" s="27" t="s">
        <v>88</v>
      </c>
      <c r="X211" s="27">
        <v>0</v>
      </c>
      <c r="Y211" s="148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27">
        <v>1</v>
      </c>
      <c r="AJ211" s="27"/>
      <c r="AK211" s="27">
        <v>1</v>
      </c>
      <c r="AL211" s="27">
        <v>1</v>
      </c>
      <c r="AM211" s="148" t="s">
        <v>83</v>
      </c>
      <c r="AN211" s="27">
        <v>1</v>
      </c>
      <c r="AO211" s="27">
        <v>1</v>
      </c>
      <c r="AP211" s="27">
        <v>1</v>
      </c>
    </row>
    <row r="212" spans="1:42">
      <c r="A212" s="127"/>
      <c r="B212" s="27" t="str">
        <f>物品!B212</f>
        <v>IY1C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天乾地坤</v>
      </c>
      <c r="I212" s="27" t="str">
        <f>VLOOKUP(B212,物品!B:CV,99,FALSE)</f>
        <v>代码生成</v>
      </c>
      <c r="J212" s="129" t="str">
        <f t="shared" si="91"/>
        <v>天乾地坤</v>
      </c>
      <c r="K212" s="129" t="str">
        <f t="shared" si="92"/>
        <v>代码生成</v>
      </c>
      <c r="L212" s="27"/>
      <c r="M212" s="130" t="str">
        <f>VLOOKUP(LEFT(RIGHT(B212,5),4),物品!B:CU,20,FALSE)</f>
        <v>ReplaceableTextures\\CommandButtons\\BTNRY1C.blp</v>
      </c>
      <c r="N212" s="148" t="s">
        <v>83</v>
      </c>
      <c r="O212" s="130" t="s">
        <v>95</v>
      </c>
      <c r="P212" s="27">
        <v>0</v>
      </c>
      <c r="Q212" s="27">
        <v>0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27"/>
      <c r="W212" s="27" t="s">
        <v>88</v>
      </c>
      <c r="X212" s="27">
        <v>0</v>
      </c>
      <c r="Y212" s="14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27">
        <v>1</v>
      </c>
      <c r="AJ212" s="27"/>
      <c r="AK212" s="27">
        <v>1</v>
      </c>
      <c r="AL212" s="27">
        <v>1</v>
      </c>
      <c r="AM212" s="148" t="s">
        <v>83</v>
      </c>
      <c r="AN212" s="27">
        <v>1</v>
      </c>
      <c r="AO212" s="27">
        <v>1</v>
      </c>
      <c r="AP212" s="27">
        <v>1</v>
      </c>
    </row>
    <row r="213" spans="1:42">
      <c r="A213" s="127"/>
      <c r="B213" s="27" t="str">
        <f>物品!B213</f>
        <v>IY2C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五彩凰翼</v>
      </c>
      <c r="I213" s="27" t="str">
        <f>VLOOKUP(B213,物品!B:CV,99,FALSE)</f>
        <v>代码生成</v>
      </c>
      <c r="J213" s="129" t="str">
        <f t="shared" si="91"/>
        <v>五彩凰翼</v>
      </c>
      <c r="K213" s="129" t="str">
        <f t="shared" si="92"/>
        <v>代码生成</v>
      </c>
      <c r="L213" s="27"/>
      <c r="M213" s="130" t="str">
        <f>VLOOKUP(LEFT(RIGHT(B213,5),4),物品!B:CU,20,FALSE)</f>
        <v>ReplaceableTextures\\CommandButtons\\BTNRY2C.blp</v>
      </c>
      <c r="N213" s="148" t="s">
        <v>83</v>
      </c>
      <c r="O213" s="130" t="s">
        <v>95</v>
      </c>
      <c r="P213" s="27">
        <v>0</v>
      </c>
      <c r="Q213" s="27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27"/>
      <c r="W213" s="27" t="s">
        <v>88</v>
      </c>
      <c r="X213" s="27">
        <v>0</v>
      </c>
      <c r="Y213" s="14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27">
        <v>1</v>
      </c>
      <c r="AJ213" s="27"/>
      <c r="AK213" s="27">
        <v>1</v>
      </c>
      <c r="AL213" s="27">
        <v>1</v>
      </c>
      <c r="AM213" s="148" t="s">
        <v>83</v>
      </c>
      <c r="AN213" s="27">
        <v>1</v>
      </c>
      <c r="AO213" s="27">
        <v>1</v>
      </c>
      <c r="AP213" s="27">
        <v>1</v>
      </c>
    </row>
    <row r="214" spans="1:42">
      <c r="A214" s="127"/>
      <c r="B214" s="27" t="str">
        <f>物品!B214</f>
        <v>IY3C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崩鸣刃</v>
      </c>
      <c r="I214" s="27" t="str">
        <f>VLOOKUP(B214,物品!B:CV,99,FALSE)</f>
        <v>代码生成</v>
      </c>
      <c r="J214" s="129" t="str">
        <f t="shared" si="91"/>
        <v>崩鸣刃</v>
      </c>
      <c r="K214" s="129" t="str">
        <f t="shared" si="92"/>
        <v>代码生成</v>
      </c>
      <c r="L214" s="27"/>
      <c r="M214" s="130" t="str">
        <f>VLOOKUP(LEFT(RIGHT(B214,5),4),物品!B:CU,20,FALSE)</f>
        <v>ReplaceableTextures\\CommandButtons\\BTNRY3C.blp</v>
      </c>
      <c r="N214" s="148" t="s">
        <v>83</v>
      </c>
      <c r="O214" s="130" t="s">
        <v>95</v>
      </c>
      <c r="P214" s="27">
        <v>0</v>
      </c>
      <c r="Q214" s="27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27"/>
      <c r="W214" s="27" t="s">
        <v>88</v>
      </c>
      <c r="X214" s="27">
        <v>0</v>
      </c>
      <c r="Y214" s="14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27">
        <v>1</v>
      </c>
      <c r="AJ214" s="27"/>
      <c r="AK214" s="27">
        <v>1</v>
      </c>
      <c r="AL214" s="27">
        <v>1</v>
      </c>
      <c r="AM214" s="148" t="s">
        <v>83</v>
      </c>
      <c r="AN214" s="27">
        <v>1</v>
      </c>
      <c r="AO214" s="27">
        <v>1</v>
      </c>
      <c r="AP214" s="27">
        <v>1</v>
      </c>
    </row>
    <row r="215" spans="1:42">
      <c r="A215" s="127"/>
      <c r="B215" s="27" t="str">
        <f>物品!B215</f>
        <v>IY4C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俯瞰寰宇</v>
      </c>
      <c r="I215" s="27" t="str">
        <f>VLOOKUP(B215,物品!B:CV,99,FALSE)</f>
        <v>代码生成</v>
      </c>
      <c r="J215" s="129" t="str">
        <f t="shared" si="91"/>
        <v>俯瞰寰宇</v>
      </c>
      <c r="K215" s="129" t="str">
        <f t="shared" si="92"/>
        <v>代码生成</v>
      </c>
      <c r="L215" s="27"/>
      <c r="M215" s="130" t="str">
        <f>VLOOKUP(LEFT(RIGHT(B215,5),4),物品!B:CU,20,FALSE)</f>
        <v>ReplaceableTextures\\CommandButtons\\BTNRY4C.blp</v>
      </c>
      <c r="N215" s="148" t="s">
        <v>83</v>
      </c>
      <c r="O215" s="130" t="s">
        <v>95</v>
      </c>
      <c r="P215" s="27">
        <v>0</v>
      </c>
      <c r="Q215" s="27">
        <v>0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27"/>
      <c r="W215" s="27" t="s">
        <v>88</v>
      </c>
      <c r="X215" s="27">
        <v>0</v>
      </c>
      <c r="Y215" s="14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27">
        <v>1</v>
      </c>
      <c r="AJ215" s="27"/>
      <c r="AK215" s="27">
        <v>1</v>
      </c>
      <c r="AL215" s="27">
        <v>1</v>
      </c>
      <c r="AM215" s="148" t="s">
        <v>83</v>
      </c>
      <c r="AN215" s="27">
        <v>1</v>
      </c>
      <c r="AO215" s="27">
        <v>1</v>
      </c>
      <c r="AP215" s="27">
        <v>1</v>
      </c>
    </row>
    <row r="216" spans="1:42">
      <c r="A216" s="127"/>
      <c r="B216" s="27" t="str">
        <f>物品!B216</f>
        <v>IF01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29" t="str">
        <f t="shared" ref="J216" si="93">H216</f>
        <v>附魔</v>
      </c>
      <c r="K216" s="129">
        <f t="shared" ref="K216" si="94">I216</f>
        <v>0</v>
      </c>
      <c r="L216" s="27"/>
      <c r="M216" s="130">
        <f>VLOOKUP(LEFT(RIGHT(B216,5),4),物品!B:CU,20,FALSE)</f>
        <v>0</v>
      </c>
      <c r="N216" s="148" t="s">
        <v>83</v>
      </c>
      <c r="O216" s="130" t="s">
        <v>95</v>
      </c>
      <c r="P216" s="27">
        <v>0</v>
      </c>
      <c r="Q216" s="27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27"/>
      <c r="W216" s="27" t="s">
        <v>88</v>
      </c>
      <c r="X216" s="27">
        <v>0</v>
      </c>
      <c r="Y216" s="148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27">
        <v>1</v>
      </c>
      <c r="AJ216" s="27"/>
      <c r="AK216" s="27">
        <v>1</v>
      </c>
      <c r="AL216" s="27">
        <v>1</v>
      </c>
      <c r="AM216" s="148" t="s">
        <v>83</v>
      </c>
      <c r="AN216" s="27">
        <v>1</v>
      </c>
      <c r="AO216" s="27">
        <v>1</v>
      </c>
      <c r="AP216" s="27">
        <v>1</v>
      </c>
    </row>
    <row r="217" spans="1:42">
      <c r="A217" s="127"/>
      <c r="B217" s="27" t="str">
        <f>物品!B217</f>
        <v>IF02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29" t="str">
        <f t="shared" ref="J217:J242" si="95">H217</f>
        <v>附魔</v>
      </c>
      <c r="K217" s="129">
        <f t="shared" ref="K217:K242" si="96">I217</f>
        <v>0</v>
      </c>
      <c r="L217" s="27"/>
      <c r="M217" s="130">
        <f>VLOOKUP(LEFT(RIGHT(B217,5),4),物品!B:CU,20,FALSE)</f>
        <v>0</v>
      </c>
      <c r="N217" s="148" t="s">
        <v>83</v>
      </c>
      <c r="O217" s="130" t="s">
        <v>95</v>
      </c>
      <c r="P217" s="27">
        <v>0</v>
      </c>
      <c r="Q217" s="27">
        <v>0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27"/>
      <c r="W217" s="27" t="s">
        <v>88</v>
      </c>
      <c r="X217" s="27">
        <v>0</v>
      </c>
      <c r="Y217" s="148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27">
        <v>1</v>
      </c>
      <c r="AJ217" s="27"/>
      <c r="AK217" s="27">
        <v>1</v>
      </c>
      <c r="AL217" s="27">
        <v>1</v>
      </c>
      <c r="AM217" s="148" t="s">
        <v>83</v>
      </c>
      <c r="AN217" s="27">
        <v>1</v>
      </c>
      <c r="AO217" s="27">
        <v>1</v>
      </c>
      <c r="AP217" s="27">
        <v>1</v>
      </c>
    </row>
    <row r="218" spans="1:42">
      <c r="A218" s="127"/>
      <c r="B218" s="27" t="str">
        <f>物品!B218</f>
        <v>IF03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29" t="str">
        <f t="shared" si="95"/>
        <v>附魔</v>
      </c>
      <c r="K218" s="129">
        <f t="shared" si="96"/>
        <v>0</v>
      </c>
      <c r="L218" s="27"/>
      <c r="M218" s="130">
        <f>VLOOKUP(LEFT(RIGHT(B218,5),4),物品!B:CU,20,FALSE)</f>
        <v>0</v>
      </c>
      <c r="N218" s="148" t="s">
        <v>83</v>
      </c>
      <c r="O218" s="130" t="s">
        <v>95</v>
      </c>
      <c r="P218" s="27">
        <v>0</v>
      </c>
      <c r="Q218" s="27">
        <v>0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27"/>
      <c r="W218" s="27" t="s">
        <v>88</v>
      </c>
      <c r="X218" s="27">
        <v>0</v>
      </c>
      <c r="Y218" s="148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27">
        <v>1</v>
      </c>
      <c r="AJ218" s="27"/>
      <c r="AK218" s="27">
        <v>1</v>
      </c>
      <c r="AL218" s="27">
        <v>1</v>
      </c>
      <c r="AM218" s="148" t="s">
        <v>83</v>
      </c>
      <c r="AN218" s="27">
        <v>1</v>
      </c>
      <c r="AO218" s="27">
        <v>1</v>
      </c>
      <c r="AP218" s="27">
        <v>1</v>
      </c>
    </row>
    <row r="219" spans="1:42">
      <c r="A219" s="127"/>
      <c r="B219" s="27" t="str">
        <f>物品!B219</f>
        <v>IF04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29" t="str">
        <f t="shared" si="95"/>
        <v>附魔</v>
      </c>
      <c r="K219" s="129">
        <f t="shared" si="96"/>
        <v>0</v>
      </c>
      <c r="L219" s="27"/>
      <c r="M219" s="130">
        <f>VLOOKUP(LEFT(RIGHT(B219,5),4),物品!B:CU,20,FALSE)</f>
        <v>0</v>
      </c>
      <c r="N219" s="148" t="s">
        <v>83</v>
      </c>
      <c r="O219" s="130" t="s">
        <v>95</v>
      </c>
      <c r="P219" s="27">
        <v>0</v>
      </c>
      <c r="Q219" s="27">
        <v>0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27"/>
      <c r="W219" s="27" t="s">
        <v>88</v>
      </c>
      <c r="X219" s="27">
        <v>0</v>
      </c>
      <c r="Y219" s="148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27">
        <v>1</v>
      </c>
      <c r="AJ219" s="27"/>
      <c r="AK219" s="27">
        <v>1</v>
      </c>
      <c r="AL219" s="27">
        <v>1</v>
      </c>
      <c r="AM219" s="148" t="s">
        <v>83</v>
      </c>
      <c r="AN219" s="27">
        <v>1</v>
      </c>
      <c r="AO219" s="27">
        <v>1</v>
      </c>
      <c r="AP219" s="27">
        <v>1</v>
      </c>
    </row>
    <row r="220" spans="1:42">
      <c r="A220" s="127"/>
      <c r="B220" s="27" t="str">
        <f>物品!B220</f>
        <v>IF05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29" t="str">
        <f t="shared" si="95"/>
        <v>附魔</v>
      </c>
      <c r="K220" s="129">
        <f t="shared" si="96"/>
        <v>0</v>
      </c>
      <c r="L220" s="27"/>
      <c r="M220" s="130">
        <f>VLOOKUP(LEFT(RIGHT(B220,5),4),物品!B:CU,20,FALSE)</f>
        <v>0</v>
      </c>
      <c r="N220" s="148" t="s">
        <v>83</v>
      </c>
      <c r="O220" s="130" t="s">
        <v>95</v>
      </c>
      <c r="P220" s="27">
        <v>0</v>
      </c>
      <c r="Q220" s="27">
        <v>0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27"/>
      <c r="W220" s="27" t="s">
        <v>88</v>
      </c>
      <c r="X220" s="27">
        <v>0</v>
      </c>
      <c r="Y220" s="148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27">
        <v>1</v>
      </c>
      <c r="AJ220" s="27"/>
      <c r="AK220" s="27">
        <v>1</v>
      </c>
      <c r="AL220" s="27">
        <v>1</v>
      </c>
      <c r="AM220" s="148" t="s">
        <v>83</v>
      </c>
      <c r="AN220" s="27">
        <v>1</v>
      </c>
      <c r="AO220" s="27">
        <v>1</v>
      </c>
      <c r="AP220" s="27">
        <v>1</v>
      </c>
    </row>
    <row r="221" spans="1:42">
      <c r="A221" s="127"/>
      <c r="B221" s="27" t="str">
        <f>物品!B221</f>
        <v>IF06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29" t="str">
        <f t="shared" si="95"/>
        <v>附魔</v>
      </c>
      <c r="K221" s="129">
        <f t="shared" si="96"/>
        <v>0</v>
      </c>
      <c r="L221" s="27"/>
      <c r="M221" s="130">
        <f>VLOOKUP(LEFT(RIGHT(B221,5),4),物品!B:CU,20,FALSE)</f>
        <v>0</v>
      </c>
      <c r="N221" s="148" t="s">
        <v>83</v>
      </c>
      <c r="O221" s="130" t="s">
        <v>95</v>
      </c>
      <c r="P221" s="27">
        <v>0</v>
      </c>
      <c r="Q221" s="27">
        <v>0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27"/>
      <c r="W221" s="27" t="s">
        <v>88</v>
      </c>
      <c r="X221" s="27">
        <v>0</v>
      </c>
      <c r="Y221" s="148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27">
        <v>1</v>
      </c>
      <c r="AJ221" s="27"/>
      <c r="AK221" s="27">
        <v>1</v>
      </c>
      <c r="AL221" s="27">
        <v>1</v>
      </c>
      <c r="AM221" s="148" t="s">
        <v>83</v>
      </c>
      <c r="AN221" s="27">
        <v>1</v>
      </c>
      <c r="AO221" s="27">
        <v>1</v>
      </c>
      <c r="AP221" s="27">
        <v>1</v>
      </c>
    </row>
    <row r="222" spans="1:42">
      <c r="A222" s="127"/>
      <c r="B222" s="27" t="str">
        <f>物品!B222</f>
        <v>IF07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29" t="str">
        <f t="shared" si="95"/>
        <v>附魔</v>
      </c>
      <c r="K222" s="129">
        <f t="shared" si="96"/>
        <v>0</v>
      </c>
      <c r="L222" s="27"/>
      <c r="M222" s="130">
        <f>VLOOKUP(LEFT(RIGHT(B222,5),4),物品!B:CU,20,FALSE)</f>
        <v>0</v>
      </c>
      <c r="N222" s="148" t="s">
        <v>83</v>
      </c>
      <c r="O222" s="130" t="s">
        <v>95</v>
      </c>
      <c r="P222" s="27">
        <v>0</v>
      </c>
      <c r="Q222" s="27">
        <v>0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27"/>
      <c r="W222" s="27" t="s">
        <v>88</v>
      </c>
      <c r="X222" s="27">
        <v>0</v>
      </c>
      <c r="Y222" s="148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27">
        <v>1</v>
      </c>
      <c r="AJ222" s="27"/>
      <c r="AK222" s="27">
        <v>1</v>
      </c>
      <c r="AL222" s="27">
        <v>1</v>
      </c>
      <c r="AM222" s="148" t="s">
        <v>83</v>
      </c>
      <c r="AN222" s="27">
        <v>1</v>
      </c>
      <c r="AO222" s="27">
        <v>1</v>
      </c>
      <c r="AP222" s="27">
        <v>1</v>
      </c>
    </row>
    <row r="223" spans="1:42">
      <c r="A223" s="127"/>
      <c r="B223" s="27" t="str">
        <f>物品!B223</f>
        <v>IF08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29" t="str">
        <f t="shared" si="95"/>
        <v>附魔</v>
      </c>
      <c r="K223" s="129">
        <f t="shared" si="96"/>
        <v>0</v>
      </c>
      <c r="L223" s="27"/>
      <c r="M223" s="130">
        <f>VLOOKUP(LEFT(RIGHT(B223,5),4),物品!B:CU,20,FALSE)</f>
        <v>0</v>
      </c>
      <c r="N223" s="148" t="s">
        <v>83</v>
      </c>
      <c r="O223" s="130" t="s">
        <v>95</v>
      </c>
      <c r="P223" s="27">
        <v>0</v>
      </c>
      <c r="Q223" s="27">
        <v>0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27"/>
      <c r="W223" s="27" t="s">
        <v>88</v>
      </c>
      <c r="X223" s="27">
        <v>0</v>
      </c>
      <c r="Y223" s="148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27">
        <v>1</v>
      </c>
      <c r="AJ223" s="27"/>
      <c r="AK223" s="27">
        <v>1</v>
      </c>
      <c r="AL223" s="27">
        <v>1</v>
      </c>
      <c r="AM223" s="148" t="s">
        <v>83</v>
      </c>
      <c r="AN223" s="27">
        <v>1</v>
      </c>
      <c r="AO223" s="27">
        <v>1</v>
      </c>
      <c r="AP223" s="27">
        <v>1</v>
      </c>
    </row>
    <row r="224" spans="1:42">
      <c r="A224" s="127"/>
      <c r="B224" s="27" t="str">
        <f>物品!B224</f>
        <v>IF09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29" t="str">
        <f t="shared" si="95"/>
        <v>附魔</v>
      </c>
      <c r="K224" s="129">
        <f t="shared" si="96"/>
        <v>0</v>
      </c>
      <c r="L224" s="27"/>
      <c r="M224" s="130">
        <f>VLOOKUP(LEFT(RIGHT(B224,5),4),物品!B:CU,20,FALSE)</f>
        <v>0</v>
      </c>
      <c r="N224" s="148" t="s">
        <v>83</v>
      </c>
      <c r="O224" s="130" t="s">
        <v>95</v>
      </c>
      <c r="P224" s="27">
        <v>0</v>
      </c>
      <c r="Q224" s="27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27"/>
      <c r="W224" s="27" t="s">
        <v>88</v>
      </c>
      <c r="X224" s="27">
        <v>0</v>
      </c>
      <c r="Y224" s="148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27">
        <v>1</v>
      </c>
      <c r="AJ224" s="27"/>
      <c r="AK224" s="27">
        <v>1</v>
      </c>
      <c r="AL224" s="27">
        <v>1</v>
      </c>
      <c r="AM224" s="148" t="s">
        <v>83</v>
      </c>
      <c r="AN224" s="27">
        <v>1</v>
      </c>
      <c r="AO224" s="27">
        <v>1</v>
      </c>
      <c r="AP224" s="27">
        <v>1</v>
      </c>
    </row>
    <row r="225" spans="1:42">
      <c r="A225" s="127"/>
      <c r="B225" s="27" t="str">
        <f>物品!B225</f>
        <v>IF10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29" t="str">
        <f t="shared" si="95"/>
        <v>附魔</v>
      </c>
      <c r="K225" s="129">
        <f t="shared" si="96"/>
        <v>0</v>
      </c>
      <c r="L225" s="27"/>
      <c r="M225" s="130">
        <f>VLOOKUP(LEFT(RIGHT(B225,5),4),物品!B:CU,20,FALSE)</f>
        <v>0</v>
      </c>
      <c r="N225" s="148" t="s">
        <v>83</v>
      </c>
      <c r="O225" s="130" t="s">
        <v>95</v>
      </c>
      <c r="P225" s="27">
        <v>0</v>
      </c>
      <c r="Q225" s="27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27"/>
      <c r="W225" s="27" t="s">
        <v>88</v>
      </c>
      <c r="X225" s="27">
        <v>0</v>
      </c>
      <c r="Y225" s="14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27">
        <v>1</v>
      </c>
      <c r="AJ225" s="27"/>
      <c r="AK225" s="27">
        <v>1</v>
      </c>
      <c r="AL225" s="27">
        <v>1</v>
      </c>
      <c r="AM225" s="148" t="s">
        <v>83</v>
      </c>
      <c r="AN225" s="27">
        <v>1</v>
      </c>
      <c r="AO225" s="27">
        <v>1</v>
      </c>
      <c r="AP225" s="27">
        <v>1</v>
      </c>
    </row>
    <row r="226" spans="1:42">
      <c r="A226" s="127"/>
      <c r="B226" s="27" t="str">
        <f>物品!B226</f>
        <v>IF11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29" t="str">
        <f t="shared" si="95"/>
        <v>附魔</v>
      </c>
      <c r="K226" s="129">
        <f t="shared" si="96"/>
        <v>0</v>
      </c>
      <c r="L226" s="27"/>
      <c r="M226" s="130">
        <f>VLOOKUP(LEFT(RIGHT(B226,5),4),物品!B:CU,20,FALSE)</f>
        <v>0</v>
      </c>
      <c r="N226" s="148" t="s">
        <v>83</v>
      </c>
      <c r="O226" s="130" t="s">
        <v>95</v>
      </c>
      <c r="P226" s="27">
        <v>0</v>
      </c>
      <c r="Q226" s="27">
        <v>0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27"/>
      <c r="W226" s="27" t="s">
        <v>88</v>
      </c>
      <c r="X226" s="27">
        <v>0</v>
      </c>
      <c r="Y226" s="14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27">
        <v>1</v>
      </c>
      <c r="AJ226" s="27"/>
      <c r="AK226" s="27">
        <v>1</v>
      </c>
      <c r="AL226" s="27">
        <v>1</v>
      </c>
      <c r="AM226" s="148" t="s">
        <v>83</v>
      </c>
      <c r="AN226" s="27">
        <v>1</v>
      </c>
      <c r="AO226" s="27">
        <v>1</v>
      </c>
      <c r="AP226" s="27">
        <v>1</v>
      </c>
    </row>
    <row r="227" spans="1:42">
      <c r="A227" s="127"/>
      <c r="B227" s="27" t="str">
        <f>物品!B227</f>
        <v>IF12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29" t="str">
        <f t="shared" si="95"/>
        <v>附魔</v>
      </c>
      <c r="K227" s="129">
        <f t="shared" si="96"/>
        <v>0</v>
      </c>
      <c r="L227" s="27"/>
      <c r="M227" s="130">
        <f>VLOOKUP(LEFT(RIGHT(B227,5),4),物品!B:CU,20,FALSE)</f>
        <v>0</v>
      </c>
      <c r="N227" s="148" t="s">
        <v>83</v>
      </c>
      <c r="O227" s="130" t="s">
        <v>95</v>
      </c>
      <c r="P227" s="27">
        <v>0</v>
      </c>
      <c r="Q227" s="27">
        <v>0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27"/>
      <c r="W227" s="27" t="s">
        <v>88</v>
      </c>
      <c r="X227" s="27">
        <v>0</v>
      </c>
      <c r="Y227" s="14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27">
        <v>1</v>
      </c>
      <c r="AJ227" s="27"/>
      <c r="AK227" s="27">
        <v>1</v>
      </c>
      <c r="AL227" s="27">
        <v>1</v>
      </c>
      <c r="AM227" s="148" t="s">
        <v>83</v>
      </c>
      <c r="AN227" s="27">
        <v>1</v>
      </c>
      <c r="AO227" s="27">
        <v>1</v>
      </c>
      <c r="AP227" s="27">
        <v>1</v>
      </c>
    </row>
    <row r="228" spans="1:42">
      <c r="A228" s="127"/>
      <c r="B228" s="27" t="str">
        <f>物品!B228</f>
        <v>IF13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29" t="str">
        <f t="shared" si="95"/>
        <v>附魔</v>
      </c>
      <c r="K228" s="129">
        <f t="shared" si="96"/>
        <v>0</v>
      </c>
      <c r="L228" s="27"/>
      <c r="M228" s="130">
        <f>VLOOKUP(LEFT(RIGHT(B228,5),4),物品!B:CU,20,FALSE)</f>
        <v>0</v>
      </c>
      <c r="N228" s="148" t="s">
        <v>83</v>
      </c>
      <c r="O228" s="130" t="s">
        <v>95</v>
      </c>
      <c r="P228" s="27">
        <v>0</v>
      </c>
      <c r="Q228" s="27">
        <v>0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27"/>
      <c r="W228" s="27" t="s">
        <v>88</v>
      </c>
      <c r="X228" s="27">
        <v>0</v>
      </c>
      <c r="Y228" s="14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27">
        <v>1</v>
      </c>
      <c r="AJ228" s="27"/>
      <c r="AK228" s="27">
        <v>1</v>
      </c>
      <c r="AL228" s="27">
        <v>1</v>
      </c>
      <c r="AM228" s="148" t="s">
        <v>83</v>
      </c>
      <c r="AN228" s="27">
        <v>1</v>
      </c>
      <c r="AO228" s="27">
        <v>1</v>
      </c>
      <c r="AP228" s="27">
        <v>1</v>
      </c>
    </row>
    <row r="229" spans="1:42">
      <c r="A229" s="127"/>
      <c r="B229" s="27" t="str">
        <f>物品!B229</f>
        <v>IF14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29" t="str">
        <f t="shared" si="95"/>
        <v>附魔</v>
      </c>
      <c r="K229" s="129">
        <f t="shared" si="96"/>
        <v>0</v>
      </c>
      <c r="L229" s="27"/>
      <c r="M229" s="130">
        <f>VLOOKUP(LEFT(RIGHT(B229,5),4),物品!B:CU,20,FALSE)</f>
        <v>0</v>
      </c>
      <c r="N229" s="148" t="s">
        <v>83</v>
      </c>
      <c r="O229" s="130" t="s">
        <v>95</v>
      </c>
      <c r="P229" s="27">
        <v>0</v>
      </c>
      <c r="Q229" s="27">
        <v>0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27"/>
      <c r="W229" s="27" t="s">
        <v>88</v>
      </c>
      <c r="X229" s="27">
        <v>0</v>
      </c>
      <c r="Y229" s="14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27">
        <v>1</v>
      </c>
      <c r="AJ229" s="27"/>
      <c r="AK229" s="27">
        <v>1</v>
      </c>
      <c r="AL229" s="27">
        <v>1</v>
      </c>
      <c r="AM229" s="148" t="s">
        <v>83</v>
      </c>
      <c r="AN229" s="27">
        <v>1</v>
      </c>
      <c r="AO229" s="27">
        <v>1</v>
      </c>
      <c r="AP229" s="27">
        <v>1</v>
      </c>
    </row>
    <row r="230" spans="1:42">
      <c r="A230" s="127"/>
      <c r="B230" s="27" t="str">
        <f>物品!B230</f>
        <v>IF15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29" t="str">
        <f t="shared" si="95"/>
        <v>附魔</v>
      </c>
      <c r="K230" s="129">
        <f t="shared" si="96"/>
        <v>0</v>
      </c>
      <c r="L230" s="27"/>
      <c r="M230" s="130">
        <f>VLOOKUP(LEFT(RIGHT(B230,5),4),物品!B:CU,20,FALSE)</f>
        <v>0</v>
      </c>
      <c r="N230" s="148" t="s">
        <v>83</v>
      </c>
      <c r="O230" s="130" t="s">
        <v>95</v>
      </c>
      <c r="P230" s="27">
        <v>0</v>
      </c>
      <c r="Q230" s="27">
        <v>0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27"/>
      <c r="W230" s="27" t="s">
        <v>88</v>
      </c>
      <c r="X230" s="27">
        <v>0</v>
      </c>
      <c r="Y230" s="14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27">
        <v>1</v>
      </c>
      <c r="AJ230" s="27"/>
      <c r="AK230" s="27">
        <v>1</v>
      </c>
      <c r="AL230" s="27">
        <v>1</v>
      </c>
      <c r="AM230" s="148" t="s">
        <v>83</v>
      </c>
      <c r="AN230" s="27">
        <v>1</v>
      </c>
      <c r="AO230" s="27">
        <v>1</v>
      </c>
      <c r="AP230" s="27">
        <v>1</v>
      </c>
    </row>
    <row r="231" spans="1:42">
      <c r="A231" s="127"/>
      <c r="B231" s="27" t="str">
        <f>物品!B231</f>
        <v>IF16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29" t="str">
        <f t="shared" si="95"/>
        <v>附魔</v>
      </c>
      <c r="K231" s="129">
        <f t="shared" si="96"/>
        <v>0</v>
      </c>
      <c r="L231" s="27"/>
      <c r="M231" s="130">
        <f>VLOOKUP(LEFT(RIGHT(B231,5),4),物品!B:CU,20,FALSE)</f>
        <v>0</v>
      </c>
      <c r="N231" s="148" t="s">
        <v>83</v>
      </c>
      <c r="O231" s="130" t="s">
        <v>95</v>
      </c>
      <c r="P231" s="27">
        <v>0</v>
      </c>
      <c r="Q231" s="27">
        <v>0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27"/>
      <c r="W231" s="27" t="s">
        <v>88</v>
      </c>
      <c r="X231" s="27">
        <v>0</v>
      </c>
      <c r="Y231" s="148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27">
        <v>1</v>
      </c>
      <c r="AJ231" s="27"/>
      <c r="AK231" s="27">
        <v>1</v>
      </c>
      <c r="AL231" s="27">
        <v>1</v>
      </c>
      <c r="AM231" s="148" t="s">
        <v>83</v>
      </c>
      <c r="AN231" s="27">
        <v>1</v>
      </c>
      <c r="AO231" s="27">
        <v>1</v>
      </c>
      <c r="AP231" s="27">
        <v>1</v>
      </c>
    </row>
    <row r="232" spans="1:42">
      <c r="A232" s="127"/>
      <c r="B232" s="27" t="str">
        <f>物品!B232</f>
        <v>IF17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29" t="str">
        <f t="shared" si="95"/>
        <v>附魔</v>
      </c>
      <c r="K232" s="129">
        <f t="shared" si="96"/>
        <v>0</v>
      </c>
      <c r="L232" s="27"/>
      <c r="M232" s="130">
        <f>VLOOKUP(LEFT(RIGHT(B232,5),4),物品!B:CU,20,FALSE)</f>
        <v>0</v>
      </c>
      <c r="N232" s="148" t="s">
        <v>83</v>
      </c>
      <c r="O232" s="130" t="s">
        <v>95</v>
      </c>
      <c r="P232" s="27">
        <v>0</v>
      </c>
      <c r="Q232" s="27">
        <v>0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27"/>
      <c r="W232" s="27" t="s">
        <v>88</v>
      </c>
      <c r="X232" s="27">
        <v>0</v>
      </c>
      <c r="Y232" s="148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27">
        <v>1</v>
      </c>
      <c r="AJ232" s="27"/>
      <c r="AK232" s="27">
        <v>1</v>
      </c>
      <c r="AL232" s="27">
        <v>1</v>
      </c>
      <c r="AM232" s="148" t="s">
        <v>83</v>
      </c>
      <c r="AN232" s="27">
        <v>1</v>
      </c>
      <c r="AO232" s="27">
        <v>1</v>
      </c>
      <c r="AP232" s="27">
        <v>1</v>
      </c>
    </row>
    <row r="233" spans="1:42">
      <c r="A233" s="127"/>
      <c r="B233" s="27" t="str">
        <f>物品!B233</f>
        <v>IF18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29" t="str">
        <f t="shared" si="95"/>
        <v>附魔</v>
      </c>
      <c r="K233" s="129">
        <f t="shared" si="96"/>
        <v>0</v>
      </c>
      <c r="L233" s="27"/>
      <c r="M233" s="130">
        <f>VLOOKUP(LEFT(RIGHT(B233,5),4),物品!B:CU,20,FALSE)</f>
        <v>0</v>
      </c>
      <c r="N233" s="148" t="s">
        <v>83</v>
      </c>
      <c r="O233" s="130" t="s">
        <v>95</v>
      </c>
      <c r="P233" s="27">
        <v>0</v>
      </c>
      <c r="Q233" s="27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27"/>
      <c r="W233" s="27" t="s">
        <v>88</v>
      </c>
      <c r="X233" s="27">
        <v>0</v>
      </c>
      <c r="Y233" s="14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27">
        <v>1</v>
      </c>
      <c r="AJ233" s="27"/>
      <c r="AK233" s="27">
        <v>1</v>
      </c>
      <c r="AL233" s="27">
        <v>1</v>
      </c>
      <c r="AM233" s="148" t="s">
        <v>83</v>
      </c>
      <c r="AN233" s="27">
        <v>1</v>
      </c>
      <c r="AO233" s="27">
        <v>1</v>
      </c>
      <c r="AP233" s="27">
        <v>1</v>
      </c>
    </row>
    <row r="234" spans="1:42">
      <c r="A234" s="127"/>
      <c r="B234" s="27" t="str">
        <f>物品!B234</f>
        <v>IF19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29" t="str">
        <f t="shared" si="95"/>
        <v>附魔</v>
      </c>
      <c r="K234" s="129">
        <f t="shared" si="96"/>
        <v>0</v>
      </c>
      <c r="L234" s="27"/>
      <c r="M234" s="130">
        <f>VLOOKUP(LEFT(RIGHT(B234,5),4),物品!B:CU,20,FALSE)</f>
        <v>0</v>
      </c>
      <c r="N234" s="148" t="s">
        <v>83</v>
      </c>
      <c r="O234" s="130" t="s">
        <v>95</v>
      </c>
      <c r="P234" s="27">
        <v>0</v>
      </c>
      <c r="Q234" s="27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27"/>
      <c r="W234" s="27" t="s">
        <v>88</v>
      </c>
      <c r="X234" s="27">
        <v>0</v>
      </c>
      <c r="Y234" s="14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27">
        <v>1</v>
      </c>
      <c r="AJ234" s="27"/>
      <c r="AK234" s="27">
        <v>1</v>
      </c>
      <c r="AL234" s="27">
        <v>1</v>
      </c>
      <c r="AM234" s="148" t="s">
        <v>83</v>
      </c>
      <c r="AN234" s="27">
        <v>1</v>
      </c>
      <c r="AO234" s="27">
        <v>1</v>
      </c>
      <c r="AP234" s="27">
        <v>1</v>
      </c>
    </row>
    <row r="235" spans="1:42">
      <c r="A235" s="127"/>
      <c r="B235" s="27" t="str">
        <f>物品!B235</f>
        <v>IF20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29" t="str">
        <f t="shared" si="95"/>
        <v>附魔</v>
      </c>
      <c r="K235" s="129">
        <f t="shared" si="96"/>
        <v>0</v>
      </c>
      <c r="L235" s="27"/>
      <c r="M235" s="130">
        <f>VLOOKUP(LEFT(RIGHT(B235,5),4),物品!B:CU,20,FALSE)</f>
        <v>0</v>
      </c>
      <c r="N235" s="148" t="s">
        <v>83</v>
      </c>
      <c r="O235" s="130" t="s">
        <v>95</v>
      </c>
      <c r="P235" s="27">
        <v>0</v>
      </c>
      <c r="Q235" s="27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27"/>
      <c r="W235" s="27" t="s">
        <v>88</v>
      </c>
      <c r="X235" s="27">
        <v>0</v>
      </c>
      <c r="Y235" s="14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27">
        <v>1</v>
      </c>
      <c r="AJ235" s="27"/>
      <c r="AK235" s="27">
        <v>1</v>
      </c>
      <c r="AL235" s="27">
        <v>1</v>
      </c>
      <c r="AM235" s="148" t="s">
        <v>83</v>
      </c>
      <c r="AN235" s="27">
        <v>1</v>
      </c>
      <c r="AO235" s="27">
        <v>1</v>
      </c>
      <c r="AP235" s="27">
        <v>1</v>
      </c>
    </row>
    <row r="236" spans="1:42">
      <c r="A236" s="127"/>
      <c r="B236" s="27" t="str">
        <f>物品!B236</f>
        <v>IF21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29" t="str">
        <f t="shared" si="95"/>
        <v>附魔</v>
      </c>
      <c r="K236" s="129">
        <f t="shared" si="96"/>
        <v>0</v>
      </c>
      <c r="L236" s="27"/>
      <c r="M236" s="130">
        <f>VLOOKUP(LEFT(RIGHT(B236,5),4),物品!B:CU,20,FALSE)</f>
        <v>0</v>
      </c>
      <c r="N236" s="148" t="s">
        <v>83</v>
      </c>
      <c r="O236" s="130" t="s">
        <v>95</v>
      </c>
      <c r="P236" s="27">
        <v>0</v>
      </c>
      <c r="Q236" s="27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27"/>
      <c r="W236" s="27" t="s">
        <v>88</v>
      </c>
      <c r="X236" s="27">
        <v>0</v>
      </c>
      <c r="Y236" s="14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27">
        <v>1</v>
      </c>
      <c r="AJ236" s="27"/>
      <c r="AK236" s="27">
        <v>1</v>
      </c>
      <c r="AL236" s="27">
        <v>1</v>
      </c>
      <c r="AM236" s="148" t="s">
        <v>83</v>
      </c>
      <c r="AN236" s="27">
        <v>1</v>
      </c>
      <c r="AO236" s="27">
        <v>1</v>
      </c>
      <c r="AP236" s="27">
        <v>1</v>
      </c>
    </row>
    <row r="237" spans="1:42">
      <c r="A237" s="127"/>
      <c r="B237" s="27" t="str">
        <f>物品!B237</f>
        <v>IF22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29" t="str">
        <f t="shared" si="95"/>
        <v>附魔</v>
      </c>
      <c r="K237" s="129">
        <f t="shared" si="96"/>
        <v>0</v>
      </c>
      <c r="L237" s="27"/>
      <c r="M237" s="130">
        <f>VLOOKUP(LEFT(RIGHT(B237,5),4),物品!B:CU,20,FALSE)</f>
        <v>0</v>
      </c>
      <c r="N237" s="148" t="s">
        <v>83</v>
      </c>
      <c r="O237" s="130" t="s">
        <v>95</v>
      </c>
      <c r="P237" s="27">
        <v>0</v>
      </c>
      <c r="Q237" s="27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27"/>
      <c r="W237" s="27" t="s">
        <v>88</v>
      </c>
      <c r="X237" s="27">
        <v>0</v>
      </c>
      <c r="Y237" s="14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27">
        <v>1</v>
      </c>
      <c r="AJ237" s="27"/>
      <c r="AK237" s="27">
        <v>1</v>
      </c>
      <c r="AL237" s="27">
        <v>1</v>
      </c>
      <c r="AM237" s="148" t="s">
        <v>83</v>
      </c>
      <c r="AN237" s="27">
        <v>1</v>
      </c>
      <c r="AO237" s="27">
        <v>1</v>
      </c>
      <c r="AP237" s="27">
        <v>1</v>
      </c>
    </row>
    <row r="238" spans="1:42">
      <c r="A238" s="127"/>
      <c r="B238" s="27" t="str">
        <f>物品!B238</f>
        <v>IF23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29" t="str">
        <f t="shared" si="95"/>
        <v>附魔</v>
      </c>
      <c r="K238" s="129">
        <f t="shared" si="96"/>
        <v>0</v>
      </c>
      <c r="L238" s="27"/>
      <c r="M238" s="130">
        <f>VLOOKUP(LEFT(RIGHT(B238,5),4),物品!B:CU,20,FALSE)</f>
        <v>0</v>
      </c>
      <c r="N238" s="148" t="s">
        <v>83</v>
      </c>
      <c r="O238" s="130" t="s">
        <v>95</v>
      </c>
      <c r="P238" s="27">
        <v>0</v>
      </c>
      <c r="Q238" s="27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27"/>
      <c r="W238" s="27" t="s">
        <v>88</v>
      </c>
      <c r="X238" s="27">
        <v>0</v>
      </c>
      <c r="Y238" s="14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27">
        <v>1</v>
      </c>
      <c r="AJ238" s="27"/>
      <c r="AK238" s="27">
        <v>1</v>
      </c>
      <c r="AL238" s="27">
        <v>1</v>
      </c>
      <c r="AM238" s="148" t="s">
        <v>83</v>
      </c>
      <c r="AN238" s="27">
        <v>1</v>
      </c>
      <c r="AO238" s="27">
        <v>1</v>
      </c>
      <c r="AP238" s="27">
        <v>1</v>
      </c>
    </row>
    <row r="239" spans="1:42">
      <c r="A239" s="127"/>
      <c r="B239" s="27" t="str">
        <f>物品!B239</f>
        <v>IF24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29" t="str">
        <f t="shared" si="95"/>
        <v>附魔</v>
      </c>
      <c r="K239" s="129">
        <f t="shared" si="96"/>
        <v>0</v>
      </c>
      <c r="L239" s="27"/>
      <c r="M239" s="130">
        <f>VLOOKUP(LEFT(RIGHT(B239,5),4),物品!B:CU,20,FALSE)</f>
        <v>0</v>
      </c>
      <c r="N239" s="148" t="s">
        <v>83</v>
      </c>
      <c r="O239" s="130" t="s">
        <v>95</v>
      </c>
      <c r="P239" s="27">
        <v>0</v>
      </c>
      <c r="Q239" s="27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27"/>
      <c r="W239" s="27" t="s">
        <v>88</v>
      </c>
      <c r="X239" s="27">
        <v>0</v>
      </c>
      <c r="Y239" s="14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27">
        <v>1</v>
      </c>
      <c r="AJ239" s="27"/>
      <c r="AK239" s="27">
        <v>1</v>
      </c>
      <c r="AL239" s="27">
        <v>1</v>
      </c>
      <c r="AM239" s="148" t="s">
        <v>83</v>
      </c>
      <c r="AN239" s="27">
        <v>1</v>
      </c>
      <c r="AO239" s="27">
        <v>1</v>
      </c>
      <c r="AP239" s="27">
        <v>1</v>
      </c>
    </row>
    <row r="240" spans="1:42">
      <c r="A240" s="127"/>
      <c r="B240" s="27" t="str">
        <f>物品!B240</f>
        <v>IF25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29" t="str">
        <f t="shared" si="95"/>
        <v>附魔</v>
      </c>
      <c r="K240" s="129">
        <f t="shared" si="96"/>
        <v>0</v>
      </c>
      <c r="L240" s="27"/>
      <c r="M240" s="130">
        <f>VLOOKUP(LEFT(RIGHT(B240,5),4),物品!B:CU,20,FALSE)</f>
        <v>0</v>
      </c>
      <c r="N240" s="148" t="s">
        <v>83</v>
      </c>
      <c r="O240" s="130" t="s">
        <v>95</v>
      </c>
      <c r="P240" s="27">
        <v>0</v>
      </c>
      <c r="Q240" s="27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27"/>
      <c r="W240" s="27" t="s">
        <v>88</v>
      </c>
      <c r="X240" s="27">
        <v>0</v>
      </c>
      <c r="Y240" s="14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27">
        <v>1</v>
      </c>
      <c r="AJ240" s="27"/>
      <c r="AK240" s="27">
        <v>1</v>
      </c>
      <c r="AL240" s="27">
        <v>1</v>
      </c>
      <c r="AM240" s="148" t="s">
        <v>83</v>
      </c>
      <c r="AN240" s="27">
        <v>1</v>
      </c>
      <c r="AO240" s="27">
        <v>1</v>
      </c>
      <c r="AP240" s="27">
        <v>1</v>
      </c>
    </row>
    <row r="241" spans="1:42">
      <c r="A241" s="127"/>
      <c r="B241" s="27" t="str">
        <f>物品!B241</f>
        <v>IF26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29" t="str">
        <f t="shared" si="95"/>
        <v>附魔</v>
      </c>
      <c r="K241" s="129">
        <f t="shared" si="96"/>
        <v>0</v>
      </c>
      <c r="L241" s="27"/>
      <c r="M241" s="130">
        <f>VLOOKUP(LEFT(RIGHT(B241,5),4),物品!B:CU,20,FALSE)</f>
        <v>0</v>
      </c>
      <c r="N241" s="148" t="s">
        <v>83</v>
      </c>
      <c r="O241" s="130" t="s">
        <v>95</v>
      </c>
      <c r="P241" s="27">
        <v>0</v>
      </c>
      <c r="Q241" s="27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27"/>
      <c r="W241" s="27" t="s">
        <v>88</v>
      </c>
      <c r="X241" s="27">
        <v>0</v>
      </c>
      <c r="Y241" s="14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27">
        <v>1</v>
      </c>
      <c r="AJ241" s="27"/>
      <c r="AK241" s="27">
        <v>1</v>
      </c>
      <c r="AL241" s="27">
        <v>1</v>
      </c>
      <c r="AM241" s="148" t="s">
        <v>83</v>
      </c>
      <c r="AN241" s="27">
        <v>1</v>
      </c>
      <c r="AO241" s="27">
        <v>1</v>
      </c>
      <c r="AP241" s="27">
        <v>1</v>
      </c>
    </row>
    <row r="242" spans="1:42">
      <c r="A242" s="127"/>
      <c r="B242" s="27" t="str">
        <f>物品!B242</f>
        <v>IF27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29" t="str">
        <f t="shared" si="95"/>
        <v>附魔</v>
      </c>
      <c r="K242" s="129">
        <f t="shared" si="96"/>
        <v>0</v>
      </c>
      <c r="L242" s="27"/>
      <c r="M242" s="130">
        <f>VLOOKUP(LEFT(RIGHT(B242,5),4),物品!B:CU,20,FALSE)</f>
        <v>0</v>
      </c>
      <c r="N242" s="148" t="s">
        <v>83</v>
      </c>
      <c r="O242" s="130" t="s">
        <v>95</v>
      </c>
      <c r="P242" s="27">
        <v>0</v>
      </c>
      <c r="Q242" s="27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27"/>
      <c r="W242" s="27" t="s">
        <v>88</v>
      </c>
      <c r="X242" s="27">
        <v>0</v>
      </c>
      <c r="Y242" s="14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27">
        <v>1</v>
      </c>
      <c r="AJ242" s="27"/>
      <c r="AK242" s="27">
        <v>1</v>
      </c>
      <c r="AL242" s="27">
        <v>1</v>
      </c>
      <c r="AM242" s="148" t="s">
        <v>83</v>
      </c>
      <c r="AN242" s="27">
        <v>1</v>
      </c>
      <c r="AO242" s="27">
        <v>1</v>
      </c>
      <c r="AP242" s="27">
        <v>1</v>
      </c>
    </row>
    <row r="243" spans="1:42">
      <c r="A243" s="127"/>
      <c r="B243" s="27" t="str">
        <f>物品!B243</f>
        <v>IF28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29" t="str">
        <f t="shared" ref="J243:J245" si="97">H243</f>
        <v>附魔</v>
      </c>
      <c r="K243" s="129">
        <f t="shared" ref="K243:K245" si="98">I243</f>
        <v>0</v>
      </c>
      <c r="L243" s="27"/>
      <c r="M243" s="130">
        <f>VLOOKUP(LEFT(RIGHT(B243,5),4),物品!B:CU,20,FALSE)</f>
        <v>0</v>
      </c>
      <c r="N243" s="148" t="s">
        <v>83</v>
      </c>
      <c r="O243" s="130" t="s">
        <v>95</v>
      </c>
      <c r="P243" s="27">
        <v>0</v>
      </c>
      <c r="Q243" s="27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27"/>
      <c r="W243" s="27" t="s">
        <v>88</v>
      </c>
      <c r="X243" s="27">
        <v>0</v>
      </c>
      <c r="Y243" s="14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27">
        <v>1</v>
      </c>
      <c r="AJ243" s="27"/>
      <c r="AK243" s="27">
        <v>1</v>
      </c>
      <c r="AL243" s="27">
        <v>1</v>
      </c>
      <c r="AM243" s="148" t="s">
        <v>83</v>
      </c>
      <c r="AN243" s="27">
        <v>1</v>
      </c>
      <c r="AO243" s="27">
        <v>1</v>
      </c>
      <c r="AP243" s="27">
        <v>1</v>
      </c>
    </row>
    <row r="244" spans="1:42">
      <c r="A244" s="127"/>
      <c r="B244" s="27" t="str">
        <f>物品!B244</f>
        <v>IF29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29" t="str">
        <f t="shared" si="97"/>
        <v>附魔</v>
      </c>
      <c r="K244" s="129">
        <f t="shared" si="98"/>
        <v>0</v>
      </c>
      <c r="L244" s="27"/>
      <c r="M244" s="130">
        <f>VLOOKUP(LEFT(RIGHT(B244,5),4),物品!B:CU,20,FALSE)</f>
        <v>0</v>
      </c>
      <c r="N244" s="148" t="s">
        <v>83</v>
      </c>
      <c r="O244" s="130" t="s">
        <v>95</v>
      </c>
      <c r="P244" s="27">
        <v>0</v>
      </c>
      <c r="Q244" s="27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27"/>
      <c r="W244" s="27" t="s">
        <v>88</v>
      </c>
      <c r="X244" s="27">
        <v>0</v>
      </c>
      <c r="Y244" s="14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27">
        <v>1</v>
      </c>
      <c r="AJ244" s="27"/>
      <c r="AK244" s="27">
        <v>1</v>
      </c>
      <c r="AL244" s="27">
        <v>1</v>
      </c>
      <c r="AM244" s="148" t="s">
        <v>83</v>
      </c>
      <c r="AN244" s="27">
        <v>1</v>
      </c>
      <c r="AO244" s="27">
        <v>1</v>
      </c>
      <c r="AP244" s="27">
        <v>1</v>
      </c>
    </row>
    <row r="245" spans="1:42">
      <c r="A245" s="127"/>
      <c r="B245" s="27" t="str">
        <f>物品!B245</f>
        <v>IF30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29" t="str">
        <f t="shared" si="97"/>
        <v>附魔</v>
      </c>
      <c r="K245" s="129">
        <f t="shared" si="98"/>
        <v>0</v>
      </c>
      <c r="L245" s="27"/>
      <c r="M245" s="130">
        <f>VLOOKUP(LEFT(RIGHT(B245,5),4),物品!B:CU,20,FALSE)</f>
        <v>0</v>
      </c>
      <c r="N245" s="148" t="s">
        <v>83</v>
      </c>
      <c r="O245" s="130" t="s">
        <v>95</v>
      </c>
      <c r="P245" s="27">
        <v>0</v>
      </c>
      <c r="Q245" s="27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27"/>
      <c r="W245" s="27" t="s">
        <v>88</v>
      </c>
      <c r="X245" s="27">
        <v>0</v>
      </c>
      <c r="Y245" s="14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27">
        <v>1</v>
      </c>
      <c r="AJ245" s="27"/>
      <c r="AK245" s="27">
        <v>1</v>
      </c>
      <c r="AL245" s="27">
        <v>1</v>
      </c>
      <c r="AM245" s="148" t="s">
        <v>83</v>
      </c>
      <c r="AN245" s="27">
        <v>1</v>
      </c>
      <c r="AO245" s="27">
        <v>1</v>
      </c>
      <c r="AP245" s="27">
        <v>1</v>
      </c>
    </row>
    <row r="246" spans="1:42">
      <c r="A246" s="127"/>
      <c r="B246" s="27" t="str">
        <f>物品!B246</f>
        <v>IF31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29" t="str">
        <f t="shared" ref="J246:J259" si="99">H246</f>
        <v>附魔</v>
      </c>
      <c r="K246" s="129">
        <f t="shared" ref="K246:K259" si="100">I246</f>
        <v>0</v>
      </c>
      <c r="L246" s="27"/>
      <c r="M246" s="130">
        <f>VLOOKUP(LEFT(RIGHT(B246,5),4),物品!B:CU,20,FALSE)</f>
        <v>0</v>
      </c>
      <c r="N246" s="148" t="s">
        <v>83</v>
      </c>
      <c r="O246" s="130" t="s">
        <v>95</v>
      </c>
      <c r="P246" s="27">
        <v>0</v>
      </c>
      <c r="Q246" s="27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27"/>
      <c r="W246" s="27" t="s">
        <v>88</v>
      </c>
      <c r="X246" s="27">
        <v>0</v>
      </c>
      <c r="Y246" s="14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27">
        <v>1</v>
      </c>
      <c r="AJ246" s="27"/>
      <c r="AK246" s="27">
        <v>1</v>
      </c>
      <c r="AL246" s="27">
        <v>1</v>
      </c>
      <c r="AM246" s="148" t="s">
        <v>83</v>
      </c>
      <c r="AN246" s="27">
        <v>1</v>
      </c>
      <c r="AO246" s="27">
        <v>1</v>
      </c>
      <c r="AP246" s="27">
        <v>1</v>
      </c>
    </row>
    <row r="247" spans="1:42">
      <c r="A247" s="127"/>
      <c r="B247" s="27" t="str">
        <f>物品!B247</f>
        <v>IF32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29" t="str">
        <f t="shared" ref="J247" si="101">H247</f>
        <v>附魔</v>
      </c>
      <c r="K247" s="129">
        <f t="shared" ref="K247" si="102">I247</f>
        <v>0</v>
      </c>
      <c r="L247" s="27"/>
      <c r="M247" s="130">
        <f>VLOOKUP(LEFT(RIGHT(B247,5),4),物品!B:CU,20,FALSE)</f>
        <v>0</v>
      </c>
      <c r="N247" s="148" t="s">
        <v>83</v>
      </c>
      <c r="O247" s="130" t="s">
        <v>95</v>
      </c>
      <c r="P247" s="27">
        <v>0</v>
      </c>
      <c r="Q247" s="27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27"/>
      <c r="W247" s="27" t="s">
        <v>88</v>
      </c>
      <c r="X247" s="27">
        <v>0</v>
      </c>
      <c r="Y247" s="14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27">
        <v>1</v>
      </c>
      <c r="AJ247" s="27"/>
      <c r="AK247" s="27">
        <v>1</v>
      </c>
      <c r="AL247" s="27">
        <v>1</v>
      </c>
      <c r="AM247" s="148" t="s">
        <v>83</v>
      </c>
      <c r="AN247" s="27">
        <v>1</v>
      </c>
      <c r="AO247" s="27">
        <v>1</v>
      </c>
      <c r="AP247" s="27">
        <v>1</v>
      </c>
    </row>
    <row r="248" spans="1:42">
      <c r="A248" s="127"/>
      <c r="B248" s="27" t="str">
        <f>物品!B248</f>
        <v>IC00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没抽到任何东西</v>
      </c>
      <c r="I248" s="27">
        <f>VLOOKUP(B248,物品!B:CV,99,FALSE)</f>
        <v>0</v>
      </c>
      <c r="J248" s="129" t="str">
        <f t="shared" ref="J248" si="103">H248</f>
        <v>没抽到任何东西</v>
      </c>
      <c r="K248" s="129">
        <f t="shared" ref="K248" si="104">I248</f>
        <v>0</v>
      </c>
      <c r="L248" s="27"/>
      <c r="M248" s="130">
        <f>VLOOKUP(LEFT(RIGHT(B248,5),4),物品!B:CU,20,FALSE)</f>
        <v>0</v>
      </c>
      <c r="N248" s="148" t="s">
        <v>83</v>
      </c>
      <c r="O248" s="130" t="s">
        <v>95</v>
      </c>
      <c r="P248" s="27">
        <v>0</v>
      </c>
      <c r="Q248" s="27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27"/>
      <c r="W248" s="27" t="s">
        <v>88</v>
      </c>
      <c r="X248" s="27">
        <v>0</v>
      </c>
      <c r="Y248" s="148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27">
        <v>1</v>
      </c>
      <c r="AJ248" s="27"/>
      <c r="AK248" s="27">
        <v>1</v>
      </c>
      <c r="AL248" s="27">
        <v>1</v>
      </c>
      <c r="AM248" s="148" t="s">
        <v>83</v>
      </c>
      <c r="AN248" s="27">
        <v>1</v>
      </c>
      <c r="AO248" s="27">
        <v>1</v>
      </c>
      <c r="AP248" s="27">
        <v>1</v>
      </c>
    </row>
    <row r="249" spans="1:42">
      <c r="A249" s="127"/>
      <c r="B249" s="27" t="str">
        <f>物品!B249</f>
        <v>IC01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玄铁</v>
      </c>
      <c r="I249" s="27">
        <f>VLOOKUP(B249,物品!B:CV,99,FALSE)</f>
        <v>0</v>
      </c>
      <c r="J249" s="129" t="str">
        <f t="shared" si="99"/>
        <v>玄铁</v>
      </c>
      <c r="K249" s="129">
        <f t="shared" si="100"/>
        <v>0</v>
      </c>
      <c r="L249" s="27"/>
      <c r="M249" s="130">
        <f>VLOOKUP(LEFT(RIGHT(B249,5),4),物品!B:CU,20,FALSE)</f>
        <v>0</v>
      </c>
      <c r="N249" s="148" t="s">
        <v>83</v>
      </c>
      <c r="O249" s="130" t="s">
        <v>95</v>
      </c>
      <c r="P249" s="27">
        <v>0</v>
      </c>
      <c r="Q249" s="27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27"/>
      <c r="W249" s="27" t="s">
        <v>88</v>
      </c>
      <c r="X249" s="27">
        <v>0</v>
      </c>
      <c r="Y249" s="148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27">
        <v>1</v>
      </c>
      <c r="AJ249" s="27"/>
      <c r="AK249" s="27">
        <v>1</v>
      </c>
      <c r="AL249" s="27">
        <v>1</v>
      </c>
      <c r="AM249" s="148" t="s">
        <v>83</v>
      </c>
      <c r="AN249" s="27">
        <v>1</v>
      </c>
      <c r="AO249" s="27">
        <v>1</v>
      </c>
      <c r="AP249" s="27">
        <v>1</v>
      </c>
    </row>
    <row r="250" spans="1:42">
      <c r="A250" s="127"/>
      <c r="B250" s="27" t="str">
        <f>物品!B250</f>
        <v>IC02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杀敌数</v>
      </c>
      <c r="I250" s="27">
        <f>VLOOKUP(B250,物品!B:CV,99,FALSE)</f>
        <v>0</v>
      </c>
      <c r="J250" s="129" t="str">
        <f t="shared" si="99"/>
        <v>杀敌数</v>
      </c>
      <c r="K250" s="129">
        <f t="shared" si="100"/>
        <v>0</v>
      </c>
      <c r="L250" s="27"/>
      <c r="M250" s="130">
        <f>VLOOKUP(LEFT(RIGHT(B250,5),4),物品!B:CU,20,FALSE)</f>
        <v>0</v>
      </c>
      <c r="N250" s="148" t="s">
        <v>83</v>
      </c>
      <c r="O250" s="130" t="s">
        <v>95</v>
      </c>
      <c r="P250" s="27">
        <v>0</v>
      </c>
      <c r="Q250" s="27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27"/>
      <c r="W250" s="27" t="s">
        <v>88</v>
      </c>
      <c r="X250" s="27">
        <v>0</v>
      </c>
      <c r="Y250" s="14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27">
        <v>1</v>
      </c>
      <c r="AJ250" s="27"/>
      <c r="AK250" s="27">
        <v>1</v>
      </c>
      <c r="AL250" s="27">
        <v>1</v>
      </c>
      <c r="AM250" s="148" t="s">
        <v>83</v>
      </c>
      <c r="AN250" s="27">
        <v>1</v>
      </c>
      <c r="AO250" s="27">
        <v>1</v>
      </c>
      <c r="AP250" s="27">
        <v>1</v>
      </c>
    </row>
    <row r="251" spans="1:42">
      <c r="A251" s="127"/>
      <c r="B251" s="27" t="str">
        <f>物品!B251</f>
        <v>IC03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攻击力低</v>
      </c>
      <c r="I251" s="27">
        <f>VLOOKUP(B251,物品!B:CV,99,FALSE)</f>
        <v>0</v>
      </c>
      <c r="J251" s="129" t="str">
        <f t="shared" si="99"/>
        <v>攻击力低</v>
      </c>
      <c r="K251" s="129">
        <f t="shared" si="100"/>
        <v>0</v>
      </c>
      <c r="L251" s="27"/>
      <c r="M251" s="130">
        <f>VLOOKUP(LEFT(RIGHT(B251,5),4),物品!B:CU,20,FALSE)</f>
        <v>0</v>
      </c>
      <c r="N251" s="148" t="s">
        <v>83</v>
      </c>
      <c r="O251" s="130" t="s">
        <v>95</v>
      </c>
      <c r="P251" s="27">
        <v>0</v>
      </c>
      <c r="Q251" s="27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27"/>
      <c r="W251" s="27" t="s">
        <v>88</v>
      </c>
      <c r="X251" s="27">
        <v>0</v>
      </c>
      <c r="Y251" s="14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27">
        <v>1</v>
      </c>
      <c r="AJ251" s="27"/>
      <c r="AK251" s="27">
        <v>1</v>
      </c>
      <c r="AL251" s="27">
        <v>1</v>
      </c>
      <c r="AM251" s="148" t="s">
        <v>83</v>
      </c>
      <c r="AN251" s="27">
        <v>1</v>
      </c>
      <c r="AO251" s="27">
        <v>1</v>
      </c>
      <c r="AP251" s="27">
        <v>1</v>
      </c>
    </row>
    <row r="252" spans="1:42">
      <c r="A252" s="127"/>
      <c r="B252" s="27" t="str">
        <f>物品!B252</f>
        <v>IC04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攻击力中</v>
      </c>
      <c r="I252" s="27">
        <f>VLOOKUP(B252,物品!B:CV,99,FALSE)</f>
        <v>0</v>
      </c>
      <c r="J252" s="129" t="str">
        <f t="shared" si="99"/>
        <v>攻击力中</v>
      </c>
      <c r="K252" s="129">
        <f t="shared" si="100"/>
        <v>0</v>
      </c>
      <c r="L252" s="27"/>
      <c r="M252" s="130">
        <f>VLOOKUP(LEFT(RIGHT(B252,5),4),物品!B:CU,20,FALSE)</f>
        <v>0</v>
      </c>
      <c r="N252" s="148" t="s">
        <v>83</v>
      </c>
      <c r="O252" s="130" t="s">
        <v>95</v>
      </c>
      <c r="P252" s="27">
        <v>0</v>
      </c>
      <c r="Q252" s="27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27"/>
      <c r="W252" s="27" t="s">
        <v>88</v>
      </c>
      <c r="X252" s="27">
        <v>0</v>
      </c>
      <c r="Y252" s="14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27">
        <v>1</v>
      </c>
      <c r="AJ252" s="27"/>
      <c r="AK252" s="27">
        <v>1</v>
      </c>
      <c r="AL252" s="27">
        <v>1</v>
      </c>
      <c r="AM252" s="148" t="s">
        <v>83</v>
      </c>
      <c r="AN252" s="27">
        <v>1</v>
      </c>
      <c r="AO252" s="27">
        <v>1</v>
      </c>
      <c r="AP252" s="27">
        <v>1</v>
      </c>
    </row>
    <row r="253" spans="1:42">
      <c r="A253" s="127"/>
      <c r="B253" s="27" t="str">
        <f>物品!B253</f>
        <v>IC05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攻击力高</v>
      </c>
      <c r="I253" s="27">
        <f>VLOOKUP(B253,物品!B:CV,99,FALSE)</f>
        <v>0</v>
      </c>
      <c r="J253" s="129" t="str">
        <f t="shared" si="99"/>
        <v>攻击力高</v>
      </c>
      <c r="K253" s="129">
        <f t="shared" si="100"/>
        <v>0</v>
      </c>
      <c r="L253" s="27"/>
      <c r="M253" s="130">
        <f>VLOOKUP(LEFT(RIGHT(B253,5),4),物品!B:CU,20,FALSE)</f>
        <v>0</v>
      </c>
      <c r="N253" s="148" t="s">
        <v>83</v>
      </c>
      <c r="O253" s="130" t="s">
        <v>95</v>
      </c>
      <c r="P253" s="27">
        <v>0</v>
      </c>
      <c r="Q253" s="27">
        <v>0</v>
      </c>
      <c r="R253" s="148" t="s">
        <v>83</v>
      </c>
      <c r="S253" s="148" t="s">
        <v>83</v>
      </c>
      <c r="T253" s="148" t="s">
        <v>83</v>
      </c>
      <c r="U253" s="148" t="s">
        <v>83</v>
      </c>
      <c r="V253" s="27"/>
      <c r="W253" s="27" t="s">
        <v>88</v>
      </c>
      <c r="X253" s="27">
        <v>0</v>
      </c>
      <c r="Y253" s="148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48" t="s">
        <v>83</v>
      </c>
      <c r="AF253" s="148" t="s">
        <v>83</v>
      </c>
      <c r="AG253" s="148" t="s">
        <v>83</v>
      </c>
      <c r="AH253" s="148" t="s">
        <v>83</v>
      </c>
      <c r="AI253" s="27">
        <v>1</v>
      </c>
      <c r="AJ253" s="27"/>
      <c r="AK253" s="27">
        <v>1</v>
      </c>
      <c r="AL253" s="27">
        <v>1</v>
      </c>
      <c r="AM253" s="148" t="s">
        <v>83</v>
      </c>
      <c r="AN253" s="27">
        <v>1</v>
      </c>
      <c r="AO253" s="27">
        <v>1</v>
      </c>
      <c r="AP253" s="27">
        <v>1</v>
      </c>
    </row>
    <row r="254" spans="1:42">
      <c r="A254" s="127"/>
      <c r="B254" s="27" t="str">
        <f>物品!B254</f>
        <v>IC06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生命值低</v>
      </c>
      <c r="I254" s="27">
        <f>VLOOKUP(B254,物品!B:CV,99,FALSE)</f>
        <v>0</v>
      </c>
      <c r="J254" s="129" t="str">
        <f t="shared" si="99"/>
        <v>生命值低</v>
      </c>
      <c r="K254" s="129">
        <f t="shared" si="100"/>
        <v>0</v>
      </c>
      <c r="L254" s="27"/>
      <c r="M254" s="130">
        <f>VLOOKUP(LEFT(RIGHT(B254,5),4),物品!B:CU,20,FALSE)</f>
        <v>0</v>
      </c>
      <c r="N254" s="148" t="s">
        <v>83</v>
      </c>
      <c r="O254" s="130" t="s">
        <v>95</v>
      </c>
      <c r="P254" s="27">
        <v>0</v>
      </c>
      <c r="Q254" s="27">
        <v>0</v>
      </c>
      <c r="R254" s="148" t="s">
        <v>83</v>
      </c>
      <c r="S254" s="148" t="s">
        <v>83</v>
      </c>
      <c r="T254" s="148" t="s">
        <v>83</v>
      </c>
      <c r="U254" s="148" t="s">
        <v>83</v>
      </c>
      <c r="V254" s="27"/>
      <c r="W254" s="27" t="s">
        <v>88</v>
      </c>
      <c r="X254" s="27">
        <v>0</v>
      </c>
      <c r="Y254" s="148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48" t="s">
        <v>83</v>
      </c>
      <c r="AF254" s="148" t="s">
        <v>83</v>
      </c>
      <c r="AG254" s="148" t="s">
        <v>83</v>
      </c>
      <c r="AH254" s="148" t="s">
        <v>83</v>
      </c>
      <c r="AI254" s="27">
        <v>1</v>
      </c>
      <c r="AJ254" s="27"/>
      <c r="AK254" s="27">
        <v>1</v>
      </c>
      <c r="AL254" s="27">
        <v>1</v>
      </c>
      <c r="AM254" s="148" t="s">
        <v>83</v>
      </c>
      <c r="AN254" s="27">
        <v>1</v>
      </c>
      <c r="AO254" s="27">
        <v>1</v>
      </c>
      <c r="AP254" s="27">
        <v>1</v>
      </c>
    </row>
    <row r="255" spans="1:42">
      <c r="A255" s="127"/>
      <c r="B255" s="27" t="str">
        <f>物品!B255</f>
        <v>IC07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生命值中</v>
      </c>
      <c r="I255" s="27">
        <f>VLOOKUP(B255,物品!B:CV,99,FALSE)</f>
        <v>0</v>
      </c>
      <c r="J255" s="129" t="str">
        <f t="shared" si="99"/>
        <v>生命值中</v>
      </c>
      <c r="K255" s="129">
        <f t="shared" si="100"/>
        <v>0</v>
      </c>
      <c r="L255" s="27"/>
      <c r="M255" s="130">
        <f>VLOOKUP(LEFT(RIGHT(B255,5),4),物品!B:CU,20,FALSE)</f>
        <v>0</v>
      </c>
      <c r="N255" s="148" t="s">
        <v>83</v>
      </c>
      <c r="O255" s="130" t="s">
        <v>95</v>
      </c>
      <c r="P255" s="27">
        <v>0</v>
      </c>
      <c r="Q255" s="27">
        <v>0</v>
      </c>
      <c r="R255" s="148" t="s">
        <v>83</v>
      </c>
      <c r="S255" s="148" t="s">
        <v>83</v>
      </c>
      <c r="T255" s="148" t="s">
        <v>83</v>
      </c>
      <c r="U255" s="148" t="s">
        <v>83</v>
      </c>
      <c r="V255" s="27"/>
      <c r="W255" s="27" t="s">
        <v>88</v>
      </c>
      <c r="X255" s="27">
        <v>0</v>
      </c>
      <c r="Y255" s="148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48" t="s">
        <v>83</v>
      </c>
      <c r="AF255" s="148" t="s">
        <v>83</v>
      </c>
      <c r="AG255" s="148" t="s">
        <v>83</v>
      </c>
      <c r="AH255" s="148" t="s">
        <v>83</v>
      </c>
      <c r="AI255" s="27">
        <v>1</v>
      </c>
      <c r="AJ255" s="27"/>
      <c r="AK255" s="27">
        <v>1</v>
      </c>
      <c r="AL255" s="27">
        <v>1</v>
      </c>
      <c r="AM255" s="148" t="s">
        <v>83</v>
      </c>
      <c r="AN255" s="27">
        <v>1</v>
      </c>
      <c r="AO255" s="27">
        <v>1</v>
      </c>
      <c r="AP255" s="27">
        <v>1</v>
      </c>
    </row>
    <row r="256" spans="1:42">
      <c r="A256" s="127"/>
      <c r="B256" s="27" t="str">
        <f>物品!B256</f>
        <v>IC08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生命值高</v>
      </c>
      <c r="I256" s="27">
        <f>VLOOKUP(B256,物品!B:CV,99,FALSE)</f>
        <v>0</v>
      </c>
      <c r="J256" s="129" t="str">
        <f t="shared" si="99"/>
        <v>生命值高</v>
      </c>
      <c r="K256" s="129">
        <f t="shared" si="100"/>
        <v>0</v>
      </c>
      <c r="L256" s="27"/>
      <c r="M256" s="130">
        <f>VLOOKUP(LEFT(RIGHT(B256,5),4),物品!B:CU,20,FALSE)</f>
        <v>0</v>
      </c>
      <c r="N256" s="148" t="s">
        <v>83</v>
      </c>
      <c r="O256" s="130" t="s">
        <v>95</v>
      </c>
      <c r="P256" s="27">
        <v>0</v>
      </c>
      <c r="Q256" s="27">
        <v>0</v>
      </c>
      <c r="R256" s="148" t="s">
        <v>83</v>
      </c>
      <c r="S256" s="148" t="s">
        <v>83</v>
      </c>
      <c r="T256" s="148" t="s">
        <v>83</v>
      </c>
      <c r="U256" s="148" t="s">
        <v>83</v>
      </c>
      <c r="V256" s="27"/>
      <c r="W256" s="27" t="s">
        <v>88</v>
      </c>
      <c r="X256" s="27">
        <v>0</v>
      </c>
      <c r="Y256" s="148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48" t="s">
        <v>83</v>
      </c>
      <c r="AF256" s="148" t="s">
        <v>83</v>
      </c>
      <c r="AG256" s="148" t="s">
        <v>83</v>
      </c>
      <c r="AH256" s="148" t="s">
        <v>83</v>
      </c>
      <c r="AI256" s="27">
        <v>1</v>
      </c>
      <c r="AJ256" s="27"/>
      <c r="AK256" s="27">
        <v>1</v>
      </c>
      <c r="AL256" s="27">
        <v>1</v>
      </c>
      <c r="AM256" s="148" t="s">
        <v>83</v>
      </c>
      <c r="AN256" s="27">
        <v>1</v>
      </c>
      <c r="AO256" s="27">
        <v>1</v>
      </c>
      <c r="AP256" s="27">
        <v>1</v>
      </c>
    </row>
    <row r="257" spans="1:42">
      <c r="A257" s="127"/>
      <c r="B257" s="27" t="str">
        <f>物品!B257</f>
        <v>IC09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业力低</v>
      </c>
      <c r="I257" s="27">
        <f>VLOOKUP(B257,物品!B:CV,99,FALSE)</f>
        <v>0</v>
      </c>
      <c r="J257" s="129" t="str">
        <f t="shared" si="99"/>
        <v>业力低</v>
      </c>
      <c r="K257" s="129">
        <f t="shared" si="100"/>
        <v>0</v>
      </c>
      <c r="L257" s="27"/>
      <c r="M257" s="130">
        <f>VLOOKUP(LEFT(RIGHT(B257,5),4),物品!B:CU,20,FALSE)</f>
        <v>0</v>
      </c>
      <c r="N257" s="148" t="s">
        <v>83</v>
      </c>
      <c r="O257" s="130" t="s">
        <v>95</v>
      </c>
      <c r="P257" s="27">
        <v>0</v>
      </c>
      <c r="Q257" s="27">
        <v>0</v>
      </c>
      <c r="R257" s="148" t="s">
        <v>83</v>
      </c>
      <c r="S257" s="148" t="s">
        <v>83</v>
      </c>
      <c r="T257" s="148" t="s">
        <v>83</v>
      </c>
      <c r="U257" s="148" t="s">
        <v>83</v>
      </c>
      <c r="V257" s="27"/>
      <c r="W257" s="27" t="s">
        <v>88</v>
      </c>
      <c r="X257" s="27">
        <v>0</v>
      </c>
      <c r="Y257" s="148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48" t="s">
        <v>83</v>
      </c>
      <c r="AF257" s="148" t="s">
        <v>83</v>
      </c>
      <c r="AG257" s="148" t="s">
        <v>83</v>
      </c>
      <c r="AH257" s="148" t="s">
        <v>83</v>
      </c>
      <c r="AI257" s="27">
        <v>1</v>
      </c>
      <c r="AJ257" s="27"/>
      <c r="AK257" s="27">
        <v>1</v>
      </c>
      <c r="AL257" s="27">
        <v>1</v>
      </c>
      <c r="AM257" s="148" t="s">
        <v>83</v>
      </c>
      <c r="AN257" s="27">
        <v>1</v>
      </c>
      <c r="AO257" s="27">
        <v>1</v>
      </c>
      <c r="AP257" s="27">
        <v>1</v>
      </c>
    </row>
    <row r="258" spans="1:42">
      <c r="A258" s="127"/>
      <c r="B258" s="27" t="str">
        <f>物品!B258</f>
        <v>IC10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业力中</v>
      </c>
      <c r="I258" s="27">
        <f>VLOOKUP(B258,物品!B:CV,99,FALSE)</f>
        <v>0</v>
      </c>
      <c r="J258" s="129" t="str">
        <f t="shared" si="99"/>
        <v>业力中</v>
      </c>
      <c r="K258" s="129">
        <f t="shared" si="100"/>
        <v>0</v>
      </c>
      <c r="L258" s="27"/>
      <c r="M258" s="130">
        <f>VLOOKUP(LEFT(RIGHT(B258,5),4),物品!B:CU,20,FALSE)</f>
        <v>0</v>
      </c>
      <c r="N258" s="148" t="s">
        <v>83</v>
      </c>
      <c r="O258" s="130" t="s">
        <v>95</v>
      </c>
      <c r="P258" s="27">
        <v>0</v>
      </c>
      <c r="Q258" s="27">
        <v>0</v>
      </c>
      <c r="R258" s="148" t="s">
        <v>83</v>
      </c>
      <c r="S258" s="148" t="s">
        <v>83</v>
      </c>
      <c r="T258" s="148" t="s">
        <v>83</v>
      </c>
      <c r="U258" s="148" t="s">
        <v>83</v>
      </c>
      <c r="V258" s="27"/>
      <c r="W258" s="27" t="s">
        <v>88</v>
      </c>
      <c r="X258" s="27">
        <v>0</v>
      </c>
      <c r="Y258" s="148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48" t="s">
        <v>83</v>
      </c>
      <c r="AF258" s="148" t="s">
        <v>83</v>
      </c>
      <c r="AG258" s="148" t="s">
        <v>83</v>
      </c>
      <c r="AH258" s="148" t="s">
        <v>83</v>
      </c>
      <c r="AI258" s="27">
        <v>1</v>
      </c>
      <c r="AJ258" s="27"/>
      <c r="AK258" s="27">
        <v>1</v>
      </c>
      <c r="AL258" s="27">
        <v>1</v>
      </c>
      <c r="AM258" s="148" t="s">
        <v>83</v>
      </c>
      <c r="AN258" s="27">
        <v>1</v>
      </c>
      <c r="AO258" s="27">
        <v>1</v>
      </c>
      <c r="AP258" s="27">
        <v>1</v>
      </c>
    </row>
    <row r="259" spans="1:42">
      <c r="A259" s="127"/>
      <c r="B259" s="27" t="str">
        <f>物品!B259</f>
        <v>IC11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业力高</v>
      </c>
      <c r="I259" s="27">
        <f>VLOOKUP(B259,物品!B:CV,99,FALSE)</f>
        <v>0</v>
      </c>
      <c r="J259" s="129" t="str">
        <f t="shared" si="99"/>
        <v>业力高</v>
      </c>
      <c r="K259" s="129">
        <f t="shared" si="100"/>
        <v>0</v>
      </c>
      <c r="L259" s="27"/>
      <c r="M259" s="130">
        <f>VLOOKUP(LEFT(RIGHT(B259,5),4),物品!B:CU,20,FALSE)</f>
        <v>0</v>
      </c>
      <c r="N259" s="148" t="s">
        <v>83</v>
      </c>
      <c r="O259" s="130" t="s">
        <v>95</v>
      </c>
      <c r="P259" s="27">
        <v>0</v>
      </c>
      <c r="Q259" s="27">
        <v>0</v>
      </c>
      <c r="R259" s="148" t="s">
        <v>83</v>
      </c>
      <c r="S259" s="148" t="s">
        <v>83</v>
      </c>
      <c r="T259" s="148" t="s">
        <v>83</v>
      </c>
      <c r="U259" s="148" t="s">
        <v>83</v>
      </c>
      <c r="V259" s="27"/>
      <c r="W259" s="27" t="s">
        <v>88</v>
      </c>
      <c r="X259" s="27">
        <v>0</v>
      </c>
      <c r="Y259" s="148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48" t="s">
        <v>83</v>
      </c>
      <c r="AF259" s="148" t="s">
        <v>83</v>
      </c>
      <c r="AG259" s="148" t="s">
        <v>83</v>
      </c>
      <c r="AH259" s="148" t="s">
        <v>83</v>
      </c>
      <c r="AI259" s="27">
        <v>1</v>
      </c>
      <c r="AJ259" s="27"/>
      <c r="AK259" s="27">
        <v>1</v>
      </c>
      <c r="AL259" s="27">
        <v>1</v>
      </c>
      <c r="AM259" s="148" t="s">
        <v>83</v>
      </c>
      <c r="AN259" s="27">
        <v>1</v>
      </c>
      <c r="AO259" s="27">
        <v>1</v>
      </c>
      <c r="AP259" s="27">
        <v>1</v>
      </c>
    </row>
    <row r="260" spans="1:42">
      <c r="A260" s="127"/>
      <c r="B260" s="27"/>
      <c r="C260" s="27"/>
      <c r="D260" s="27"/>
      <c r="E260" s="27"/>
      <c r="F260" s="27"/>
      <c r="G260" s="27"/>
      <c r="H260" s="27"/>
      <c r="I260" s="27"/>
      <c r="J260" s="129"/>
      <c r="K260" s="129"/>
      <c r="L260" s="27"/>
      <c r="M260" s="130"/>
      <c r="N260" s="27"/>
      <c r="O260" s="130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27"/>
      <c r="B261" s="27"/>
      <c r="C261" s="27"/>
      <c r="D261" s="27"/>
      <c r="E261" s="27"/>
      <c r="F261" s="27"/>
      <c r="G261" s="27"/>
      <c r="H261" s="27"/>
      <c r="I261" s="27"/>
      <c r="J261" s="129"/>
      <c r="K261" s="129"/>
      <c r="L261" s="27"/>
      <c r="M261" s="130"/>
      <c r="N261" s="27"/>
      <c r="O261" s="130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27"/>
      <c r="B262" s="27"/>
      <c r="C262" s="27"/>
      <c r="D262" s="27"/>
      <c r="E262" s="27"/>
      <c r="F262" s="27"/>
      <c r="G262" s="27"/>
      <c r="H262" s="27"/>
      <c r="I262" s="27"/>
      <c r="J262" s="129"/>
      <c r="K262" s="129"/>
      <c r="L262" s="27"/>
      <c r="M262" s="130"/>
      <c r="N262" s="27"/>
      <c r="O262" s="130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27"/>
      <c r="B263" s="27"/>
      <c r="C263" s="27"/>
      <c r="D263" s="27"/>
      <c r="E263" s="27"/>
      <c r="F263" s="27"/>
      <c r="G263" s="27"/>
      <c r="H263" s="27"/>
      <c r="I263" s="27"/>
      <c r="J263" s="129"/>
      <c r="K263" s="129"/>
      <c r="L263" s="27"/>
      <c r="M263" s="130"/>
      <c r="N263" s="27"/>
      <c r="O263" s="130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27"/>
      <c r="B264" s="27"/>
      <c r="C264" s="27"/>
      <c r="D264" s="27"/>
      <c r="E264" s="27"/>
      <c r="F264" s="27"/>
      <c r="G264" s="27"/>
      <c r="H264" s="27"/>
      <c r="I264" s="27"/>
      <c r="J264" s="129"/>
      <c r="K264" s="129"/>
      <c r="L264" s="27"/>
      <c r="M264" s="130"/>
      <c r="N264" s="27"/>
      <c r="O264" s="130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27"/>
      <c r="B265" s="27"/>
      <c r="C265" s="27"/>
      <c r="D265" s="27"/>
      <c r="E265" s="27"/>
      <c r="F265" s="27"/>
      <c r="G265" s="27"/>
      <c r="H265" s="27"/>
      <c r="I265" s="27"/>
      <c r="J265" s="129"/>
      <c r="K265" s="129"/>
      <c r="L265" s="27"/>
      <c r="M265" s="130"/>
      <c r="N265" s="27"/>
      <c r="O265" s="130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27"/>
      <c r="B266" s="27"/>
      <c r="C266" s="27"/>
      <c r="D266" s="27"/>
      <c r="E266" s="27"/>
      <c r="F266" s="27"/>
      <c r="G266" s="27"/>
      <c r="H266" s="27"/>
      <c r="I266" s="27"/>
      <c r="J266" s="129"/>
      <c r="K266" s="129"/>
      <c r="L266" s="27"/>
      <c r="M266" s="130"/>
      <c r="N266" s="27"/>
      <c r="O266" s="130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27"/>
      <c r="B267" s="27"/>
      <c r="C267" s="27"/>
      <c r="D267" s="27"/>
      <c r="E267" s="27"/>
      <c r="F267" s="27"/>
      <c r="G267" s="27"/>
      <c r="H267" s="27"/>
      <c r="I267" s="27"/>
      <c r="J267" s="129"/>
      <c r="K267" s="129"/>
      <c r="L267" s="27"/>
      <c r="M267" s="130"/>
      <c r="N267" s="27"/>
      <c r="O267" s="130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27"/>
      <c r="B268" s="27"/>
      <c r="C268" s="27"/>
      <c r="D268" s="27"/>
      <c r="E268" s="27"/>
      <c r="F268" s="27"/>
      <c r="G268" s="27"/>
      <c r="H268" s="27"/>
      <c r="I268" s="27"/>
      <c r="J268" s="129"/>
      <c r="K268" s="129"/>
      <c r="L268" s="27"/>
      <c r="M268" s="130"/>
      <c r="N268" s="27"/>
      <c r="O268" s="130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27"/>
      <c r="B269" s="27"/>
      <c r="C269" s="27"/>
      <c r="D269" s="27"/>
      <c r="E269" s="27"/>
      <c r="F269" s="27"/>
      <c r="G269" s="27"/>
      <c r="H269" s="27"/>
      <c r="I269" s="27"/>
      <c r="J269" s="129"/>
      <c r="K269" s="129"/>
      <c r="L269" s="27"/>
      <c r="M269" s="130"/>
      <c r="N269" s="27"/>
      <c r="O269" s="130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27"/>
      <c r="B270" s="27"/>
      <c r="C270" s="27"/>
      <c r="D270" s="27"/>
      <c r="E270" s="27"/>
      <c r="F270" s="27"/>
      <c r="G270" s="27"/>
      <c r="H270" s="27"/>
      <c r="I270" s="27"/>
      <c r="J270" s="129"/>
      <c r="K270" s="129"/>
      <c r="L270" s="27"/>
      <c r="M270" s="130"/>
      <c r="N270" s="27"/>
      <c r="O270" s="130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27"/>
      <c r="B271" s="27"/>
      <c r="C271" s="27"/>
      <c r="D271" s="27"/>
      <c r="E271" s="27"/>
      <c r="F271" s="27"/>
      <c r="G271" s="27"/>
      <c r="H271" s="27"/>
      <c r="I271" s="27"/>
      <c r="J271" s="129"/>
      <c r="K271" s="129"/>
      <c r="L271" s="27"/>
      <c r="M271" s="130"/>
      <c r="N271" s="27"/>
      <c r="O271" s="130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27"/>
      <c r="B272" s="27"/>
      <c r="C272" s="27"/>
      <c r="D272" s="27"/>
      <c r="E272" s="27"/>
      <c r="F272" s="27"/>
      <c r="G272" s="27"/>
      <c r="H272" s="27"/>
      <c r="I272" s="27"/>
      <c r="J272" s="129"/>
      <c r="K272" s="129"/>
      <c r="L272" s="27"/>
      <c r="M272" s="130"/>
      <c r="N272" s="27"/>
      <c r="O272" s="130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27"/>
      <c r="B273" s="27"/>
      <c r="C273" s="27"/>
      <c r="D273" s="27"/>
      <c r="E273" s="27"/>
      <c r="F273" s="27"/>
      <c r="G273" s="27"/>
      <c r="H273" s="27"/>
      <c r="I273" s="27"/>
      <c r="J273" s="129"/>
      <c r="K273" s="129"/>
      <c r="L273" s="27"/>
      <c r="M273" s="130"/>
      <c r="N273" s="27"/>
      <c r="O273" s="130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27"/>
      <c r="B274" s="27"/>
      <c r="C274" s="27"/>
      <c r="D274" s="27"/>
      <c r="E274" s="27"/>
      <c r="F274" s="27"/>
      <c r="G274" s="27"/>
      <c r="H274" s="27"/>
      <c r="I274" s="27"/>
      <c r="J274" s="129"/>
      <c r="K274" s="129"/>
      <c r="L274" s="27"/>
      <c r="M274" s="130"/>
      <c r="N274" s="27"/>
      <c r="O274" s="130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27"/>
      <c r="B275" s="27"/>
      <c r="C275" s="27"/>
      <c r="D275" s="27"/>
      <c r="E275" s="27"/>
      <c r="F275" s="27"/>
      <c r="G275" s="27"/>
      <c r="H275" s="27"/>
      <c r="I275" s="27"/>
      <c r="J275" s="129"/>
      <c r="K275" s="129"/>
      <c r="L275" s="27"/>
      <c r="M275" s="130"/>
      <c r="N275" s="27"/>
      <c r="O275" s="130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27"/>
      <c r="B276" s="27"/>
      <c r="C276" s="27"/>
      <c r="D276" s="27"/>
      <c r="E276" s="27"/>
      <c r="F276" s="27"/>
      <c r="G276" s="27"/>
      <c r="H276" s="27"/>
      <c r="I276" s="27"/>
      <c r="J276" s="129"/>
      <c r="K276" s="129"/>
      <c r="L276" s="27"/>
      <c r="M276" s="130"/>
      <c r="N276" s="27"/>
      <c r="O276" s="130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27"/>
      <c r="B277" s="27"/>
      <c r="C277" s="27"/>
      <c r="D277" s="27"/>
      <c r="E277" s="27"/>
      <c r="F277" s="27"/>
      <c r="G277" s="27"/>
      <c r="H277" s="27"/>
      <c r="I277" s="27"/>
      <c r="J277" s="129"/>
      <c r="K277" s="129"/>
      <c r="L277" s="27"/>
      <c r="M277" s="130"/>
      <c r="N277" s="27"/>
      <c r="O277" s="130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27"/>
      <c r="B278" s="27"/>
      <c r="C278" s="27"/>
      <c r="D278" s="27"/>
      <c r="E278" s="27"/>
      <c r="F278" s="27"/>
      <c r="G278" s="27"/>
      <c r="H278" s="27"/>
      <c r="I278" s="27"/>
      <c r="J278" s="129"/>
      <c r="K278" s="129"/>
      <c r="L278" s="27"/>
      <c r="M278" s="130"/>
      <c r="N278" s="27"/>
      <c r="O278" s="130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27"/>
      <c r="B279" s="27"/>
      <c r="C279" s="27"/>
      <c r="D279" s="27"/>
      <c r="E279" s="27"/>
      <c r="F279" s="27"/>
      <c r="G279" s="27"/>
      <c r="H279" s="27"/>
      <c r="I279" s="27"/>
      <c r="J279" s="129"/>
      <c r="K279" s="129"/>
      <c r="L279" s="27"/>
      <c r="M279" s="130"/>
      <c r="N279" s="27"/>
      <c r="O279" s="130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27"/>
      <c r="B280" s="27"/>
      <c r="C280" s="27"/>
      <c r="D280" s="27"/>
      <c r="E280" s="27"/>
      <c r="F280" s="27"/>
      <c r="G280" s="27"/>
      <c r="H280" s="27"/>
      <c r="I280" s="27"/>
      <c r="J280" s="129"/>
      <c r="K280" s="129"/>
      <c r="L280" s="27"/>
      <c r="M280" s="130"/>
      <c r="N280" s="27"/>
      <c r="O280" s="130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27"/>
      <c r="B281" s="27"/>
      <c r="C281" s="27"/>
      <c r="D281" s="27"/>
      <c r="E281" s="27"/>
      <c r="F281" s="27"/>
      <c r="G281" s="27"/>
      <c r="H281" s="27"/>
      <c r="I281" s="27"/>
      <c r="J281" s="129"/>
      <c r="K281" s="129"/>
      <c r="L281" s="27"/>
      <c r="M281" s="130"/>
      <c r="N281" s="27"/>
      <c r="O281" s="130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27"/>
      <c r="B282" s="27"/>
      <c r="C282" s="27"/>
      <c r="D282" s="27"/>
      <c r="E282" s="27"/>
      <c r="F282" s="27"/>
      <c r="G282" s="27"/>
      <c r="H282" s="27"/>
      <c r="I282" s="27"/>
      <c r="J282" s="129"/>
      <c r="K282" s="129"/>
      <c r="L282" s="27"/>
      <c r="M282" s="130"/>
      <c r="N282" s="27"/>
      <c r="O282" s="130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27"/>
      <c r="B283" s="27"/>
      <c r="C283" s="27"/>
      <c r="D283" s="27"/>
      <c r="E283" s="27"/>
      <c r="F283" s="27"/>
      <c r="G283" s="27"/>
      <c r="H283" s="27"/>
      <c r="I283" s="27"/>
      <c r="J283" s="129"/>
      <c r="K283" s="129"/>
      <c r="L283" s="27"/>
      <c r="M283" s="130"/>
      <c r="N283" s="27"/>
      <c r="O283" s="130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27"/>
      <c r="B284" s="27"/>
      <c r="C284" s="27"/>
      <c r="D284" s="27"/>
      <c r="E284" s="27"/>
      <c r="F284" s="27"/>
      <c r="G284" s="27"/>
      <c r="H284" s="27"/>
      <c r="I284" s="27"/>
      <c r="J284" s="129"/>
      <c r="K284" s="129"/>
      <c r="L284" s="27"/>
      <c r="M284" s="130"/>
      <c r="N284" s="27"/>
      <c r="O284" s="130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27"/>
      <c r="B285" s="27"/>
      <c r="C285" s="27"/>
      <c r="D285" s="27"/>
      <c r="E285" s="27"/>
      <c r="F285" s="27"/>
      <c r="G285" s="27"/>
      <c r="H285" s="27"/>
      <c r="I285" s="27"/>
      <c r="J285" s="129"/>
      <c r="K285" s="129"/>
      <c r="L285" s="27"/>
      <c r="M285" s="130"/>
      <c r="N285" s="27"/>
      <c r="O285" s="130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27"/>
      <c r="B286" s="27"/>
      <c r="C286" s="27"/>
      <c r="D286" s="27"/>
      <c r="E286" s="27"/>
      <c r="F286" s="27"/>
      <c r="G286" s="27"/>
      <c r="H286" s="27"/>
      <c r="I286" s="27"/>
      <c r="J286" s="129"/>
      <c r="K286" s="129"/>
      <c r="L286" s="27"/>
      <c r="M286" s="130"/>
      <c r="N286" s="27"/>
      <c r="O286" s="130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27"/>
      <c r="B287" s="27"/>
      <c r="C287" s="27"/>
      <c r="D287" s="27"/>
      <c r="E287" s="27"/>
      <c r="F287" s="27"/>
      <c r="G287" s="27"/>
      <c r="H287" s="27"/>
      <c r="I287" s="27"/>
      <c r="J287" s="129"/>
      <c r="K287" s="129"/>
      <c r="L287" s="27"/>
      <c r="M287" s="130"/>
      <c r="N287" s="27"/>
      <c r="O287" s="130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27"/>
      <c r="B288" s="27"/>
      <c r="C288" s="27"/>
      <c r="D288" s="27"/>
      <c r="E288" s="27"/>
      <c r="F288" s="27"/>
      <c r="G288" s="27"/>
      <c r="H288" s="27"/>
      <c r="I288" s="27"/>
      <c r="J288" s="129"/>
      <c r="K288" s="129"/>
      <c r="L288" s="27"/>
      <c r="M288" s="130"/>
      <c r="N288" s="27"/>
      <c r="O288" s="130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27"/>
      <c r="B289" s="27"/>
      <c r="C289" s="27"/>
      <c r="D289" s="27"/>
      <c r="E289" s="27"/>
      <c r="F289" s="27"/>
      <c r="G289" s="27"/>
      <c r="H289" s="27"/>
      <c r="I289" s="27"/>
      <c r="J289" s="129"/>
      <c r="K289" s="129"/>
      <c r="L289" s="27"/>
      <c r="M289" s="130"/>
      <c r="N289" s="27"/>
      <c r="O289" s="130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27"/>
      <c r="B290" s="27"/>
      <c r="C290" s="27"/>
      <c r="D290" s="27"/>
      <c r="E290" s="27"/>
      <c r="F290" s="27"/>
      <c r="G290" s="27"/>
      <c r="H290" s="27"/>
      <c r="I290" s="27"/>
      <c r="J290" s="129"/>
      <c r="K290" s="129"/>
      <c r="L290" s="27"/>
      <c r="M290" s="130"/>
      <c r="N290" s="27"/>
      <c r="O290" s="130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27"/>
      <c r="B291" s="27"/>
      <c r="C291" s="27"/>
      <c r="D291" s="27"/>
      <c r="E291" s="27"/>
      <c r="F291" s="27"/>
      <c r="G291" s="27"/>
      <c r="H291" s="27"/>
      <c r="I291" s="27"/>
      <c r="J291" s="129"/>
      <c r="K291" s="129"/>
      <c r="L291" s="27"/>
      <c r="M291" s="130"/>
      <c r="N291" s="27"/>
      <c r="O291" s="130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27"/>
      <c r="B292" s="27"/>
      <c r="C292" s="27"/>
      <c r="D292" s="27"/>
      <c r="E292" s="27"/>
      <c r="F292" s="27"/>
      <c r="G292" s="27"/>
      <c r="H292" s="27"/>
      <c r="I292" s="27"/>
      <c r="J292" s="129"/>
      <c r="K292" s="129"/>
      <c r="L292" s="27"/>
      <c r="M292" s="130"/>
      <c r="N292" s="27"/>
      <c r="O292" s="130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27"/>
      <c r="B293" s="27"/>
      <c r="C293" s="27"/>
      <c r="D293" s="27"/>
      <c r="E293" s="27"/>
      <c r="F293" s="27"/>
      <c r="G293" s="27"/>
      <c r="H293" s="27"/>
      <c r="I293" s="27"/>
      <c r="J293" s="129"/>
      <c r="K293" s="129"/>
      <c r="L293" s="27"/>
      <c r="M293" s="130"/>
      <c r="N293" s="27"/>
      <c r="O293" s="130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27"/>
      <c r="B294" s="27"/>
      <c r="C294" s="27"/>
      <c r="D294" s="27"/>
      <c r="E294" s="27"/>
      <c r="F294" s="27"/>
      <c r="G294" s="27"/>
      <c r="H294" s="27"/>
      <c r="I294" s="27"/>
      <c r="J294" s="129"/>
      <c r="K294" s="129"/>
      <c r="L294" s="27"/>
      <c r="M294" s="130"/>
      <c r="N294" s="27"/>
      <c r="O294" s="130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27"/>
      <c r="B295" s="27"/>
      <c r="C295" s="27"/>
      <c r="D295" s="27"/>
      <c r="E295" s="27"/>
      <c r="F295" s="27"/>
      <c r="G295" s="27"/>
      <c r="H295" s="27"/>
      <c r="I295" s="27"/>
      <c r="J295" s="129"/>
      <c r="K295" s="129"/>
      <c r="L295" s="27"/>
      <c r="M295" s="130"/>
      <c r="N295" s="27"/>
      <c r="O295" s="130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27"/>
      <c r="B296" s="27"/>
      <c r="C296" s="27"/>
      <c r="D296" s="27"/>
      <c r="E296" s="27"/>
      <c r="F296" s="27"/>
      <c r="G296" s="27"/>
      <c r="H296" s="27"/>
      <c r="I296" s="27"/>
      <c r="J296" s="129"/>
      <c r="K296" s="129"/>
      <c r="L296" s="27"/>
      <c r="M296" s="130"/>
      <c r="N296" s="27"/>
      <c r="O296" s="130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27"/>
      <c r="B297" s="27"/>
      <c r="C297" s="27"/>
      <c r="D297" s="27"/>
      <c r="E297" s="27"/>
      <c r="F297" s="27"/>
      <c r="G297" s="27"/>
      <c r="H297" s="27"/>
      <c r="I297" s="27"/>
      <c r="J297" s="129"/>
      <c r="K297" s="129"/>
      <c r="L297" s="27"/>
      <c r="M297" s="130"/>
      <c r="N297" s="27"/>
      <c r="O297" s="130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27"/>
      <c r="B298" s="27"/>
      <c r="C298" s="27"/>
      <c r="D298" s="27"/>
      <c r="E298" s="27"/>
      <c r="F298" s="27"/>
      <c r="G298" s="27"/>
      <c r="H298" s="27"/>
      <c r="I298" s="27"/>
      <c r="J298" s="129"/>
      <c r="K298" s="129"/>
      <c r="L298" s="27"/>
      <c r="M298" s="130"/>
      <c r="N298" s="27"/>
      <c r="O298" s="130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27"/>
      <c r="B299" s="27"/>
      <c r="C299" s="27"/>
      <c r="D299" s="27"/>
      <c r="E299" s="27"/>
      <c r="F299" s="27"/>
      <c r="G299" s="27"/>
      <c r="H299" s="27"/>
      <c r="I299" s="27"/>
      <c r="J299" s="129"/>
      <c r="K299" s="129"/>
      <c r="L299" s="27"/>
      <c r="M299" s="130"/>
      <c r="N299" s="27"/>
      <c r="O299" s="130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27"/>
      <c r="B300" s="27"/>
      <c r="C300" s="27"/>
      <c r="D300" s="27"/>
      <c r="E300" s="27"/>
      <c r="F300" s="27"/>
      <c r="G300" s="27"/>
      <c r="H300" s="27"/>
      <c r="I300" s="27"/>
      <c r="J300" s="129"/>
      <c r="K300" s="129"/>
      <c r="L300" s="27"/>
      <c r="M300" s="130"/>
      <c r="N300" s="27"/>
      <c r="O300" s="130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27"/>
      <c r="B301" s="27"/>
      <c r="C301" s="27"/>
      <c r="D301" s="27"/>
      <c r="E301" s="27"/>
      <c r="F301" s="27"/>
      <c r="G301" s="27"/>
      <c r="H301" s="27"/>
      <c r="I301" s="27"/>
      <c r="J301" s="129"/>
      <c r="K301" s="129"/>
      <c r="L301" s="27"/>
      <c r="M301" s="130"/>
      <c r="N301" s="27"/>
      <c r="O301" s="130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27"/>
      <c r="B302" s="27"/>
      <c r="C302" s="27"/>
      <c r="D302" s="27"/>
      <c r="E302" s="27"/>
      <c r="F302" s="27"/>
      <c r="G302" s="27"/>
      <c r="H302" s="27"/>
      <c r="I302" s="27"/>
      <c r="J302" s="129"/>
      <c r="K302" s="129"/>
      <c r="L302" s="27"/>
      <c r="M302" s="130"/>
      <c r="N302" s="27"/>
      <c r="O302" s="130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27"/>
      <c r="B303" s="27"/>
      <c r="C303" s="27"/>
      <c r="D303" s="27"/>
      <c r="E303" s="27"/>
      <c r="F303" s="27"/>
      <c r="G303" s="27"/>
      <c r="H303" s="27"/>
      <c r="I303" s="27"/>
      <c r="J303" s="129"/>
      <c r="K303" s="129"/>
      <c r="L303" s="27"/>
      <c r="M303" s="130"/>
      <c r="N303" s="27"/>
      <c r="O303" s="130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27"/>
      <c r="B304" s="27"/>
      <c r="C304" s="27"/>
      <c r="D304" s="27"/>
      <c r="E304" s="27"/>
      <c r="F304" s="27"/>
      <c r="G304" s="27"/>
      <c r="H304" s="27"/>
      <c r="I304" s="27"/>
      <c r="J304" s="129"/>
      <c r="K304" s="129"/>
      <c r="L304" s="27"/>
      <c r="M304" s="130"/>
      <c r="N304" s="27"/>
      <c r="O304" s="130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27"/>
      <c r="B305" s="27"/>
      <c r="C305" s="27"/>
      <c r="D305" s="27"/>
      <c r="E305" s="27"/>
      <c r="F305" s="27"/>
      <c r="G305" s="27"/>
      <c r="H305" s="27"/>
      <c r="I305" s="27"/>
      <c r="J305" s="129"/>
      <c r="K305" s="129"/>
      <c r="L305" s="27"/>
      <c r="M305" s="130"/>
      <c r="N305" s="27"/>
      <c r="O305" s="130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27"/>
      <c r="B306" s="27"/>
      <c r="C306" s="27"/>
      <c r="D306" s="27"/>
      <c r="E306" s="27"/>
      <c r="F306" s="27"/>
      <c r="G306" s="27"/>
      <c r="H306" s="27"/>
      <c r="I306" s="27"/>
      <c r="J306" s="129"/>
      <c r="K306" s="129"/>
      <c r="L306" s="27"/>
      <c r="M306" s="130"/>
      <c r="N306" s="27"/>
      <c r="O306" s="130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27"/>
      <c r="B307" s="27"/>
      <c r="C307" s="27"/>
      <c r="D307" s="27"/>
      <c r="E307" s="27"/>
      <c r="F307" s="27"/>
      <c r="G307" s="27"/>
      <c r="H307" s="27"/>
      <c r="I307" s="27"/>
      <c r="J307" s="129"/>
      <c r="K307" s="129"/>
      <c r="L307" s="27"/>
      <c r="M307" s="130"/>
      <c r="N307" s="27"/>
      <c r="O307" s="130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B308" s="132"/>
      <c r="C308" s="27"/>
      <c r="D308" s="27"/>
      <c r="E308" s="27"/>
      <c r="H308" s="27"/>
      <c r="J308" s="129"/>
      <c r="K308" s="27"/>
      <c r="L308" s="27"/>
      <c r="O308" s="130"/>
      <c r="P308" s="27"/>
      <c r="Q308" s="27"/>
      <c r="W308" s="123"/>
      <c r="X308" s="123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spans="1:42">
      <c r="B309" s="132"/>
      <c r="C309" s="27"/>
      <c r="D309" s="27"/>
      <c r="E309" s="27"/>
      <c r="H309" s="27"/>
      <c r="J309" s="129"/>
      <c r="K309" s="27"/>
      <c r="L309" s="27"/>
      <c r="O309" s="130"/>
      <c r="P309" s="27"/>
      <c r="Q309" s="27"/>
      <c r="W309" s="123"/>
      <c r="X309" s="123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spans="1:42">
      <c r="B310" s="132"/>
      <c r="C310" s="27"/>
      <c r="D310" s="27"/>
      <c r="E310" s="27"/>
      <c r="H310" s="27"/>
      <c r="J310" s="129"/>
      <c r="K310" s="27"/>
      <c r="L310" s="27"/>
      <c r="O310" s="130"/>
      <c r="P310" s="27"/>
      <c r="Q310" s="27"/>
      <c r="W310" s="123"/>
      <c r="X310" s="123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spans="1:42">
      <c r="B311" s="132"/>
      <c r="C311" s="27"/>
      <c r="D311" s="27"/>
      <c r="E311" s="27"/>
      <c r="H311" s="27"/>
      <c r="J311" s="129"/>
      <c r="K311" s="27"/>
      <c r="L311" s="27"/>
      <c r="O311" s="130"/>
      <c r="P311" s="27"/>
      <c r="Q311" s="27"/>
      <c r="W311" s="123"/>
      <c r="X311" s="123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spans="1:42">
      <c r="B312" s="132"/>
      <c r="C312" s="27"/>
      <c r="D312" s="27"/>
      <c r="E312" s="27"/>
      <c r="H312" s="27"/>
      <c r="J312" s="129"/>
      <c r="K312" s="27"/>
      <c r="L312" s="27"/>
      <c r="O312" s="130"/>
      <c r="P312" s="27"/>
      <c r="Q312" s="27"/>
      <c r="W312" s="123"/>
      <c r="X312" s="123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spans="1:42">
      <c r="B313" s="132"/>
      <c r="C313" s="27"/>
      <c r="D313" s="27"/>
      <c r="E313" s="27"/>
      <c r="H313" s="27"/>
      <c r="J313" s="129"/>
      <c r="K313" s="27"/>
      <c r="L313" s="27"/>
      <c r="O313" s="130"/>
      <c r="P313" s="27"/>
      <c r="Q313" s="27"/>
      <c r="W313" s="123"/>
      <c r="X313" s="123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spans="1:42">
      <c r="B314" s="132"/>
      <c r="C314" s="27"/>
      <c r="D314" s="27"/>
      <c r="E314" s="27"/>
      <c r="H314" s="27"/>
      <c r="J314" s="129"/>
      <c r="K314" s="27"/>
      <c r="L314" s="27"/>
      <c r="O314" s="130"/>
      <c r="P314" s="27"/>
      <c r="Q314" s="27"/>
      <c r="W314" s="123"/>
      <c r="X314" s="123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spans="1:42">
      <c r="B315" s="132"/>
      <c r="C315" s="27"/>
      <c r="D315" s="27"/>
      <c r="E315" s="27"/>
      <c r="H315" s="27"/>
      <c r="J315" s="129"/>
      <c r="K315" s="27"/>
      <c r="L315" s="27"/>
      <c r="O315" s="130"/>
      <c r="P315" s="27"/>
      <c r="Q315" s="27"/>
      <c r="W315" s="123"/>
      <c r="X315" s="123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1:42">
      <c r="B316" s="132"/>
      <c r="C316" s="27"/>
      <c r="D316" s="27"/>
      <c r="E316" s="27"/>
      <c r="H316" s="27"/>
      <c r="J316" s="129"/>
      <c r="K316" s="27"/>
      <c r="L316" s="27"/>
      <c r="O316" s="130"/>
      <c r="P316" s="27"/>
      <c r="Q316" s="27"/>
      <c r="W316" s="123"/>
      <c r="X316" s="123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1:42">
      <c r="B317" s="132"/>
      <c r="C317" s="27"/>
      <c r="D317" s="27"/>
      <c r="E317" s="27"/>
      <c r="H317" s="27"/>
      <c r="J317" s="129"/>
      <c r="K317" s="27"/>
      <c r="L317" s="27"/>
      <c r="O317" s="130"/>
      <c r="P317" s="27"/>
      <c r="Q317" s="27"/>
      <c r="W317" s="123"/>
      <c r="X317" s="123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1:42">
      <c r="B318" s="132"/>
      <c r="C318" s="27"/>
      <c r="D318" s="27"/>
      <c r="E318" s="27"/>
      <c r="H318" s="27"/>
      <c r="J318" s="129"/>
      <c r="K318" s="27"/>
      <c r="L318" s="27"/>
      <c r="O318" s="130"/>
      <c r="P318" s="27"/>
      <c r="Q318" s="27"/>
      <c r="W318" s="123"/>
      <c r="X318" s="123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1:42">
      <c r="B319" s="132"/>
      <c r="C319" s="27"/>
      <c r="D319" s="27"/>
      <c r="E319" s="27"/>
      <c r="H319" s="27"/>
      <c r="J319" s="129"/>
      <c r="K319" s="27"/>
      <c r="L319" s="27"/>
      <c r="O319" s="130"/>
      <c r="P319" s="27"/>
      <c r="Q319" s="27"/>
      <c r="W319" s="123"/>
      <c r="X319" s="123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1:42">
      <c r="B320" s="132"/>
      <c r="C320" s="27"/>
      <c r="D320" s="27"/>
      <c r="E320" s="27"/>
      <c r="H320" s="27"/>
      <c r="J320" s="129"/>
      <c r="K320" s="27"/>
      <c r="L320" s="27"/>
      <c r="O320" s="130"/>
      <c r="P320" s="27"/>
      <c r="Q320" s="27"/>
      <c r="W320" s="123"/>
      <c r="X320" s="123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2"/>
      <c r="C321" s="27"/>
      <c r="D321" s="27"/>
      <c r="E321" s="27"/>
      <c r="H321" s="27"/>
      <c r="J321" s="129"/>
      <c r="K321" s="27"/>
      <c r="L321" s="27"/>
      <c r="O321" s="130"/>
      <c r="P321" s="27"/>
      <c r="Q321" s="27"/>
      <c r="W321" s="123"/>
      <c r="X321" s="123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2"/>
      <c r="C322" s="27"/>
      <c r="D322" s="27"/>
      <c r="E322" s="27"/>
      <c r="H322" s="27"/>
      <c r="J322" s="129"/>
      <c r="K322" s="27"/>
      <c r="L322" s="27"/>
      <c r="O322" s="130"/>
      <c r="P322" s="27"/>
      <c r="Q322" s="27"/>
      <c r="W322" s="123"/>
      <c r="X322" s="123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2"/>
      <c r="C323" s="27"/>
      <c r="D323" s="27"/>
      <c r="E323" s="27"/>
      <c r="H323" s="27"/>
      <c r="J323" s="129"/>
      <c r="K323" s="27"/>
      <c r="L323" s="27"/>
      <c r="O323" s="130"/>
      <c r="P323" s="27"/>
      <c r="Q323" s="27"/>
      <c r="W323" s="123"/>
      <c r="X323" s="123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2"/>
      <c r="C324" s="27"/>
      <c r="D324" s="27"/>
      <c r="E324" s="27"/>
      <c r="H324" s="27"/>
      <c r="J324" s="129"/>
      <c r="K324" s="27"/>
      <c r="L324" s="27"/>
      <c r="O324" s="130"/>
      <c r="P324" s="27"/>
      <c r="Q324" s="27"/>
      <c r="W324" s="123"/>
      <c r="X324" s="123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2"/>
      <c r="C325" s="27"/>
      <c r="D325" s="27"/>
      <c r="E325" s="27"/>
      <c r="H325" s="27"/>
      <c r="J325" s="129"/>
      <c r="K325" s="27"/>
      <c r="L325" s="27"/>
      <c r="O325" s="130"/>
      <c r="P325" s="27"/>
      <c r="Q325" s="27"/>
      <c r="W325" s="123"/>
      <c r="X325" s="123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2"/>
      <c r="C326" s="27"/>
      <c r="D326" s="27"/>
      <c r="E326" s="27"/>
      <c r="H326" s="27"/>
      <c r="J326" s="129"/>
      <c r="K326" s="27"/>
      <c r="L326" s="27"/>
      <c r="O326" s="130"/>
      <c r="P326" s="27"/>
      <c r="Q326" s="27"/>
      <c r="W326" s="123"/>
      <c r="X326" s="123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2"/>
      <c r="C327" s="27"/>
      <c r="D327" s="27"/>
      <c r="E327" s="27"/>
      <c r="H327" s="27"/>
      <c r="J327" s="129"/>
      <c r="K327" s="27"/>
      <c r="L327" s="27"/>
      <c r="O327" s="130"/>
      <c r="P327" s="27"/>
      <c r="Q327" s="27"/>
      <c r="W327" s="123"/>
      <c r="X327" s="123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2"/>
      <c r="C328" s="27"/>
      <c r="D328" s="27"/>
      <c r="E328" s="27"/>
      <c r="H328" s="27"/>
      <c r="J328" s="129"/>
      <c r="K328" s="27"/>
      <c r="L328" s="27"/>
      <c r="O328" s="130"/>
      <c r="P328" s="27"/>
      <c r="Q328" s="27"/>
      <c r="W328" s="123"/>
      <c r="X328" s="123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2"/>
      <c r="C329" s="27"/>
      <c r="D329" s="27"/>
      <c r="E329" s="27"/>
      <c r="H329" s="27"/>
      <c r="J329" s="129"/>
      <c r="K329" s="27"/>
      <c r="L329" s="27"/>
      <c r="O329" s="130"/>
      <c r="P329" s="27"/>
      <c r="Q329" s="27"/>
      <c r="W329" s="123"/>
      <c r="X329" s="123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2"/>
      <c r="C330" s="27"/>
      <c r="D330" s="27"/>
      <c r="E330" s="27"/>
      <c r="H330" s="27"/>
      <c r="J330" s="129"/>
      <c r="K330" s="27"/>
      <c r="L330" s="27"/>
      <c r="O330" s="130"/>
      <c r="P330" s="27"/>
      <c r="Q330" s="27"/>
      <c r="W330" s="123"/>
      <c r="X330" s="123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2"/>
      <c r="C331" s="27"/>
      <c r="D331" s="27"/>
      <c r="E331" s="27"/>
      <c r="H331" s="27"/>
      <c r="J331" s="129"/>
      <c r="K331" s="27"/>
      <c r="L331" s="27"/>
      <c r="O331" s="130"/>
      <c r="P331" s="27"/>
      <c r="Q331" s="27"/>
      <c r="W331" s="123"/>
      <c r="X331" s="123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2"/>
      <c r="C332" s="27"/>
      <c r="D332" s="27"/>
      <c r="E332" s="27"/>
      <c r="H332" s="27"/>
      <c r="J332" s="129"/>
      <c r="K332" s="27"/>
      <c r="L332" s="27"/>
      <c r="O332" s="130"/>
      <c r="P332" s="27"/>
      <c r="Q332" s="27"/>
      <c r="W332" s="123"/>
      <c r="X332" s="123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2"/>
      <c r="C333" s="27"/>
      <c r="D333" s="27"/>
      <c r="E333" s="27"/>
      <c r="H333" s="27"/>
      <c r="J333" s="129"/>
      <c r="K333" s="27"/>
      <c r="L333" s="27"/>
      <c r="O333" s="130"/>
      <c r="P333" s="27"/>
      <c r="Q333" s="27"/>
      <c r="W333" s="123"/>
      <c r="X333" s="123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2"/>
      <c r="C334" s="27"/>
      <c r="D334" s="27"/>
      <c r="E334" s="27"/>
      <c r="H334" s="27"/>
      <c r="J334" s="129"/>
      <c r="K334" s="27"/>
      <c r="L334" s="27"/>
      <c r="O334" s="130"/>
      <c r="P334" s="27"/>
      <c r="Q334" s="27"/>
      <c r="W334" s="123"/>
      <c r="X334" s="123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2"/>
      <c r="C335" s="27"/>
      <c r="D335" s="27"/>
      <c r="E335" s="27"/>
      <c r="H335" s="27"/>
      <c r="J335" s="129"/>
      <c r="K335" s="27"/>
      <c r="L335" s="27"/>
      <c r="O335" s="130"/>
      <c r="P335" s="27"/>
      <c r="Q335" s="27"/>
      <c r="W335" s="123"/>
      <c r="X335" s="123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2"/>
      <c r="C336" s="27"/>
      <c r="D336" s="27"/>
      <c r="E336" s="27"/>
      <c r="H336" s="27"/>
      <c r="J336" s="129"/>
      <c r="K336" s="27"/>
      <c r="L336" s="27"/>
      <c r="O336" s="130"/>
      <c r="P336" s="27"/>
      <c r="Q336" s="27"/>
      <c r="W336" s="123"/>
      <c r="X336" s="123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2"/>
      <c r="C337" s="27"/>
      <c r="D337" s="27"/>
      <c r="E337" s="27"/>
      <c r="H337" s="27"/>
      <c r="J337" s="129"/>
      <c r="K337" s="27"/>
      <c r="L337" s="27"/>
      <c r="O337" s="130"/>
      <c r="P337" s="27"/>
      <c r="Q337" s="27"/>
      <c r="W337" s="123"/>
      <c r="X337" s="123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2"/>
      <c r="C338" s="27"/>
      <c r="D338" s="27"/>
      <c r="E338" s="27"/>
      <c r="H338" s="27"/>
      <c r="J338" s="129"/>
      <c r="K338" s="27"/>
      <c r="L338" s="27"/>
      <c r="O338" s="130"/>
      <c r="P338" s="27"/>
      <c r="Q338" s="27"/>
      <c r="W338" s="123"/>
      <c r="X338" s="123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2"/>
      <c r="C339" s="27"/>
      <c r="D339" s="27"/>
      <c r="E339" s="27"/>
      <c r="H339" s="27"/>
      <c r="J339" s="129"/>
      <c r="K339" s="27"/>
      <c r="L339" s="27"/>
      <c r="O339" s="130"/>
      <c r="P339" s="27"/>
      <c r="Q339" s="27"/>
      <c r="W339" s="123"/>
      <c r="X339" s="123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2"/>
      <c r="C340" s="27"/>
      <c r="D340" s="27"/>
      <c r="E340" s="27"/>
      <c r="H340" s="27"/>
      <c r="J340" s="129"/>
      <c r="K340" s="27"/>
      <c r="L340" s="27"/>
      <c r="O340" s="130"/>
      <c r="P340" s="27"/>
      <c r="Q340" s="27"/>
      <c r="W340" s="123"/>
      <c r="X340" s="123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2"/>
      <c r="C341" s="27"/>
      <c r="D341" s="27"/>
      <c r="E341" s="27"/>
      <c r="H341" s="27"/>
      <c r="J341" s="129"/>
      <c r="K341" s="27"/>
      <c r="L341" s="27"/>
      <c r="O341" s="130"/>
      <c r="P341" s="27"/>
      <c r="Q341" s="27"/>
      <c r="W341" s="123"/>
      <c r="X341" s="123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2"/>
      <c r="C342" s="27"/>
      <c r="D342" s="27"/>
      <c r="E342" s="27"/>
      <c r="H342" s="27"/>
      <c r="J342" s="129"/>
      <c r="K342" s="27"/>
      <c r="L342" s="27"/>
      <c r="O342" s="130"/>
      <c r="P342" s="27"/>
      <c r="Q342" s="27"/>
      <c r="W342" s="123"/>
      <c r="X342" s="123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2"/>
      <c r="C343" s="27"/>
      <c r="D343" s="27"/>
      <c r="E343" s="27"/>
      <c r="H343" s="27"/>
      <c r="J343" s="129"/>
      <c r="K343" s="27"/>
      <c r="L343" s="27"/>
      <c r="O343" s="130"/>
      <c r="P343" s="27"/>
      <c r="Q343" s="27"/>
      <c r="W343" s="123"/>
      <c r="X343" s="123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2"/>
      <c r="C344" s="27"/>
      <c r="D344" s="27"/>
      <c r="E344" s="27"/>
      <c r="H344" s="27"/>
      <c r="J344" s="129"/>
      <c r="K344" s="27"/>
      <c r="L344" s="27"/>
      <c r="O344" s="130"/>
      <c r="P344" s="27"/>
      <c r="Q344" s="27"/>
      <c r="W344" s="123"/>
      <c r="X344" s="123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2"/>
      <c r="C345" s="27"/>
      <c r="D345" s="27"/>
      <c r="E345" s="27"/>
      <c r="H345" s="27"/>
      <c r="J345" s="129"/>
      <c r="K345" s="27"/>
      <c r="L345" s="27"/>
      <c r="O345" s="130"/>
      <c r="P345" s="27"/>
      <c r="Q345" s="27"/>
      <c r="W345" s="123"/>
      <c r="X345" s="123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2"/>
      <c r="C346" s="27"/>
      <c r="D346" s="27"/>
      <c r="E346" s="27"/>
      <c r="H346" s="27"/>
      <c r="J346" s="129"/>
      <c r="K346" s="27"/>
      <c r="L346" s="27"/>
      <c r="O346" s="130"/>
      <c r="P346" s="27"/>
      <c r="Q346" s="27"/>
      <c r="W346" s="123"/>
      <c r="X346" s="123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2"/>
      <c r="C347" s="27"/>
      <c r="D347" s="27"/>
      <c r="E347" s="27"/>
      <c r="H347" s="27"/>
      <c r="J347" s="129"/>
      <c r="K347" s="27"/>
      <c r="L347" s="27"/>
      <c r="O347" s="130"/>
      <c r="P347" s="27"/>
      <c r="Q347" s="27"/>
      <c r="W347" s="123"/>
      <c r="X347" s="123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2"/>
      <c r="C348" s="27"/>
      <c r="D348" s="27"/>
      <c r="E348" s="27"/>
      <c r="H348" s="27"/>
      <c r="J348" s="129"/>
      <c r="K348" s="27"/>
      <c r="L348" s="27"/>
      <c r="O348" s="130"/>
      <c r="P348" s="27"/>
      <c r="Q348" s="27"/>
      <c r="W348" s="123"/>
      <c r="X348" s="123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2"/>
      <c r="C349" s="27"/>
      <c r="D349" s="27"/>
      <c r="E349" s="27"/>
      <c r="H349" s="27"/>
      <c r="J349" s="129"/>
      <c r="K349" s="27"/>
      <c r="L349" s="27"/>
      <c r="O349" s="130"/>
      <c r="P349" s="27"/>
      <c r="Q349" s="27"/>
      <c r="W349" s="123"/>
      <c r="X349" s="123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2"/>
      <c r="C350" s="27"/>
      <c r="D350" s="27"/>
      <c r="E350" s="27"/>
      <c r="H350" s="27"/>
      <c r="J350" s="129"/>
      <c r="K350" s="27"/>
      <c r="L350" s="27"/>
      <c r="O350" s="130"/>
      <c r="P350" s="27"/>
      <c r="Q350" s="27"/>
      <c r="W350" s="123"/>
      <c r="X350" s="123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2"/>
      <c r="C351" s="27"/>
      <c r="D351" s="27"/>
      <c r="E351" s="27"/>
      <c r="H351" s="27"/>
      <c r="J351" s="129"/>
      <c r="K351" s="27"/>
      <c r="L351" s="27"/>
      <c r="O351" s="130"/>
      <c r="P351" s="27"/>
      <c r="Q351" s="27"/>
      <c r="W351" s="123"/>
      <c r="X351" s="123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2"/>
      <c r="C352" s="27"/>
      <c r="D352" s="27"/>
      <c r="E352" s="27"/>
      <c r="H352" s="27"/>
      <c r="J352" s="129"/>
      <c r="K352" s="27"/>
      <c r="L352" s="27"/>
      <c r="O352" s="130"/>
      <c r="P352" s="27"/>
      <c r="Q352" s="27"/>
      <c r="W352" s="123"/>
      <c r="X352" s="123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2"/>
      <c r="C353" s="27"/>
      <c r="D353" s="27"/>
      <c r="E353" s="27"/>
      <c r="H353" s="27"/>
      <c r="J353" s="129"/>
      <c r="K353" s="27"/>
      <c r="L353" s="27"/>
      <c r="O353" s="130"/>
      <c r="P353" s="27"/>
      <c r="Q353" s="27"/>
      <c r="W353" s="123"/>
      <c r="X353" s="123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2"/>
      <c r="C354" s="27"/>
      <c r="D354" s="27"/>
      <c r="E354" s="27"/>
      <c r="H354" s="27"/>
      <c r="J354" s="129"/>
      <c r="K354" s="27"/>
      <c r="L354" s="27"/>
      <c r="O354" s="130"/>
      <c r="P354" s="27"/>
      <c r="Q354" s="27"/>
      <c r="W354" s="123"/>
      <c r="X354" s="123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2"/>
      <c r="C355" s="27"/>
      <c r="D355" s="27"/>
      <c r="E355" s="27"/>
      <c r="H355" s="27"/>
      <c r="J355" s="129"/>
      <c r="K355" s="27"/>
      <c r="L355" s="27"/>
      <c r="O355" s="130"/>
      <c r="P355" s="27"/>
      <c r="Q355" s="27"/>
      <c r="W355" s="123"/>
      <c r="X355" s="123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2"/>
      <c r="C356" s="27"/>
      <c r="D356" s="27"/>
      <c r="E356" s="27"/>
      <c r="H356" s="27"/>
      <c r="J356" s="129"/>
      <c r="K356" s="27"/>
      <c r="L356" s="27"/>
      <c r="O356" s="130"/>
      <c r="P356" s="27"/>
      <c r="Q356" s="27"/>
      <c r="W356" s="123"/>
      <c r="X356" s="123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32"/>
      <c r="C357" s="27"/>
      <c r="D357" s="27"/>
      <c r="E357" s="27"/>
      <c r="H357" s="27"/>
      <c r="J357" s="129"/>
      <c r="K357" s="27"/>
      <c r="L357" s="27"/>
      <c r="O357" s="130"/>
      <c r="P357" s="27"/>
      <c r="Q357" s="27"/>
      <c r="W357" s="123"/>
      <c r="X357" s="123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32"/>
      <c r="C358" s="27"/>
      <c r="D358" s="27"/>
      <c r="E358" s="27"/>
      <c r="H358" s="27"/>
      <c r="J358" s="129"/>
      <c r="K358" s="27"/>
      <c r="L358" s="27"/>
      <c r="O358" s="130"/>
      <c r="P358" s="27"/>
      <c r="Q358" s="27"/>
      <c r="W358" s="123"/>
      <c r="X358" s="123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32"/>
      <c r="C359" s="27"/>
      <c r="D359" s="27"/>
      <c r="E359" s="27"/>
      <c r="H359" s="27"/>
      <c r="J359" s="129"/>
      <c r="K359" s="27"/>
      <c r="L359" s="27"/>
      <c r="O359" s="130"/>
      <c r="P359" s="27"/>
      <c r="Q359" s="27"/>
      <c r="W359" s="123"/>
      <c r="X359" s="123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32"/>
      <c r="C360" s="27"/>
      <c r="D360" s="27"/>
      <c r="E360" s="27"/>
      <c r="H360" s="27"/>
      <c r="J360" s="129"/>
      <c r="K360" s="27"/>
      <c r="L360" s="27"/>
      <c r="O360" s="130"/>
      <c r="P360" s="27"/>
      <c r="Q360" s="27"/>
      <c r="W360" s="123"/>
      <c r="X360" s="123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23"/>
      <c r="C361" s="27"/>
      <c r="D361" s="27"/>
      <c r="E361" s="27"/>
      <c r="H361" s="27"/>
      <c r="J361" s="129"/>
      <c r="K361" s="27"/>
      <c r="L361" s="27"/>
      <c r="M361" s="133"/>
      <c r="O361" s="130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3"/>
      <c r="C362" s="27"/>
      <c r="D362" s="27"/>
      <c r="E362" s="27"/>
      <c r="H362" s="27"/>
      <c r="J362" s="129"/>
      <c r="K362" s="27"/>
      <c r="L362" s="27"/>
      <c r="M362" s="133"/>
      <c r="O362" s="130"/>
      <c r="P362" s="27"/>
      <c r="Q362" s="27"/>
      <c r="W362" s="27"/>
      <c r="X362" s="27"/>
      <c r="Z362" s="27"/>
      <c r="AA362" s="27"/>
      <c r="AC362" s="27"/>
      <c r="AD362" s="27"/>
      <c r="AJ362" s="27"/>
      <c r="AK362" s="27"/>
      <c r="AO362" s="27"/>
      <c r="AP362" s="27"/>
    </row>
    <row r="363" spans="2:42">
      <c r="B363" s="123"/>
      <c r="C363" s="27"/>
      <c r="D363" s="27"/>
      <c r="E363" s="27"/>
      <c r="H363" s="27"/>
      <c r="J363" s="129"/>
      <c r="K363" s="27"/>
      <c r="L363" s="27"/>
      <c r="M363" s="133"/>
      <c r="O363" s="130"/>
      <c r="P363" s="27"/>
      <c r="Q363" s="27"/>
      <c r="W363" s="27"/>
      <c r="X363" s="27"/>
      <c r="Z363" s="27"/>
      <c r="AA363" s="27"/>
      <c r="AC363" s="27"/>
      <c r="AD363" s="27"/>
      <c r="AJ363" s="27"/>
      <c r="AK363" s="27"/>
      <c r="AO363" s="27"/>
      <c r="AP363" s="27"/>
    </row>
    <row r="364" spans="2:42">
      <c r="B364" s="123"/>
      <c r="C364" s="27"/>
      <c r="D364" s="27"/>
      <c r="E364" s="27"/>
      <c r="H364" s="27"/>
      <c r="J364" s="129"/>
      <c r="K364" s="27"/>
      <c r="L364" s="27"/>
      <c r="M364" s="133"/>
      <c r="O364" s="130"/>
      <c r="P364" s="27"/>
      <c r="Q364" s="27"/>
      <c r="W364" s="27"/>
      <c r="X364" s="27"/>
      <c r="Z364" s="27"/>
      <c r="AA364" s="27"/>
      <c r="AC364" s="27"/>
      <c r="AD364" s="27"/>
      <c r="AJ364" s="27"/>
      <c r="AK364" s="27"/>
      <c r="AO364" s="27"/>
      <c r="AP364" s="27"/>
    </row>
    <row r="365" spans="2:42">
      <c r="B365" s="123"/>
      <c r="C365" s="27"/>
      <c r="D365" s="27"/>
      <c r="E365" s="27"/>
      <c r="H365" s="27"/>
      <c r="J365" s="129"/>
      <c r="K365" s="27"/>
      <c r="L365" s="27"/>
      <c r="M365" s="133"/>
      <c r="O365" s="130"/>
      <c r="P365" s="27"/>
      <c r="Q365" s="27"/>
      <c r="W365" s="27"/>
      <c r="X365" s="27"/>
      <c r="Z365" s="27"/>
      <c r="AA365" s="27"/>
      <c r="AC365" s="27"/>
      <c r="AD365" s="27"/>
      <c r="AJ365" s="27"/>
      <c r="AK365" s="27"/>
      <c r="AO365" s="27"/>
      <c r="AP365" s="27"/>
    </row>
    <row r="366" spans="2:42">
      <c r="B366" s="123"/>
      <c r="C366" s="27"/>
      <c r="D366" s="27"/>
      <c r="E366" s="27"/>
      <c r="H366" s="27"/>
      <c r="J366" s="129"/>
      <c r="K366" s="27"/>
      <c r="L366" s="27"/>
      <c r="M366" s="133"/>
      <c r="O366" s="130"/>
      <c r="P366" s="27"/>
      <c r="Q366" s="27"/>
      <c r="W366" s="27"/>
      <c r="X366" s="27"/>
      <c r="Z366" s="27"/>
      <c r="AA366" s="27"/>
      <c r="AC366" s="27"/>
      <c r="AD366" s="27"/>
      <c r="AJ366" s="27"/>
      <c r="AK366" s="27"/>
      <c r="AO366" s="27"/>
      <c r="AP366" s="27"/>
    </row>
    <row r="367" spans="2:42">
      <c r="B367" s="123"/>
      <c r="C367" s="27"/>
      <c r="D367" s="27"/>
      <c r="E367" s="27"/>
      <c r="H367" s="27"/>
      <c r="J367" s="129"/>
      <c r="K367" s="27"/>
      <c r="L367" s="27"/>
      <c r="M367" s="133"/>
      <c r="P367" s="27"/>
      <c r="Q367" s="27"/>
      <c r="W367" s="27"/>
      <c r="X367" s="2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23"/>
      <c r="C368" s="27"/>
      <c r="D368" s="27"/>
      <c r="E368" s="27"/>
      <c r="H368" s="27"/>
      <c r="J368" s="129"/>
      <c r="K368" s="27"/>
      <c r="L368" s="27"/>
      <c r="M368" s="133"/>
      <c r="P368" s="27"/>
      <c r="Q368" s="27"/>
      <c r="W368" s="27"/>
      <c r="X368" s="27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23"/>
      <c r="C369" s="27"/>
      <c r="D369" s="27"/>
      <c r="E369" s="27"/>
      <c r="H369" s="27"/>
      <c r="J369" s="129"/>
      <c r="K369" s="27"/>
      <c r="L369" s="27"/>
      <c r="M369" s="133"/>
      <c r="P369" s="27"/>
      <c r="Q369" s="27"/>
      <c r="W369" s="27"/>
      <c r="X369" s="27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23"/>
      <c r="C370" s="27"/>
      <c r="D370" s="27"/>
      <c r="E370" s="27"/>
      <c r="H370" s="27"/>
      <c r="J370" s="129"/>
      <c r="K370" s="27"/>
      <c r="L370" s="27"/>
      <c r="M370" s="133"/>
      <c r="P370" s="27"/>
      <c r="Q370" s="27"/>
      <c r="W370" s="27"/>
      <c r="X370" s="2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23"/>
      <c r="C371" s="27"/>
      <c r="D371" s="27"/>
      <c r="E371" s="27"/>
      <c r="H371" s="27"/>
      <c r="J371" s="129"/>
      <c r="K371" s="27"/>
      <c r="L371" s="27"/>
      <c r="M371" s="133"/>
      <c r="P371" s="27"/>
      <c r="Q371" s="27"/>
      <c r="W371" s="27"/>
      <c r="X371" s="2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23"/>
      <c r="C372" s="27"/>
      <c r="D372" s="27"/>
      <c r="E372" s="27"/>
      <c r="H372" s="27"/>
      <c r="J372" s="134"/>
      <c r="K372" s="123"/>
      <c r="L372" s="27"/>
      <c r="M372" s="133"/>
      <c r="O372" s="130"/>
      <c r="P372" s="27"/>
      <c r="Q372" s="27"/>
      <c r="W372" s="123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3"/>
      <c r="C373" s="27"/>
      <c r="D373" s="27"/>
      <c r="E373" s="27"/>
      <c r="H373" s="27"/>
      <c r="J373" s="134"/>
      <c r="K373" s="123"/>
      <c r="L373" s="27"/>
      <c r="M373" s="133"/>
      <c r="O373" s="130"/>
      <c r="P373" s="27"/>
      <c r="Q373" s="27"/>
      <c r="W373" s="123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3"/>
      <c r="C374" s="27"/>
      <c r="D374" s="27"/>
      <c r="E374" s="27"/>
      <c r="H374" s="27"/>
      <c r="J374" s="134"/>
      <c r="K374" s="123"/>
      <c r="L374" s="27"/>
      <c r="M374" s="133"/>
      <c r="O374" s="130"/>
      <c r="P374" s="27"/>
      <c r="Q374" s="27"/>
      <c r="W374" s="123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3"/>
      <c r="C375" s="27"/>
      <c r="D375" s="27"/>
      <c r="E375" s="27"/>
      <c r="H375" s="27"/>
      <c r="J375" s="134"/>
      <c r="K375" s="123"/>
      <c r="L375" s="27"/>
      <c r="M375" s="133"/>
      <c r="O375" s="130"/>
      <c r="P375" s="27"/>
      <c r="Q375" s="27"/>
      <c r="W375" s="123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3"/>
      <c r="C376" s="27"/>
      <c r="D376" s="27"/>
      <c r="E376" s="27"/>
      <c r="H376" s="27"/>
      <c r="J376" s="134"/>
      <c r="K376" s="123"/>
      <c r="L376" s="27"/>
      <c r="M376" s="133"/>
      <c r="O376" s="130"/>
      <c r="P376" s="27"/>
      <c r="Q376" s="27"/>
      <c r="R376" s="123"/>
      <c r="S376" s="123"/>
      <c r="T376" s="123"/>
      <c r="W376" s="123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3"/>
      <c r="C377" s="27"/>
      <c r="D377" s="27"/>
      <c r="E377" s="27"/>
      <c r="H377" s="27"/>
      <c r="J377" s="134"/>
      <c r="K377" s="123"/>
      <c r="L377" s="27"/>
      <c r="M377" s="133"/>
      <c r="O377" s="130"/>
      <c r="P377" s="27"/>
      <c r="Q377" s="27"/>
      <c r="R377" s="123"/>
      <c r="S377" s="123"/>
      <c r="T377" s="123"/>
      <c r="W377" s="123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3"/>
      <c r="C378" s="27"/>
      <c r="D378" s="27"/>
      <c r="E378" s="27"/>
      <c r="H378" s="27"/>
      <c r="J378" s="134"/>
      <c r="K378" s="123"/>
      <c r="L378" s="27"/>
      <c r="M378" s="133"/>
      <c r="O378" s="130"/>
      <c r="P378" s="27"/>
      <c r="Q378" s="27"/>
      <c r="R378" s="123"/>
      <c r="S378" s="123"/>
      <c r="T378" s="123"/>
      <c r="W378" s="123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3"/>
      <c r="C379" s="27"/>
      <c r="D379" s="27"/>
      <c r="E379" s="27"/>
      <c r="H379" s="27"/>
      <c r="J379" s="134"/>
      <c r="K379" s="123"/>
      <c r="L379" s="27"/>
      <c r="M379" s="133"/>
      <c r="O379" s="130"/>
      <c r="P379" s="27"/>
      <c r="Q379" s="27"/>
      <c r="R379" s="123"/>
      <c r="S379" s="123"/>
      <c r="T379" s="123"/>
      <c r="W379" s="123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3"/>
      <c r="C380" s="27"/>
      <c r="D380" s="27"/>
      <c r="E380" s="27"/>
      <c r="H380" s="27"/>
      <c r="J380" s="134"/>
      <c r="K380" s="123"/>
      <c r="L380" s="27"/>
      <c r="M380" s="133"/>
      <c r="O380" s="130"/>
      <c r="P380" s="27"/>
      <c r="Q380" s="27"/>
      <c r="R380" s="123"/>
      <c r="S380" s="123"/>
      <c r="T380" s="123"/>
      <c r="W380" s="123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3"/>
      <c r="C381" s="27"/>
      <c r="D381" s="27"/>
      <c r="E381" s="27"/>
      <c r="H381" s="27"/>
      <c r="J381" s="134"/>
      <c r="K381" s="123"/>
      <c r="L381" s="27"/>
      <c r="M381" s="133"/>
      <c r="O381" s="130"/>
      <c r="P381" s="27"/>
      <c r="Q381" s="27"/>
      <c r="R381" s="123"/>
      <c r="S381" s="123"/>
      <c r="T381" s="123"/>
      <c r="W381" s="123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3"/>
      <c r="C382" s="27"/>
      <c r="D382" s="27"/>
      <c r="E382" s="27"/>
      <c r="H382" s="27"/>
      <c r="J382" s="134"/>
      <c r="K382" s="123"/>
      <c r="L382" s="27"/>
      <c r="M382" s="133"/>
      <c r="O382" s="130"/>
      <c r="P382" s="27"/>
      <c r="Q382" s="27"/>
      <c r="R382" s="123"/>
      <c r="S382" s="123"/>
      <c r="T382" s="123"/>
      <c r="W382" s="123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3"/>
      <c r="C383" s="27"/>
      <c r="D383" s="27"/>
      <c r="E383" s="27"/>
      <c r="H383" s="27"/>
      <c r="J383" s="134"/>
      <c r="K383" s="123"/>
      <c r="L383" s="27"/>
      <c r="M383" s="133"/>
      <c r="O383" s="130"/>
      <c r="P383" s="27"/>
      <c r="Q383" s="27"/>
      <c r="R383" s="123"/>
      <c r="S383" s="123"/>
      <c r="T383" s="123"/>
      <c r="W383" s="123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3"/>
      <c r="C384" s="27"/>
      <c r="D384" s="27"/>
      <c r="E384" s="27"/>
      <c r="H384" s="27"/>
      <c r="J384" s="134"/>
      <c r="K384" s="123"/>
      <c r="L384" s="27"/>
      <c r="M384" s="133"/>
      <c r="O384" s="130"/>
      <c r="P384" s="27"/>
      <c r="Q384" s="27"/>
      <c r="R384" s="123"/>
      <c r="S384" s="123"/>
      <c r="T384" s="123"/>
      <c r="W384" s="123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3"/>
      <c r="C385" s="27"/>
      <c r="D385" s="27"/>
      <c r="E385" s="27"/>
      <c r="H385" s="27"/>
      <c r="J385" s="134"/>
      <c r="K385" s="123"/>
      <c r="L385" s="27"/>
      <c r="M385" s="133"/>
      <c r="O385" s="130"/>
      <c r="P385" s="27"/>
      <c r="Q385" s="27"/>
      <c r="R385" s="123"/>
      <c r="S385" s="123"/>
      <c r="T385" s="123"/>
      <c r="W385" s="123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23"/>
      <c r="C386" s="27"/>
      <c r="D386" s="27"/>
      <c r="E386" s="27"/>
      <c r="H386" s="27"/>
      <c r="J386" s="134"/>
      <c r="K386" s="123"/>
      <c r="L386" s="27"/>
      <c r="M386" s="133"/>
      <c r="O386" s="130"/>
      <c r="P386" s="27"/>
      <c r="Q386" s="27"/>
      <c r="R386" s="123"/>
      <c r="S386" s="123"/>
      <c r="T386" s="123"/>
      <c r="W386" s="123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23"/>
      <c r="C387" s="27"/>
      <c r="D387" s="27"/>
      <c r="E387" s="27"/>
      <c r="H387" s="27"/>
      <c r="J387" s="134"/>
      <c r="K387" s="123"/>
      <c r="L387" s="27"/>
      <c r="M387" s="133"/>
      <c r="O387" s="130"/>
      <c r="P387" s="27"/>
      <c r="Q387" s="27"/>
      <c r="R387" s="123"/>
      <c r="S387" s="123"/>
      <c r="T387" s="123"/>
      <c r="W387" s="123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23"/>
      <c r="C388" s="27"/>
      <c r="D388" s="27"/>
      <c r="E388" s="27"/>
      <c r="H388" s="27"/>
      <c r="J388" s="134"/>
      <c r="K388" s="123"/>
      <c r="L388" s="27"/>
      <c r="M388" s="133"/>
      <c r="O388" s="130"/>
      <c r="P388" s="27"/>
      <c r="Q388" s="27"/>
      <c r="R388" s="27"/>
      <c r="S388" s="27"/>
      <c r="T388" s="27"/>
      <c r="W388" s="123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23"/>
      <c r="C389" s="27"/>
      <c r="D389" s="27"/>
      <c r="E389" s="27"/>
      <c r="H389" s="27"/>
      <c r="J389" s="134"/>
      <c r="K389" s="123"/>
      <c r="L389" s="27"/>
      <c r="M389" s="133"/>
      <c r="O389" s="130"/>
      <c r="P389" s="27"/>
      <c r="Q389" s="27"/>
      <c r="R389" s="27"/>
      <c r="S389" s="27"/>
      <c r="T389" s="27"/>
      <c r="W389" s="123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 s="124" customFormat="1">
      <c r="E390" s="27"/>
      <c r="H390" s="27"/>
      <c r="J390" s="129"/>
      <c r="AB390" s="27"/>
    </row>
    <row r="391" spans="2:42" s="124" customFormat="1">
      <c r="E391" s="27"/>
      <c r="H391" s="27"/>
      <c r="J391" s="129"/>
      <c r="AB391" s="27"/>
    </row>
    <row r="392" spans="2:42" s="124" customFormat="1">
      <c r="E392" s="27"/>
      <c r="H392" s="27"/>
      <c r="J392" s="129"/>
      <c r="AB392" s="27"/>
    </row>
    <row r="393" spans="2:42" s="124" customFormat="1">
      <c r="E393" s="27"/>
      <c r="H393" s="27"/>
      <c r="J393" s="129"/>
      <c r="AB393" s="27"/>
    </row>
    <row r="394" spans="2:42" s="124" customFormat="1">
      <c r="E394" s="27"/>
      <c r="H394" s="27"/>
      <c r="J394" s="129"/>
      <c r="AB394" s="27"/>
    </row>
    <row r="395" spans="2:42" s="124" customFormat="1">
      <c r="E395" s="27"/>
      <c r="H395" s="27"/>
      <c r="J395" s="129"/>
      <c r="AB395" s="27"/>
    </row>
    <row r="396" spans="2:42" s="124" customFormat="1">
      <c r="E396" s="27"/>
      <c r="H396" s="27"/>
      <c r="J396" s="129"/>
      <c r="AB396" s="27"/>
    </row>
    <row r="397" spans="2:42" s="124" customFormat="1">
      <c r="E397" s="27"/>
      <c r="H397" s="27"/>
      <c r="J397" s="129"/>
      <c r="AB397" s="27"/>
    </row>
    <row r="398" spans="2:42" s="124" customFormat="1">
      <c r="E398" s="27"/>
      <c r="H398" s="27"/>
      <c r="J398" s="129"/>
      <c r="AB398" s="27"/>
    </row>
    <row r="399" spans="2:42" s="124" customFormat="1">
      <c r="E399" s="27"/>
      <c r="H399" s="27"/>
      <c r="J399" s="129"/>
      <c r="AB399" s="27"/>
    </row>
    <row r="400" spans="2:42" s="124" customFormat="1">
      <c r="E400" s="27"/>
      <c r="H400" s="27"/>
      <c r="J400" s="129"/>
      <c r="AB400" s="27"/>
    </row>
    <row r="401" spans="2:42" s="124" customFormat="1">
      <c r="E401" s="27"/>
      <c r="H401" s="27"/>
      <c r="J401" s="129"/>
      <c r="AB401" s="27"/>
    </row>
    <row r="402" spans="2:42" s="124" customFormat="1">
      <c r="E402" s="27"/>
      <c r="H402" s="27"/>
      <c r="J402" s="129"/>
      <c r="AB402" s="27"/>
    </row>
    <row r="403" spans="2:42" s="124" customFormat="1">
      <c r="E403" s="27"/>
      <c r="H403" s="27"/>
      <c r="J403" s="129"/>
      <c r="AB403" s="27"/>
    </row>
    <row r="404" spans="2:42" s="124" customFormat="1">
      <c r="E404" s="27"/>
      <c r="H404" s="27"/>
      <c r="J404" s="129"/>
      <c r="AB404" s="27"/>
    </row>
    <row r="405" spans="2:42" s="124" customFormat="1">
      <c r="E405" s="27"/>
      <c r="H405" s="27"/>
      <c r="J405" s="129"/>
      <c r="AB405" s="27"/>
    </row>
    <row r="406" spans="2:42" s="124" customFormat="1">
      <c r="E406" s="27"/>
      <c r="H406" s="27"/>
      <c r="J406" s="129"/>
      <c r="AB406" s="27"/>
    </row>
    <row r="407" spans="2:42" s="124" customFormat="1">
      <c r="E407" s="27"/>
      <c r="H407" s="27"/>
      <c r="J407" s="129"/>
      <c r="AB407" s="27"/>
    </row>
    <row r="408" spans="2:42">
      <c r="B408" s="123"/>
      <c r="C408" s="27"/>
      <c r="D408" s="27"/>
      <c r="E408" s="27"/>
      <c r="H408" s="27"/>
      <c r="J408" s="129"/>
      <c r="K408" s="27"/>
      <c r="L408" s="27"/>
      <c r="O408" s="130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3"/>
      <c r="C409" s="27"/>
      <c r="D409" s="27"/>
      <c r="E409" s="27"/>
      <c r="H409" s="27"/>
      <c r="I409" s="124"/>
      <c r="J409" s="129"/>
      <c r="K409" s="27"/>
      <c r="L409" s="27"/>
      <c r="M409" s="124"/>
      <c r="O409" s="130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3"/>
      <c r="C410" s="27"/>
      <c r="D410" s="27"/>
      <c r="E410" s="27"/>
      <c r="H410" s="27"/>
      <c r="I410" s="124"/>
      <c r="J410" s="129"/>
      <c r="K410" s="27"/>
      <c r="L410" s="27"/>
      <c r="M410" s="124"/>
      <c r="O410" s="130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3"/>
      <c r="C411" s="27"/>
      <c r="D411" s="27"/>
      <c r="E411" s="27"/>
      <c r="H411" s="27"/>
      <c r="I411" s="124"/>
      <c r="J411" s="129"/>
      <c r="K411" s="27"/>
      <c r="L411" s="27"/>
      <c r="M411" s="124"/>
      <c r="O411" s="130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3"/>
      <c r="C412" s="27"/>
      <c r="D412" s="27"/>
      <c r="E412" s="27"/>
      <c r="H412" s="27"/>
      <c r="I412" s="124"/>
      <c r="J412" s="124"/>
      <c r="K412" s="27"/>
      <c r="L412" s="27"/>
      <c r="M412" s="124"/>
      <c r="O412" s="130"/>
      <c r="P412" s="27"/>
      <c r="Q412" s="27"/>
      <c r="W412" s="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3"/>
      <c r="C413" s="27"/>
      <c r="D413" s="27"/>
      <c r="E413" s="27"/>
      <c r="H413" s="27"/>
      <c r="I413" s="124"/>
      <c r="J413" s="124"/>
      <c r="K413" s="27"/>
      <c r="L413" s="27"/>
      <c r="M413" s="124"/>
      <c r="O413" s="130"/>
      <c r="P413" s="27"/>
      <c r="Q413" s="27"/>
      <c r="W413" s="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3"/>
      <c r="C414" s="27"/>
      <c r="D414" s="27"/>
      <c r="E414" s="27"/>
      <c r="H414" s="27"/>
      <c r="I414" s="124"/>
      <c r="J414" s="124"/>
      <c r="K414" s="27"/>
      <c r="L414" s="27"/>
      <c r="M414" s="124"/>
      <c r="O414" s="130"/>
      <c r="P414" s="27"/>
      <c r="Q414" s="27"/>
      <c r="W414" s="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3"/>
      <c r="C415" s="27"/>
      <c r="D415" s="27"/>
      <c r="E415" s="27"/>
      <c r="H415" s="27"/>
      <c r="I415" s="124"/>
      <c r="J415" s="123"/>
      <c r="K415" s="27"/>
      <c r="L415" s="27"/>
      <c r="M415" s="124"/>
      <c r="O415" s="130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3"/>
      <c r="C416" s="27"/>
      <c r="D416" s="27"/>
      <c r="E416" s="27"/>
      <c r="H416" s="27"/>
      <c r="I416" s="124"/>
      <c r="J416" s="123"/>
      <c r="K416" s="27"/>
      <c r="L416" s="27"/>
      <c r="M416" s="124"/>
      <c r="O416" s="130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3"/>
      <c r="C417" s="27"/>
      <c r="D417" s="27"/>
      <c r="E417" s="27"/>
      <c r="H417" s="27"/>
      <c r="J417" s="129"/>
      <c r="K417" s="27"/>
      <c r="L417" s="27"/>
      <c r="M417" s="133"/>
      <c r="O417" s="130"/>
      <c r="P417" s="27"/>
      <c r="Q417" s="27"/>
      <c r="W417" s="123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3"/>
      <c r="C418" s="27"/>
      <c r="D418" s="27"/>
      <c r="E418" s="27"/>
      <c r="H418" s="27"/>
      <c r="J418" s="129"/>
      <c r="K418" s="27"/>
      <c r="L418" s="27"/>
      <c r="M418" s="133"/>
      <c r="O418" s="130"/>
      <c r="P418" s="27"/>
      <c r="Q418" s="27"/>
      <c r="W418" s="123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3"/>
      <c r="C419" s="27"/>
      <c r="D419" s="27"/>
      <c r="E419" s="27"/>
      <c r="H419" s="27"/>
      <c r="J419" s="129"/>
      <c r="K419" s="27"/>
      <c r="L419" s="27"/>
      <c r="M419" s="133"/>
      <c r="O419" s="130"/>
      <c r="P419" s="27"/>
      <c r="Q419" s="27"/>
      <c r="W419" s="123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3"/>
      <c r="C420" s="27"/>
      <c r="D420" s="27"/>
      <c r="E420" s="27"/>
      <c r="H420" s="27"/>
      <c r="J420" s="129"/>
      <c r="K420" s="27"/>
      <c r="L420" s="27"/>
      <c r="M420" s="133"/>
      <c r="O420" s="130"/>
      <c r="P420" s="27"/>
      <c r="Q420" s="27"/>
      <c r="W420" s="123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3"/>
      <c r="C421" s="27"/>
      <c r="D421" s="27"/>
      <c r="E421" s="27"/>
      <c r="H421" s="27"/>
      <c r="J421" s="129"/>
      <c r="K421" s="27"/>
      <c r="L421" s="27"/>
      <c r="M421" s="135"/>
      <c r="O421" s="130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3"/>
      <c r="C422" s="27"/>
      <c r="D422" s="27"/>
      <c r="E422" s="27"/>
      <c r="H422" s="27"/>
      <c r="J422" s="129"/>
      <c r="K422" s="27"/>
      <c r="L422" s="27"/>
      <c r="M422" s="135"/>
      <c r="O422" s="130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3"/>
      <c r="C423" s="27"/>
      <c r="D423" s="27"/>
      <c r="E423" s="27"/>
      <c r="H423" s="27"/>
      <c r="J423" s="129"/>
      <c r="K423" s="27"/>
      <c r="L423" s="27"/>
      <c r="M423" s="135"/>
      <c r="O423" s="130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3"/>
      <c r="C424" s="27"/>
      <c r="D424" s="27"/>
      <c r="E424" s="27"/>
      <c r="H424" s="27"/>
      <c r="J424" s="129"/>
      <c r="K424" s="27"/>
      <c r="L424" s="27"/>
      <c r="M424" s="135"/>
      <c r="O424" s="130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3"/>
      <c r="C425" s="27"/>
      <c r="D425" s="27"/>
      <c r="E425" s="27"/>
      <c r="H425" s="27"/>
      <c r="J425" s="129"/>
      <c r="K425" s="27"/>
      <c r="L425" s="27"/>
      <c r="M425" s="135"/>
      <c r="O425" s="130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3"/>
      <c r="C426" s="27"/>
      <c r="D426" s="27"/>
      <c r="E426" s="27"/>
      <c r="H426" s="27"/>
      <c r="J426" s="129"/>
      <c r="K426" s="27"/>
      <c r="L426" s="27"/>
      <c r="M426" s="135"/>
      <c r="O426" s="130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3"/>
      <c r="C427" s="27"/>
      <c r="D427" s="27"/>
      <c r="E427" s="27"/>
      <c r="H427" s="27"/>
      <c r="J427" s="129"/>
      <c r="K427" s="27"/>
      <c r="L427" s="27"/>
      <c r="M427" s="135"/>
      <c r="O427" s="130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3"/>
      <c r="C428" s="27"/>
      <c r="D428" s="27"/>
      <c r="E428" s="27"/>
      <c r="H428" s="27"/>
      <c r="J428" s="129"/>
      <c r="K428" s="27"/>
      <c r="L428" s="27"/>
      <c r="M428" s="135"/>
      <c r="O428" s="130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24"/>
      <c r="C429" s="27"/>
      <c r="D429" s="27"/>
      <c r="E429" s="27"/>
      <c r="H429" s="27"/>
      <c r="J429" s="129"/>
      <c r="K429" s="27"/>
      <c r="L429" s="27"/>
      <c r="M429" s="135"/>
      <c r="O429" s="130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24"/>
      <c r="C430" s="27"/>
      <c r="D430" s="27"/>
      <c r="E430" s="27"/>
      <c r="H430" s="27"/>
      <c r="J430" s="129"/>
      <c r="K430" s="27"/>
      <c r="L430" s="27"/>
      <c r="M430" s="135"/>
      <c r="O430" s="130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24"/>
      <c r="C431" s="27"/>
      <c r="D431" s="27"/>
      <c r="E431" s="27"/>
      <c r="H431" s="27"/>
      <c r="J431" s="129"/>
      <c r="K431" s="27"/>
      <c r="L431" s="27"/>
      <c r="M431" s="135"/>
      <c r="O431" s="130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23"/>
      <c r="C432" s="27"/>
      <c r="D432" s="27"/>
      <c r="E432" s="27"/>
      <c r="H432" s="27"/>
      <c r="I432" s="124"/>
      <c r="J432" s="129"/>
      <c r="K432" s="27"/>
      <c r="L432" s="27"/>
      <c r="M432" s="133"/>
      <c r="O432" s="130"/>
      <c r="P432" s="27"/>
      <c r="Q432" s="27"/>
      <c r="W432" s="123"/>
      <c r="X432" s="27"/>
      <c r="Z432" s="27"/>
      <c r="AA432" s="27"/>
      <c r="AC432" s="27"/>
      <c r="AD432" s="27"/>
      <c r="AJ432" s="27"/>
      <c r="AK432" s="27"/>
    </row>
    <row r="433" spans="2:42">
      <c r="B433" s="123"/>
      <c r="C433" s="27"/>
      <c r="D433" s="27"/>
      <c r="E433" s="27"/>
      <c r="H433" s="27"/>
      <c r="J433" s="129"/>
      <c r="K433" s="27"/>
      <c r="L433" s="27"/>
      <c r="M433" s="133"/>
      <c r="O433" s="130"/>
      <c r="P433" s="27"/>
      <c r="Q433" s="27"/>
      <c r="W433" s="123"/>
      <c r="X433" s="27"/>
      <c r="Z433" s="27"/>
      <c r="AA433" s="27"/>
      <c r="AC433" s="27"/>
      <c r="AD433" s="27"/>
      <c r="AJ433" s="27"/>
      <c r="AK433" s="27"/>
    </row>
    <row r="434" spans="2:42">
      <c r="B434" s="123"/>
      <c r="C434" s="27"/>
      <c r="D434" s="27"/>
      <c r="E434" s="27"/>
      <c r="H434" s="27"/>
      <c r="J434" s="129"/>
      <c r="K434" s="27"/>
      <c r="L434" s="27"/>
      <c r="M434" s="133"/>
      <c r="O434" s="130"/>
      <c r="P434" s="27"/>
      <c r="Q434" s="27"/>
      <c r="W434" s="123"/>
      <c r="X434" s="27"/>
      <c r="Z434" s="27"/>
      <c r="AA434" s="27"/>
      <c r="AC434" s="27"/>
      <c r="AD434" s="27"/>
      <c r="AJ434" s="27"/>
      <c r="AK434" s="27"/>
    </row>
    <row r="435" spans="2:42">
      <c r="B435" s="123"/>
      <c r="C435" s="27"/>
      <c r="D435" s="27"/>
      <c r="E435" s="27"/>
      <c r="H435" s="27"/>
      <c r="J435" s="129"/>
      <c r="K435" s="27"/>
      <c r="L435" s="27"/>
      <c r="M435" s="133"/>
      <c r="O435" s="130"/>
      <c r="P435" s="27"/>
      <c r="Q435" s="27"/>
      <c r="W435" s="123"/>
      <c r="X435" s="27"/>
      <c r="Z435" s="27"/>
      <c r="AA435" s="27"/>
      <c r="AC435" s="27"/>
      <c r="AD435" s="27"/>
      <c r="AJ435" s="27"/>
      <c r="AK435" s="27"/>
    </row>
    <row r="436" spans="2:42">
      <c r="B436" s="123"/>
      <c r="C436" s="27"/>
      <c r="D436" s="27"/>
      <c r="E436" s="27"/>
      <c r="H436" s="27"/>
      <c r="J436" s="129"/>
      <c r="K436" s="27"/>
      <c r="L436" s="27"/>
      <c r="P436" s="27"/>
      <c r="Q436" s="27"/>
      <c r="W436" s="123"/>
      <c r="X436" s="27"/>
      <c r="Z436" s="27"/>
      <c r="AA436" s="27"/>
      <c r="AC436" s="27"/>
      <c r="AD436" s="27"/>
      <c r="AJ436" s="27"/>
      <c r="AK436" s="27"/>
      <c r="AO436" s="27"/>
      <c r="AP436" s="27"/>
    </row>
    <row r="437" spans="2:42">
      <c r="B437" s="123"/>
      <c r="C437" s="27"/>
      <c r="D437" s="27"/>
      <c r="E437" s="27"/>
      <c r="H437" s="27"/>
      <c r="J437" s="129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3"/>
      <c r="C438" s="27"/>
      <c r="D438" s="27"/>
      <c r="E438" s="27"/>
      <c r="H438" s="27"/>
      <c r="J438" s="129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3"/>
      <c r="C439" s="27"/>
      <c r="D439" s="27"/>
      <c r="E439" s="27"/>
      <c r="H439" s="27"/>
      <c r="J439" s="129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3"/>
      <c r="C440" s="27"/>
      <c r="D440" s="27"/>
      <c r="E440" s="27"/>
      <c r="H440" s="27"/>
      <c r="J440" s="129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3"/>
      <c r="C441" s="27"/>
      <c r="D441" s="27"/>
      <c r="E441" s="27"/>
      <c r="H441" s="27"/>
      <c r="J441" s="129"/>
      <c r="K441" s="27"/>
      <c r="L441" s="2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3"/>
      <c r="C442" s="27"/>
      <c r="D442" s="27"/>
      <c r="E442" s="27"/>
      <c r="H442" s="27"/>
      <c r="J442" s="129"/>
      <c r="K442" s="27"/>
      <c r="L442" s="2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3"/>
      <c r="C443" s="27"/>
      <c r="D443" s="27"/>
      <c r="E443" s="27"/>
      <c r="H443" s="27"/>
      <c r="J443" s="129"/>
      <c r="K443" s="27"/>
      <c r="L443" s="2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3"/>
      <c r="C444" s="27"/>
      <c r="D444" s="27"/>
      <c r="E444" s="27"/>
      <c r="H444" s="27"/>
      <c r="J444" s="129"/>
      <c r="K444" s="27"/>
      <c r="L444" s="2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23"/>
      <c r="C445" s="27"/>
      <c r="D445" s="27"/>
      <c r="E445" s="27"/>
      <c r="H445" s="27"/>
      <c r="J445" s="129"/>
      <c r="K445" s="27"/>
      <c r="L445" s="2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23"/>
      <c r="C446" s="27"/>
      <c r="D446" s="27"/>
      <c r="E446" s="27"/>
      <c r="H446" s="27"/>
      <c r="J446" s="129"/>
      <c r="K446" s="27"/>
      <c r="L446" s="27"/>
      <c r="O446" s="130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23"/>
      <c r="C447" s="27"/>
      <c r="D447" s="27"/>
      <c r="E447" s="27"/>
      <c r="H447" s="27"/>
      <c r="J447" s="129"/>
      <c r="K447" s="27"/>
      <c r="L447" s="27"/>
      <c r="O447" s="130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23"/>
      <c r="C448" s="27"/>
      <c r="D448" s="27"/>
      <c r="E448" s="27"/>
      <c r="H448" s="27"/>
      <c r="J448" s="129"/>
      <c r="K448" s="27"/>
      <c r="L448" s="27"/>
      <c r="O448" s="130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23"/>
      <c r="C449" s="27"/>
      <c r="D449" s="27"/>
      <c r="E449" s="27"/>
      <c r="H449" s="27"/>
      <c r="J449" s="129"/>
      <c r="K449" s="27"/>
      <c r="L449" s="27"/>
      <c r="M449"/>
      <c r="O449" s="130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3"/>
      <c r="C450" s="27"/>
      <c r="D450" s="27"/>
      <c r="E450" s="27"/>
      <c r="H450" s="27"/>
      <c r="J450" s="129"/>
      <c r="K450" s="27"/>
      <c r="L450" s="27"/>
      <c r="M450"/>
      <c r="O450" s="130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3"/>
      <c r="C451" s="27"/>
      <c r="D451" s="27"/>
      <c r="E451" s="27"/>
      <c r="H451" s="27"/>
      <c r="J451" s="129"/>
      <c r="K451" s="27"/>
      <c r="L451" s="27"/>
      <c r="M451"/>
      <c r="O451" s="130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3"/>
      <c r="C452" s="27"/>
      <c r="D452" s="27"/>
      <c r="E452" s="27"/>
      <c r="H452" s="27"/>
      <c r="J452" s="129"/>
      <c r="K452" s="27"/>
      <c r="L452" s="27"/>
      <c r="M452"/>
      <c r="O452" s="130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3"/>
      <c r="C453" s="27"/>
      <c r="D453" s="27"/>
      <c r="E453" s="27"/>
      <c r="H453" s="27"/>
      <c r="J453" s="129"/>
      <c r="K453" s="27"/>
      <c r="L453" s="27"/>
      <c r="M453"/>
      <c r="O453" s="130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3"/>
      <c r="C454" s="27"/>
      <c r="D454" s="27"/>
      <c r="E454" s="27"/>
      <c r="H454" s="27"/>
      <c r="J454" s="129"/>
      <c r="K454" s="27"/>
      <c r="L454" s="27"/>
      <c r="M454"/>
      <c r="O454" s="130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3"/>
      <c r="C455" s="27"/>
      <c r="D455" s="27"/>
      <c r="E455" s="27"/>
      <c r="H455" s="27"/>
      <c r="J455" s="129"/>
      <c r="K455" s="27"/>
      <c r="L455" s="27"/>
      <c r="M455"/>
      <c r="O455" s="130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3"/>
      <c r="C456" s="27"/>
      <c r="D456" s="27"/>
      <c r="E456" s="27"/>
      <c r="H456" s="27"/>
      <c r="J456" s="129"/>
      <c r="K456" s="27"/>
      <c r="L456" s="27"/>
      <c r="M456"/>
      <c r="O456" s="130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3"/>
      <c r="C457" s="27"/>
      <c r="D457" s="27"/>
      <c r="E457" s="27"/>
      <c r="H457" s="27"/>
      <c r="J457" s="129"/>
      <c r="K457" s="27"/>
      <c r="L457" s="27"/>
      <c r="M457"/>
      <c r="O457" s="130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3"/>
      <c r="C458" s="27"/>
      <c r="D458" s="27"/>
      <c r="E458" s="27"/>
      <c r="H458" s="27"/>
      <c r="J458" s="129"/>
      <c r="K458" s="27"/>
      <c r="L458" s="27"/>
      <c r="M458"/>
      <c r="O458" s="130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3"/>
      <c r="C459" s="27"/>
      <c r="D459" s="27"/>
      <c r="E459" s="27"/>
      <c r="H459" s="27"/>
      <c r="J459" s="129"/>
      <c r="K459" s="27"/>
      <c r="L459" s="27"/>
      <c r="M459"/>
      <c r="O459" s="130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3"/>
      <c r="C460" s="27"/>
      <c r="D460" s="27"/>
      <c r="E460" s="27"/>
      <c r="H460" s="27"/>
      <c r="J460" s="129"/>
      <c r="K460" s="27"/>
      <c r="L460" s="27"/>
      <c r="M460"/>
      <c r="O460" s="130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3"/>
      <c r="C461" s="27"/>
      <c r="D461" s="27"/>
      <c r="E461" s="27"/>
      <c r="H461" s="27"/>
      <c r="J461" s="129"/>
      <c r="K461" s="27"/>
      <c r="L461" s="27"/>
      <c r="M461"/>
      <c r="O461" s="130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3"/>
      <c r="C462" s="27"/>
      <c r="D462" s="27"/>
      <c r="E462" s="27"/>
      <c r="H462" s="27"/>
      <c r="J462" s="129"/>
      <c r="K462" s="27"/>
      <c r="L462" s="27"/>
      <c r="M462"/>
      <c r="O462" s="130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3"/>
      <c r="C463" s="27"/>
      <c r="D463" s="27"/>
      <c r="E463" s="27"/>
      <c r="H463" s="27"/>
      <c r="J463" s="129"/>
      <c r="K463" s="27"/>
      <c r="L463" s="27"/>
      <c r="M463"/>
      <c r="O463" s="130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3"/>
      <c r="C464" s="27"/>
      <c r="D464" s="27"/>
      <c r="E464" s="27"/>
      <c r="H464" s="27"/>
      <c r="J464" s="129"/>
      <c r="K464" s="27"/>
      <c r="L464" s="27"/>
      <c r="M464"/>
      <c r="O464" s="130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3"/>
      <c r="C465" s="27"/>
      <c r="D465" s="27"/>
      <c r="E465" s="27"/>
      <c r="H465" s="27"/>
      <c r="J465" s="129"/>
      <c r="K465" s="27"/>
      <c r="L465" s="27"/>
      <c r="M465"/>
      <c r="O465" s="130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3"/>
      <c r="C466" s="27"/>
      <c r="D466" s="27"/>
      <c r="E466" s="27"/>
      <c r="H466" s="27"/>
      <c r="J466" s="129"/>
      <c r="K466" s="27"/>
      <c r="L466" s="27"/>
      <c r="M466"/>
      <c r="O466" s="130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3"/>
      <c r="C467" s="27"/>
      <c r="D467" s="27"/>
      <c r="E467" s="27"/>
      <c r="H467" s="27"/>
      <c r="J467" s="129"/>
      <c r="K467" s="27"/>
      <c r="L467" s="27"/>
      <c r="M467"/>
      <c r="O467" s="130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3"/>
      <c r="C468" s="27"/>
      <c r="D468" s="27"/>
      <c r="E468" s="27"/>
      <c r="H468" s="27"/>
      <c r="J468" s="129"/>
      <c r="K468" s="27"/>
      <c r="L468" s="27"/>
      <c r="M468"/>
      <c r="O468" s="13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3"/>
      <c r="C469" s="27"/>
      <c r="D469" s="27"/>
      <c r="E469" s="27"/>
      <c r="H469" s="27"/>
      <c r="J469" s="129"/>
      <c r="K469" s="27"/>
      <c r="L469" s="27"/>
      <c r="M469"/>
      <c r="O469" s="130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3"/>
      <c r="C470" s="27"/>
      <c r="D470" s="27"/>
      <c r="E470" s="27"/>
      <c r="H470" s="27"/>
      <c r="J470" s="129"/>
      <c r="K470" s="27"/>
      <c r="L470" s="27"/>
      <c r="M470"/>
      <c r="O470" s="130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3"/>
      <c r="C471" s="27"/>
      <c r="D471" s="27"/>
      <c r="E471" s="27"/>
      <c r="H471" s="27"/>
      <c r="J471" s="129"/>
      <c r="K471" s="27"/>
      <c r="L471" s="27"/>
      <c r="M471"/>
      <c r="O471" s="130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3"/>
      <c r="C472" s="27"/>
      <c r="D472" s="27"/>
      <c r="E472" s="27"/>
      <c r="H472" s="27"/>
      <c r="J472" s="129"/>
      <c r="K472" s="27"/>
      <c r="L472" s="27"/>
      <c r="M472"/>
      <c r="O472" s="130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3"/>
      <c r="C473" s="27"/>
      <c r="D473" s="27"/>
      <c r="E473" s="27"/>
      <c r="H473" s="27"/>
      <c r="J473" s="129"/>
      <c r="K473" s="27"/>
      <c r="M473" s="136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23"/>
      <c r="C474" s="27"/>
      <c r="D474" s="27"/>
      <c r="E474" s="27"/>
      <c r="H474" s="27"/>
      <c r="J474" s="129"/>
      <c r="K474" s="27"/>
      <c r="M474" s="136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23"/>
      <c r="C475" s="27"/>
      <c r="D475" s="27"/>
      <c r="E475" s="27"/>
      <c r="H475" s="27"/>
      <c r="J475" s="129"/>
      <c r="K475" s="27"/>
      <c r="M475" s="136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23"/>
      <c r="C476" s="27"/>
      <c r="D476" s="27"/>
      <c r="E476" s="27"/>
      <c r="H476" s="27"/>
      <c r="J476" s="129"/>
      <c r="K476" s="27"/>
      <c r="M476" s="136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23"/>
      <c r="C477" s="27"/>
      <c r="D477" s="27"/>
      <c r="E477" s="27"/>
      <c r="H477" s="27"/>
      <c r="J477" s="129"/>
      <c r="K477" s="27"/>
      <c r="M477" s="136"/>
      <c r="P477" s="27"/>
      <c r="Q477" s="27"/>
      <c r="W477" s="123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3"/>
      <c r="C478" s="27"/>
      <c r="D478" s="27"/>
      <c r="E478" s="27"/>
      <c r="H478" s="27"/>
      <c r="J478" s="129"/>
      <c r="K478" s="27"/>
      <c r="M478" s="136"/>
      <c r="P478" s="27"/>
      <c r="Q478" s="27"/>
      <c r="W478" s="123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3"/>
      <c r="C479" s="27"/>
      <c r="D479" s="27"/>
      <c r="E479" s="27"/>
      <c r="H479" s="27"/>
      <c r="J479" s="129"/>
      <c r="K479" s="27"/>
      <c r="M479" s="136"/>
      <c r="P479" s="27"/>
      <c r="Q479" s="27"/>
      <c r="W479" s="123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3"/>
      <c r="C480" s="27"/>
      <c r="D480" s="27"/>
      <c r="E480" s="27"/>
      <c r="H480" s="27"/>
      <c r="J480" s="129"/>
      <c r="K480" s="27"/>
      <c r="M480" s="13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3"/>
      <c r="C481" s="27"/>
      <c r="D481" s="27"/>
      <c r="E481" s="27"/>
      <c r="H481" s="27"/>
      <c r="J481" s="129"/>
      <c r="K481" s="27"/>
      <c r="M481" s="13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3"/>
      <c r="C482" s="27"/>
      <c r="D482" s="27"/>
      <c r="E482" s="27"/>
      <c r="H482" s="27"/>
      <c r="J482" s="129"/>
      <c r="K482" s="27"/>
      <c r="M482" s="13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3"/>
      <c r="C483" s="27"/>
      <c r="D483" s="27"/>
      <c r="E483" s="27"/>
      <c r="H483" s="27"/>
      <c r="J483" s="129"/>
      <c r="K483" s="27"/>
      <c r="M483" s="13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3"/>
      <c r="C484" s="27"/>
      <c r="D484" s="27"/>
      <c r="E484" s="27"/>
      <c r="H484" s="27"/>
      <c r="J484" s="129"/>
      <c r="K484" s="27"/>
      <c r="M484" s="13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3"/>
      <c r="C485" s="27"/>
      <c r="D485" s="27"/>
      <c r="E485" s="27"/>
      <c r="H485" s="27"/>
      <c r="J485" s="129"/>
      <c r="K485" s="27"/>
      <c r="M485" s="13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3"/>
      <c r="C486" s="27"/>
      <c r="D486" s="27"/>
      <c r="E486" s="27"/>
      <c r="H486" s="27"/>
      <c r="J486" s="129"/>
      <c r="K486" s="27"/>
      <c r="M486" s="13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3"/>
      <c r="C487" s="27"/>
      <c r="D487" s="27"/>
      <c r="E487" s="27"/>
      <c r="H487" s="27"/>
      <c r="J487" s="129"/>
      <c r="K487" s="27"/>
      <c r="M487" s="13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3"/>
      <c r="C488" s="27"/>
      <c r="D488" s="27"/>
      <c r="E488" s="27"/>
      <c r="H488" s="27"/>
      <c r="J488" s="129"/>
      <c r="K488" s="27"/>
      <c r="M488" s="13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3"/>
      <c r="C489" s="27"/>
      <c r="D489" s="27"/>
      <c r="E489" s="27"/>
      <c r="H489" s="27"/>
      <c r="J489" s="129"/>
      <c r="K489" s="27"/>
      <c r="M489" s="13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3"/>
      <c r="C490" s="27"/>
      <c r="D490" s="27"/>
      <c r="E490" s="27"/>
      <c r="H490" s="27"/>
      <c r="J490" s="129"/>
      <c r="K490" s="27"/>
      <c r="M490" s="13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3"/>
      <c r="C491" s="27"/>
      <c r="D491" s="27"/>
      <c r="E491" s="27"/>
      <c r="H491" s="27"/>
      <c r="J491" s="129"/>
      <c r="K491" s="27"/>
      <c r="M491" s="13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3"/>
      <c r="C492" s="27"/>
      <c r="D492" s="27"/>
      <c r="E492" s="27"/>
      <c r="H492" s="27"/>
      <c r="J492" s="129"/>
      <c r="K492" s="27"/>
      <c r="M492" s="13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4"/>
      <c r="C493" s="27"/>
      <c r="D493" s="27"/>
      <c r="E493" s="27"/>
      <c r="H493" s="27"/>
      <c r="I493" s="124"/>
      <c r="J493" s="129"/>
      <c r="K493" s="27"/>
      <c r="L493" s="27"/>
      <c r="M493" s="136"/>
      <c r="O493" s="130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4"/>
      <c r="C494" s="27"/>
      <c r="D494" s="27"/>
      <c r="E494" s="27"/>
      <c r="H494" s="27"/>
      <c r="I494" s="124"/>
      <c r="J494" s="129"/>
      <c r="K494" s="27"/>
      <c r="L494" s="27"/>
      <c r="M494" s="136"/>
      <c r="O494" s="130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4"/>
      <c r="C495" s="27"/>
      <c r="D495" s="27"/>
      <c r="E495" s="27"/>
      <c r="H495" s="27"/>
      <c r="I495" s="124"/>
      <c r="J495" s="129"/>
      <c r="K495" s="27"/>
      <c r="L495" s="27"/>
      <c r="M495" s="136"/>
      <c r="O495" s="130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4"/>
      <c r="C496" s="27"/>
      <c r="D496" s="27"/>
      <c r="E496" s="27"/>
      <c r="H496" s="27"/>
      <c r="I496" s="124"/>
      <c r="J496" s="129"/>
      <c r="K496" s="27"/>
      <c r="L496" s="27"/>
      <c r="M496" s="136"/>
      <c r="O496" s="130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4"/>
      <c r="C497" s="27"/>
      <c r="D497" s="27"/>
      <c r="E497" s="27"/>
      <c r="H497" s="27"/>
      <c r="I497" s="124"/>
      <c r="J497" s="129"/>
      <c r="K497" s="27"/>
      <c r="L497" s="27"/>
      <c r="M497" s="136"/>
      <c r="O497" s="130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4"/>
      <c r="C498" s="27"/>
      <c r="D498" s="27"/>
      <c r="E498" s="27"/>
      <c r="H498" s="27"/>
      <c r="I498" s="124"/>
      <c r="J498" s="129"/>
      <c r="K498" s="27"/>
      <c r="L498" s="27"/>
      <c r="M498" s="136"/>
      <c r="O498" s="130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4"/>
      <c r="C499" s="27"/>
      <c r="D499" s="27"/>
      <c r="E499" s="27"/>
      <c r="H499" s="27"/>
      <c r="I499" s="124"/>
      <c r="J499" s="129"/>
      <c r="K499" s="27"/>
      <c r="L499" s="27"/>
      <c r="M499" s="136"/>
      <c r="O499" s="13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4"/>
      <c r="C500" s="27"/>
      <c r="D500" s="27"/>
      <c r="E500" s="27"/>
      <c r="H500" s="27"/>
      <c r="I500" s="124"/>
      <c r="J500" s="129"/>
      <c r="K500" s="27"/>
      <c r="L500" s="27"/>
      <c r="M500" s="136"/>
      <c r="O500" s="13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4"/>
      <c r="C501" s="27"/>
      <c r="D501" s="27"/>
      <c r="E501" s="27"/>
      <c r="H501" s="27"/>
      <c r="I501" s="124"/>
      <c r="J501" s="129"/>
      <c r="K501" s="27"/>
      <c r="L501" s="27"/>
      <c r="M501" s="136"/>
      <c r="O501" s="13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4"/>
      <c r="C502" s="27"/>
      <c r="D502" s="27"/>
      <c r="E502" s="27"/>
      <c r="H502" s="27"/>
      <c r="I502" s="124"/>
      <c r="J502" s="129"/>
      <c r="K502" s="27"/>
      <c r="L502" s="27"/>
      <c r="M502" s="136"/>
      <c r="O502" s="13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4"/>
      <c r="C503" s="27"/>
      <c r="D503" s="27"/>
      <c r="E503" s="27"/>
      <c r="H503" s="27"/>
      <c r="I503" s="124"/>
      <c r="J503" s="129"/>
      <c r="K503" s="27"/>
      <c r="L503" s="27"/>
      <c r="M503" s="136"/>
      <c r="O503" s="13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4"/>
      <c r="C504" s="27"/>
      <c r="D504" s="27"/>
      <c r="E504" s="27"/>
      <c r="H504" s="27"/>
      <c r="I504" s="124"/>
      <c r="J504" s="129"/>
      <c r="K504" s="27"/>
      <c r="L504" s="27"/>
      <c r="M504" s="136"/>
      <c r="O504" s="13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4"/>
      <c r="C505" s="27"/>
      <c r="D505" s="27"/>
      <c r="E505" s="27"/>
      <c r="H505" s="27"/>
      <c r="I505" s="124"/>
      <c r="J505" s="129"/>
      <c r="K505" s="27"/>
      <c r="L505" s="27"/>
      <c r="M505" s="136"/>
      <c r="O505" s="13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4"/>
      <c r="C506" s="27"/>
      <c r="D506" s="27"/>
      <c r="E506" s="27"/>
      <c r="H506" s="27"/>
      <c r="I506" s="124"/>
      <c r="J506" s="129"/>
      <c r="K506" s="27"/>
      <c r="L506" s="27"/>
      <c r="M506" s="136"/>
      <c r="O506" s="13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4"/>
      <c r="C507" s="27"/>
      <c r="D507" s="27"/>
      <c r="E507" s="27"/>
      <c r="H507" s="27"/>
      <c r="I507" s="124"/>
      <c r="J507" s="129"/>
      <c r="K507" s="27"/>
      <c r="L507" s="27"/>
      <c r="M507" s="136"/>
      <c r="O507" s="13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4"/>
      <c r="C508" s="27"/>
      <c r="D508" s="27"/>
      <c r="E508" s="27"/>
      <c r="H508" s="27"/>
      <c r="I508" s="124"/>
      <c r="J508" s="129"/>
      <c r="K508" s="27"/>
      <c r="L508" s="27"/>
      <c r="M508" s="136"/>
      <c r="O508" s="13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4"/>
      <c r="C509" s="27"/>
      <c r="D509" s="27"/>
      <c r="E509" s="27"/>
      <c r="H509" s="27"/>
      <c r="I509" s="124"/>
      <c r="J509" s="129"/>
      <c r="K509" s="27"/>
      <c r="L509" s="27"/>
      <c r="M509" s="136"/>
      <c r="O509" s="13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4"/>
      <c r="C510" s="27"/>
      <c r="D510" s="27"/>
      <c r="E510" s="27"/>
      <c r="H510" s="27"/>
      <c r="I510" s="124"/>
      <c r="J510" s="129"/>
      <c r="K510" s="27"/>
      <c r="L510" s="27"/>
      <c r="M510" s="136"/>
      <c r="O510" s="13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4"/>
      <c r="C511" s="27"/>
      <c r="D511" s="27"/>
      <c r="E511" s="27"/>
      <c r="H511" s="27"/>
      <c r="I511" s="124"/>
      <c r="J511" s="129"/>
      <c r="K511" s="27"/>
      <c r="L511" s="27"/>
      <c r="M511" s="136"/>
      <c r="O511" s="13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3"/>
      <c r="C512" s="27"/>
      <c r="D512" s="27"/>
      <c r="E512" s="27"/>
      <c r="H512" s="27"/>
      <c r="J512" s="129"/>
      <c r="K512" s="27"/>
      <c r="L512" s="27"/>
      <c r="O512" s="130"/>
      <c r="P512" s="27"/>
      <c r="Q512" s="27"/>
      <c r="W512" s="123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3"/>
      <c r="C513" s="27"/>
      <c r="D513" s="27"/>
      <c r="E513" s="27"/>
      <c r="H513" s="27"/>
      <c r="J513" s="129"/>
      <c r="K513" s="27"/>
      <c r="L513" s="27"/>
      <c r="O513" s="130"/>
      <c r="P513" s="27"/>
      <c r="Q513" s="27"/>
      <c r="W513" s="123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3"/>
      <c r="C514" s="27"/>
      <c r="D514" s="27"/>
      <c r="E514" s="27"/>
      <c r="H514" s="27"/>
      <c r="J514" s="129"/>
      <c r="K514" s="27"/>
      <c r="L514" s="27"/>
      <c r="O514" s="130"/>
      <c r="P514" s="27"/>
      <c r="Q514" s="27"/>
      <c r="W514" s="123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3"/>
      <c r="C515" s="27"/>
      <c r="D515" s="27"/>
      <c r="E515" s="27"/>
      <c r="H515" s="27"/>
      <c r="J515" s="129"/>
      <c r="K515" s="27"/>
      <c r="L515" s="27"/>
      <c r="O515" s="130"/>
      <c r="P515" s="27"/>
      <c r="Q515" s="27"/>
      <c r="W515" s="123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3"/>
      <c r="C516" s="27"/>
      <c r="D516" s="27"/>
      <c r="E516" s="27"/>
      <c r="H516" s="27"/>
      <c r="J516" s="129"/>
      <c r="K516" s="27"/>
      <c r="L516" s="27"/>
      <c r="O516" s="130"/>
      <c r="P516" s="27"/>
      <c r="Q516" s="27"/>
      <c r="W516" s="123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3"/>
      <c r="C517" s="27"/>
      <c r="D517" s="27"/>
      <c r="E517" s="27"/>
      <c r="H517" s="27"/>
      <c r="J517" s="129"/>
      <c r="K517" s="27"/>
      <c r="L517" s="27"/>
      <c r="O517" s="130"/>
      <c r="P517" s="27"/>
      <c r="Q517" s="27"/>
      <c r="W517" s="123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3"/>
      <c r="C518" s="27"/>
      <c r="D518" s="27"/>
      <c r="E518" s="27"/>
      <c r="H518" s="27"/>
      <c r="J518" s="129"/>
      <c r="K518" s="27"/>
      <c r="L518" s="27"/>
      <c r="O518" s="130"/>
      <c r="P518" s="27"/>
      <c r="Q518" s="27"/>
      <c r="W518" s="123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3"/>
      <c r="C519" s="27"/>
      <c r="D519" s="27"/>
      <c r="E519" s="27"/>
      <c r="H519" s="27"/>
      <c r="J519" s="129"/>
      <c r="K519" s="27"/>
      <c r="L519" s="27"/>
      <c r="O519" s="130"/>
      <c r="P519" s="27"/>
      <c r="Q519" s="27"/>
      <c r="W519" s="123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3"/>
      <c r="C520" s="27"/>
      <c r="D520" s="27"/>
      <c r="E520" s="27"/>
      <c r="H520" s="27"/>
      <c r="J520" s="129"/>
      <c r="K520" s="27"/>
      <c r="L520" s="27"/>
      <c r="O520" s="130"/>
      <c r="P520" s="27"/>
      <c r="Q520" s="27"/>
      <c r="W520" s="123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3"/>
      <c r="C521" s="27"/>
      <c r="D521" s="27"/>
      <c r="E521" s="27"/>
      <c r="H521" s="27"/>
      <c r="J521" s="129"/>
      <c r="K521" s="27"/>
      <c r="L521" s="27"/>
      <c r="O521" s="130"/>
      <c r="P521" s="27"/>
      <c r="Q521" s="27"/>
      <c r="W521" s="123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23"/>
      <c r="C522" s="27"/>
      <c r="D522" s="27"/>
      <c r="E522" s="27"/>
      <c r="H522" s="27"/>
      <c r="J522" s="129"/>
      <c r="K522" s="27"/>
      <c r="L522" s="27"/>
      <c r="O522" s="130"/>
      <c r="P522" s="27"/>
      <c r="Q522" s="27"/>
      <c r="W522" s="123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23"/>
      <c r="C523" s="27"/>
      <c r="D523" s="27"/>
      <c r="E523" s="27"/>
      <c r="H523" s="27"/>
      <c r="I523" s="27"/>
      <c r="J523" s="129"/>
      <c r="K523" s="27"/>
      <c r="L523" s="27"/>
      <c r="N523" s="123"/>
      <c r="O523" s="130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23"/>
      <c r="C524" s="27"/>
      <c r="D524" s="27"/>
      <c r="E524" s="27"/>
      <c r="H524" s="27"/>
      <c r="I524" s="27"/>
      <c r="J524" s="129"/>
      <c r="K524" s="27"/>
      <c r="L524" s="27"/>
      <c r="N524" s="123"/>
      <c r="O524" s="130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3"/>
      <c r="C525" s="27"/>
      <c r="D525" s="27"/>
      <c r="E525" s="27"/>
      <c r="H525" s="27"/>
      <c r="I525" s="27"/>
      <c r="J525" s="129"/>
      <c r="K525" s="27"/>
      <c r="L525" s="27"/>
      <c r="N525" s="123"/>
      <c r="O525" s="130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3"/>
      <c r="C526" s="27"/>
      <c r="D526" s="27"/>
      <c r="E526" s="27"/>
      <c r="H526" s="27"/>
      <c r="I526" s="27"/>
      <c r="J526" s="129"/>
      <c r="K526" s="27"/>
      <c r="L526" s="27"/>
      <c r="N526" s="123"/>
      <c r="O526" s="130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 s="125" customFormat="1">
      <c r="B527" s="137"/>
      <c r="C527" s="138"/>
      <c r="D527" s="138"/>
      <c r="E527" s="27"/>
      <c r="H527" s="27"/>
      <c r="I527" s="138"/>
      <c r="J527" s="139"/>
      <c r="K527" s="138"/>
      <c r="L527" s="138"/>
      <c r="M527" s="133"/>
      <c r="P527" s="138"/>
      <c r="Q527" s="138"/>
      <c r="W527" s="138"/>
      <c r="X527" s="138"/>
      <c r="Z527" s="138"/>
      <c r="AA527" s="27"/>
      <c r="AB527" s="137"/>
      <c r="AC527" s="138"/>
      <c r="AD527" s="138"/>
      <c r="AI527" s="138"/>
      <c r="AJ527" s="138"/>
      <c r="AK527" s="138"/>
      <c r="AN527" s="137"/>
      <c r="AO527" s="138"/>
      <c r="AP527" s="138"/>
    </row>
    <row r="528" spans="2:42" s="125" customFormat="1">
      <c r="B528" s="137"/>
      <c r="C528" s="138"/>
      <c r="D528" s="138"/>
      <c r="E528" s="27"/>
      <c r="H528" s="27"/>
      <c r="I528" s="138"/>
      <c r="J528" s="139"/>
      <c r="K528" s="138"/>
      <c r="L528" s="138"/>
      <c r="M528" s="133"/>
      <c r="P528" s="138"/>
      <c r="Q528" s="138"/>
      <c r="W528" s="138"/>
      <c r="X528" s="138"/>
      <c r="Z528" s="138"/>
      <c r="AA528" s="27"/>
      <c r="AB528" s="137"/>
      <c r="AC528" s="138"/>
      <c r="AD528" s="138"/>
      <c r="AI528" s="138"/>
      <c r="AJ528" s="138"/>
      <c r="AK528" s="138"/>
      <c r="AN528" s="137"/>
      <c r="AO528" s="138"/>
      <c r="AP528" s="138"/>
    </row>
    <row r="529" spans="2:42">
      <c r="B529" s="123"/>
      <c r="C529" s="27"/>
      <c r="D529" s="27"/>
      <c r="E529" s="27"/>
      <c r="H529" s="27"/>
      <c r="I529" s="27"/>
      <c r="J529" s="129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3"/>
      <c r="C530" s="27"/>
      <c r="D530" s="27"/>
      <c r="E530" s="27"/>
      <c r="H530" s="27"/>
      <c r="I530" s="27"/>
      <c r="J530" s="129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3"/>
      <c r="C531" s="27"/>
      <c r="D531" s="27"/>
      <c r="E531" s="27"/>
      <c r="H531" s="27"/>
      <c r="I531" s="27"/>
      <c r="J531" s="129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3"/>
      <c r="C532" s="27"/>
      <c r="D532" s="27"/>
      <c r="E532" s="27"/>
      <c r="H532" s="27"/>
      <c r="I532" s="27"/>
      <c r="J532" s="129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3"/>
      <c r="C533" s="27"/>
      <c r="D533" s="27"/>
      <c r="E533" s="27"/>
      <c r="H533" s="27"/>
      <c r="I533" s="27"/>
      <c r="J533" s="129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3"/>
      <c r="C534" s="27"/>
      <c r="D534" s="27"/>
      <c r="E534" s="27"/>
      <c r="H534" s="27"/>
      <c r="I534" s="27"/>
      <c r="J534" s="129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3"/>
      <c r="C535" s="27"/>
      <c r="D535" s="27"/>
      <c r="E535" s="27"/>
      <c r="H535" s="27"/>
      <c r="I535" s="27"/>
      <c r="J535" s="129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3"/>
      <c r="C536" s="27"/>
      <c r="D536" s="27"/>
      <c r="E536" s="27"/>
      <c r="H536" s="27"/>
      <c r="I536" s="27"/>
      <c r="J536" s="129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3"/>
      <c r="C537" s="27"/>
      <c r="D537" s="27"/>
      <c r="E537" s="27"/>
      <c r="H537" s="27"/>
      <c r="I537" s="27"/>
      <c r="J537" s="129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3"/>
      <c r="C538" s="27"/>
      <c r="D538" s="27"/>
      <c r="E538" s="27"/>
      <c r="H538" s="27"/>
      <c r="I538" s="27"/>
      <c r="J538" s="129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3"/>
      <c r="C539" s="27"/>
      <c r="D539" s="27"/>
      <c r="E539" s="27"/>
      <c r="H539" s="27"/>
      <c r="I539" s="27"/>
      <c r="J539" s="129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3"/>
      <c r="C540" s="27"/>
      <c r="D540" s="27"/>
      <c r="E540" s="27"/>
      <c r="H540" s="27"/>
      <c r="I540" s="27"/>
      <c r="J540" s="129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3"/>
      <c r="C541" s="27"/>
      <c r="D541" s="27"/>
      <c r="E541" s="27"/>
      <c r="H541" s="27"/>
      <c r="I541" s="27"/>
      <c r="J541" s="129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3"/>
      <c r="C542" s="27"/>
      <c r="D542" s="27"/>
      <c r="E542" s="27"/>
      <c r="H542" s="27"/>
      <c r="I542" s="27"/>
      <c r="J542" s="129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3"/>
      <c r="C543" s="27"/>
      <c r="D543" s="27"/>
      <c r="E543" s="27"/>
      <c r="H543" s="27"/>
      <c r="I543" s="27"/>
      <c r="J543" s="129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3"/>
      <c r="C544" s="27"/>
      <c r="D544" s="27"/>
      <c r="E544" s="27"/>
      <c r="H544" s="27"/>
      <c r="I544" s="27"/>
      <c r="J544" s="129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23"/>
      <c r="C545" s="27"/>
      <c r="D545" s="27"/>
      <c r="E545" s="27"/>
      <c r="H545" s="27"/>
      <c r="I545" s="27"/>
      <c r="J545" s="129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23"/>
      <c r="C546" s="27"/>
      <c r="D546" s="27"/>
      <c r="E546" s="27"/>
      <c r="H546" s="27"/>
      <c r="I546" s="27"/>
      <c r="J546" s="129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23"/>
      <c r="C547" s="27"/>
      <c r="D547" s="27"/>
      <c r="E547" s="27"/>
      <c r="H547" s="27"/>
      <c r="I547" s="27"/>
      <c r="J547" s="129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23"/>
      <c r="C548" s="27"/>
      <c r="D548" s="27"/>
      <c r="E548" s="27"/>
      <c r="H548" s="27"/>
      <c r="I548" s="124"/>
      <c r="J548" s="129"/>
      <c r="K548" s="27"/>
      <c r="L548" s="27"/>
      <c r="P548" s="27"/>
      <c r="Q548" s="27"/>
      <c r="V548" s="27"/>
      <c r="W548" s="123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3"/>
      <c r="C549" s="27"/>
      <c r="D549" s="27"/>
      <c r="E549" s="27"/>
      <c r="H549" s="27"/>
      <c r="I549" s="129"/>
      <c r="J549" s="129"/>
      <c r="K549" s="27"/>
      <c r="L549" s="27"/>
      <c r="P549" s="27"/>
      <c r="Q549" s="27"/>
      <c r="V549" s="27"/>
      <c r="W549" s="123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3"/>
      <c r="C550" s="27"/>
      <c r="D550" s="27"/>
      <c r="E550" s="27"/>
      <c r="H550" s="27"/>
      <c r="I550" s="129"/>
      <c r="J550" s="129"/>
      <c r="K550" s="27"/>
      <c r="L550" s="27"/>
      <c r="P550" s="27"/>
      <c r="Q550" s="27"/>
      <c r="V550" s="27"/>
      <c r="W550" s="123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3"/>
      <c r="C551" s="27"/>
      <c r="D551" s="27"/>
      <c r="E551" s="27"/>
      <c r="H551" s="27"/>
      <c r="I551" s="129"/>
      <c r="J551" s="129"/>
      <c r="K551" s="27"/>
      <c r="L551" s="27"/>
      <c r="P551" s="27"/>
      <c r="Q551" s="27"/>
      <c r="V551" s="27"/>
      <c r="W551" s="123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23"/>
      <c r="C552" s="27"/>
      <c r="D552" s="27"/>
      <c r="E552" s="27"/>
      <c r="H552" s="27"/>
      <c r="I552" s="129"/>
      <c r="J552" s="129"/>
      <c r="K552" s="27"/>
      <c r="L552" s="27"/>
      <c r="P552" s="27"/>
      <c r="Q552" s="27"/>
      <c r="V552" s="27"/>
      <c r="W552" s="123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23"/>
      <c r="C553" s="27"/>
      <c r="D553" s="27"/>
      <c r="E553" s="27"/>
      <c r="H553" s="27"/>
      <c r="I553" s="129"/>
      <c r="J553" s="129"/>
      <c r="K553" s="27"/>
      <c r="L553" s="27"/>
      <c r="P553" s="27"/>
      <c r="Q553" s="27"/>
      <c r="V553" s="27"/>
      <c r="W553" s="123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23"/>
      <c r="C554" s="27"/>
      <c r="D554" s="27"/>
      <c r="E554" s="27"/>
      <c r="H554" s="27"/>
      <c r="I554" s="129"/>
      <c r="J554" s="129"/>
      <c r="K554" s="27"/>
      <c r="L554" s="27"/>
      <c r="P554" s="27"/>
      <c r="Q554" s="27"/>
      <c r="V554" s="27"/>
      <c r="W554" s="123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23"/>
      <c r="C555" s="27"/>
      <c r="D555" s="27"/>
      <c r="E555" s="27"/>
      <c r="H555" s="27"/>
      <c r="I555" s="129"/>
      <c r="J555" s="129"/>
      <c r="K555" s="27"/>
      <c r="L555" s="27"/>
      <c r="P555" s="27"/>
      <c r="Q555" s="27"/>
      <c r="V555" s="27"/>
      <c r="W555" s="123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23"/>
      <c r="C556" s="27"/>
      <c r="D556" s="27"/>
      <c r="E556" s="27"/>
      <c r="H556" s="27"/>
      <c r="I556" s="129"/>
      <c r="J556" s="129"/>
      <c r="K556" s="27"/>
      <c r="L556" s="27"/>
      <c r="P556" s="27"/>
      <c r="Q556" s="27"/>
      <c r="V556" s="27"/>
      <c r="W556" s="123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29"/>
      <c r="K557" s="129"/>
      <c r="L557" s="27"/>
      <c r="M557" s="130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29"/>
      <c r="K558" s="129"/>
      <c r="L558" s="27"/>
      <c r="M558" s="130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F559" s="27"/>
      <c r="G559" s="27"/>
      <c r="H559" s="27"/>
      <c r="I559" s="27"/>
      <c r="J559" s="129"/>
      <c r="K559" s="129"/>
      <c r="L559" s="27"/>
      <c r="M559" s="130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</row>
    <row r="560" spans="2:42">
      <c r="B560" s="27"/>
      <c r="C560" s="27"/>
      <c r="D560" s="27"/>
      <c r="E560" s="27"/>
      <c r="F560" s="27"/>
      <c r="G560" s="27"/>
      <c r="H560" s="27"/>
      <c r="I560" s="27"/>
      <c r="J560" s="129"/>
      <c r="K560" s="129"/>
      <c r="L560" s="27"/>
      <c r="M560" s="130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</row>
    <row r="561" spans="2:42">
      <c r="B561" s="27"/>
      <c r="C561" s="27"/>
      <c r="D561" s="27"/>
      <c r="E561" s="27"/>
      <c r="F561" s="27"/>
      <c r="G561" s="27"/>
      <c r="H561" s="27"/>
      <c r="I561" s="27"/>
      <c r="J561" s="129"/>
      <c r="K561" s="129"/>
      <c r="L561" s="27"/>
      <c r="M561" s="130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</row>
    <row r="562" spans="2:42">
      <c r="B562" s="27"/>
      <c r="C562" s="27"/>
      <c r="D562" s="27"/>
      <c r="E562" s="27"/>
      <c r="F562" s="27"/>
      <c r="G562" s="27"/>
      <c r="H562" s="27"/>
      <c r="I562" s="27"/>
      <c r="J562" s="129"/>
      <c r="K562" s="129"/>
      <c r="L562" s="27"/>
      <c r="M562" s="130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</row>
    <row r="563" spans="2:42">
      <c r="B563" s="27"/>
      <c r="C563" s="27"/>
      <c r="D563" s="27"/>
      <c r="E563" s="27"/>
      <c r="F563" s="27"/>
      <c r="G563" s="27"/>
      <c r="H563" s="27"/>
      <c r="I563" s="27"/>
      <c r="J563" s="129"/>
      <c r="K563" s="129"/>
      <c r="L563" s="27"/>
      <c r="M563" s="130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</row>
    <row r="564" spans="2:42">
      <c r="B564" s="27"/>
      <c r="C564" s="27"/>
      <c r="D564" s="27"/>
      <c r="E564" s="27"/>
      <c r="H564" s="27"/>
      <c r="I564" s="129"/>
      <c r="J564" s="129"/>
      <c r="K564" s="27"/>
      <c r="L564" s="27"/>
      <c r="M564" s="140"/>
      <c r="O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129"/>
      <c r="J565" s="129"/>
      <c r="K565" s="27"/>
      <c r="L565" s="27"/>
      <c r="M565" s="140"/>
      <c r="O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129"/>
      <c r="J566" s="129"/>
      <c r="K566" s="27"/>
      <c r="L566" s="27"/>
      <c r="M566" s="141"/>
      <c r="O566" s="27"/>
      <c r="P566" s="27"/>
      <c r="Q566" s="27"/>
      <c r="W566" s="27"/>
      <c r="X566" s="27"/>
      <c r="Z566" s="27"/>
      <c r="AA566" s="27"/>
      <c r="AC566" s="27"/>
      <c r="AD566" s="27"/>
      <c r="AI566" s="123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129"/>
      <c r="J567" s="129"/>
      <c r="K567" s="27"/>
      <c r="L567" s="27"/>
      <c r="M567" s="140"/>
      <c r="O567" s="27"/>
      <c r="P567" s="27"/>
      <c r="Q567" s="27"/>
      <c r="W567" s="27"/>
      <c r="X567" s="27"/>
      <c r="Z567" s="27"/>
      <c r="AA567" s="27"/>
      <c r="AC567" s="27"/>
      <c r="AD567" s="27"/>
      <c r="AI567" s="123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129"/>
      <c r="J568" s="129"/>
      <c r="K568" s="27"/>
      <c r="L568" s="27"/>
      <c r="M568" s="140"/>
      <c r="O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29"/>
      <c r="K569" s="27"/>
      <c r="L569" s="27"/>
      <c r="M569" s="140"/>
      <c r="N569" s="123"/>
      <c r="O569" s="142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29"/>
      <c r="K570" s="27"/>
      <c r="L570" s="27"/>
      <c r="M570" s="140"/>
      <c r="N570" s="123"/>
      <c r="O570" s="142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29"/>
      <c r="K571" s="27"/>
      <c r="L571" s="27"/>
      <c r="M571" s="140"/>
      <c r="N571" s="123"/>
      <c r="O571" s="142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29"/>
      <c r="K572" s="27"/>
      <c r="L572" s="27"/>
      <c r="M572" s="140"/>
      <c r="N572" s="123"/>
      <c r="O572" s="142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29"/>
      <c r="K573" s="27"/>
      <c r="L573" s="27"/>
      <c r="M573" s="140"/>
      <c r="N573" s="123"/>
      <c r="O573" s="142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29"/>
      <c r="K574" s="27"/>
      <c r="L574" s="27"/>
      <c r="M574" s="140"/>
      <c r="N574" s="123"/>
      <c r="O574" s="142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29"/>
      <c r="K575" s="27"/>
      <c r="L575" s="27"/>
      <c r="M575" s="140"/>
      <c r="N575" s="123"/>
      <c r="O575" s="142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29"/>
      <c r="K576" s="27"/>
      <c r="L576" s="27"/>
      <c r="M576" s="140"/>
      <c r="N576" s="123"/>
      <c r="O576" s="142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29"/>
      <c r="K577" s="27"/>
      <c r="L577" s="27"/>
      <c r="M577" s="140"/>
      <c r="N577" s="123"/>
      <c r="O577" s="142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29"/>
      <c r="K578" s="27"/>
      <c r="L578" s="27"/>
      <c r="M578" s="140"/>
      <c r="N578" s="123"/>
      <c r="O578" s="142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29"/>
      <c r="K579" s="27"/>
      <c r="L579" s="27"/>
      <c r="M579" s="140"/>
      <c r="N579" s="123"/>
      <c r="O579" s="142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29"/>
      <c r="K580" s="27"/>
      <c r="L580" s="27"/>
      <c r="M580" s="140"/>
      <c r="N580" s="123"/>
      <c r="O580" s="142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29"/>
      <c r="K581" s="27"/>
      <c r="L581" s="27"/>
      <c r="M581" s="140"/>
      <c r="N581" s="123"/>
      <c r="O581" s="142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29"/>
      <c r="K582" s="27"/>
      <c r="L582" s="27"/>
      <c r="M582" s="140"/>
      <c r="N582" s="123"/>
      <c r="O582" s="142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29"/>
      <c r="K583" s="27"/>
      <c r="L583" s="27"/>
      <c r="M583" s="140"/>
      <c r="N583" s="123"/>
      <c r="O583" s="142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29"/>
      <c r="K584" s="27"/>
      <c r="L584" s="27"/>
      <c r="M584" s="140"/>
      <c r="N584" s="123"/>
      <c r="O584" s="142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29"/>
      <c r="K585" s="27"/>
      <c r="L585" s="27"/>
      <c r="M585" s="140"/>
      <c r="N585" s="123"/>
      <c r="O585" s="142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29"/>
      <c r="K586" s="27"/>
      <c r="L586" s="27"/>
      <c r="M586" s="140"/>
      <c r="N586" s="123"/>
      <c r="O586" s="142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29"/>
      <c r="K587" s="27"/>
      <c r="L587" s="27"/>
      <c r="M587" s="140"/>
      <c r="N587" s="123"/>
      <c r="O587" s="142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29"/>
      <c r="K588" s="27"/>
      <c r="L588" s="27"/>
      <c r="M588" s="140"/>
      <c r="N588" s="123"/>
      <c r="O588" s="142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29"/>
      <c r="K589" s="27"/>
      <c r="L589" s="27"/>
      <c r="M589" s="141"/>
      <c r="N589" s="123"/>
      <c r="O589" s="142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29"/>
      <c r="K590" s="27"/>
      <c r="L590" s="27"/>
      <c r="M590" s="141"/>
      <c r="N590" s="123"/>
      <c r="O590" s="142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29"/>
      <c r="K591" s="27"/>
      <c r="L591" s="27"/>
      <c r="M591" s="141"/>
      <c r="N591" s="123"/>
      <c r="O591" s="142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29"/>
      <c r="K592" s="27"/>
      <c r="L592" s="27"/>
      <c r="M592" s="141"/>
      <c r="N592" s="123"/>
      <c r="O592" s="142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29"/>
      <c r="K593" s="27"/>
      <c r="L593" s="27"/>
      <c r="M593" s="141"/>
      <c r="N593" s="123"/>
      <c r="O593" s="142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29"/>
      <c r="K594" s="27"/>
      <c r="L594" s="27"/>
      <c r="M594" s="141"/>
      <c r="N594" s="123"/>
      <c r="O594" s="142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29"/>
      <c r="K595" s="27"/>
      <c r="L595" s="27"/>
      <c r="M595" s="141"/>
      <c r="N595" s="123"/>
      <c r="O595" s="14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29"/>
      <c r="K596" s="27"/>
      <c r="L596" s="27"/>
      <c r="M596" s="141"/>
      <c r="N596" s="123"/>
      <c r="O596" s="14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29"/>
      <c r="K597" s="27"/>
      <c r="L597" s="27"/>
      <c r="M597" s="141"/>
      <c r="N597" s="123"/>
      <c r="O597" s="14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29"/>
      <c r="K598" s="27"/>
      <c r="L598" s="27"/>
      <c r="M598" s="141"/>
      <c r="N598" s="123"/>
      <c r="O598" s="14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29"/>
      <c r="K599" s="27"/>
      <c r="L599" s="27"/>
      <c r="M599" s="140"/>
      <c r="N599" s="123"/>
      <c r="O599" s="14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29"/>
      <c r="K600" s="27"/>
      <c r="L600" s="27"/>
      <c r="M600" s="140"/>
      <c r="N600" s="123"/>
      <c r="O600" s="14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29"/>
      <c r="K601" s="27"/>
      <c r="L601" s="27"/>
      <c r="M601" s="140"/>
      <c r="N601" s="123"/>
      <c r="O601" s="14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29"/>
      <c r="K602" s="27"/>
      <c r="L602" s="27"/>
      <c r="M602" s="140"/>
      <c r="N602" s="123"/>
      <c r="O602" s="14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29"/>
      <c r="K603" s="27"/>
      <c r="L603" s="27"/>
      <c r="M603" s="140"/>
      <c r="N603" s="123"/>
      <c r="O603" s="14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29"/>
      <c r="K604" s="27"/>
      <c r="L604" s="27"/>
      <c r="M604" s="140"/>
      <c r="N604" s="123"/>
      <c r="O604" s="14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29"/>
      <c r="K605" s="27"/>
      <c r="L605" s="27"/>
      <c r="M605" s="140"/>
      <c r="N605" s="123"/>
      <c r="O605" s="14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29"/>
      <c r="K606" s="27"/>
      <c r="L606" s="27"/>
      <c r="M606" s="140"/>
      <c r="N606" s="123"/>
      <c r="O606" s="14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29"/>
      <c r="K607" s="27"/>
      <c r="L607" s="27"/>
      <c r="M607" s="140"/>
      <c r="N607" s="123"/>
      <c r="O607" s="14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29"/>
      <c r="K608" s="27"/>
      <c r="L608" s="27"/>
      <c r="M608" s="140"/>
      <c r="N608" s="123"/>
      <c r="O608" s="14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29"/>
      <c r="K609" s="27"/>
      <c r="M609" s="140"/>
      <c r="N609" s="123"/>
      <c r="O609" s="14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29"/>
      <c r="K610" s="27"/>
      <c r="M610" s="140"/>
      <c r="N610" s="123"/>
      <c r="O610" s="14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29"/>
      <c r="K611" s="27"/>
      <c r="M611" s="140"/>
      <c r="N611" s="123"/>
      <c r="O611" s="14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29"/>
      <c r="K612" s="27"/>
      <c r="M612" s="140"/>
      <c r="N612" s="123"/>
      <c r="O612" s="14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29"/>
      <c r="K613" s="27"/>
      <c r="M613" s="140"/>
      <c r="N613" s="123"/>
      <c r="O613" s="14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29"/>
      <c r="K614" s="27"/>
      <c r="M614" s="140"/>
      <c r="N614" s="123"/>
      <c r="O614" s="142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29"/>
      <c r="K615" s="27"/>
      <c r="M615" s="140"/>
      <c r="N615" s="123"/>
      <c r="O615" s="142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29"/>
      <c r="K616" s="27"/>
      <c r="M616" s="140"/>
      <c r="N616" s="123"/>
      <c r="O616" s="142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29"/>
      <c r="K617" s="27"/>
      <c r="M617" s="140"/>
      <c r="N617" s="123"/>
      <c r="O617" s="142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29"/>
      <c r="K618" s="27"/>
      <c r="M618" s="140"/>
      <c r="N618" s="123"/>
      <c r="O618" s="142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29"/>
      <c r="K619" s="27"/>
      <c r="L619" s="27"/>
      <c r="M619" s="142"/>
      <c r="O619" s="127"/>
      <c r="P619" s="27"/>
      <c r="Q619" s="27"/>
      <c r="V619" s="27"/>
      <c r="W619" s="123"/>
      <c r="X619" s="27"/>
      <c r="Z619" s="27"/>
      <c r="AA619" s="27"/>
      <c r="AC619" s="27"/>
      <c r="AD619" s="27"/>
      <c r="AJ619" s="27"/>
      <c r="AK619" s="27"/>
    </row>
    <row r="620" spans="2:42">
      <c r="B620" s="27"/>
      <c r="C620" s="27"/>
      <c r="D620" s="27"/>
      <c r="E620" s="27"/>
      <c r="H620" s="27"/>
      <c r="I620" s="27"/>
      <c r="J620" s="129"/>
      <c r="K620" s="27"/>
      <c r="L620" s="27"/>
      <c r="M620" s="142"/>
      <c r="O620" s="127"/>
      <c r="P620" s="27"/>
      <c r="Q620" s="27"/>
      <c r="V620" s="27"/>
      <c r="W620" s="123"/>
      <c r="X620" s="27"/>
      <c r="Z620" s="27"/>
      <c r="AA620" s="27"/>
      <c r="AB620" s="27"/>
      <c r="AC620" s="27"/>
      <c r="AD620" s="27"/>
      <c r="AJ620" s="27"/>
      <c r="AK620" s="27"/>
    </row>
    <row r="621" spans="2:42">
      <c r="B621" s="27"/>
      <c r="C621" s="27"/>
      <c r="D621" s="27"/>
      <c r="E621" s="27"/>
      <c r="H621" s="27"/>
      <c r="I621" s="27"/>
      <c r="J621" s="129"/>
      <c r="K621" s="27"/>
      <c r="L621" s="27"/>
      <c r="M621" s="142"/>
      <c r="O621" s="127"/>
      <c r="P621" s="27"/>
      <c r="Q621" s="27"/>
      <c r="V621" s="27"/>
      <c r="W621" s="123"/>
      <c r="X621" s="27"/>
      <c r="Z621" s="27"/>
      <c r="AA621" s="27"/>
      <c r="AB621" s="27"/>
      <c r="AC621" s="27"/>
      <c r="AD621" s="27"/>
      <c r="AJ621" s="27"/>
      <c r="AK621" s="27"/>
    </row>
    <row r="622" spans="2:42">
      <c r="B622" s="27"/>
      <c r="C622" s="27"/>
      <c r="D622" s="27"/>
      <c r="E622" s="27"/>
      <c r="H622" s="27"/>
      <c r="I622" s="27"/>
      <c r="J622" s="129"/>
      <c r="K622" s="27"/>
      <c r="L622" s="27"/>
      <c r="M622" s="142"/>
      <c r="O622" s="127"/>
      <c r="P622" s="27"/>
      <c r="Q622" s="27"/>
      <c r="V622" s="27"/>
      <c r="W622" s="123"/>
      <c r="X622" s="27"/>
      <c r="Z622" s="27"/>
      <c r="AA622" s="27"/>
      <c r="AB622" s="27"/>
      <c r="AC622" s="27"/>
      <c r="AD622" s="27"/>
      <c r="AJ622" s="27"/>
      <c r="AK622" s="27"/>
    </row>
    <row r="623" spans="2:42" s="126" customFormat="1">
      <c r="B623" s="143"/>
      <c r="C623" s="143"/>
      <c r="D623" s="143"/>
      <c r="E623" s="27"/>
      <c r="H623" s="27"/>
      <c r="I623" s="143"/>
      <c r="J623" s="144"/>
      <c r="K623" s="143"/>
      <c r="L623" s="143"/>
      <c r="M623" s="145"/>
      <c r="O623" s="146"/>
      <c r="P623" s="143"/>
      <c r="Q623" s="143"/>
      <c r="V623" s="143"/>
      <c r="W623" s="147"/>
      <c r="X623" s="143"/>
      <c r="Z623" s="143"/>
      <c r="AA623" s="143"/>
      <c r="AB623" s="147"/>
      <c r="AC623" s="143"/>
      <c r="AD623" s="143"/>
      <c r="AJ623" s="143"/>
      <c r="AK623" s="143"/>
      <c r="AN623" s="147"/>
    </row>
    <row r="624" spans="2:42" s="126" customFormat="1">
      <c r="B624" s="143"/>
      <c r="C624" s="143"/>
      <c r="D624" s="143"/>
      <c r="E624" s="27"/>
      <c r="H624" s="27"/>
      <c r="I624" s="143"/>
      <c r="J624" s="144"/>
      <c r="K624" s="143"/>
      <c r="L624" s="143"/>
      <c r="M624" s="145"/>
      <c r="O624" s="146"/>
      <c r="P624" s="143"/>
      <c r="Q624" s="143"/>
      <c r="V624" s="143"/>
      <c r="W624" s="147"/>
      <c r="X624" s="143"/>
      <c r="Z624" s="143"/>
      <c r="AA624" s="143"/>
      <c r="AB624" s="147"/>
      <c r="AC624" s="143"/>
      <c r="AD624" s="143"/>
      <c r="AJ624" s="143"/>
      <c r="AK624" s="143"/>
      <c r="AN624" s="147"/>
    </row>
    <row r="625" spans="2:42" s="126" customFormat="1">
      <c r="B625" s="143"/>
      <c r="C625" s="143"/>
      <c r="D625" s="143"/>
      <c r="E625" s="27"/>
      <c r="H625" s="27"/>
      <c r="I625" s="143"/>
      <c r="J625" s="144"/>
      <c r="K625" s="143"/>
      <c r="L625" s="143"/>
      <c r="M625" s="145"/>
      <c r="O625" s="146"/>
      <c r="P625" s="143"/>
      <c r="Q625" s="143"/>
      <c r="V625" s="143"/>
      <c r="W625" s="147"/>
      <c r="X625" s="143"/>
      <c r="Z625" s="143"/>
      <c r="AA625" s="143"/>
      <c r="AB625" s="147"/>
      <c r="AC625" s="143"/>
      <c r="AD625" s="143"/>
      <c r="AJ625" s="143"/>
      <c r="AK625" s="143"/>
      <c r="AN625" s="147"/>
    </row>
    <row r="626" spans="2:42" s="126" customFormat="1">
      <c r="B626" s="143"/>
      <c r="C626" s="143"/>
      <c r="D626" s="143"/>
      <c r="E626" s="27"/>
      <c r="H626" s="27"/>
      <c r="I626" s="143"/>
      <c r="J626" s="144"/>
      <c r="K626" s="143"/>
      <c r="L626" s="143"/>
      <c r="M626" s="145"/>
      <c r="O626" s="146"/>
      <c r="P626" s="143"/>
      <c r="Q626" s="143"/>
      <c r="V626" s="143"/>
      <c r="W626" s="147"/>
      <c r="X626" s="143"/>
      <c r="Z626" s="143"/>
      <c r="AA626" s="143"/>
      <c r="AB626" s="147"/>
      <c r="AC626" s="143"/>
      <c r="AD626" s="143"/>
      <c r="AJ626" s="143"/>
      <c r="AK626" s="143"/>
      <c r="AN626" s="147"/>
    </row>
    <row r="627" spans="2:42">
      <c r="B627" s="27"/>
      <c r="C627" s="27"/>
      <c r="D627" s="27"/>
      <c r="E627" s="27"/>
      <c r="H627" s="27"/>
      <c r="I627" s="27"/>
      <c r="J627" s="129"/>
      <c r="K627" s="27"/>
      <c r="L627" s="27"/>
      <c r="M627" s="142"/>
      <c r="O627" s="127"/>
      <c r="P627" s="27"/>
      <c r="Q627" s="27"/>
      <c r="W627" s="27"/>
      <c r="X627" s="27"/>
      <c r="Z627" s="27"/>
      <c r="AA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29"/>
      <c r="K628" s="27"/>
      <c r="L628" s="27"/>
      <c r="M628" s="142"/>
      <c r="O628" s="127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29"/>
      <c r="K629" s="27"/>
      <c r="L629" s="27"/>
      <c r="M629" s="142"/>
      <c r="O629" s="127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29"/>
      <c r="K630" s="27"/>
      <c r="L630" s="27"/>
      <c r="M630" s="142"/>
      <c r="O630" s="127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 s="126" customFormat="1">
      <c r="B631" s="143"/>
      <c r="C631" s="143"/>
      <c r="D631" s="143"/>
      <c r="E631" s="27"/>
      <c r="H631" s="27"/>
      <c r="I631" s="143"/>
      <c r="J631" s="144"/>
      <c r="K631" s="143"/>
      <c r="L631" s="143"/>
      <c r="M631" s="145"/>
      <c r="O631" s="146"/>
      <c r="P631" s="143"/>
      <c r="Q631" s="143"/>
      <c r="W631" s="143"/>
      <c r="X631" s="143"/>
      <c r="Z631" s="143"/>
      <c r="AA631" s="143"/>
      <c r="AB631" s="147"/>
      <c r="AC631" s="143"/>
      <c r="AD631" s="143"/>
      <c r="AJ631" s="143"/>
      <c r="AK631" s="143"/>
      <c r="AN631" s="147"/>
      <c r="AO631" s="143"/>
      <c r="AP631" s="143"/>
    </row>
    <row r="632" spans="2:42" s="126" customFormat="1">
      <c r="B632" s="143"/>
      <c r="C632" s="143"/>
      <c r="D632" s="143"/>
      <c r="E632" s="27"/>
      <c r="H632" s="27"/>
      <c r="I632" s="143"/>
      <c r="J632" s="144"/>
      <c r="K632" s="143"/>
      <c r="L632" s="143"/>
      <c r="M632" s="145"/>
      <c r="O632" s="146"/>
      <c r="P632" s="143"/>
      <c r="Q632" s="143"/>
      <c r="W632" s="143"/>
      <c r="X632" s="143"/>
      <c r="Z632" s="143"/>
      <c r="AA632" s="143"/>
      <c r="AB632" s="147"/>
      <c r="AC632" s="143"/>
      <c r="AD632" s="143"/>
      <c r="AJ632" s="143"/>
      <c r="AK632" s="143"/>
      <c r="AN632" s="147"/>
      <c r="AO632" s="143"/>
      <c r="AP632" s="143"/>
    </row>
    <row r="633" spans="2:42" s="126" customFormat="1">
      <c r="B633" s="143"/>
      <c r="C633" s="143"/>
      <c r="D633" s="143"/>
      <c r="E633" s="27"/>
      <c r="H633" s="27"/>
      <c r="I633" s="143"/>
      <c r="J633" s="144"/>
      <c r="K633" s="143"/>
      <c r="L633" s="143"/>
      <c r="M633" s="145"/>
      <c r="O633" s="146"/>
      <c r="P633" s="143"/>
      <c r="Q633" s="143"/>
      <c r="W633" s="143"/>
      <c r="X633" s="143"/>
      <c r="Z633" s="143"/>
      <c r="AA633" s="143"/>
      <c r="AB633" s="147"/>
      <c r="AC633" s="143"/>
      <c r="AD633" s="143"/>
      <c r="AJ633" s="143"/>
      <c r="AK633" s="143"/>
      <c r="AN633" s="147"/>
      <c r="AO633" s="143"/>
      <c r="AP633" s="143"/>
    </row>
    <row r="634" spans="2:42" s="126" customFormat="1">
      <c r="B634" s="143"/>
      <c r="C634" s="143"/>
      <c r="D634" s="143"/>
      <c r="E634" s="27"/>
      <c r="H634" s="27"/>
      <c r="I634" s="143"/>
      <c r="J634" s="144"/>
      <c r="K634" s="143"/>
      <c r="L634" s="143"/>
      <c r="M634" s="145"/>
      <c r="O634" s="146"/>
      <c r="P634" s="143"/>
      <c r="Q634" s="143"/>
      <c r="W634" s="143"/>
      <c r="X634" s="143"/>
      <c r="Z634" s="143"/>
      <c r="AA634" s="143"/>
      <c r="AB634" s="147"/>
      <c r="AC634" s="143"/>
      <c r="AD634" s="143"/>
      <c r="AJ634" s="143"/>
      <c r="AK634" s="143"/>
      <c r="AN634" s="147"/>
      <c r="AO634" s="143"/>
      <c r="AP634" s="143"/>
    </row>
    <row r="635" spans="2:42">
      <c r="B635" s="27"/>
      <c r="C635" s="27"/>
      <c r="D635" s="27"/>
      <c r="E635" s="27"/>
      <c r="H635" s="27"/>
      <c r="I635" s="27"/>
      <c r="J635" s="129"/>
      <c r="K635" s="27"/>
      <c r="L635" s="27"/>
      <c r="M635" s="130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29"/>
      <c r="K636" s="27"/>
      <c r="L636" s="27"/>
      <c r="M636" s="130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29"/>
      <c r="K637" s="27"/>
      <c r="L637" s="27"/>
      <c r="M637" s="130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29"/>
      <c r="K638" s="27"/>
      <c r="L638" s="27"/>
      <c r="M638" s="130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29"/>
      <c r="K639" s="27"/>
      <c r="L639" s="27"/>
      <c r="M639" s="130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29"/>
      <c r="K640" s="27"/>
      <c r="L640" s="27"/>
      <c r="M640" s="130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29"/>
      <c r="K641" s="27"/>
      <c r="L641" s="27"/>
      <c r="M641" s="130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29"/>
      <c r="K642" s="27"/>
      <c r="L642" s="27"/>
      <c r="M642" s="130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29"/>
      <c r="K643" s="27"/>
      <c r="L643" s="27"/>
      <c r="M643" s="130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29"/>
      <c r="K644" s="27"/>
      <c r="L644" s="27"/>
      <c r="M644" s="130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29"/>
      <c r="K645" s="27"/>
      <c r="L645" s="27"/>
      <c r="M645" s="130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29"/>
      <c r="K646" s="27"/>
      <c r="L646" s="27"/>
      <c r="M646" s="130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29"/>
      <c r="K647" s="27"/>
      <c r="L647" s="27"/>
      <c r="M647" s="130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29"/>
      <c r="K648" s="27"/>
      <c r="L648" s="27"/>
      <c r="M648" s="130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29"/>
      <c r="C649" s="27"/>
      <c r="D649" s="27"/>
      <c r="E649" s="27"/>
      <c r="H649" s="27"/>
      <c r="I649" s="129"/>
      <c r="J649" s="129"/>
      <c r="K649" s="27"/>
      <c r="L649" s="27"/>
      <c r="M649" s="130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29"/>
      <c r="K650" s="27"/>
      <c r="L650" s="27"/>
      <c r="O650" s="127"/>
      <c r="P650" s="27"/>
      <c r="Q650" s="27"/>
      <c r="V650" s="27"/>
      <c r="W650" s="123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29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29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29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29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29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29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29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29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29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</row>
    <row r="660" spans="2:42">
      <c r="B660" s="27"/>
      <c r="C660" s="27"/>
      <c r="D660" s="27"/>
      <c r="E660" s="27"/>
      <c r="H660" s="27"/>
      <c r="I660" s="27"/>
      <c r="J660" s="129"/>
      <c r="K660" s="27"/>
      <c r="L660" s="27"/>
      <c r="P660" s="27"/>
      <c r="Q660" s="27"/>
      <c r="R660" s="123"/>
      <c r="S660" s="123"/>
      <c r="T660" s="123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29"/>
      <c r="K661" s="27"/>
      <c r="L661" s="27"/>
      <c r="P661" s="27"/>
      <c r="Q661" s="27"/>
      <c r="R661" s="123"/>
      <c r="S661" s="123"/>
      <c r="T661" s="123"/>
      <c r="W661" s="27"/>
      <c r="X661" s="27"/>
      <c r="Z661" s="27"/>
      <c r="AA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29"/>
      <c r="K662" s="27"/>
      <c r="L662" s="27"/>
      <c r="P662" s="27"/>
      <c r="Q662" s="27"/>
      <c r="R662" s="123"/>
      <c r="S662" s="123"/>
      <c r="T662" s="123"/>
      <c r="W662" s="27"/>
      <c r="X662" s="27"/>
      <c r="Z662" s="27"/>
      <c r="AA662" s="27"/>
      <c r="AC662" s="27"/>
      <c r="AD662" s="27"/>
      <c r="AJ662" s="27"/>
      <c r="AK662" s="27"/>
    </row>
    <row r="663" spans="2:42">
      <c r="B663" s="27"/>
      <c r="C663" s="27"/>
      <c r="D663" s="27"/>
      <c r="E663" s="27"/>
      <c r="H663" s="27"/>
      <c r="I663" s="27"/>
      <c r="J663" s="129"/>
      <c r="K663" s="27"/>
      <c r="L663" s="27"/>
      <c r="P663" s="27"/>
      <c r="Q663" s="27"/>
      <c r="R663" s="123"/>
      <c r="S663" s="123"/>
      <c r="T663" s="123"/>
      <c r="W663" s="27"/>
      <c r="X663" s="27"/>
      <c r="Z663" s="27"/>
      <c r="AA663" s="27"/>
      <c r="AC663" s="27"/>
      <c r="AD663" s="27"/>
      <c r="AJ663" s="27"/>
      <c r="AK663" s="27"/>
    </row>
    <row r="664" spans="2:42">
      <c r="B664" s="27"/>
      <c r="C664" s="27"/>
      <c r="D664" s="27"/>
      <c r="E664" s="27"/>
      <c r="H664" s="27"/>
      <c r="I664" s="27"/>
      <c r="J664" s="129"/>
      <c r="K664" s="27"/>
      <c r="L664" s="27"/>
      <c r="P664" s="27"/>
      <c r="Q664" s="27"/>
      <c r="R664" s="123"/>
      <c r="S664" s="123"/>
      <c r="T664" s="123"/>
      <c r="W664" s="27"/>
      <c r="X664" s="27"/>
      <c r="Z664" s="27"/>
      <c r="AA664" s="27"/>
      <c r="AC664" s="27"/>
      <c r="AD664" s="27"/>
      <c r="AJ664" s="27"/>
      <c r="AK664" s="27"/>
    </row>
    <row r="665" spans="2:42">
      <c r="B665" s="27"/>
      <c r="C665" s="27"/>
      <c r="D665" s="27"/>
      <c r="E665" s="27"/>
      <c r="H665" s="27"/>
      <c r="I665" s="27"/>
      <c r="J665" s="129"/>
      <c r="K665" s="27"/>
      <c r="L665" s="27"/>
      <c r="P665" s="27"/>
      <c r="Q665" s="27"/>
      <c r="R665" s="123"/>
      <c r="S665" s="123"/>
      <c r="T665" s="123"/>
      <c r="W665" s="27"/>
      <c r="X665" s="27"/>
      <c r="Z665" s="27"/>
      <c r="AA665" s="27"/>
      <c r="AC665" s="27"/>
      <c r="AD665" s="27"/>
      <c r="AJ665" s="27"/>
      <c r="AK665" s="27"/>
    </row>
    <row r="666" spans="2:42">
      <c r="B666" s="27"/>
      <c r="C666" s="27"/>
      <c r="D666" s="27"/>
      <c r="E666" s="27"/>
      <c r="H666" s="27"/>
      <c r="I666" s="27"/>
      <c r="J666" s="129"/>
      <c r="K666" s="27"/>
      <c r="L666" s="27"/>
      <c r="P666" s="27"/>
      <c r="Q666" s="27"/>
      <c r="R666" s="123"/>
      <c r="S666" s="123"/>
      <c r="T666" s="123"/>
      <c r="W666" s="27"/>
      <c r="X666" s="27"/>
      <c r="Z666" s="27"/>
      <c r="AA666" s="27"/>
      <c r="AC666" s="27"/>
      <c r="AD666" s="27"/>
      <c r="AJ666" s="27"/>
      <c r="AK666" s="27"/>
    </row>
    <row r="667" spans="2:42">
      <c r="B667" s="27"/>
      <c r="C667" s="27"/>
      <c r="D667" s="27"/>
      <c r="E667" s="27"/>
      <c r="H667" s="27"/>
      <c r="I667" s="27"/>
      <c r="J667" s="129"/>
      <c r="K667" s="27"/>
      <c r="L667" s="27"/>
      <c r="P667" s="27"/>
      <c r="Q667" s="27"/>
      <c r="R667" s="123"/>
      <c r="S667" s="123"/>
      <c r="T667" s="123"/>
      <c r="W667" s="27"/>
      <c r="X667" s="27"/>
      <c r="Z667" s="27"/>
      <c r="AA667" s="27"/>
      <c r="AC667" s="27"/>
      <c r="AD667" s="27"/>
      <c r="AJ667" s="27"/>
      <c r="AK667" s="27"/>
    </row>
    <row r="668" spans="2:42">
      <c r="B668" s="27"/>
      <c r="C668" s="27"/>
      <c r="D668" s="27"/>
      <c r="E668" s="27"/>
      <c r="H668" s="27"/>
      <c r="I668" s="27"/>
      <c r="J668" s="129"/>
      <c r="K668" s="27"/>
      <c r="L668" s="27"/>
      <c r="P668" s="27"/>
      <c r="Q668" s="27"/>
      <c r="R668" s="123"/>
      <c r="S668" s="123"/>
      <c r="T668" s="123"/>
      <c r="W668" s="27"/>
      <c r="X668" s="27"/>
      <c r="Z668" s="27"/>
      <c r="AA668" s="27"/>
      <c r="AC668" s="27"/>
      <c r="AD668" s="27"/>
      <c r="AJ668" s="27"/>
      <c r="AK668" s="27"/>
    </row>
    <row r="669" spans="2:42">
      <c r="B669" s="27"/>
      <c r="C669" s="27"/>
      <c r="D669" s="27"/>
      <c r="E669" s="27"/>
      <c r="H669" s="27"/>
      <c r="I669" s="127"/>
      <c r="J669" s="129"/>
      <c r="K669" s="27"/>
      <c r="M669" s="136"/>
      <c r="W669" s="27"/>
      <c r="Z669" s="27"/>
      <c r="AA669" s="27"/>
      <c r="AC669" s="27"/>
      <c r="AD669" s="27"/>
      <c r="AI669" s="27"/>
      <c r="AO669" s="27"/>
    </row>
    <row r="670" spans="2:42">
      <c r="B670" s="27"/>
      <c r="C670" s="27"/>
      <c r="D670" s="27"/>
      <c r="E670" s="27"/>
      <c r="H670" s="27"/>
      <c r="I670" s="127"/>
      <c r="J670" s="129"/>
      <c r="K670" s="27"/>
      <c r="M670" s="136"/>
      <c r="W670" s="27"/>
      <c r="Z670" s="27"/>
      <c r="AA670" s="27"/>
      <c r="AC670" s="27"/>
      <c r="AD670" s="27"/>
      <c r="AI670" s="27"/>
      <c r="AO670" s="27"/>
    </row>
    <row r="671" spans="2:42">
      <c r="B671" s="27"/>
      <c r="C671" s="27"/>
      <c r="D671" s="27"/>
      <c r="E671" s="27"/>
      <c r="H671" s="27"/>
      <c r="I671" s="127"/>
      <c r="J671" s="129"/>
      <c r="K671" s="27"/>
      <c r="M671" s="136"/>
      <c r="W671" s="27"/>
      <c r="Z671" s="27"/>
      <c r="AA671" s="27"/>
      <c r="AC671" s="27"/>
      <c r="AD671" s="27"/>
      <c r="AI671" s="27"/>
      <c r="AO671" s="27"/>
    </row>
    <row r="672" spans="2:42">
      <c r="B672" s="27"/>
      <c r="C672" s="27"/>
      <c r="D672" s="27"/>
      <c r="E672" s="27"/>
      <c r="H672" s="27"/>
      <c r="I672" s="127"/>
      <c r="J672" s="129"/>
      <c r="K672" s="27"/>
      <c r="M672" s="136"/>
      <c r="W672" s="27"/>
      <c r="Z672" s="27"/>
      <c r="AA672" s="27"/>
      <c r="AC672" s="27"/>
      <c r="AD672" s="27"/>
      <c r="AI672" s="27"/>
      <c r="AO672" s="27"/>
    </row>
    <row r="673" spans="2:41">
      <c r="B673" s="27"/>
      <c r="C673" s="27"/>
      <c r="D673" s="27"/>
      <c r="E673" s="27"/>
      <c r="H673" s="27"/>
      <c r="I673" s="127"/>
      <c r="J673" s="129"/>
      <c r="K673" s="27"/>
      <c r="M673" s="136"/>
      <c r="W673" s="27"/>
      <c r="Z673" s="27"/>
      <c r="AA673" s="27"/>
      <c r="AC673" s="27"/>
      <c r="AD673" s="27"/>
      <c r="AI673" s="27"/>
      <c r="AO673" s="27"/>
    </row>
    <row r="674" spans="2:41">
      <c r="B674" s="27"/>
      <c r="C674" s="27"/>
      <c r="D674" s="27"/>
      <c r="E674" s="27"/>
      <c r="H674" s="27"/>
      <c r="I674" s="127"/>
      <c r="J674" s="129"/>
      <c r="K674" s="27"/>
      <c r="M674" s="136"/>
      <c r="W674" s="27"/>
      <c r="Z674" s="27"/>
      <c r="AA674" s="27"/>
      <c r="AC674" s="27"/>
      <c r="AD674" s="27"/>
      <c r="AI674" s="27"/>
      <c r="AO674" s="27"/>
    </row>
    <row r="675" spans="2:41">
      <c r="B675" s="27"/>
      <c r="C675" s="27"/>
      <c r="D675" s="27"/>
      <c r="E675" s="27"/>
      <c r="H675" s="27"/>
      <c r="I675" s="127"/>
      <c r="J675" s="129"/>
      <c r="K675" s="27"/>
      <c r="M675" s="136"/>
      <c r="W675" s="27"/>
      <c r="Z675" s="27"/>
      <c r="AA675" s="27"/>
      <c r="AC675" s="27"/>
      <c r="AD675" s="27"/>
      <c r="AI675" s="27"/>
      <c r="AO675" s="27"/>
    </row>
    <row r="676" spans="2:41">
      <c r="B676" s="27"/>
      <c r="C676" s="27"/>
      <c r="D676" s="27"/>
      <c r="E676" s="27"/>
      <c r="H676" s="27"/>
      <c r="I676" s="127"/>
      <c r="J676" s="129"/>
      <c r="K676" s="27"/>
      <c r="M676" s="136"/>
      <c r="W676" s="27"/>
      <c r="Z676" s="27"/>
      <c r="AA676" s="27"/>
      <c r="AC676" s="27"/>
      <c r="AD676" s="27"/>
      <c r="AI676" s="27"/>
      <c r="AO676" s="27"/>
    </row>
    <row r="677" spans="2:41">
      <c r="B677" s="27"/>
      <c r="C677" s="27"/>
      <c r="D677" s="27"/>
      <c r="E677" s="27"/>
      <c r="H677" s="27"/>
      <c r="J677" s="129"/>
      <c r="K677" s="27"/>
    </row>
    <row r="678" spans="2:41">
      <c r="B678" s="27"/>
      <c r="C678" s="27"/>
      <c r="D678" s="27"/>
      <c r="E678" s="27"/>
      <c r="H678" s="27"/>
      <c r="J678" s="129"/>
      <c r="K678" s="123"/>
    </row>
    <row r="679" spans="2:41">
      <c r="E679" s="27"/>
      <c r="J679" s="129"/>
    </row>
    <row r="680" spans="2:41">
      <c r="E680" s="27"/>
      <c r="J680" s="129"/>
    </row>
    <row r="681" spans="2:41">
      <c r="E681" s="27"/>
      <c r="J681" s="129"/>
    </row>
    <row r="682" spans="2:41">
      <c r="E682" s="27"/>
      <c r="J682" s="129"/>
    </row>
    <row r="683" spans="2:41">
      <c r="E683" s="27"/>
      <c r="J683" s="129"/>
    </row>
    <row r="684" spans="2:41">
      <c r="E684" s="27"/>
      <c r="J684" s="129"/>
    </row>
    <row r="685" spans="2:41">
      <c r="E685" s="27"/>
      <c r="J685" s="129"/>
    </row>
    <row r="686" spans="2:41">
      <c r="E686" s="27"/>
      <c r="J686" s="129"/>
    </row>
    <row r="687" spans="2:41">
      <c r="E687" s="27"/>
      <c r="J687" s="129"/>
    </row>
    <row r="688" spans="2:41">
      <c r="E688" s="27"/>
      <c r="J688" s="129"/>
    </row>
    <row r="689" spans="5:10">
      <c r="E689" s="27"/>
      <c r="J689" s="129"/>
    </row>
    <row r="690" spans="5:10">
      <c r="E690" s="27"/>
      <c r="J690" s="129"/>
    </row>
    <row r="691" spans="5:10">
      <c r="E691" s="27"/>
      <c r="J691" s="129"/>
    </row>
    <row r="692" spans="5:10">
      <c r="E692" s="27"/>
      <c r="J692" s="129"/>
    </row>
    <row r="693" spans="5:10">
      <c r="E693" s="27"/>
      <c r="J693" s="129"/>
    </row>
    <row r="694" spans="5:10">
      <c r="E694" s="27"/>
      <c r="J694" s="129"/>
    </row>
    <row r="695" spans="5:10">
      <c r="E695" s="27"/>
      <c r="J695" s="129"/>
    </row>
    <row r="696" spans="5:10">
      <c r="E696" s="27"/>
      <c r="J696" s="129"/>
    </row>
    <row r="697" spans="5:10">
      <c r="E697" s="27"/>
      <c r="J697" s="129"/>
    </row>
    <row r="698" spans="5:10">
      <c r="E698" s="27"/>
      <c r="J698" s="129"/>
    </row>
    <row r="699" spans="5:10">
      <c r="E699" s="27"/>
      <c r="J699" s="129"/>
    </row>
    <row r="700" spans="5:10">
      <c r="E700" s="27"/>
      <c r="J700" s="129"/>
    </row>
    <row r="701" spans="5:10">
      <c r="E701" s="27"/>
      <c r="J701" s="129"/>
    </row>
    <row r="702" spans="5:10">
      <c r="E702" s="27"/>
      <c r="J702" s="129"/>
    </row>
    <row r="703" spans="5:10">
      <c r="E703" s="27"/>
      <c r="J703" s="129"/>
    </row>
    <row r="704" spans="5:10">
      <c r="E704" s="27"/>
      <c r="J704" s="129"/>
    </row>
    <row r="705" spans="5:10">
      <c r="E705" s="27"/>
      <c r="J705" s="129"/>
    </row>
    <row r="706" spans="5:10">
      <c r="E706" s="27"/>
      <c r="J706" s="129"/>
    </row>
    <row r="707" spans="5:10">
      <c r="E707" s="27"/>
      <c r="J707" s="129"/>
    </row>
    <row r="708" spans="5:10">
      <c r="E708" s="27"/>
      <c r="J708" s="129"/>
    </row>
    <row r="709" spans="5:10">
      <c r="E709" s="27"/>
      <c r="J709" s="129"/>
    </row>
    <row r="710" spans="5:10">
      <c r="E710" s="27"/>
      <c r="J710" s="129"/>
    </row>
    <row r="711" spans="5:10">
      <c r="E711" s="27"/>
      <c r="J711" s="129"/>
    </row>
    <row r="712" spans="5:10">
      <c r="E712" s="27"/>
      <c r="J712" s="129"/>
    </row>
    <row r="713" spans="5:10">
      <c r="E713" s="27"/>
      <c r="J713" s="129"/>
    </row>
    <row r="714" spans="5:10">
      <c r="E714" s="27"/>
      <c r="J714" s="129"/>
    </row>
    <row r="715" spans="5:10">
      <c r="E715" s="27"/>
      <c r="J715" s="129"/>
    </row>
    <row r="716" spans="5:10">
      <c r="E716" s="27"/>
      <c r="J716" s="129"/>
    </row>
    <row r="717" spans="5:10">
      <c r="E717" s="27"/>
    </row>
    <row r="718" spans="5:10">
      <c r="E718" s="27"/>
    </row>
  </sheetData>
  <autoFilter ref="A1:AP716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8"/>
  <sheetViews>
    <sheetView tabSelected="1" workbookViewId="0">
      <pane xSplit="5" ySplit="2" topLeftCell="CK199" activePane="bottomRight" state="frozen"/>
      <selection pane="topRight"/>
      <selection pane="bottomLeft"/>
      <selection pane="bottomRight" activeCell="CU215" sqref="CU215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8" t="s">
        <v>105</v>
      </c>
      <c r="G1" s="158"/>
      <c r="H1" s="158"/>
      <c r="I1" s="158"/>
      <c r="J1" s="158"/>
      <c r="K1" s="158"/>
      <c r="L1" s="158"/>
      <c r="M1" s="158"/>
      <c r="N1" s="158"/>
      <c r="O1" s="158"/>
      <c r="P1" s="159" t="s">
        <v>106</v>
      </c>
      <c r="Q1" s="160"/>
      <c r="R1" s="160"/>
      <c r="S1" s="161"/>
      <c r="T1" s="162" t="s">
        <v>7</v>
      </c>
      <c r="U1" s="162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3" t="s">
        <v>148</v>
      </c>
      <c r="AS2" s="83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78">
        <v>12000</v>
      </c>
      <c r="W8" s="78"/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78">
        <v>60000</v>
      </c>
      <c r="W13" s="78"/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78">
        <v>300000</v>
      </c>
      <c r="W18" s="78"/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78">
        <v>800000</v>
      </c>
      <c r="W23" s="78"/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241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241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241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252</v>
      </c>
      <c r="V33" s="78">
        <v>3780</v>
      </c>
      <c r="W33" s="78"/>
      <c r="X33"/>
      <c r="Y33"/>
      <c r="Z33" s="78">
        <v>12600</v>
      </c>
      <c r="AA33" s="78"/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252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252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252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252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263</v>
      </c>
      <c r="V38" s="78">
        <v>27000</v>
      </c>
      <c r="W38" s="78"/>
      <c r="X38"/>
      <c r="Y38" s="78"/>
      <c r="Z38" s="78">
        <v>90000</v>
      </c>
      <c r="AA38" s="78"/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263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263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263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263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274</v>
      </c>
      <c r="V43" s="78">
        <v>81000</v>
      </c>
      <c r="W43" s="78"/>
      <c r="X43"/>
      <c r="Y43" s="78"/>
      <c r="Z43" s="78">
        <v>270000</v>
      </c>
      <c r="AA43" s="78"/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274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274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274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274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285</v>
      </c>
      <c r="V48" s="78">
        <v>202500</v>
      </c>
      <c r="W48" s="78"/>
      <c r="X48"/>
      <c r="Y48" s="78"/>
      <c r="Z48" s="78">
        <v>675000</v>
      </c>
      <c r="AA48" s="78"/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285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285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285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78"/>
      <c r="W73" s="78"/>
      <c r="X73" s="78">
        <v>1800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InitUnitState('E221',,,1800,,750000,,15000,,,)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78"/>
      <c r="W74" s="78"/>
      <c r="X74" s="78">
        <v>2000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InitUnitState('E222',,,2000,,1200000,,24000,,,)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78"/>
      <c r="W75" s="78"/>
      <c r="X75" s="78">
        <v>2200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InitUnitState('E223',,,2200,,1650000,,33000,,,)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78"/>
      <c r="W76" s="78"/>
      <c r="X76" s="78">
        <v>2400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InitUnitState('E224',,,2400,,2100000,,42000,,,)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78"/>
      <c r="W77" s="78"/>
      <c r="X77" s="78">
        <v>2600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InitUnitState('E225',,,2600,,3000000,,60000,,,)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354</v>
      </c>
      <c r="C78" s="12" t="s">
        <v>355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356</v>
      </c>
      <c r="V78" s="10">
        <v>7500</v>
      </c>
      <c r="Z78" s="10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357</v>
      </c>
      <c r="C79" s="12" t="s">
        <v>358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359</v>
      </c>
      <c r="V79" s="10">
        <v>18000</v>
      </c>
      <c r="Z79" s="10">
        <v>72000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360</v>
      </c>
      <c r="C80" s="13" t="s">
        <v>361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362</v>
      </c>
      <c r="V80" s="10">
        <v>37500</v>
      </c>
      <c r="Z80" s="10">
        <v>150000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363</v>
      </c>
      <c r="C81" s="13" t="s">
        <v>364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365</v>
      </c>
      <c r="V81" s="10">
        <v>60000</v>
      </c>
      <c r="Z81" s="10">
        <v>240000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366</v>
      </c>
      <c r="C82" s="13" t="s">
        <v>367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368</v>
      </c>
      <c r="V82" s="10">
        <v>82500</v>
      </c>
      <c r="Z82" s="10">
        <v>330000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369</v>
      </c>
      <c r="C83" s="2" t="s">
        <v>370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371</v>
      </c>
      <c r="V83" s="10">
        <v>120000</v>
      </c>
      <c r="Z83" s="10">
        <v>480000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372</v>
      </c>
      <c r="C84" s="2" t="s">
        <v>373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374</v>
      </c>
      <c r="V84" s="10">
        <v>180000</v>
      </c>
      <c r="Z84" s="10">
        <v>720000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375</v>
      </c>
      <c r="C85" s="2" t="s">
        <v>376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377</v>
      </c>
      <c r="V85" s="10">
        <v>300000</v>
      </c>
      <c r="Z85" s="10">
        <v>1200000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378</v>
      </c>
      <c r="C86" s="2" t="s">
        <v>379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380</v>
      </c>
      <c r="V86" s="10">
        <v>450000</v>
      </c>
      <c r="Z86" s="10">
        <v>1800000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381</v>
      </c>
      <c r="C87" s="2" t="s">
        <v>382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383</v>
      </c>
      <c r="V87" s="10">
        <v>750000</v>
      </c>
      <c r="Z87" s="10">
        <v>3000000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77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77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77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77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77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77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77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77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77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120&amp;CR$1&amp;")"</f>
        <v>InitEquipData('ID20',,"",,,,,'','','','','','',"ReplaceableTextures\\CommandButtons\\BTNZHP1.blp")</v>
      </c>
      <c r="CU107" s="8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448</v>
      </c>
      <c r="C109" s="9" t="s">
        <v>449</v>
      </c>
      <c r="T109" s="9" t="s">
        <v>450</v>
      </c>
      <c r="U109" s="77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8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spans="1:175" ht="16.5">
      <c r="A110" s="9"/>
      <c r="B110" s="9" t="s">
        <v>452</v>
      </c>
      <c r="C110" s="9" t="s">
        <v>453</v>
      </c>
      <c r="T110" s="9" t="s">
        <v>454</v>
      </c>
      <c r="U110" s="77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88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spans="1:175" ht="16.5">
      <c r="A111" s="9"/>
      <c r="B111" s="9" t="s">
        <v>456</v>
      </c>
      <c r="C111" s="9" t="s">
        <v>457</v>
      </c>
      <c r="T111" s="9" t="s">
        <v>458</v>
      </c>
      <c r="U111" s="77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8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spans="1:175" ht="16.5">
      <c r="A112" s="9"/>
      <c r="B112" s="9" t="s">
        <v>460</v>
      </c>
      <c r="C112" s="9" t="s">
        <v>461</v>
      </c>
      <c r="T112" s="9" t="s">
        <v>462</v>
      </c>
      <c r="U112" s="77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8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spans="1:175" ht="27">
      <c r="A113" s="14"/>
      <c r="B113" s="9" t="s">
        <v>463</v>
      </c>
      <c r="C113" s="14" t="s">
        <v>464</v>
      </c>
      <c r="T113" s="96" t="s">
        <v>465</v>
      </c>
      <c r="U113" s="77" t="str">
        <f t="shared" ref="U113:U137" si="1549">"ReplaceableTextures\\CommandButtons\\BTN"&amp;B113&amp;".blp"</f>
        <v>ReplaceableTextures\\CommandButtons\\BTNCF01.blp</v>
      </c>
      <c r="CN113" s="36" t="str">
        <f t="shared" ref="CN113:CN123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3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3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3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8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spans="1:175" ht="16.5">
      <c r="A114" s="9"/>
      <c r="B114" s="9" t="s">
        <v>466</v>
      </c>
      <c r="C114" s="9" t="s">
        <v>467</v>
      </c>
      <c r="T114" s="97" t="s">
        <v>468</v>
      </c>
      <c r="U114" s="77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152&amp;CR$1&amp;")"</f>
        <v>InitEquipData('I001',,"",,,,,'','','','','','',"ReplaceableTextures\\CommandButtons\\BTNIP01.blp")</v>
      </c>
      <c r="CU114" s="88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spans="1:175" ht="16.5">
      <c r="A115" s="9"/>
      <c r="B115" s="9" t="s">
        <v>469</v>
      </c>
      <c r="C115" s="9" t="s">
        <v>470</v>
      </c>
      <c r="T115" s="97" t="s">
        <v>471</v>
      </c>
      <c r="U115" s="77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153&amp;CR$1&amp;")"</f>
        <v>InitEquipData('I002',,"",,,,,'','','','','','',"ReplaceableTextures\\CommandButtons\\BTNIP02.blp")</v>
      </c>
      <c r="CU115" s="8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spans="1:175" ht="16.5">
      <c r="A116" s="9"/>
      <c r="B116" s="9" t="s">
        <v>472</v>
      </c>
      <c r="C116" s="9" t="s">
        <v>473</v>
      </c>
      <c r="T116" s="97" t="s">
        <v>474</v>
      </c>
      <c r="U116" s="77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154&amp;CR$1&amp;")"</f>
        <v>InitEquipData('I003',,"",,,,,'','','','','','',"ReplaceableTextures\\CommandButtons\\BTNIP03.blp")</v>
      </c>
      <c r="CU116" s="88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spans="1:175" ht="16.5">
      <c r="A117" s="9"/>
      <c r="B117" s="9" t="s">
        <v>475</v>
      </c>
      <c r="C117" s="9" t="s">
        <v>476</v>
      </c>
      <c r="T117" s="97" t="s">
        <v>477</v>
      </c>
      <c r="U117" s="77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161&amp;CR$1&amp;")"</f>
        <v>InitEquipData('I004',,"",,,,,'','','','','','',"ReplaceableTextures\\CommandButtons\\BTNIT01.blp")</v>
      </c>
      <c r="CU117" s="88" t="str">
        <f t="shared" ref="CU117:CU120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20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20" si="1700">IF(V117="","","|n"&amp;DB$2&amp;"+"&amp;V117&amp;DB$1)</f>
        <v/>
      </c>
      <c r="DC117" s="66" t="str">
        <f t="shared" ref="DC117:DC120" si="1701">IF(W117="","","|n"&amp;DC$2&amp;"+"&amp;W117&amp;DC$1)</f>
        <v/>
      </c>
      <c r="DD117" s="66" t="str">
        <f t="shared" ref="DD117:DD120" si="1702">IF(X117="","","|n"&amp;DD$2&amp;"+"&amp;X117&amp;DD$1)</f>
        <v/>
      </c>
      <c r="DE117" s="66" t="str">
        <f t="shared" ref="DE117:DE120" si="1703">IF(Y117="","","|n"&amp;DE$2&amp;"+"&amp;Y117&amp;DE$1)</f>
        <v/>
      </c>
      <c r="DF117" s="66" t="str">
        <f t="shared" ref="DF117:DF120" si="1704">IF(Z117="","","|n"&amp;DF$2&amp;"+"&amp;Z117&amp;DF$1)</f>
        <v/>
      </c>
      <c r="DG117" s="66" t="str">
        <f t="shared" ref="DG117:DG120" si="1705">IF(AA117="","","|n"&amp;DG$2&amp;"+"&amp;AA117&amp;DG$1)</f>
        <v/>
      </c>
      <c r="DH117" s="66" t="str">
        <f t="shared" ref="DH117:DH120" si="1706">IF(AB117="","","|n"&amp;DH$2&amp;"+"&amp;AB117&amp;DH$1)</f>
        <v/>
      </c>
      <c r="DI117" s="66" t="str">
        <f t="shared" ref="DI117:DI120" si="1707">IF(AC117="","","|n"&amp;DI$2&amp;"+"&amp;AC117&amp;DI$1)</f>
        <v/>
      </c>
      <c r="DJ117" s="66" t="str">
        <f t="shared" ref="DJ117:DJ120" si="1708">IF(AD117="","","|n"&amp;DJ$2&amp;"+"&amp;AD117&amp;DJ$1)</f>
        <v/>
      </c>
      <c r="DK117" s="66" t="str">
        <f t="shared" ref="DK117:DK120" si="1709">IF(AE117="","","|n"&amp;DK$2&amp;"+"&amp;AE117&amp;DK$1)</f>
        <v/>
      </c>
      <c r="DL117" s="66" t="str">
        <f t="shared" ref="DL117:DL120" si="1710">IF(AF117="","","|n"&amp;DL$2&amp;"+"&amp;AF117&amp;DL$1)</f>
        <v/>
      </c>
      <c r="DM117" s="66" t="str">
        <f t="shared" ref="DM117:DM120" si="1711">IF(AG117="","","|n"&amp;DM$2&amp;"+"&amp;AG117&amp;DM$1)</f>
        <v/>
      </c>
      <c r="DN117" s="66" t="str">
        <f t="shared" ref="DN117:DN120" si="1712">IF(AH117="","","|n"&amp;DN$2&amp;"+"&amp;AH117&amp;DN$1)</f>
        <v/>
      </c>
      <c r="DO117" s="66" t="str">
        <f t="shared" ref="DO117:DO120" si="1713">IF(AI117="","","|n"&amp;DO$2&amp;"+"&amp;AI117&amp;DO$1)</f>
        <v/>
      </c>
      <c r="DP117" s="66" t="str">
        <f t="shared" ref="DP117:DP120" si="1714">IF(AJ117="","","|n"&amp;DP$2&amp;"+"&amp;AJ117&amp;DP$1)</f>
        <v/>
      </c>
      <c r="DQ117" s="66" t="str">
        <f t="shared" ref="DQ117:DQ120" si="1715">IF(AK117="","","|n"&amp;DQ$2&amp;"+"&amp;AK117&amp;DQ$1)</f>
        <v/>
      </c>
      <c r="DR117" s="66" t="str">
        <f t="shared" ref="DR117:DR120" si="1716">IF(AL117="","","|n"&amp;DR$2&amp;"+"&amp;AL117&amp;DR$1)</f>
        <v/>
      </c>
      <c r="DS117" s="66" t="str">
        <f t="shared" ref="DS117:DS120" si="1717">IF(AM117="","","|n"&amp;DS$2&amp;"+"&amp;AM117&amp;DS$1)</f>
        <v/>
      </c>
      <c r="DT117" s="66" t="str">
        <f t="shared" ref="DT117:DT120" si="1718">IF(AN117="","","|n"&amp;DT$2&amp;"+"&amp;AN117&amp;DT$1)</f>
        <v/>
      </c>
      <c r="DU117" s="66" t="str">
        <f t="shared" ref="DU117:DU120" si="1719">IF(AO117="","","|n"&amp;DU$2&amp;"+"&amp;AO117&amp;DU$1)</f>
        <v/>
      </c>
      <c r="DV117" s="66" t="str">
        <f t="shared" ref="DV117:DV120" si="1720">IF(AP117="","","|n"&amp;DV$2&amp;"+"&amp;AP117&amp;DV$1)</f>
        <v/>
      </c>
      <c r="DW117" s="66" t="str">
        <f t="shared" ref="DW117:DW120" si="1721">IF(AQ117="","","|n"&amp;DW$2&amp;"+"&amp;AQ117&amp;DW$1)</f>
        <v/>
      </c>
      <c r="DX117" s="66" t="str">
        <f t="shared" ref="DX117:DX120" si="1722">IF(AR117="","","|n"&amp;DX$2&amp;"+"&amp;AR117&amp;DX$1)</f>
        <v/>
      </c>
      <c r="DY117" s="66" t="str">
        <f t="shared" ref="DY117:DY120" si="1723">IF(AS117="","","|n"&amp;DY$2&amp;"+"&amp;AS117&amp;DY$1)</f>
        <v/>
      </c>
      <c r="DZ117" s="66" t="str">
        <f t="shared" ref="DZ117:DZ120" si="1724">IF(AT117="","","|n"&amp;DZ$2&amp;"+"&amp;AT117&amp;DZ$1)</f>
        <v/>
      </c>
      <c r="EA117" s="66" t="str">
        <f t="shared" ref="EA117:EA120" si="1725">IF(AU117="","","|n"&amp;EA$2&amp;"+"&amp;AU117&amp;EA$1)</f>
        <v/>
      </c>
      <c r="EB117" s="66" t="str">
        <f t="shared" ref="EB117:EB120" si="1726">IF(AV117="","","|n"&amp;EB$2&amp;"+"&amp;AV117&amp;EB$1)</f>
        <v/>
      </c>
      <c r="EC117" s="66" t="str">
        <f t="shared" ref="EC117:EC120" si="1727">IF(AW117="","","|n"&amp;EC$2&amp;"+"&amp;AW117&amp;EC$1)</f>
        <v/>
      </c>
      <c r="ED117" s="66" t="str">
        <f t="shared" ref="ED117:ED120" si="1728">IF(AX117="","","|n"&amp;ED$2&amp;"+"&amp;AX117&amp;ED$1)</f>
        <v/>
      </c>
      <c r="EE117" s="66" t="str">
        <f t="shared" ref="EE117:EE120" si="1729">IF(AY117="","","|n"&amp;EE$2&amp;"+"&amp;AY117&amp;EE$1)</f>
        <v/>
      </c>
      <c r="EF117" s="66" t="str">
        <f t="shared" ref="EF117:EF120" si="1730">IF(AZ117="","","|n"&amp;EF$2&amp;"+"&amp;AZ117&amp;EF$1)</f>
        <v/>
      </c>
      <c r="EG117" s="66" t="str">
        <f t="shared" ref="EG117:EG120" si="1731">IF(BA117="","","|n"&amp;EG$2&amp;"+"&amp;BA117&amp;EG$1)</f>
        <v/>
      </c>
      <c r="EH117" s="66" t="str">
        <f t="shared" ref="EH117:EH120" si="1732">IF(BB117="","","|n"&amp;EH$2&amp;"+"&amp;BB117&amp;EH$1)</f>
        <v/>
      </c>
      <c r="EI117" s="66" t="str">
        <f t="shared" ref="EI117:EI120" si="1733">IF(BC117="","","|n"&amp;EI$2&amp;"+"&amp;BC117&amp;EI$1)</f>
        <v/>
      </c>
      <c r="EJ117" s="66" t="str">
        <f t="shared" ref="EJ117:EJ120" si="1734">IF(BD117="","","|n"&amp;EJ$2&amp;"+"&amp;BD117&amp;EJ$1)</f>
        <v/>
      </c>
      <c r="EK117" s="66" t="str">
        <f t="shared" ref="EK117:EK120" si="1735">IF(BE117="","","|n"&amp;EK$2&amp;"+"&amp;BE117&amp;EK$1)</f>
        <v/>
      </c>
      <c r="EL117" s="66" t="str">
        <f t="shared" ref="EL117:EL120" si="1736">IF(BF117="","","|n"&amp;EL$2&amp;"+"&amp;BF117&amp;EL$1)</f>
        <v/>
      </c>
      <c r="EM117" s="66" t="str">
        <f t="shared" ref="EM117:EM120" si="1737">IF(BG117="","","|n"&amp;EM$2&amp;"+"&amp;BG117&amp;EM$1)</f>
        <v/>
      </c>
      <c r="EN117" s="66" t="str">
        <f t="shared" ref="EN117:EN120" si="1738">IF(BH117="","","|n"&amp;EN$2&amp;"+"&amp;BH117&amp;EN$1)</f>
        <v/>
      </c>
      <c r="EO117" s="66" t="str">
        <f t="shared" ref="EO117:EO120" si="1739">IF(BI117="","","|n"&amp;EO$2&amp;"+"&amp;BI117&amp;EO$1)</f>
        <v/>
      </c>
      <c r="EP117" s="66" t="str">
        <f t="shared" ref="EP117:EP120" si="1740">IF(BJ117="","","|n"&amp;EP$2&amp;"+"&amp;BJ117&amp;EP$1)</f>
        <v/>
      </c>
      <c r="EQ117" s="66" t="str">
        <f t="shared" ref="EQ117:EQ120" si="1741">IF(BK117="","","|n"&amp;EQ$2&amp;"+"&amp;BK117&amp;EQ$1)</f>
        <v/>
      </c>
      <c r="ER117" s="66" t="str">
        <f t="shared" ref="ER117:ER120" si="1742">IF(BL117="","","|n"&amp;ER$2&amp;"+"&amp;BL117&amp;ER$1)</f>
        <v/>
      </c>
      <c r="ES117" s="66" t="str">
        <f t="shared" ref="ES117:ES120" si="1743">IF(BM117="","","|n"&amp;ES$2&amp;"+"&amp;BM117&amp;ES$1)</f>
        <v/>
      </c>
      <c r="ET117" s="66" t="str">
        <f t="shared" ref="ET117:ET120" si="1744">IF(BN117="","","|n"&amp;ET$2&amp;"+"&amp;BN117&amp;ET$1)</f>
        <v/>
      </c>
      <c r="EU117" s="66" t="str">
        <f t="shared" ref="EU117:EU120" si="1745">IF(BO117="","","|n"&amp;EU$2&amp;"+"&amp;BO117&amp;EU$1)</f>
        <v/>
      </c>
      <c r="EV117" s="66" t="str">
        <f t="shared" ref="EV117:EV120" si="1746">IF(BP117="","","|n"&amp;EV$2&amp;"+"&amp;BP117&amp;EV$1)</f>
        <v/>
      </c>
      <c r="EW117" s="66" t="str">
        <f t="shared" ref="EW117:EW120" si="1747">IF(BQ117="","","|n"&amp;EW$2&amp;"+"&amp;BQ117&amp;EW$1)</f>
        <v/>
      </c>
      <c r="EX117" s="66" t="str">
        <f t="shared" ref="EX117:EX120" si="1748">IF(BR117="","","|n"&amp;EX$2&amp;"+"&amp;BR117&amp;EX$1)</f>
        <v/>
      </c>
      <c r="EY117" s="66" t="str">
        <f t="shared" ref="EY117:EY120" si="1749">IF(BS117="","","|n"&amp;EY$2&amp;"+"&amp;BS117&amp;EY$1)</f>
        <v/>
      </c>
      <c r="EZ117" s="66" t="str">
        <f t="shared" ref="EZ117:EZ120" si="1750">IF(BT117="","","|n"&amp;EZ$2&amp;"+"&amp;BT117&amp;EZ$1)</f>
        <v/>
      </c>
      <c r="FA117" s="66" t="str">
        <f t="shared" ref="FA117:FA120" si="1751">IF(BU117="","","|n"&amp;FA$2&amp;"+"&amp;BU117&amp;FA$1)</f>
        <v/>
      </c>
      <c r="FB117" s="66" t="str">
        <f t="shared" ref="FB117:FB120" si="1752">IF(BV117="","","|n"&amp;FB$2&amp;"+"&amp;BV117&amp;FB$1)</f>
        <v/>
      </c>
      <c r="FC117" s="66" t="str">
        <f t="shared" ref="FC117:FC120" si="1753">IF(BW117="","","|n"&amp;FC$2&amp;"+"&amp;BW117&amp;FC$1)</f>
        <v/>
      </c>
      <c r="FD117" s="66" t="str">
        <f t="shared" ref="FD117:FD120" si="1754">IF(BX117="","","|n"&amp;FD$2&amp;"+"&amp;BX117&amp;FD$1)</f>
        <v/>
      </c>
      <c r="FE117" s="66" t="str">
        <f t="shared" ref="FE117:FE120" si="1755">IF(BY117="","","|n"&amp;FE$2&amp;"+"&amp;BY117&amp;FE$1)</f>
        <v/>
      </c>
      <c r="FF117" s="66" t="str">
        <f t="shared" ref="FF117:FF120" si="1756">IF(BZ117="","","|n"&amp;FF$2&amp;"+"&amp;BZ117&amp;FF$1)</f>
        <v/>
      </c>
      <c r="FG117" s="66" t="str">
        <f t="shared" ref="FG117:FG120" si="1757">IF(CA117="","","|n"&amp;FG$2&amp;"+"&amp;CA117&amp;FG$1)</f>
        <v/>
      </c>
      <c r="FH117" s="66" t="str">
        <f t="shared" ref="FH117:FH120" si="1758">IF(CB117="","","|n"&amp;FH$2&amp;"+"&amp;CB117&amp;FH$1)</f>
        <v/>
      </c>
      <c r="FI117" s="66" t="str">
        <f t="shared" ref="FI117:FI120" si="1759">IF(CC117="","","|n"&amp;FI$2&amp;"+"&amp;CC117&amp;FI$1)</f>
        <v/>
      </c>
      <c r="FJ117" s="66" t="str">
        <f t="shared" ref="FJ117:FJ120" si="1760">IF(CD117="","","|n"&amp;FJ$2&amp;"+"&amp;CD117&amp;FJ$1)</f>
        <v/>
      </c>
      <c r="FK117" s="66" t="str">
        <f t="shared" ref="FK117:FK120" si="1761">IF(CE117="","","|n"&amp;FK$2&amp;"+"&amp;CE117&amp;FK$1)</f>
        <v/>
      </c>
      <c r="FL117" s="66" t="str">
        <f t="shared" ref="FL117:FL120" si="1762">IF(CF117="","","|n"&amp;FL$2&amp;"+"&amp;CF117&amp;FL$1)</f>
        <v/>
      </c>
      <c r="FM117" s="66" t="str">
        <f t="shared" ref="FM117:FM120" si="1763">IF(CG117="","","|n"&amp;FM$2&amp;"+"&amp;CG117&amp;FM$1)</f>
        <v/>
      </c>
      <c r="FN117" s="66" t="str">
        <f t="shared" ref="FN117:FN120" si="1764">IF(CH117="","","|n"&amp;FN$2&amp;"+"&amp;CH117&amp;FN$1)</f>
        <v/>
      </c>
      <c r="FO117" s="66" t="str">
        <f t="shared" ref="FO117:FO120" si="1765">IF(CI117="","","|n"&amp;FO$2&amp;"+"&amp;CI117&amp;FO$1)</f>
        <v/>
      </c>
      <c r="FP117" s="66" t="str">
        <f t="shared" ref="FP117:FP120" si="1766">IF(CJ117="","","|n"&amp;FP$2&amp;"+"&amp;CJ117&amp;FP$1)</f>
        <v/>
      </c>
      <c r="FQ117" s="66" t="str">
        <f t="shared" ref="FQ117:FQ120" si="1767">IF(CK117="","","|n"&amp;FQ$2&amp;"+"&amp;CK117&amp;FQ$1)</f>
        <v/>
      </c>
      <c r="FR117" s="66" t="str">
        <f t="shared" ref="FR117:FR120" si="1768">IF(CL117="","","|n"&amp;FR$2&amp;"+"&amp;CL117&amp;FR$1)</f>
        <v/>
      </c>
      <c r="FS117" s="66" t="str">
        <f t="shared" ref="FS117:FS120" si="1769">IF(CM117="","","|n"&amp;FS$2&amp;"+"&amp;CM117&amp;FS$1)</f>
        <v/>
      </c>
    </row>
    <row r="118" spans="1:175" ht="16.5">
      <c r="A118" s="9"/>
      <c r="B118" s="9" t="s">
        <v>478</v>
      </c>
      <c r="C118" s="9" t="s">
        <v>479</v>
      </c>
      <c r="T118" s="97" t="s">
        <v>480</v>
      </c>
      <c r="U118" s="77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162&amp;CR$1&amp;")"</f>
        <v>InitEquipData('I005',,"",,,,,'','','','','','',"ReplaceableTextures\\CommandButtons\\BTNIT02.blp")</v>
      </c>
      <c r="CU118" s="88" t="str">
        <f t="shared" ref="CU118:CU119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:CV119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:DB119" si="1772">IF(V118="","","|n"&amp;DB$2&amp;"+"&amp;V118&amp;DB$1)</f>
        <v/>
      </c>
      <c r="DC118" s="66" t="str">
        <f t="shared" ref="DC118:DC119" si="1773">IF(W118="","","|n"&amp;DC$2&amp;"+"&amp;W118&amp;DC$1)</f>
        <v/>
      </c>
      <c r="DD118" s="66" t="str">
        <f t="shared" ref="DD118:DD119" si="1774">IF(X118="","","|n"&amp;DD$2&amp;"+"&amp;X118&amp;DD$1)</f>
        <v/>
      </c>
      <c r="DE118" s="66" t="str">
        <f t="shared" ref="DE118:DE119" si="1775">IF(Y118="","","|n"&amp;DE$2&amp;"+"&amp;Y118&amp;DE$1)</f>
        <v/>
      </c>
      <c r="DF118" s="66" t="str">
        <f t="shared" ref="DF118:DF119" si="1776">IF(Z118="","","|n"&amp;DF$2&amp;"+"&amp;Z118&amp;DF$1)</f>
        <v/>
      </c>
      <c r="DG118" s="66" t="str">
        <f t="shared" ref="DG118:DG119" si="1777">IF(AA118="","","|n"&amp;DG$2&amp;"+"&amp;AA118&amp;DG$1)</f>
        <v/>
      </c>
      <c r="DH118" s="66" t="str">
        <f t="shared" ref="DH118:DH119" si="1778">IF(AB118="","","|n"&amp;DH$2&amp;"+"&amp;AB118&amp;DH$1)</f>
        <v/>
      </c>
      <c r="DI118" s="66" t="str">
        <f t="shared" ref="DI118:DI119" si="1779">IF(AC118="","","|n"&amp;DI$2&amp;"+"&amp;AC118&amp;DI$1)</f>
        <v/>
      </c>
      <c r="DJ118" s="66" t="str">
        <f t="shared" ref="DJ118:DJ119" si="1780">IF(AD118="","","|n"&amp;DJ$2&amp;"+"&amp;AD118&amp;DJ$1)</f>
        <v/>
      </c>
      <c r="DK118" s="66" t="str">
        <f t="shared" ref="DK118:DK119" si="1781">IF(AE118="","","|n"&amp;DK$2&amp;"+"&amp;AE118&amp;DK$1)</f>
        <v/>
      </c>
      <c r="DL118" s="66" t="str">
        <f t="shared" ref="DL118:DL119" si="1782">IF(AF118="","","|n"&amp;DL$2&amp;"+"&amp;AF118&amp;DL$1)</f>
        <v/>
      </c>
      <c r="DM118" s="66" t="str">
        <f t="shared" ref="DM118:DM119" si="1783">IF(AG118="","","|n"&amp;DM$2&amp;"+"&amp;AG118&amp;DM$1)</f>
        <v/>
      </c>
      <c r="DN118" s="66" t="str">
        <f t="shared" ref="DN118:DN119" si="1784">IF(AH118="","","|n"&amp;DN$2&amp;"+"&amp;AH118&amp;DN$1)</f>
        <v/>
      </c>
      <c r="DO118" s="66" t="str">
        <f t="shared" ref="DO118:DO119" si="1785">IF(AI118="","","|n"&amp;DO$2&amp;"+"&amp;AI118&amp;DO$1)</f>
        <v/>
      </c>
      <c r="DP118" s="66" t="str">
        <f t="shared" ref="DP118:DP119" si="1786">IF(AJ118="","","|n"&amp;DP$2&amp;"+"&amp;AJ118&amp;DP$1)</f>
        <v/>
      </c>
      <c r="DQ118" s="66" t="str">
        <f t="shared" ref="DQ118:DQ119" si="1787">IF(AK118="","","|n"&amp;DQ$2&amp;"+"&amp;AK118&amp;DQ$1)</f>
        <v/>
      </c>
      <c r="DR118" s="66" t="str">
        <f t="shared" ref="DR118:DR119" si="1788">IF(AL118="","","|n"&amp;DR$2&amp;"+"&amp;AL118&amp;DR$1)</f>
        <v/>
      </c>
      <c r="DS118" s="66" t="str">
        <f t="shared" ref="DS118:DS119" si="1789">IF(AM118="","","|n"&amp;DS$2&amp;"+"&amp;AM118&amp;DS$1)</f>
        <v/>
      </c>
      <c r="DT118" s="66" t="str">
        <f t="shared" ref="DT118:DT119" si="1790">IF(AN118="","","|n"&amp;DT$2&amp;"+"&amp;AN118&amp;DT$1)</f>
        <v/>
      </c>
      <c r="DU118" s="66" t="str">
        <f t="shared" ref="DU118:DU119" si="1791">IF(AO118="","","|n"&amp;DU$2&amp;"+"&amp;AO118&amp;DU$1)</f>
        <v/>
      </c>
      <c r="DV118" s="66" t="str">
        <f t="shared" ref="DV118:DV119" si="1792">IF(AP118="","","|n"&amp;DV$2&amp;"+"&amp;AP118&amp;DV$1)</f>
        <v/>
      </c>
      <c r="DW118" s="66" t="str">
        <f t="shared" ref="DW118:DW119" si="1793">IF(AQ118="","","|n"&amp;DW$2&amp;"+"&amp;AQ118&amp;DW$1)</f>
        <v/>
      </c>
      <c r="DX118" s="66" t="str">
        <f t="shared" ref="DX118:DX119" si="1794">IF(AR118="","","|n"&amp;DX$2&amp;"+"&amp;AR118&amp;DX$1)</f>
        <v/>
      </c>
      <c r="DY118" s="66" t="str">
        <f t="shared" ref="DY118:DY119" si="1795">IF(AS118="","","|n"&amp;DY$2&amp;"+"&amp;AS118&amp;DY$1)</f>
        <v/>
      </c>
      <c r="DZ118" s="66" t="str">
        <f t="shared" ref="DZ118:DZ119" si="1796">IF(AT118="","","|n"&amp;DZ$2&amp;"+"&amp;AT118&amp;DZ$1)</f>
        <v/>
      </c>
      <c r="EA118" s="66" t="str">
        <f t="shared" ref="EA118:EA119" si="1797">IF(AU118="","","|n"&amp;EA$2&amp;"+"&amp;AU118&amp;EA$1)</f>
        <v/>
      </c>
      <c r="EB118" s="66" t="str">
        <f t="shared" ref="EB118:EB119" si="1798">IF(AV118="","","|n"&amp;EB$2&amp;"+"&amp;AV118&amp;EB$1)</f>
        <v/>
      </c>
      <c r="EC118" s="66" t="str">
        <f t="shared" ref="EC118:EC119" si="1799">IF(AW118="","","|n"&amp;EC$2&amp;"+"&amp;AW118&amp;EC$1)</f>
        <v/>
      </c>
      <c r="ED118" s="66" t="str">
        <f t="shared" ref="ED118:ED119" si="1800">IF(AX118="","","|n"&amp;ED$2&amp;"+"&amp;AX118&amp;ED$1)</f>
        <v/>
      </c>
      <c r="EE118" s="66" t="str">
        <f t="shared" ref="EE118:EE119" si="1801">IF(AY118="","","|n"&amp;EE$2&amp;"+"&amp;AY118&amp;EE$1)</f>
        <v/>
      </c>
      <c r="EF118" s="66" t="str">
        <f t="shared" ref="EF118:EF119" si="1802">IF(AZ118="","","|n"&amp;EF$2&amp;"+"&amp;AZ118&amp;EF$1)</f>
        <v/>
      </c>
      <c r="EG118" s="66" t="str">
        <f t="shared" ref="EG118:EG119" si="1803">IF(BA118="","","|n"&amp;EG$2&amp;"+"&amp;BA118&amp;EG$1)</f>
        <v/>
      </c>
      <c r="EH118" s="66" t="str">
        <f t="shared" ref="EH118:EH119" si="1804">IF(BB118="","","|n"&amp;EH$2&amp;"+"&amp;BB118&amp;EH$1)</f>
        <v/>
      </c>
      <c r="EI118" s="66" t="str">
        <f t="shared" ref="EI118:EI119" si="1805">IF(BC118="","","|n"&amp;EI$2&amp;"+"&amp;BC118&amp;EI$1)</f>
        <v/>
      </c>
      <c r="EJ118" s="66" t="str">
        <f t="shared" ref="EJ118:EJ119" si="1806">IF(BD118="","","|n"&amp;EJ$2&amp;"+"&amp;BD118&amp;EJ$1)</f>
        <v/>
      </c>
      <c r="EK118" s="66" t="str">
        <f t="shared" ref="EK118:EK119" si="1807">IF(BE118="","","|n"&amp;EK$2&amp;"+"&amp;BE118&amp;EK$1)</f>
        <v/>
      </c>
      <c r="EL118" s="66" t="str">
        <f t="shared" ref="EL118:EL119" si="1808">IF(BF118="","","|n"&amp;EL$2&amp;"+"&amp;BF118&amp;EL$1)</f>
        <v/>
      </c>
      <c r="EM118" s="66" t="str">
        <f t="shared" ref="EM118:EM119" si="1809">IF(BG118="","","|n"&amp;EM$2&amp;"+"&amp;BG118&amp;EM$1)</f>
        <v/>
      </c>
      <c r="EN118" s="66" t="str">
        <f t="shared" ref="EN118:EN119" si="1810">IF(BH118="","","|n"&amp;EN$2&amp;"+"&amp;BH118&amp;EN$1)</f>
        <v/>
      </c>
      <c r="EO118" s="66" t="str">
        <f t="shared" ref="EO118:EO119" si="1811">IF(BI118="","","|n"&amp;EO$2&amp;"+"&amp;BI118&amp;EO$1)</f>
        <v/>
      </c>
      <c r="EP118" s="66" t="str">
        <f t="shared" ref="EP118:EP119" si="1812">IF(BJ118="","","|n"&amp;EP$2&amp;"+"&amp;BJ118&amp;EP$1)</f>
        <v/>
      </c>
      <c r="EQ118" s="66" t="str">
        <f t="shared" ref="EQ118:EQ119" si="1813">IF(BK118="","","|n"&amp;EQ$2&amp;"+"&amp;BK118&amp;EQ$1)</f>
        <v/>
      </c>
      <c r="ER118" s="66" t="str">
        <f t="shared" ref="ER118:ER119" si="1814">IF(BL118="","","|n"&amp;ER$2&amp;"+"&amp;BL118&amp;ER$1)</f>
        <v/>
      </c>
      <c r="ES118" s="66" t="str">
        <f t="shared" ref="ES118:ES119" si="1815">IF(BM118="","","|n"&amp;ES$2&amp;"+"&amp;BM118&amp;ES$1)</f>
        <v/>
      </c>
      <c r="ET118" s="66" t="str">
        <f t="shared" ref="ET118:ET119" si="1816">IF(BN118="","","|n"&amp;ET$2&amp;"+"&amp;BN118&amp;ET$1)</f>
        <v/>
      </c>
      <c r="EU118" s="66" t="str">
        <f t="shared" ref="EU118:EU119" si="1817">IF(BO118="","","|n"&amp;EU$2&amp;"+"&amp;BO118&amp;EU$1)</f>
        <v/>
      </c>
      <c r="EV118" s="66" t="str">
        <f t="shared" ref="EV118:EV119" si="1818">IF(BP118="","","|n"&amp;EV$2&amp;"+"&amp;BP118&amp;EV$1)</f>
        <v/>
      </c>
      <c r="EW118" s="66" t="str">
        <f t="shared" ref="EW118:EW119" si="1819">IF(BQ118="","","|n"&amp;EW$2&amp;"+"&amp;BQ118&amp;EW$1)</f>
        <v/>
      </c>
      <c r="EX118" s="66" t="str">
        <f t="shared" ref="EX118:EX119" si="1820">IF(BR118="","","|n"&amp;EX$2&amp;"+"&amp;BR118&amp;EX$1)</f>
        <v/>
      </c>
      <c r="EY118" s="66" t="str">
        <f t="shared" ref="EY118:EY119" si="1821">IF(BS118="","","|n"&amp;EY$2&amp;"+"&amp;BS118&amp;EY$1)</f>
        <v/>
      </c>
      <c r="EZ118" s="66" t="str">
        <f t="shared" ref="EZ118:EZ119" si="1822">IF(BT118="","","|n"&amp;EZ$2&amp;"+"&amp;BT118&amp;EZ$1)</f>
        <v/>
      </c>
      <c r="FA118" s="66" t="str">
        <f t="shared" ref="FA118:FA119" si="1823">IF(BU118="","","|n"&amp;FA$2&amp;"+"&amp;BU118&amp;FA$1)</f>
        <v/>
      </c>
      <c r="FB118" s="66" t="str">
        <f t="shared" ref="FB118:FB119" si="1824">IF(BV118="","","|n"&amp;FB$2&amp;"+"&amp;BV118&amp;FB$1)</f>
        <v/>
      </c>
      <c r="FC118" s="66" t="str">
        <f t="shared" ref="FC118:FC119" si="1825">IF(BW118="","","|n"&amp;FC$2&amp;"+"&amp;BW118&amp;FC$1)</f>
        <v/>
      </c>
      <c r="FD118" s="66" t="str">
        <f t="shared" ref="FD118:FD119" si="1826">IF(BX118="","","|n"&amp;FD$2&amp;"+"&amp;BX118&amp;FD$1)</f>
        <v/>
      </c>
      <c r="FE118" s="66" t="str">
        <f t="shared" ref="FE118:FE119" si="1827">IF(BY118="","","|n"&amp;FE$2&amp;"+"&amp;BY118&amp;FE$1)</f>
        <v/>
      </c>
      <c r="FF118" s="66" t="str">
        <f t="shared" ref="FF118:FF119" si="1828">IF(BZ118="","","|n"&amp;FF$2&amp;"+"&amp;BZ118&amp;FF$1)</f>
        <v/>
      </c>
      <c r="FG118" s="66" t="str">
        <f t="shared" ref="FG118:FG119" si="1829">IF(CA118="","","|n"&amp;FG$2&amp;"+"&amp;CA118&amp;FG$1)</f>
        <v/>
      </c>
      <c r="FH118" s="66" t="str">
        <f t="shared" ref="FH118:FH119" si="1830">IF(CB118="","","|n"&amp;FH$2&amp;"+"&amp;CB118&amp;FH$1)</f>
        <v/>
      </c>
      <c r="FI118" s="66" t="str">
        <f t="shared" ref="FI118:FI119" si="1831">IF(CC118="","","|n"&amp;FI$2&amp;"+"&amp;CC118&amp;FI$1)</f>
        <v/>
      </c>
      <c r="FJ118" s="66" t="str">
        <f t="shared" ref="FJ118:FJ119" si="1832">IF(CD118="","","|n"&amp;FJ$2&amp;"+"&amp;CD118&amp;FJ$1)</f>
        <v/>
      </c>
      <c r="FK118" s="66" t="str">
        <f t="shared" ref="FK118:FK119" si="1833">IF(CE118="","","|n"&amp;FK$2&amp;"+"&amp;CE118&amp;FK$1)</f>
        <v/>
      </c>
      <c r="FL118" s="66" t="str">
        <f t="shared" ref="FL118:FL119" si="1834">IF(CF118="","","|n"&amp;FL$2&amp;"+"&amp;CF118&amp;FL$1)</f>
        <v/>
      </c>
      <c r="FM118" s="66" t="str">
        <f t="shared" ref="FM118:FM119" si="1835">IF(CG118="","","|n"&amp;FM$2&amp;"+"&amp;CG118&amp;FM$1)</f>
        <v/>
      </c>
      <c r="FN118" s="66" t="str">
        <f t="shared" ref="FN118:FN119" si="1836">IF(CH118="","","|n"&amp;FN$2&amp;"+"&amp;CH118&amp;FN$1)</f>
        <v/>
      </c>
      <c r="FO118" s="66" t="str">
        <f t="shared" ref="FO118:FO119" si="1837">IF(CI118="","","|n"&amp;FO$2&amp;"+"&amp;CI118&amp;FO$1)</f>
        <v/>
      </c>
      <c r="FP118" s="66" t="str">
        <f t="shared" ref="FP118:FP119" si="1838">IF(CJ118="","","|n"&amp;FP$2&amp;"+"&amp;CJ118&amp;FP$1)</f>
        <v/>
      </c>
      <c r="FQ118" s="66" t="str">
        <f t="shared" ref="FQ118:FQ119" si="1839">IF(CK118="","","|n"&amp;FQ$2&amp;"+"&amp;CK118&amp;FQ$1)</f>
        <v/>
      </c>
      <c r="FR118" s="66" t="str">
        <f t="shared" ref="FR118:FR119" si="1840">IF(CL118="","","|n"&amp;FR$2&amp;"+"&amp;CL118&amp;FR$1)</f>
        <v/>
      </c>
      <c r="FS118" s="66" t="str">
        <f t="shared" ref="FS118:FS119" si="1841">IF(CM118="","","|n"&amp;FS$2&amp;"+"&amp;CM118&amp;FS$1)</f>
        <v/>
      </c>
    </row>
    <row r="119" spans="1:175" ht="16.5">
      <c r="A119" s="9"/>
      <c r="B119" s="9" t="s">
        <v>900</v>
      </c>
      <c r="C119" s="152" t="s">
        <v>901</v>
      </c>
      <c r="T119" s="153" t="s">
        <v>902</v>
      </c>
      <c r="U119" s="77" t="s">
        <v>484</v>
      </c>
      <c r="CN119" s="36" t="str">
        <f t="shared" ref="CN119" si="1842">"InitUnitState('"&amp;B119&amp;"',"&amp;V119&amp;","&amp;W119&amp;","&amp;X119&amp;","&amp;Y119&amp;","&amp;Z119&amp;","&amp;AA119&amp;","&amp;AB119&amp;","&amp;AC119&amp;","&amp;AD119&amp;","&amp;AE119&amp;")"</f>
        <v>InitUnitState('I010',,,,,,,,,,)</v>
      </c>
      <c r="CO119" s="36" t="str">
        <f t="shared" ref="CO119" si="1843">"InitUnitNormal('"&amp;B119&amp;"',"&amp;AF119&amp;","&amp;AG119&amp;","&amp;AH119&amp;","&amp;AI119&amp;","&amp;AJ119&amp;","&amp;AK119&amp;","&amp;AL119&amp;","&amp;AM119&amp;","&amp;AN119&amp;","&amp;AO119&amp;")"</f>
        <v>InitUnitNormal('I010',,,,,,,,,,)</v>
      </c>
      <c r="CP119" s="36" t="str">
        <f t="shared" ref="CP119" si="1844">"InitUnitMagic('"&amp;B119&amp;"',"&amp;AP119&amp;","&amp;AQ119&amp;","&amp;AR119&amp;","&amp;AS119&amp;","&amp;AT119&amp;","&amp;AU119&amp;","&amp;AV119&amp;","&amp;AW119&amp;","&amp;BI119&amp;","&amp;BJ119&amp;")"</f>
        <v>InitUnitMagic('I010',,,,,,,,,,)</v>
      </c>
      <c r="CQ119" s="36" t="str">
        <f t="shared" ref="CQ119" si="1845">"InitUnitAdd('"&amp;B119&amp;"',"&amp;BK119&amp;","&amp;BL119&amp;","&amp;BM119&amp;","&amp;BN119&amp;","&amp;BO119&amp;","&amp;BP119&amp;","&amp;BQ119&amp;","&amp;BR119&amp;","&amp;BS119&amp;","&amp;BT119&amp;")"</f>
        <v>InitUnitAdd('I010',,,,,,,,,,)</v>
      </c>
      <c r="CR119" s="36" t="str">
        <f t="shared" ref="CR119:CR124" si="1846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InitEquipData('I010',,"",,,,,'','','','','','',"ReplaceableTextures\\CommandButtons\\BTNIT01.blp")</v>
      </c>
      <c r="CU119" s="88" t="str">
        <f t="shared" si="1770"/>
        <v>|n</v>
      </c>
      <c r="CV119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19" s="33"/>
      <c r="CX119" s="33"/>
      <c r="CY119" s="33"/>
      <c r="CZ119" s="33"/>
      <c r="DA119" s="33"/>
      <c r="DB119" s="66" t="str">
        <f t="shared" si="1772"/>
        <v/>
      </c>
      <c r="DC119" s="66" t="str">
        <f t="shared" si="1773"/>
        <v/>
      </c>
      <c r="DD119" s="66" t="str">
        <f t="shared" si="1774"/>
        <v/>
      </c>
      <c r="DE119" s="66" t="str">
        <f t="shared" si="1775"/>
        <v/>
      </c>
      <c r="DF119" s="66" t="str">
        <f t="shared" si="1776"/>
        <v/>
      </c>
      <c r="DG119" s="66" t="str">
        <f t="shared" si="1777"/>
        <v/>
      </c>
      <c r="DH119" s="66" t="str">
        <f t="shared" si="1778"/>
        <v/>
      </c>
      <c r="DI119" s="66" t="str">
        <f t="shared" si="1779"/>
        <v/>
      </c>
      <c r="DJ119" s="66" t="str">
        <f t="shared" si="1780"/>
        <v/>
      </c>
      <c r="DK119" s="66" t="str">
        <f t="shared" si="1781"/>
        <v/>
      </c>
      <c r="DL119" s="66" t="str">
        <f t="shared" si="1782"/>
        <v/>
      </c>
      <c r="DM119" s="66" t="str">
        <f t="shared" si="1783"/>
        <v/>
      </c>
      <c r="DN119" s="66" t="str">
        <f t="shared" si="1784"/>
        <v/>
      </c>
      <c r="DO119" s="66" t="str">
        <f t="shared" si="1785"/>
        <v/>
      </c>
      <c r="DP119" s="66" t="str">
        <f t="shared" si="1786"/>
        <v/>
      </c>
      <c r="DQ119" s="66" t="str">
        <f t="shared" si="1787"/>
        <v/>
      </c>
      <c r="DR119" s="66" t="str">
        <f t="shared" si="1788"/>
        <v/>
      </c>
      <c r="DS119" s="66" t="str">
        <f t="shared" si="1789"/>
        <v/>
      </c>
      <c r="DT119" s="66" t="str">
        <f t="shared" si="1790"/>
        <v/>
      </c>
      <c r="DU119" s="66" t="str">
        <f t="shared" si="1791"/>
        <v/>
      </c>
      <c r="DV119" s="66" t="str">
        <f t="shared" si="1792"/>
        <v/>
      </c>
      <c r="DW119" s="66" t="str">
        <f t="shared" si="1793"/>
        <v/>
      </c>
      <c r="DX119" s="66" t="str">
        <f t="shared" si="1794"/>
        <v/>
      </c>
      <c r="DY119" s="66" t="str">
        <f t="shared" si="1795"/>
        <v/>
      </c>
      <c r="DZ119" s="66" t="str">
        <f t="shared" si="1796"/>
        <v/>
      </c>
      <c r="EA119" s="66" t="str">
        <f t="shared" si="1797"/>
        <v/>
      </c>
      <c r="EB119" s="66" t="str">
        <f t="shared" si="1798"/>
        <v/>
      </c>
      <c r="EC119" s="66" t="str">
        <f t="shared" si="1799"/>
        <v/>
      </c>
      <c r="ED119" s="66" t="str">
        <f t="shared" si="1800"/>
        <v/>
      </c>
      <c r="EE119" s="66" t="str">
        <f t="shared" si="1801"/>
        <v/>
      </c>
      <c r="EF119" s="66" t="str">
        <f t="shared" si="1802"/>
        <v/>
      </c>
      <c r="EG119" s="66" t="str">
        <f t="shared" si="1803"/>
        <v/>
      </c>
      <c r="EH119" s="66" t="str">
        <f t="shared" si="1804"/>
        <v/>
      </c>
      <c r="EI119" s="66" t="str">
        <f t="shared" si="1805"/>
        <v/>
      </c>
      <c r="EJ119" s="66" t="str">
        <f t="shared" si="1806"/>
        <v/>
      </c>
      <c r="EK119" s="66" t="str">
        <f t="shared" si="1807"/>
        <v/>
      </c>
      <c r="EL119" s="66" t="str">
        <f t="shared" si="1808"/>
        <v/>
      </c>
      <c r="EM119" s="66" t="str">
        <f t="shared" si="1809"/>
        <v/>
      </c>
      <c r="EN119" s="66" t="str">
        <f t="shared" si="1810"/>
        <v/>
      </c>
      <c r="EO119" s="66" t="str">
        <f t="shared" si="1811"/>
        <v/>
      </c>
      <c r="EP119" s="66" t="str">
        <f t="shared" si="1812"/>
        <v/>
      </c>
      <c r="EQ119" s="66" t="str">
        <f t="shared" si="1813"/>
        <v/>
      </c>
      <c r="ER119" s="66" t="str">
        <f t="shared" si="1814"/>
        <v/>
      </c>
      <c r="ES119" s="66" t="str">
        <f t="shared" si="1815"/>
        <v/>
      </c>
      <c r="ET119" s="66" t="str">
        <f t="shared" si="1816"/>
        <v/>
      </c>
      <c r="EU119" s="66" t="str">
        <f t="shared" si="1817"/>
        <v/>
      </c>
      <c r="EV119" s="66" t="str">
        <f t="shared" si="1818"/>
        <v/>
      </c>
      <c r="EW119" s="66" t="str">
        <f t="shared" si="1819"/>
        <v/>
      </c>
      <c r="EX119" s="66" t="str">
        <f t="shared" si="1820"/>
        <v/>
      </c>
      <c r="EY119" s="66" t="str">
        <f t="shared" si="1821"/>
        <v/>
      </c>
      <c r="EZ119" s="66" t="str">
        <f t="shared" si="1822"/>
        <v/>
      </c>
      <c r="FA119" s="66" t="str">
        <f t="shared" si="1823"/>
        <v/>
      </c>
      <c r="FB119" s="66" t="str">
        <f t="shared" si="1824"/>
        <v/>
      </c>
      <c r="FC119" s="66" t="str">
        <f t="shared" si="1825"/>
        <v/>
      </c>
      <c r="FD119" s="66" t="str">
        <f t="shared" si="1826"/>
        <v/>
      </c>
      <c r="FE119" s="66" t="str">
        <f t="shared" si="1827"/>
        <v/>
      </c>
      <c r="FF119" s="66" t="str">
        <f t="shared" si="1828"/>
        <v/>
      </c>
      <c r="FG119" s="66" t="str">
        <f t="shared" si="1829"/>
        <v/>
      </c>
      <c r="FH119" s="66" t="str">
        <f t="shared" si="1830"/>
        <v/>
      </c>
      <c r="FI119" s="66" t="str">
        <f t="shared" si="1831"/>
        <v/>
      </c>
      <c r="FJ119" s="66" t="str">
        <f t="shared" si="1832"/>
        <v/>
      </c>
      <c r="FK119" s="66" t="str">
        <f t="shared" si="1833"/>
        <v/>
      </c>
      <c r="FL119" s="66" t="str">
        <f t="shared" si="1834"/>
        <v/>
      </c>
      <c r="FM119" s="66" t="str">
        <f t="shared" si="1835"/>
        <v/>
      </c>
      <c r="FN119" s="66" t="str">
        <f t="shared" si="1836"/>
        <v/>
      </c>
      <c r="FO119" s="66" t="str">
        <f t="shared" si="1837"/>
        <v/>
      </c>
      <c r="FP119" s="66" t="str">
        <f t="shared" si="1838"/>
        <v/>
      </c>
      <c r="FQ119" s="66" t="str">
        <f t="shared" si="1839"/>
        <v/>
      </c>
      <c r="FR119" s="66" t="str">
        <f t="shared" si="1840"/>
        <v/>
      </c>
      <c r="FS119" s="66" t="str">
        <f t="shared" si="1841"/>
        <v/>
      </c>
    </row>
    <row r="120" spans="1:175" ht="16.5">
      <c r="A120" s="9"/>
      <c r="B120" s="9" t="s">
        <v>481</v>
      </c>
      <c r="C120" s="15" t="s">
        <v>482</v>
      </c>
      <c r="T120" s="11" t="s">
        <v>483</v>
      </c>
      <c r="U120" s="77" t="s">
        <v>484</v>
      </c>
      <c r="CN120" s="36" t="str">
        <f t="shared" si="1550"/>
        <v>InitUnitState('I011',,,,,,,,,,)</v>
      </c>
      <c r="CO120" s="36" t="str">
        <f t="shared" si="1551"/>
        <v>InitUnitNormal('I011',,,,,,,,,,)</v>
      </c>
      <c r="CP120" s="36" t="str">
        <f t="shared" si="1552"/>
        <v>InitUnitMagic('I011',,,,,,,,,,)</v>
      </c>
      <c r="CQ120" s="36" t="str">
        <f t="shared" si="1553"/>
        <v>InitUnitAdd('I011',,,,,,,,,,)</v>
      </c>
      <c r="CR120" s="36" t="str">
        <f t="shared" si="1846"/>
        <v>InitEquipData('I011',,"",,,,,'','','','','','',"ReplaceableTextures\\CommandButtons\\BTNIT02.blp")</v>
      </c>
      <c r="CU120" s="88" t="str">
        <f t="shared" si="1698"/>
        <v>|n</v>
      </c>
      <c r="CV120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0" s="33"/>
      <c r="CX120" s="33"/>
      <c r="CY120" s="33"/>
      <c r="CZ120" s="33"/>
      <c r="DA120" s="33"/>
      <c r="DB120" s="66" t="str">
        <f t="shared" si="1700"/>
        <v/>
      </c>
      <c r="DC120" s="66" t="str">
        <f t="shared" si="1701"/>
        <v/>
      </c>
      <c r="DD120" s="66" t="str">
        <f t="shared" si="1702"/>
        <v/>
      </c>
      <c r="DE120" s="66" t="str">
        <f t="shared" si="1703"/>
        <v/>
      </c>
      <c r="DF120" s="66" t="str">
        <f t="shared" si="1704"/>
        <v/>
      </c>
      <c r="DG120" s="66" t="str">
        <f t="shared" si="1705"/>
        <v/>
      </c>
      <c r="DH120" s="66" t="str">
        <f t="shared" si="1706"/>
        <v/>
      </c>
      <c r="DI120" s="66" t="str">
        <f t="shared" si="1707"/>
        <v/>
      </c>
      <c r="DJ120" s="66" t="str">
        <f t="shared" si="1708"/>
        <v/>
      </c>
      <c r="DK120" s="66" t="str">
        <f t="shared" si="1709"/>
        <v/>
      </c>
      <c r="DL120" s="66" t="str">
        <f t="shared" si="1710"/>
        <v/>
      </c>
      <c r="DM120" s="66" t="str">
        <f t="shared" si="1711"/>
        <v/>
      </c>
      <c r="DN120" s="66" t="str">
        <f t="shared" si="1712"/>
        <v/>
      </c>
      <c r="DO120" s="66" t="str">
        <f t="shared" si="1713"/>
        <v/>
      </c>
      <c r="DP120" s="66" t="str">
        <f t="shared" si="1714"/>
        <v/>
      </c>
      <c r="DQ120" s="66" t="str">
        <f t="shared" si="1715"/>
        <v/>
      </c>
      <c r="DR120" s="66" t="str">
        <f t="shared" si="1716"/>
        <v/>
      </c>
      <c r="DS120" s="66" t="str">
        <f t="shared" si="1717"/>
        <v/>
      </c>
      <c r="DT120" s="66" t="str">
        <f t="shared" si="1718"/>
        <v/>
      </c>
      <c r="DU120" s="66" t="str">
        <f t="shared" si="1719"/>
        <v/>
      </c>
      <c r="DV120" s="66" t="str">
        <f t="shared" si="1720"/>
        <v/>
      </c>
      <c r="DW120" s="66" t="str">
        <f t="shared" si="1721"/>
        <v/>
      </c>
      <c r="DX120" s="66" t="str">
        <f t="shared" si="1722"/>
        <v/>
      </c>
      <c r="DY120" s="66" t="str">
        <f t="shared" si="1723"/>
        <v/>
      </c>
      <c r="DZ120" s="66" t="str">
        <f t="shared" si="1724"/>
        <v/>
      </c>
      <c r="EA120" s="66" t="str">
        <f t="shared" si="1725"/>
        <v/>
      </c>
      <c r="EB120" s="66" t="str">
        <f t="shared" si="1726"/>
        <v/>
      </c>
      <c r="EC120" s="66" t="str">
        <f t="shared" si="1727"/>
        <v/>
      </c>
      <c r="ED120" s="66" t="str">
        <f t="shared" si="1728"/>
        <v/>
      </c>
      <c r="EE120" s="66" t="str">
        <f t="shared" si="1729"/>
        <v/>
      </c>
      <c r="EF120" s="66" t="str">
        <f t="shared" si="1730"/>
        <v/>
      </c>
      <c r="EG120" s="66" t="str">
        <f t="shared" si="1731"/>
        <v/>
      </c>
      <c r="EH120" s="66" t="str">
        <f t="shared" si="1732"/>
        <v/>
      </c>
      <c r="EI120" s="66" t="str">
        <f t="shared" si="1733"/>
        <v/>
      </c>
      <c r="EJ120" s="66" t="str">
        <f t="shared" si="1734"/>
        <v/>
      </c>
      <c r="EK120" s="66" t="str">
        <f t="shared" si="1735"/>
        <v/>
      </c>
      <c r="EL120" s="66" t="str">
        <f t="shared" si="1736"/>
        <v/>
      </c>
      <c r="EM120" s="66" t="str">
        <f t="shared" si="1737"/>
        <v/>
      </c>
      <c r="EN120" s="66" t="str">
        <f t="shared" si="1738"/>
        <v/>
      </c>
      <c r="EO120" s="66" t="str">
        <f t="shared" si="1739"/>
        <v/>
      </c>
      <c r="EP120" s="66" t="str">
        <f t="shared" si="1740"/>
        <v/>
      </c>
      <c r="EQ120" s="66" t="str">
        <f t="shared" si="1741"/>
        <v/>
      </c>
      <c r="ER120" s="66" t="str">
        <f t="shared" si="1742"/>
        <v/>
      </c>
      <c r="ES120" s="66" t="str">
        <f t="shared" si="1743"/>
        <v/>
      </c>
      <c r="ET120" s="66" t="str">
        <f t="shared" si="1744"/>
        <v/>
      </c>
      <c r="EU120" s="66" t="str">
        <f t="shared" si="1745"/>
        <v/>
      </c>
      <c r="EV120" s="66" t="str">
        <f t="shared" si="1746"/>
        <v/>
      </c>
      <c r="EW120" s="66" t="str">
        <f t="shared" si="1747"/>
        <v/>
      </c>
      <c r="EX120" s="66" t="str">
        <f t="shared" si="1748"/>
        <v/>
      </c>
      <c r="EY120" s="66" t="str">
        <f t="shared" si="1749"/>
        <v/>
      </c>
      <c r="EZ120" s="66" t="str">
        <f t="shared" si="1750"/>
        <v/>
      </c>
      <c r="FA120" s="66" t="str">
        <f t="shared" si="1751"/>
        <v/>
      </c>
      <c r="FB120" s="66" t="str">
        <f t="shared" si="1752"/>
        <v/>
      </c>
      <c r="FC120" s="66" t="str">
        <f t="shared" si="1753"/>
        <v/>
      </c>
      <c r="FD120" s="66" t="str">
        <f t="shared" si="1754"/>
        <v/>
      </c>
      <c r="FE120" s="66" t="str">
        <f t="shared" si="1755"/>
        <v/>
      </c>
      <c r="FF120" s="66" t="str">
        <f t="shared" si="1756"/>
        <v/>
      </c>
      <c r="FG120" s="66" t="str">
        <f t="shared" si="1757"/>
        <v/>
      </c>
      <c r="FH120" s="66" t="str">
        <f t="shared" si="1758"/>
        <v/>
      </c>
      <c r="FI120" s="66" t="str">
        <f t="shared" si="1759"/>
        <v/>
      </c>
      <c r="FJ120" s="66" t="str">
        <f t="shared" si="1760"/>
        <v/>
      </c>
      <c r="FK120" s="66" t="str">
        <f t="shared" si="1761"/>
        <v/>
      </c>
      <c r="FL120" s="66" t="str">
        <f t="shared" si="1762"/>
        <v/>
      </c>
      <c r="FM120" s="66" t="str">
        <f t="shared" si="1763"/>
        <v/>
      </c>
      <c r="FN120" s="66" t="str">
        <f t="shared" si="1764"/>
        <v/>
      </c>
      <c r="FO120" s="66" t="str">
        <f t="shared" si="1765"/>
        <v/>
      </c>
      <c r="FP120" s="66" t="str">
        <f t="shared" si="1766"/>
        <v/>
      </c>
      <c r="FQ120" s="66" t="str">
        <f t="shared" si="1767"/>
        <v/>
      </c>
      <c r="FR120" s="66" t="str">
        <f t="shared" si="1768"/>
        <v/>
      </c>
      <c r="FS120" s="66" t="str">
        <f t="shared" si="1769"/>
        <v/>
      </c>
    </row>
    <row r="121" spans="1:175" ht="16.5">
      <c r="A121" s="9"/>
      <c r="B121" s="9" t="s">
        <v>485</v>
      </c>
      <c r="C121" s="16" t="s">
        <v>486</v>
      </c>
      <c r="T121" s="11" t="s">
        <v>487</v>
      </c>
      <c r="U121" s="77" t="s">
        <v>488</v>
      </c>
      <c r="CN121" s="36" t="str">
        <f t="shared" si="1550"/>
        <v>InitUnitState('I012',,,,,,,,,,)</v>
      </c>
      <c r="CO121" s="36" t="str">
        <f t="shared" si="1551"/>
        <v>InitUnitNormal('I012',,,,,,,,,,)</v>
      </c>
      <c r="CP121" s="36" t="str">
        <f t="shared" si="1552"/>
        <v>InitUnitMagic('I012',,,,,,,,,,)</v>
      </c>
      <c r="CQ121" s="36" t="str">
        <f t="shared" si="1553"/>
        <v>InitUnitAdd('I012',,,,,,,,,,)</v>
      </c>
      <c r="CR121" s="36" t="str">
        <f t="shared" si="1846"/>
        <v>InitEquipData('I012',,"",,,,,'','','','','','',"ReplaceableTextures\\CommandButtons\\BTNIT03.blp")</v>
      </c>
      <c r="CU121" s="88" t="str">
        <f t="shared" ref="CU121:CU122" si="184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2" si="1848">T121</f>
        <v>护甲|cffffd24d+50|n|r金币加成|cffffd24d+20%|n|n|r击杀1000个敌人后奖励：|n|cffffd24d8000~13000|r金币|n|cffcc99ff3000-6000|r业力|n|n|cff00ff7f同时只能携带一个招魂幡|r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ref="DB121:DB122" si="1849">IF(V121="","","|n"&amp;DB$2&amp;"+"&amp;V121&amp;DB$1)</f>
        <v/>
      </c>
      <c r="DC121" s="66" t="str">
        <f t="shared" ref="DC121:DC122" si="1850">IF(W121="","","|n"&amp;DC$2&amp;"+"&amp;W121&amp;DC$1)</f>
        <v/>
      </c>
      <c r="DD121" s="66" t="str">
        <f t="shared" ref="DD121:DD122" si="1851">IF(X121="","","|n"&amp;DD$2&amp;"+"&amp;X121&amp;DD$1)</f>
        <v/>
      </c>
      <c r="DE121" s="66" t="str">
        <f t="shared" ref="DE121:DE122" si="1852">IF(Y121="","","|n"&amp;DE$2&amp;"+"&amp;Y121&amp;DE$1)</f>
        <v/>
      </c>
      <c r="DF121" s="66" t="str">
        <f t="shared" ref="DF121:DF122" si="1853">IF(Z121="","","|n"&amp;DF$2&amp;"+"&amp;Z121&amp;DF$1)</f>
        <v/>
      </c>
      <c r="DG121" s="66" t="str">
        <f t="shared" ref="DG121:DG122" si="1854">IF(AA121="","","|n"&amp;DG$2&amp;"+"&amp;AA121&amp;DG$1)</f>
        <v/>
      </c>
      <c r="DH121" s="66" t="str">
        <f t="shared" ref="DH121:DH122" si="1855">IF(AB121="","","|n"&amp;DH$2&amp;"+"&amp;AB121&amp;DH$1)</f>
        <v/>
      </c>
      <c r="DI121" s="66" t="str">
        <f t="shared" ref="DI121:DI122" si="1856">IF(AC121="","","|n"&amp;DI$2&amp;"+"&amp;AC121&amp;DI$1)</f>
        <v/>
      </c>
      <c r="DJ121" s="66" t="str">
        <f t="shared" ref="DJ121:DJ122" si="1857">IF(AD121="","","|n"&amp;DJ$2&amp;"+"&amp;AD121&amp;DJ$1)</f>
        <v/>
      </c>
      <c r="DK121" s="66" t="str">
        <f t="shared" ref="DK121:DK122" si="1858">IF(AE121="","","|n"&amp;DK$2&amp;"+"&amp;AE121&amp;DK$1)</f>
        <v/>
      </c>
      <c r="DL121" s="66" t="str">
        <f t="shared" ref="DL121:DL122" si="1859">IF(AF121="","","|n"&amp;DL$2&amp;"+"&amp;AF121&amp;DL$1)</f>
        <v/>
      </c>
      <c r="DM121" s="66" t="str">
        <f t="shared" ref="DM121:DM122" si="1860">IF(AG121="","","|n"&amp;DM$2&amp;"+"&amp;AG121&amp;DM$1)</f>
        <v/>
      </c>
      <c r="DN121" s="66" t="str">
        <f t="shared" ref="DN121:DN122" si="1861">IF(AH121="","","|n"&amp;DN$2&amp;"+"&amp;AH121&amp;DN$1)</f>
        <v/>
      </c>
      <c r="DO121" s="66" t="str">
        <f t="shared" ref="DO121:DO122" si="1862">IF(AI121="","","|n"&amp;DO$2&amp;"+"&amp;AI121&amp;DO$1)</f>
        <v/>
      </c>
      <c r="DP121" s="66" t="str">
        <f t="shared" ref="DP121:DP122" si="1863">IF(AJ121="","","|n"&amp;DP$2&amp;"+"&amp;AJ121&amp;DP$1)</f>
        <v/>
      </c>
      <c r="DQ121" s="66" t="str">
        <f t="shared" ref="DQ121:DQ122" si="1864">IF(AK121="","","|n"&amp;DQ$2&amp;"+"&amp;AK121&amp;DQ$1)</f>
        <v/>
      </c>
      <c r="DR121" s="66" t="str">
        <f t="shared" ref="DR121:DR122" si="1865">IF(AL121="","","|n"&amp;DR$2&amp;"+"&amp;AL121&amp;DR$1)</f>
        <v/>
      </c>
      <c r="DS121" s="66" t="str">
        <f t="shared" ref="DS121:DS122" si="1866">IF(AM121="","","|n"&amp;DS$2&amp;"+"&amp;AM121&amp;DS$1)</f>
        <v/>
      </c>
      <c r="DT121" s="66" t="str">
        <f t="shared" ref="DT121:DT122" si="1867">IF(AN121="","","|n"&amp;DT$2&amp;"+"&amp;AN121&amp;DT$1)</f>
        <v/>
      </c>
      <c r="DU121" s="66" t="str">
        <f t="shared" ref="DU121:DU122" si="1868">IF(AO121="","","|n"&amp;DU$2&amp;"+"&amp;AO121&amp;DU$1)</f>
        <v/>
      </c>
      <c r="DV121" s="66" t="str">
        <f t="shared" ref="DV121:DV122" si="1869">IF(AP121="","","|n"&amp;DV$2&amp;"+"&amp;AP121&amp;DV$1)</f>
        <v/>
      </c>
      <c r="DW121" s="66" t="str">
        <f t="shared" ref="DW121:DW122" si="1870">IF(AQ121="","","|n"&amp;DW$2&amp;"+"&amp;AQ121&amp;DW$1)</f>
        <v/>
      </c>
      <c r="DX121" s="66" t="str">
        <f t="shared" ref="DX121:DX122" si="1871">IF(AR121="","","|n"&amp;DX$2&amp;"+"&amp;AR121&amp;DX$1)</f>
        <v/>
      </c>
      <c r="DY121" s="66" t="str">
        <f t="shared" ref="DY121:DY122" si="1872">IF(AS121="","","|n"&amp;DY$2&amp;"+"&amp;AS121&amp;DY$1)</f>
        <v/>
      </c>
      <c r="DZ121" s="66" t="str">
        <f t="shared" ref="DZ121:DZ122" si="1873">IF(AT121="","","|n"&amp;DZ$2&amp;"+"&amp;AT121&amp;DZ$1)</f>
        <v/>
      </c>
      <c r="EA121" s="66" t="str">
        <f t="shared" ref="EA121:EA122" si="1874">IF(AU121="","","|n"&amp;EA$2&amp;"+"&amp;AU121&amp;EA$1)</f>
        <v/>
      </c>
      <c r="EB121" s="66" t="str">
        <f t="shared" ref="EB121:EB122" si="1875">IF(AV121="","","|n"&amp;EB$2&amp;"+"&amp;AV121&amp;EB$1)</f>
        <v/>
      </c>
      <c r="EC121" s="66" t="str">
        <f t="shared" ref="EC121:EC122" si="1876">IF(AW121="","","|n"&amp;EC$2&amp;"+"&amp;AW121&amp;EC$1)</f>
        <v/>
      </c>
      <c r="ED121" s="66" t="str">
        <f t="shared" ref="ED121:ED122" si="1877">IF(AX121="","","|n"&amp;ED$2&amp;"+"&amp;AX121&amp;ED$1)</f>
        <v/>
      </c>
      <c r="EE121" s="66" t="str">
        <f t="shared" ref="EE121:EE122" si="1878">IF(AY121="","","|n"&amp;EE$2&amp;"+"&amp;AY121&amp;EE$1)</f>
        <v/>
      </c>
      <c r="EF121" s="66" t="str">
        <f t="shared" ref="EF121:EF122" si="1879">IF(AZ121="","","|n"&amp;EF$2&amp;"+"&amp;AZ121&amp;EF$1)</f>
        <v/>
      </c>
      <c r="EG121" s="66" t="str">
        <f t="shared" ref="EG121:EG122" si="1880">IF(BA121="","","|n"&amp;EG$2&amp;"+"&amp;BA121&amp;EG$1)</f>
        <v/>
      </c>
      <c r="EH121" s="66" t="str">
        <f t="shared" ref="EH121:EH122" si="1881">IF(BB121="","","|n"&amp;EH$2&amp;"+"&amp;BB121&amp;EH$1)</f>
        <v/>
      </c>
      <c r="EI121" s="66" t="str">
        <f t="shared" ref="EI121:EI122" si="1882">IF(BC121="","","|n"&amp;EI$2&amp;"+"&amp;BC121&amp;EI$1)</f>
        <v/>
      </c>
      <c r="EJ121" s="66" t="str">
        <f t="shared" ref="EJ121:EJ122" si="1883">IF(BD121="","","|n"&amp;EJ$2&amp;"+"&amp;BD121&amp;EJ$1)</f>
        <v/>
      </c>
      <c r="EK121" s="66" t="str">
        <f t="shared" ref="EK121:EK122" si="1884">IF(BE121="","","|n"&amp;EK$2&amp;"+"&amp;BE121&amp;EK$1)</f>
        <v/>
      </c>
      <c r="EL121" s="66" t="str">
        <f t="shared" ref="EL121:EL122" si="1885">IF(BF121="","","|n"&amp;EL$2&amp;"+"&amp;BF121&amp;EL$1)</f>
        <v/>
      </c>
      <c r="EM121" s="66" t="str">
        <f t="shared" ref="EM121:EM122" si="1886">IF(BG121="","","|n"&amp;EM$2&amp;"+"&amp;BG121&amp;EM$1)</f>
        <v/>
      </c>
      <c r="EN121" s="66" t="str">
        <f t="shared" ref="EN121:EN122" si="1887">IF(BH121="","","|n"&amp;EN$2&amp;"+"&amp;BH121&amp;EN$1)</f>
        <v/>
      </c>
      <c r="EO121" s="66" t="str">
        <f t="shared" ref="EO121:EO122" si="1888">IF(BI121="","","|n"&amp;EO$2&amp;"+"&amp;BI121&amp;EO$1)</f>
        <v/>
      </c>
      <c r="EP121" s="66" t="str">
        <f t="shared" ref="EP121:EP122" si="1889">IF(BJ121="","","|n"&amp;EP$2&amp;"+"&amp;BJ121&amp;EP$1)</f>
        <v/>
      </c>
      <c r="EQ121" s="66" t="str">
        <f t="shared" ref="EQ121:EQ122" si="1890">IF(BK121="","","|n"&amp;EQ$2&amp;"+"&amp;BK121&amp;EQ$1)</f>
        <v/>
      </c>
      <c r="ER121" s="66" t="str">
        <f t="shared" ref="ER121:ER122" si="1891">IF(BL121="","","|n"&amp;ER$2&amp;"+"&amp;BL121&amp;ER$1)</f>
        <v/>
      </c>
      <c r="ES121" s="66" t="str">
        <f t="shared" ref="ES121:ES122" si="1892">IF(BM121="","","|n"&amp;ES$2&amp;"+"&amp;BM121&amp;ES$1)</f>
        <v/>
      </c>
      <c r="ET121" s="66" t="str">
        <f t="shared" ref="ET121:ET122" si="1893">IF(BN121="","","|n"&amp;ET$2&amp;"+"&amp;BN121&amp;ET$1)</f>
        <v/>
      </c>
      <c r="EU121" s="66" t="str">
        <f t="shared" ref="EU121:EU122" si="1894">IF(BO121="","","|n"&amp;EU$2&amp;"+"&amp;BO121&amp;EU$1)</f>
        <v/>
      </c>
      <c r="EV121" s="66" t="str">
        <f t="shared" ref="EV121:EV122" si="1895">IF(BP121="","","|n"&amp;EV$2&amp;"+"&amp;BP121&amp;EV$1)</f>
        <v/>
      </c>
      <c r="EW121" s="66" t="str">
        <f t="shared" ref="EW121:EW122" si="1896">IF(BQ121="","","|n"&amp;EW$2&amp;"+"&amp;BQ121&amp;EW$1)</f>
        <v/>
      </c>
      <c r="EX121" s="66" t="str">
        <f t="shared" ref="EX121:EX122" si="1897">IF(BR121="","","|n"&amp;EX$2&amp;"+"&amp;BR121&amp;EX$1)</f>
        <v/>
      </c>
      <c r="EY121" s="66" t="str">
        <f t="shared" ref="EY121:EY122" si="1898">IF(BS121="","","|n"&amp;EY$2&amp;"+"&amp;BS121&amp;EY$1)</f>
        <v/>
      </c>
      <c r="EZ121" s="66" t="str">
        <f t="shared" ref="EZ121:EZ122" si="1899">IF(BT121="","","|n"&amp;EZ$2&amp;"+"&amp;BT121&amp;EZ$1)</f>
        <v/>
      </c>
      <c r="FA121" s="66" t="str">
        <f t="shared" ref="FA121:FA122" si="1900">IF(BU121="","","|n"&amp;FA$2&amp;"+"&amp;BU121&amp;FA$1)</f>
        <v/>
      </c>
      <c r="FB121" s="66" t="str">
        <f t="shared" ref="FB121:FB122" si="1901">IF(BV121="","","|n"&amp;FB$2&amp;"+"&amp;BV121&amp;FB$1)</f>
        <v/>
      </c>
      <c r="FC121" s="66" t="str">
        <f t="shared" ref="FC121:FC122" si="1902">IF(BW121="","","|n"&amp;FC$2&amp;"+"&amp;BW121&amp;FC$1)</f>
        <v/>
      </c>
      <c r="FD121" s="66" t="str">
        <f t="shared" ref="FD121:FD122" si="1903">IF(BX121="","","|n"&amp;FD$2&amp;"+"&amp;BX121&amp;FD$1)</f>
        <v/>
      </c>
      <c r="FE121" s="66" t="str">
        <f t="shared" ref="FE121:FE122" si="1904">IF(BY121="","","|n"&amp;FE$2&amp;"+"&amp;BY121&amp;FE$1)</f>
        <v/>
      </c>
      <c r="FF121" s="66" t="str">
        <f t="shared" ref="FF121:FF122" si="1905">IF(BZ121="","","|n"&amp;FF$2&amp;"+"&amp;BZ121&amp;FF$1)</f>
        <v/>
      </c>
      <c r="FG121" s="66" t="str">
        <f t="shared" ref="FG121:FG122" si="1906">IF(CA121="","","|n"&amp;FG$2&amp;"+"&amp;CA121&amp;FG$1)</f>
        <v/>
      </c>
      <c r="FH121" s="66" t="str">
        <f t="shared" ref="FH121:FH122" si="1907">IF(CB121="","","|n"&amp;FH$2&amp;"+"&amp;CB121&amp;FH$1)</f>
        <v/>
      </c>
      <c r="FI121" s="66" t="str">
        <f t="shared" ref="FI121:FI122" si="1908">IF(CC121="","","|n"&amp;FI$2&amp;"+"&amp;CC121&amp;FI$1)</f>
        <v/>
      </c>
      <c r="FJ121" s="66" t="str">
        <f t="shared" ref="FJ121:FJ122" si="1909">IF(CD121="","","|n"&amp;FJ$2&amp;"+"&amp;CD121&amp;FJ$1)</f>
        <v/>
      </c>
      <c r="FK121" s="66" t="str">
        <f t="shared" ref="FK121:FK122" si="1910">IF(CE121="","","|n"&amp;FK$2&amp;"+"&amp;CE121&amp;FK$1)</f>
        <v/>
      </c>
      <c r="FL121" s="66" t="str">
        <f t="shared" ref="FL121:FL122" si="1911">IF(CF121="","","|n"&amp;FL$2&amp;"+"&amp;CF121&amp;FL$1)</f>
        <v/>
      </c>
      <c r="FM121" s="66" t="str">
        <f t="shared" ref="FM121:FM122" si="1912">IF(CG121="","","|n"&amp;FM$2&amp;"+"&amp;CG121&amp;FM$1)</f>
        <v/>
      </c>
      <c r="FN121" s="66" t="str">
        <f t="shared" ref="FN121:FN122" si="1913">IF(CH121="","","|n"&amp;FN$2&amp;"+"&amp;CH121&amp;FN$1)</f>
        <v/>
      </c>
      <c r="FO121" s="66" t="str">
        <f t="shared" ref="FO121:FO122" si="1914">IF(CI121="","","|n"&amp;FO$2&amp;"+"&amp;CI121&amp;FO$1)</f>
        <v/>
      </c>
      <c r="FP121" s="66" t="str">
        <f t="shared" ref="FP121:FP122" si="1915">IF(CJ121="","","|n"&amp;FP$2&amp;"+"&amp;CJ121&amp;FP$1)</f>
        <v/>
      </c>
      <c r="FQ121" s="66" t="str">
        <f t="shared" ref="FQ121:FQ122" si="1916">IF(CK121="","","|n"&amp;FQ$2&amp;"+"&amp;CK121&amp;FQ$1)</f>
        <v/>
      </c>
      <c r="FR121" s="66" t="str">
        <f t="shared" ref="FR121:FR122" si="1917">IF(CL121="","","|n"&amp;FR$2&amp;"+"&amp;CL121&amp;FR$1)</f>
        <v/>
      </c>
      <c r="FS121" s="66" t="str">
        <f t="shared" ref="FS121:FS122" si="1918">IF(CM121="","","|n"&amp;FS$2&amp;"+"&amp;CM121&amp;FS$1)</f>
        <v/>
      </c>
    </row>
    <row r="122" spans="1:175" ht="16.5">
      <c r="A122" s="9"/>
      <c r="B122" s="9" t="s">
        <v>489</v>
      </c>
      <c r="C122" s="16" t="s">
        <v>490</v>
      </c>
      <c r="T122" s="153" t="s">
        <v>913</v>
      </c>
      <c r="U122" s="77" t="s">
        <v>491</v>
      </c>
      <c r="CN122" s="36" t="str">
        <f t="shared" si="1550"/>
        <v>InitUnitState('I013',,,,,,,,,,)</v>
      </c>
      <c r="CO122" s="36" t="str">
        <f t="shared" si="1551"/>
        <v>InitUnitNormal('I013',,,,,,,,,,)</v>
      </c>
      <c r="CP122" s="36" t="str">
        <f t="shared" si="1552"/>
        <v>InitUnitMagic('I013',,,,,,,,,,)</v>
      </c>
      <c r="CQ122" s="36" t="str">
        <f t="shared" si="1553"/>
        <v>InitUnitAdd('I013',,,,,,,,,,)</v>
      </c>
      <c r="CR122" s="36" t="str">
        <f t="shared" si="1846"/>
        <v>InitEquipData('I013',,"",,,,,'','','','','','',"ReplaceableTextures\\CommandButtons\\BTNIT04.blp")</v>
      </c>
      <c r="CU122" s="88" t="str">
        <f t="shared" si="1847"/>
        <v>|n</v>
      </c>
      <c r="CV122" s="19" t="str">
        <f t="shared" si="1848"/>
        <v>护甲|cffffd24d+100|n|r金币加成|cffffd24d+25%|n|n|r击杀1000个敌人后奖励：|n|cffffd24d9000~14000|r金币|n|cffcc99ff4000-7000|r业力|n|n|cff00ff7f同时只能携带一个招魂幡|r</v>
      </c>
      <c r="CW122" s="33"/>
      <c r="CX122" s="33"/>
      <c r="CY122" s="33"/>
      <c r="CZ122" s="33"/>
      <c r="DA122" s="33"/>
      <c r="DB122" s="66" t="str">
        <f t="shared" si="1849"/>
        <v/>
      </c>
      <c r="DC122" s="66" t="str">
        <f t="shared" si="1850"/>
        <v/>
      </c>
      <c r="DD122" s="66" t="str">
        <f t="shared" si="1851"/>
        <v/>
      </c>
      <c r="DE122" s="66" t="str">
        <f t="shared" si="1852"/>
        <v/>
      </c>
      <c r="DF122" s="66" t="str">
        <f t="shared" si="1853"/>
        <v/>
      </c>
      <c r="DG122" s="66" t="str">
        <f t="shared" si="1854"/>
        <v/>
      </c>
      <c r="DH122" s="66" t="str">
        <f t="shared" si="1855"/>
        <v/>
      </c>
      <c r="DI122" s="66" t="str">
        <f t="shared" si="1856"/>
        <v/>
      </c>
      <c r="DJ122" s="66" t="str">
        <f t="shared" si="1857"/>
        <v/>
      </c>
      <c r="DK122" s="66" t="str">
        <f t="shared" si="1858"/>
        <v/>
      </c>
      <c r="DL122" s="66" t="str">
        <f t="shared" si="1859"/>
        <v/>
      </c>
      <c r="DM122" s="66" t="str">
        <f t="shared" si="1860"/>
        <v/>
      </c>
      <c r="DN122" s="66" t="str">
        <f t="shared" si="1861"/>
        <v/>
      </c>
      <c r="DO122" s="66" t="str">
        <f t="shared" si="1862"/>
        <v/>
      </c>
      <c r="DP122" s="66" t="str">
        <f t="shared" si="1863"/>
        <v/>
      </c>
      <c r="DQ122" s="66" t="str">
        <f t="shared" si="1864"/>
        <v/>
      </c>
      <c r="DR122" s="66" t="str">
        <f t="shared" si="1865"/>
        <v/>
      </c>
      <c r="DS122" s="66" t="str">
        <f t="shared" si="1866"/>
        <v/>
      </c>
      <c r="DT122" s="66" t="str">
        <f t="shared" si="1867"/>
        <v/>
      </c>
      <c r="DU122" s="66" t="str">
        <f t="shared" si="1868"/>
        <v/>
      </c>
      <c r="DV122" s="66" t="str">
        <f t="shared" si="1869"/>
        <v/>
      </c>
      <c r="DW122" s="66" t="str">
        <f t="shared" si="1870"/>
        <v/>
      </c>
      <c r="DX122" s="66" t="str">
        <f t="shared" si="1871"/>
        <v/>
      </c>
      <c r="DY122" s="66" t="str">
        <f t="shared" si="1872"/>
        <v/>
      </c>
      <c r="DZ122" s="66" t="str">
        <f t="shared" si="1873"/>
        <v/>
      </c>
      <c r="EA122" s="66" t="str">
        <f t="shared" si="1874"/>
        <v/>
      </c>
      <c r="EB122" s="66" t="str">
        <f t="shared" si="1875"/>
        <v/>
      </c>
      <c r="EC122" s="66" t="str">
        <f t="shared" si="1876"/>
        <v/>
      </c>
      <c r="ED122" s="66" t="str">
        <f t="shared" si="1877"/>
        <v/>
      </c>
      <c r="EE122" s="66" t="str">
        <f t="shared" si="1878"/>
        <v/>
      </c>
      <c r="EF122" s="66" t="str">
        <f t="shared" si="1879"/>
        <v/>
      </c>
      <c r="EG122" s="66" t="str">
        <f t="shared" si="1880"/>
        <v/>
      </c>
      <c r="EH122" s="66" t="str">
        <f t="shared" si="1881"/>
        <v/>
      </c>
      <c r="EI122" s="66" t="str">
        <f t="shared" si="1882"/>
        <v/>
      </c>
      <c r="EJ122" s="66" t="str">
        <f t="shared" si="1883"/>
        <v/>
      </c>
      <c r="EK122" s="66" t="str">
        <f t="shared" si="1884"/>
        <v/>
      </c>
      <c r="EL122" s="66" t="str">
        <f t="shared" si="1885"/>
        <v/>
      </c>
      <c r="EM122" s="66" t="str">
        <f t="shared" si="1886"/>
        <v/>
      </c>
      <c r="EN122" s="66" t="str">
        <f t="shared" si="1887"/>
        <v/>
      </c>
      <c r="EO122" s="66" t="str">
        <f t="shared" si="1888"/>
        <v/>
      </c>
      <c r="EP122" s="66" t="str">
        <f t="shared" si="1889"/>
        <v/>
      </c>
      <c r="EQ122" s="66" t="str">
        <f t="shared" si="1890"/>
        <v/>
      </c>
      <c r="ER122" s="66" t="str">
        <f t="shared" si="1891"/>
        <v/>
      </c>
      <c r="ES122" s="66" t="str">
        <f t="shared" si="1892"/>
        <v/>
      </c>
      <c r="ET122" s="66" t="str">
        <f t="shared" si="1893"/>
        <v/>
      </c>
      <c r="EU122" s="66" t="str">
        <f t="shared" si="1894"/>
        <v/>
      </c>
      <c r="EV122" s="66" t="str">
        <f t="shared" si="1895"/>
        <v/>
      </c>
      <c r="EW122" s="66" t="str">
        <f t="shared" si="1896"/>
        <v/>
      </c>
      <c r="EX122" s="66" t="str">
        <f t="shared" si="1897"/>
        <v/>
      </c>
      <c r="EY122" s="66" t="str">
        <f t="shared" si="1898"/>
        <v/>
      </c>
      <c r="EZ122" s="66" t="str">
        <f t="shared" si="1899"/>
        <v/>
      </c>
      <c r="FA122" s="66" t="str">
        <f t="shared" si="1900"/>
        <v/>
      </c>
      <c r="FB122" s="66" t="str">
        <f t="shared" si="1901"/>
        <v/>
      </c>
      <c r="FC122" s="66" t="str">
        <f t="shared" si="1902"/>
        <v/>
      </c>
      <c r="FD122" s="66" t="str">
        <f t="shared" si="1903"/>
        <v/>
      </c>
      <c r="FE122" s="66" t="str">
        <f t="shared" si="1904"/>
        <v/>
      </c>
      <c r="FF122" s="66" t="str">
        <f t="shared" si="1905"/>
        <v/>
      </c>
      <c r="FG122" s="66" t="str">
        <f t="shared" si="1906"/>
        <v/>
      </c>
      <c r="FH122" s="66" t="str">
        <f t="shared" si="1907"/>
        <v/>
      </c>
      <c r="FI122" s="66" t="str">
        <f t="shared" si="1908"/>
        <v/>
      </c>
      <c r="FJ122" s="66" t="str">
        <f t="shared" si="1909"/>
        <v/>
      </c>
      <c r="FK122" s="66" t="str">
        <f t="shared" si="1910"/>
        <v/>
      </c>
      <c r="FL122" s="66" t="str">
        <f t="shared" si="1911"/>
        <v/>
      </c>
      <c r="FM122" s="66" t="str">
        <f t="shared" si="1912"/>
        <v/>
      </c>
      <c r="FN122" s="66" t="str">
        <f t="shared" si="1913"/>
        <v/>
      </c>
      <c r="FO122" s="66" t="str">
        <f t="shared" si="1914"/>
        <v/>
      </c>
      <c r="FP122" s="66" t="str">
        <f t="shared" si="1915"/>
        <v/>
      </c>
      <c r="FQ122" s="66" t="str">
        <f t="shared" si="1916"/>
        <v/>
      </c>
      <c r="FR122" s="66" t="str">
        <f t="shared" si="1917"/>
        <v/>
      </c>
      <c r="FS122" s="66" t="str">
        <f t="shared" si="1918"/>
        <v/>
      </c>
    </row>
    <row r="123" spans="1:175" ht="16.5">
      <c r="A123" s="9"/>
      <c r="B123" s="9" t="s">
        <v>492</v>
      </c>
      <c r="C123" s="16" t="s">
        <v>493</v>
      </c>
      <c r="T123" s="153" t="s">
        <v>912</v>
      </c>
      <c r="U123" s="77" t="s">
        <v>494</v>
      </c>
      <c r="CN123" s="36" t="str">
        <f t="shared" si="1550"/>
        <v>InitUnitState('I014',,,,,,,,,,)</v>
      </c>
      <c r="CO123" s="36" t="str">
        <f t="shared" si="1551"/>
        <v>InitUnitNormal('I014',,,,,,,,,,)</v>
      </c>
      <c r="CP123" s="36" t="str">
        <f t="shared" si="1552"/>
        <v>InitUnitMagic('I014',,,,,,,,,,)</v>
      </c>
      <c r="CQ123" s="36" t="str">
        <f t="shared" si="1553"/>
        <v>InitUnitAdd('I014',,,,,,,,,,)</v>
      </c>
      <c r="CR123" s="36" t="str">
        <f t="shared" si="1846"/>
        <v>InitEquipData('I014',,"",,,,,'','','','','','',"ReplaceableTextures\\CommandButtons\\BTNIT05.blp")</v>
      </c>
      <c r="CU123" s="88" t="str">
        <f t="shared" ref="CU123:CU133" si="1919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:CV133" si="1920">T123</f>
        <v>护甲|cffffd24d+200|n|r金币加成|cffffd24d+30%|n|n|r击杀1000个敌人后奖励：|n|cffffd24d10000~15000|r金币|n|cffcc99ff5000-8000|r业力|n|n|cff00ff7f同时只能携带一个招魂幡|r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:DB133" si="1921">IF(V123="","","|n"&amp;DB$2&amp;"+"&amp;V123&amp;DB$1)</f>
        <v/>
      </c>
      <c r="DC123" s="66" t="str">
        <f t="shared" ref="DC123:DC133" si="1922">IF(W123="","","|n"&amp;DC$2&amp;"+"&amp;W123&amp;DC$1)</f>
        <v/>
      </c>
      <c r="DD123" s="66" t="str">
        <f t="shared" ref="DD123:DD133" si="1923">IF(X123="","","|n"&amp;DD$2&amp;"+"&amp;X123&amp;DD$1)</f>
        <v/>
      </c>
      <c r="DE123" s="66" t="str">
        <f t="shared" ref="DE123:DE133" si="1924">IF(Y123="","","|n"&amp;DE$2&amp;"+"&amp;Y123&amp;DE$1)</f>
        <v/>
      </c>
      <c r="DF123" s="66" t="str">
        <f t="shared" ref="DF123:DF133" si="1925">IF(Z123="","","|n"&amp;DF$2&amp;"+"&amp;Z123&amp;DF$1)</f>
        <v/>
      </c>
      <c r="DG123" s="66" t="str">
        <f t="shared" ref="DG123:DG133" si="1926">IF(AA123="","","|n"&amp;DG$2&amp;"+"&amp;AA123&amp;DG$1)</f>
        <v/>
      </c>
      <c r="DH123" s="66" t="str">
        <f t="shared" ref="DH123:DH133" si="1927">IF(AB123="","","|n"&amp;DH$2&amp;"+"&amp;AB123&amp;DH$1)</f>
        <v/>
      </c>
      <c r="DI123" s="66" t="str">
        <f t="shared" ref="DI123:DI133" si="1928">IF(AC123="","","|n"&amp;DI$2&amp;"+"&amp;AC123&amp;DI$1)</f>
        <v/>
      </c>
      <c r="DJ123" s="66" t="str">
        <f t="shared" ref="DJ123:DJ133" si="1929">IF(AD123="","","|n"&amp;DJ$2&amp;"+"&amp;AD123&amp;DJ$1)</f>
        <v/>
      </c>
      <c r="DK123" s="66" t="str">
        <f t="shared" ref="DK123:DK133" si="1930">IF(AE123="","","|n"&amp;DK$2&amp;"+"&amp;AE123&amp;DK$1)</f>
        <v/>
      </c>
      <c r="DL123" s="66" t="str">
        <f t="shared" ref="DL123:DL133" si="1931">IF(AF123="","","|n"&amp;DL$2&amp;"+"&amp;AF123&amp;DL$1)</f>
        <v/>
      </c>
      <c r="DM123" s="66" t="str">
        <f t="shared" ref="DM123:DM133" si="1932">IF(AG123="","","|n"&amp;DM$2&amp;"+"&amp;AG123&amp;DM$1)</f>
        <v/>
      </c>
      <c r="DN123" s="66" t="str">
        <f t="shared" ref="DN123:DN133" si="1933">IF(AH123="","","|n"&amp;DN$2&amp;"+"&amp;AH123&amp;DN$1)</f>
        <v/>
      </c>
      <c r="DO123" s="66" t="str">
        <f t="shared" ref="DO123:DO133" si="1934">IF(AI123="","","|n"&amp;DO$2&amp;"+"&amp;AI123&amp;DO$1)</f>
        <v/>
      </c>
      <c r="DP123" s="66" t="str">
        <f t="shared" ref="DP123:DP133" si="1935">IF(AJ123="","","|n"&amp;DP$2&amp;"+"&amp;AJ123&amp;DP$1)</f>
        <v/>
      </c>
      <c r="DQ123" s="66" t="str">
        <f t="shared" ref="DQ123:DQ133" si="1936">IF(AK123="","","|n"&amp;DQ$2&amp;"+"&amp;AK123&amp;DQ$1)</f>
        <v/>
      </c>
      <c r="DR123" s="66" t="str">
        <f t="shared" ref="DR123:DR133" si="1937">IF(AL123="","","|n"&amp;DR$2&amp;"+"&amp;AL123&amp;DR$1)</f>
        <v/>
      </c>
      <c r="DS123" s="66" t="str">
        <f t="shared" ref="DS123:DS133" si="1938">IF(AM123="","","|n"&amp;DS$2&amp;"+"&amp;AM123&amp;DS$1)</f>
        <v/>
      </c>
      <c r="DT123" s="66" t="str">
        <f t="shared" ref="DT123:DT133" si="1939">IF(AN123="","","|n"&amp;DT$2&amp;"+"&amp;AN123&amp;DT$1)</f>
        <v/>
      </c>
      <c r="DU123" s="66" t="str">
        <f t="shared" ref="DU123:DU133" si="1940">IF(AO123="","","|n"&amp;DU$2&amp;"+"&amp;AO123&amp;DU$1)</f>
        <v/>
      </c>
      <c r="DV123" s="66" t="str">
        <f t="shared" ref="DV123:DV133" si="1941">IF(AP123="","","|n"&amp;DV$2&amp;"+"&amp;AP123&amp;DV$1)</f>
        <v/>
      </c>
      <c r="DW123" s="66" t="str">
        <f t="shared" ref="DW123:DW133" si="1942">IF(AQ123="","","|n"&amp;DW$2&amp;"+"&amp;AQ123&amp;DW$1)</f>
        <v/>
      </c>
      <c r="DX123" s="66" t="str">
        <f t="shared" ref="DX123:DX133" si="1943">IF(AR123="","","|n"&amp;DX$2&amp;"+"&amp;AR123&amp;DX$1)</f>
        <v/>
      </c>
      <c r="DY123" s="66" t="str">
        <f t="shared" ref="DY123:DY133" si="1944">IF(AS123="","","|n"&amp;DY$2&amp;"+"&amp;AS123&amp;DY$1)</f>
        <v/>
      </c>
      <c r="DZ123" s="66" t="str">
        <f t="shared" ref="DZ123:DZ133" si="1945">IF(AT123="","","|n"&amp;DZ$2&amp;"+"&amp;AT123&amp;DZ$1)</f>
        <v/>
      </c>
      <c r="EA123" s="66" t="str">
        <f t="shared" ref="EA123:EA133" si="1946">IF(AU123="","","|n"&amp;EA$2&amp;"+"&amp;AU123&amp;EA$1)</f>
        <v/>
      </c>
      <c r="EB123" s="66" t="str">
        <f t="shared" ref="EB123:EB133" si="1947">IF(AV123="","","|n"&amp;EB$2&amp;"+"&amp;AV123&amp;EB$1)</f>
        <v/>
      </c>
      <c r="EC123" s="66" t="str">
        <f t="shared" ref="EC123:EC133" si="1948">IF(AW123="","","|n"&amp;EC$2&amp;"+"&amp;AW123&amp;EC$1)</f>
        <v/>
      </c>
      <c r="ED123" s="66" t="str">
        <f t="shared" ref="ED123:ED133" si="1949">IF(AX123="","","|n"&amp;ED$2&amp;"+"&amp;AX123&amp;ED$1)</f>
        <v/>
      </c>
      <c r="EE123" s="66" t="str">
        <f t="shared" ref="EE123:EE133" si="1950">IF(AY123="","","|n"&amp;EE$2&amp;"+"&amp;AY123&amp;EE$1)</f>
        <v/>
      </c>
      <c r="EF123" s="66" t="str">
        <f t="shared" ref="EF123:EF133" si="1951">IF(AZ123="","","|n"&amp;EF$2&amp;"+"&amp;AZ123&amp;EF$1)</f>
        <v/>
      </c>
      <c r="EG123" s="66" t="str">
        <f t="shared" ref="EG123:EG133" si="1952">IF(BA123="","","|n"&amp;EG$2&amp;"+"&amp;BA123&amp;EG$1)</f>
        <v/>
      </c>
      <c r="EH123" s="66" t="str">
        <f t="shared" ref="EH123:EH133" si="1953">IF(BB123="","","|n"&amp;EH$2&amp;"+"&amp;BB123&amp;EH$1)</f>
        <v/>
      </c>
      <c r="EI123" s="66" t="str">
        <f t="shared" ref="EI123:EI133" si="1954">IF(BC123="","","|n"&amp;EI$2&amp;"+"&amp;BC123&amp;EI$1)</f>
        <v/>
      </c>
      <c r="EJ123" s="66" t="str">
        <f t="shared" ref="EJ123:EJ133" si="1955">IF(BD123="","","|n"&amp;EJ$2&amp;"+"&amp;BD123&amp;EJ$1)</f>
        <v/>
      </c>
      <c r="EK123" s="66" t="str">
        <f t="shared" ref="EK123:EK133" si="1956">IF(BE123="","","|n"&amp;EK$2&amp;"+"&amp;BE123&amp;EK$1)</f>
        <v/>
      </c>
      <c r="EL123" s="66" t="str">
        <f t="shared" ref="EL123:EL133" si="1957">IF(BF123="","","|n"&amp;EL$2&amp;"+"&amp;BF123&amp;EL$1)</f>
        <v/>
      </c>
      <c r="EM123" s="66" t="str">
        <f t="shared" ref="EM123:EM133" si="1958">IF(BG123="","","|n"&amp;EM$2&amp;"+"&amp;BG123&amp;EM$1)</f>
        <v/>
      </c>
      <c r="EN123" s="66" t="str">
        <f t="shared" ref="EN123:EN133" si="1959">IF(BH123="","","|n"&amp;EN$2&amp;"+"&amp;BH123&amp;EN$1)</f>
        <v/>
      </c>
      <c r="EO123" s="66" t="str">
        <f t="shared" ref="EO123:EO133" si="1960">IF(BI123="","","|n"&amp;EO$2&amp;"+"&amp;BI123&amp;EO$1)</f>
        <v/>
      </c>
      <c r="EP123" s="66" t="str">
        <f t="shared" ref="EP123:EP133" si="1961">IF(BJ123="","","|n"&amp;EP$2&amp;"+"&amp;BJ123&amp;EP$1)</f>
        <v/>
      </c>
      <c r="EQ123" s="66" t="str">
        <f t="shared" ref="EQ123:EQ133" si="1962">IF(BK123="","","|n"&amp;EQ$2&amp;"+"&amp;BK123&amp;EQ$1)</f>
        <v/>
      </c>
      <c r="ER123" s="66" t="str">
        <f t="shared" ref="ER123:ER133" si="1963">IF(BL123="","","|n"&amp;ER$2&amp;"+"&amp;BL123&amp;ER$1)</f>
        <v/>
      </c>
      <c r="ES123" s="66" t="str">
        <f t="shared" ref="ES123:ES133" si="1964">IF(BM123="","","|n"&amp;ES$2&amp;"+"&amp;BM123&amp;ES$1)</f>
        <v/>
      </c>
      <c r="ET123" s="66" t="str">
        <f t="shared" ref="ET123:ET133" si="1965">IF(BN123="","","|n"&amp;ET$2&amp;"+"&amp;BN123&amp;ET$1)</f>
        <v/>
      </c>
      <c r="EU123" s="66" t="str">
        <f t="shared" ref="EU123:EU133" si="1966">IF(BO123="","","|n"&amp;EU$2&amp;"+"&amp;BO123&amp;EU$1)</f>
        <v/>
      </c>
      <c r="EV123" s="66" t="str">
        <f t="shared" ref="EV123:EV133" si="1967">IF(BP123="","","|n"&amp;EV$2&amp;"+"&amp;BP123&amp;EV$1)</f>
        <v/>
      </c>
      <c r="EW123" s="66" t="str">
        <f t="shared" ref="EW123:EW133" si="1968">IF(BQ123="","","|n"&amp;EW$2&amp;"+"&amp;BQ123&amp;EW$1)</f>
        <v/>
      </c>
      <c r="EX123" s="66" t="str">
        <f t="shared" ref="EX123:EX133" si="1969">IF(BR123="","","|n"&amp;EX$2&amp;"+"&amp;BR123&amp;EX$1)</f>
        <v/>
      </c>
      <c r="EY123" s="66" t="str">
        <f t="shared" ref="EY123:EY133" si="1970">IF(BS123="","","|n"&amp;EY$2&amp;"+"&amp;BS123&amp;EY$1)</f>
        <v/>
      </c>
      <c r="EZ123" s="66" t="str">
        <f t="shared" ref="EZ123:EZ133" si="1971">IF(BT123="","","|n"&amp;EZ$2&amp;"+"&amp;BT123&amp;EZ$1)</f>
        <v/>
      </c>
      <c r="FA123" s="66" t="str">
        <f t="shared" ref="FA123:FA133" si="1972">IF(BU123="","","|n"&amp;FA$2&amp;"+"&amp;BU123&amp;FA$1)</f>
        <v/>
      </c>
      <c r="FB123" s="66" t="str">
        <f t="shared" ref="FB123:FB133" si="1973">IF(BV123="","","|n"&amp;FB$2&amp;"+"&amp;BV123&amp;FB$1)</f>
        <v/>
      </c>
      <c r="FC123" s="66" t="str">
        <f t="shared" ref="FC123:FC133" si="1974">IF(BW123="","","|n"&amp;FC$2&amp;"+"&amp;BW123&amp;FC$1)</f>
        <v/>
      </c>
      <c r="FD123" s="66" t="str">
        <f t="shared" ref="FD123:FD133" si="1975">IF(BX123="","","|n"&amp;FD$2&amp;"+"&amp;BX123&amp;FD$1)</f>
        <v/>
      </c>
      <c r="FE123" s="66" t="str">
        <f t="shared" ref="FE123:FE133" si="1976">IF(BY123="","","|n"&amp;FE$2&amp;"+"&amp;BY123&amp;FE$1)</f>
        <v/>
      </c>
      <c r="FF123" s="66" t="str">
        <f t="shared" ref="FF123:FF133" si="1977">IF(BZ123="","","|n"&amp;FF$2&amp;"+"&amp;BZ123&amp;FF$1)</f>
        <v/>
      </c>
      <c r="FG123" s="66" t="str">
        <f t="shared" ref="FG123:FG133" si="1978">IF(CA123="","","|n"&amp;FG$2&amp;"+"&amp;CA123&amp;FG$1)</f>
        <v/>
      </c>
      <c r="FH123" s="66" t="str">
        <f t="shared" ref="FH123:FH133" si="1979">IF(CB123="","","|n"&amp;FH$2&amp;"+"&amp;CB123&amp;FH$1)</f>
        <v/>
      </c>
      <c r="FI123" s="66" t="str">
        <f t="shared" ref="FI123:FI133" si="1980">IF(CC123="","","|n"&amp;FI$2&amp;"+"&amp;CC123&amp;FI$1)</f>
        <v/>
      </c>
      <c r="FJ123" s="66" t="str">
        <f t="shared" ref="FJ123:FJ133" si="1981">IF(CD123="","","|n"&amp;FJ$2&amp;"+"&amp;CD123&amp;FJ$1)</f>
        <v/>
      </c>
      <c r="FK123" s="66" t="str">
        <f t="shared" ref="FK123:FK133" si="1982">IF(CE123="","","|n"&amp;FK$2&amp;"+"&amp;CE123&amp;FK$1)</f>
        <v/>
      </c>
      <c r="FL123" s="66" t="str">
        <f t="shared" ref="FL123:FL133" si="1983">IF(CF123="","","|n"&amp;FL$2&amp;"+"&amp;CF123&amp;FL$1)</f>
        <v/>
      </c>
      <c r="FM123" s="66" t="str">
        <f t="shared" ref="FM123:FM133" si="1984">IF(CG123="","","|n"&amp;FM$2&amp;"+"&amp;CG123&amp;FM$1)</f>
        <v/>
      </c>
      <c r="FN123" s="66" t="str">
        <f t="shared" ref="FN123:FN133" si="1985">IF(CH123="","","|n"&amp;FN$2&amp;"+"&amp;CH123&amp;FN$1)</f>
        <v/>
      </c>
      <c r="FO123" s="66" t="str">
        <f t="shared" ref="FO123:FO133" si="1986">IF(CI123="","","|n"&amp;FO$2&amp;"+"&amp;CI123&amp;FO$1)</f>
        <v/>
      </c>
      <c r="FP123" s="66" t="str">
        <f t="shared" ref="FP123:FP133" si="1987">IF(CJ123="","","|n"&amp;FP$2&amp;"+"&amp;CJ123&amp;FP$1)</f>
        <v/>
      </c>
      <c r="FQ123" s="66" t="str">
        <f t="shared" ref="FQ123:FQ133" si="1988">IF(CK123="","","|n"&amp;FQ$2&amp;"+"&amp;CK123&amp;FQ$1)</f>
        <v/>
      </c>
      <c r="FR123" s="66" t="str">
        <f t="shared" ref="FR123:FR133" si="1989">IF(CL123="","","|n"&amp;FR$2&amp;"+"&amp;CL123&amp;FR$1)</f>
        <v/>
      </c>
      <c r="FS123" s="66" t="str">
        <f t="shared" ref="FS123:FS133" si="1990">IF(CM123="","","|n"&amp;FS$2&amp;"+"&amp;CM123&amp;FS$1)</f>
        <v/>
      </c>
    </row>
    <row r="124" spans="1:175" ht="16.5">
      <c r="A124" s="9"/>
      <c r="B124" s="9" t="s">
        <v>495</v>
      </c>
      <c r="C124" s="16" t="s">
        <v>496</v>
      </c>
      <c r="T124" s="153" t="s">
        <v>911</v>
      </c>
      <c r="U124" s="77" t="s">
        <v>497</v>
      </c>
      <c r="CN124" s="36" t="str">
        <f t="shared" ref="CN124" si="1991">"InitUnitState('"&amp;B124&amp;"',"&amp;V124&amp;","&amp;W124&amp;","&amp;X124&amp;","&amp;Y124&amp;","&amp;Z124&amp;","&amp;AA124&amp;","&amp;AB124&amp;","&amp;AC124&amp;","&amp;AD124&amp;","&amp;AE124&amp;")"</f>
        <v>InitUnitState('I015',,,,,,,,,,)</v>
      </c>
      <c r="CO124" s="36" t="str">
        <f t="shared" ref="CO124" si="1992">"InitUnitNormal('"&amp;B124&amp;"',"&amp;AF124&amp;","&amp;AG124&amp;","&amp;AH124&amp;","&amp;AI124&amp;","&amp;AJ124&amp;","&amp;AK124&amp;","&amp;AL124&amp;","&amp;AM124&amp;","&amp;AN124&amp;","&amp;AO124&amp;")"</f>
        <v>InitUnitNormal('I015',,,,,,,,,,)</v>
      </c>
      <c r="CP124" s="36" t="str">
        <f t="shared" ref="CP124" si="1993">"InitUnitMagic('"&amp;B124&amp;"',"&amp;AP124&amp;","&amp;AQ124&amp;","&amp;AR124&amp;","&amp;AS124&amp;","&amp;AT124&amp;","&amp;AU124&amp;","&amp;AV124&amp;","&amp;AW124&amp;","&amp;BI124&amp;","&amp;BJ124&amp;")"</f>
        <v>InitUnitMagic('I015',,,,,,,,,,)</v>
      </c>
      <c r="CQ124" s="36" t="str">
        <f t="shared" ref="CQ124" si="1994">"InitUnitAdd('"&amp;B124&amp;"',"&amp;BK124&amp;","&amp;BL124&amp;","&amp;BM124&amp;","&amp;BN124&amp;","&amp;BO124&amp;","&amp;BP124&amp;","&amp;BQ124&amp;","&amp;BR124&amp;","&amp;BS124&amp;","&amp;BT124&amp;")"</f>
        <v>InitUnitAdd('I015',,,,,,,,,,)</v>
      </c>
      <c r="CR124" s="36" t="str">
        <f t="shared" si="1846"/>
        <v>InitEquipData('I015',,"",,,,,'','','','','','',"ReplaceableTextures\\CommandButtons\\BTNIT06.blp")</v>
      </c>
      <c r="CU124" s="88" t="str">
        <f t="shared" ref="CU124" si="199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19" t="str">
        <f t="shared" ref="CV124" si="1996">T124</f>
        <v>护甲|cffffd24d+300|n|r金币加成|cffffd24d+35%|n|n|r击杀1000个敌人后奖励：|n|cffffd24d12000~17000|r金币|n|cffcc99ff6000-9000|r业力|n|n|cff00ff7f同时只能携带一个招魂幡|r</v>
      </c>
      <c r="CW124" s="33"/>
      <c r="CX124" s="33"/>
      <c r="CY124" s="33"/>
      <c r="CZ124" s="33"/>
      <c r="DA124" s="33"/>
      <c r="DB124" s="66" t="str">
        <f t="shared" ref="DB124" si="1997">IF(V124="","","|n"&amp;DB$2&amp;"+"&amp;V124&amp;DB$1)</f>
        <v/>
      </c>
      <c r="DC124" s="66" t="str">
        <f t="shared" ref="DC124" si="1998">IF(W124="","","|n"&amp;DC$2&amp;"+"&amp;W124&amp;DC$1)</f>
        <v/>
      </c>
      <c r="DD124" s="66" t="str">
        <f t="shared" ref="DD124" si="1999">IF(X124="","","|n"&amp;DD$2&amp;"+"&amp;X124&amp;DD$1)</f>
        <v/>
      </c>
      <c r="DE124" s="66" t="str">
        <f t="shared" ref="DE124" si="2000">IF(Y124="","","|n"&amp;DE$2&amp;"+"&amp;Y124&amp;DE$1)</f>
        <v/>
      </c>
      <c r="DF124" s="66" t="str">
        <f t="shared" ref="DF124" si="2001">IF(Z124="","","|n"&amp;DF$2&amp;"+"&amp;Z124&amp;DF$1)</f>
        <v/>
      </c>
      <c r="DG124" s="66" t="str">
        <f t="shared" ref="DG124" si="2002">IF(AA124="","","|n"&amp;DG$2&amp;"+"&amp;AA124&amp;DG$1)</f>
        <v/>
      </c>
      <c r="DH124" s="66" t="str">
        <f t="shared" ref="DH124" si="2003">IF(AB124="","","|n"&amp;DH$2&amp;"+"&amp;AB124&amp;DH$1)</f>
        <v/>
      </c>
      <c r="DI124" s="66" t="str">
        <f t="shared" ref="DI124" si="2004">IF(AC124="","","|n"&amp;DI$2&amp;"+"&amp;AC124&amp;DI$1)</f>
        <v/>
      </c>
      <c r="DJ124" s="66" t="str">
        <f t="shared" ref="DJ124" si="2005">IF(AD124="","","|n"&amp;DJ$2&amp;"+"&amp;AD124&amp;DJ$1)</f>
        <v/>
      </c>
      <c r="DK124" s="66" t="str">
        <f t="shared" ref="DK124" si="2006">IF(AE124="","","|n"&amp;DK$2&amp;"+"&amp;AE124&amp;DK$1)</f>
        <v/>
      </c>
      <c r="DL124" s="66" t="str">
        <f t="shared" ref="DL124" si="2007">IF(AF124="","","|n"&amp;DL$2&amp;"+"&amp;AF124&amp;DL$1)</f>
        <v/>
      </c>
      <c r="DM124" s="66" t="str">
        <f t="shared" ref="DM124" si="2008">IF(AG124="","","|n"&amp;DM$2&amp;"+"&amp;AG124&amp;DM$1)</f>
        <v/>
      </c>
      <c r="DN124" s="66" t="str">
        <f t="shared" ref="DN124" si="2009">IF(AH124="","","|n"&amp;DN$2&amp;"+"&amp;AH124&amp;DN$1)</f>
        <v/>
      </c>
      <c r="DO124" s="66" t="str">
        <f t="shared" ref="DO124" si="2010">IF(AI124="","","|n"&amp;DO$2&amp;"+"&amp;AI124&amp;DO$1)</f>
        <v/>
      </c>
      <c r="DP124" s="66" t="str">
        <f t="shared" ref="DP124" si="2011">IF(AJ124="","","|n"&amp;DP$2&amp;"+"&amp;AJ124&amp;DP$1)</f>
        <v/>
      </c>
      <c r="DQ124" s="66" t="str">
        <f t="shared" ref="DQ124" si="2012">IF(AK124="","","|n"&amp;DQ$2&amp;"+"&amp;AK124&amp;DQ$1)</f>
        <v/>
      </c>
      <c r="DR124" s="66" t="str">
        <f t="shared" ref="DR124" si="2013">IF(AL124="","","|n"&amp;DR$2&amp;"+"&amp;AL124&amp;DR$1)</f>
        <v/>
      </c>
      <c r="DS124" s="66" t="str">
        <f t="shared" ref="DS124" si="2014">IF(AM124="","","|n"&amp;DS$2&amp;"+"&amp;AM124&amp;DS$1)</f>
        <v/>
      </c>
      <c r="DT124" s="66" t="str">
        <f t="shared" ref="DT124" si="2015">IF(AN124="","","|n"&amp;DT$2&amp;"+"&amp;AN124&amp;DT$1)</f>
        <v/>
      </c>
      <c r="DU124" s="66" t="str">
        <f t="shared" ref="DU124" si="2016">IF(AO124="","","|n"&amp;DU$2&amp;"+"&amp;AO124&amp;DU$1)</f>
        <v/>
      </c>
      <c r="DV124" s="66" t="str">
        <f t="shared" ref="DV124" si="2017">IF(AP124="","","|n"&amp;DV$2&amp;"+"&amp;AP124&amp;DV$1)</f>
        <v/>
      </c>
      <c r="DW124" s="66" t="str">
        <f t="shared" ref="DW124" si="2018">IF(AQ124="","","|n"&amp;DW$2&amp;"+"&amp;AQ124&amp;DW$1)</f>
        <v/>
      </c>
      <c r="DX124" s="66" t="str">
        <f t="shared" ref="DX124" si="2019">IF(AR124="","","|n"&amp;DX$2&amp;"+"&amp;AR124&amp;DX$1)</f>
        <v/>
      </c>
      <c r="DY124" s="66" t="str">
        <f t="shared" ref="DY124" si="2020">IF(AS124="","","|n"&amp;DY$2&amp;"+"&amp;AS124&amp;DY$1)</f>
        <v/>
      </c>
      <c r="DZ124" s="66" t="str">
        <f t="shared" ref="DZ124" si="2021">IF(AT124="","","|n"&amp;DZ$2&amp;"+"&amp;AT124&amp;DZ$1)</f>
        <v/>
      </c>
      <c r="EA124" s="66" t="str">
        <f t="shared" ref="EA124" si="2022">IF(AU124="","","|n"&amp;EA$2&amp;"+"&amp;AU124&amp;EA$1)</f>
        <v/>
      </c>
      <c r="EB124" s="66" t="str">
        <f t="shared" ref="EB124" si="2023">IF(AV124="","","|n"&amp;EB$2&amp;"+"&amp;AV124&amp;EB$1)</f>
        <v/>
      </c>
      <c r="EC124" s="66" t="str">
        <f t="shared" ref="EC124" si="2024">IF(AW124="","","|n"&amp;EC$2&amp;"+"&amp;AW124&amp;EC$1)</f>
        <v/>
      </c>
      <c r="ED124" s="66" t="str">
        <f t="shared" ref="ED124" si="2025">IF(AX124="","","|n"&amp;ED$2&amp;"+"&amp;AX124&amp;ED$1)</f>
        <v/>
      </c>
      <c r="EE124" s="66" t="str">
        <f t="shared" ref="EE124" si="2026">IF(AY124="","","|n"&amp;EE$2&amp;"+"&amp;AY124&amp;EE$1)</f>
        <v/>
      </c>
      <c r="EF124" s="66" t="str">
        <f t="shared" ref="EF124" si="2027">IF(AZ124="","","|n"&amp;EF$2&amp;"+"&amp;AZ124&amp;EF$1)</f>
        <v/>
      </c>
      <c r="EG124" s="66" t="str">
        <f t="shared" ref="EG124" si="2028">IF(BA124="","","|n"&amp;EG$2&amp;"+"&amp;BA124&amp;EG$1)</f>
        <v/>
      </c>
      <c r="EH124" s="66" t="str">
        <f t="shared" ref="EH124" si="2029">IF(BB124="","","|n"&amp;EH$2&amp;"+"&amp;BB124&amp;EH$1)</f>
        <v/>
      </c>
      <c r="EI124" s="66" t="str">
        <f t="shared" ref="EI124" si="2030">IF(BC124="","","|n"&amp;EI$2&amp;"+"&amp;BC124&amp;EI$1)</f>
        <v/>
      </c>
      <c r="EJ124" s="66" t="str">
        <f t="shared" ref="EJ124" si="2031">IF(BD124="","","|n"&amp;EJ$2&amp;"+"&amp;BD124&amp;EJ$1)</f>
        <v/>
      </c>
      <c r="EK124" s="66" t="str">
        <f t="shared" ref="EK124" si="2032">IF(BE124="","","|n"&amp;EK$2&amp;"+"&amp;BE124&amp;EK$1)</f>
        <v/>
      </c>
      <c r="EL124" s="66" t="str">
        <f t="shared" ref="EL124" si="2033">IF(BF124="","","|n"&amp;EL$2&amp;"+"&amp;BF124&amp;EL$1)</f>
        <v/>
      </c>
      <c r="EM124" s="66" t="str">
        <f t="shared" ref="EM124" si="2034">IF(BG124="","","|n"&amp;EM$2&amp;"+"&amp;BG124&amp;EM$1)</f>
        <v/>
      </c>
      <c r="EN124" s="66" t="str">
        <f t="shared" ref="EN124" si="2035">IF(BH124="","","|n"&amp;EN$2&amp;"+"&amp;BH124&amp;EN$1)</f>
        <v/>
      </c>
      <c r="EO124" s="66" t="str">
        <f t="shared" ref="EO124" si="2036">IF(BI124="","","|n"&amp;EO$2&amp;"+"&amp;BI124&amp;EO$1)</f>
        <v/>
      </c>
      <c r="EP124" s="66" t="str">
        <f t="shared" ref="EP124" si="2037">IF(BJ124="","","|n"&amp;EP$2&amp;"+"&amp;BJ124&amp;EP$1)</f>
        <v/>
      </c>
      <c r="EQ124" s="66" t="str">
        <f t="shared" ref="EQ124" si="2038">IF(BK124="","","|n"&amp;EQ$2&amp;"+"&amp;BK124&amp;EQ$1)</f>
        <v/>
      </c>
      <c r="ER124" s="66" t="str">
        <f t="shared" ref="ER124" si="2039">IF(BL124="","","|n"&amp;ER$2&amp;"+"&amp;BL124&amp;ER$1)</f>
        <v/>
      </c>
      <c r="ES124" s="66" t="str">
        <f t="shared" ref="ES124" si="2040">IF(BM124="","","|n"&amp;ES$2&amp;"+"&amp;BM124&amp;ES$1)</f>
        <v/>
      </c>
      <c r="ET124" s="66" t="str">
        <f t="shared" ref="ET124" si="2041">IF(BN124="","","|n"&amp;ET$2&amp;"+"&amp;BN124&amp;ET$1)</f>
        <v/>
      </c>
      <c r="EU124" s="66" t="str">
        <f t="shared" ref="EU124" si="2042">IF(BO124="","","|n"&amp;EU$2&amp;"+"&amp;BO124&amp;EU$1)</f>
        <v/>
      </c>
      <c r="EV124" s="66" t="str">
        <f t="shared" ref="EV124" si="2043">IF(BP124="","","|n"&amp;EV$2&amp;"+"&amp;BP124&amp;EV$1)</f>
        <v/>
      </c>
      <c r="EW124" s="66" t="str">
        <f t="shared" ref="EW124" si="2044">IF(BQ124="","","|n"&amp;EW$2&amp;"+"&amp;BQ124&amp;EW$1)</f>
        <v/>
      </c>
      <c r="EX124" s="66" t="str">
        <f t="shared" ref="EX124" si="2045">IF(BR124="","","|n"&amp;EX$2&amp;"+"&amp;BR124&amp;EX$1)</f>
        <v/>
      </c>
      <c r="EY124" s="66" t="str">
        <f t="shared" ref="EY124" si="2046">IF(BS124="","","|n"&amp;EY$2&amp;"+"&amp;BS124&amp;EY$1)</f>
        <v/>
      </c>
      <c r="EZ124" s="66" t="str">
        <f t="shared" ref="EZ124" si="2047">IF(BT124="","","|n"&amp;EZ$2&amp;"+"&amp;BT124&amp;EZ$1)</f>
        <v/>
      </c>
      <c r="FA124" s="66" t="str">
        <f t="shared" ref="FA124" si="2048">IF(BU124="","","|n"&amp;FA$2&amp;"+"&amp;BU124&amp;FA$1)</f>
        <v/>
      </c>
      <c r="FB124" s="66" t="str">
        <f t="shared" ref="FB124" si="2049">IF(BV124="","","|n"&amp;FB$2&amp;"+"&amp;BV124&amp;FB$1)</f>
        <v/>
      </c>
      <c r="FC124" s="66" t="str">
        <f t="shared" ref="FC124" si="2050">IF(BW124="","","|n"&amp;FC$2&amp;"+"&amp;BW124&amp;FC$1)</f>
        <v/>
      </c>
      <c r="FD124" s="66" t="str">
        <f t="shared" ref="FD124" si="2051">IF(BX124="","","|n"&amp;FD$2&amp;"+"&amp;BX124&amp;FD$1)</f>
        <v/>
      </c>
      <c r="FE124" s="66" t="str">
        <f t="shared" ref="FE124" si="2052">IF(BY124="","","|n"&amp;FE$2&amp;"+"&amp;BY124&amp;FE$1)</f>
        <v/>
      </c>
      <c r="FF124" s="66" t="str">
        <f t="shared" ref="FF124" si="2053">IF(BZ124="","","|n"&amp;FF$2&amp;"+"&amp;BZ124&amp;FF$1)</f>
        <v/>
      </c>
      <c r="FG124" s="66" t="str">
        <f t="shared" ref="FG124" si="2054">IF(CA124="","","|n"&amp;FG$2&amp;"+"&amp;CA124&amp;FG$1)</f>
        <v/>
      </c>
      <c r="FH124" s="66" t="str">
        <f t="shared" ref="FH124" si="2055">IF(CB124="","","|n"&amp;FH$2&amp;"+"&amp;CB124&amp;FH$1)</f>
        <v/>
      </c>
      <c r="FI124" s="66" t="str">
        <f t="shared" ref="FI124" si="2056">IF(CC124="","","|n"&amp;FI$2&amp;"+"&amp;CC124&amp;FI$1)</f>
        <v/>
      </c>
      <c r="FJ124" s="66" t="str">
        <f t="shared" ref="FJ124" si="2057">IF(CD124="","","|n"&amp;FJ$2&amp;"+"&amp;CD124&amp;FJ$1)</f>
        <v/>
      </c>
      <c r="FK124" s="66" t="str">
        <f t="shared" ref="FK124" si="2058">IF(CE124="","","|n"&amp;FK$2&amp;"+"&amp;CE124&amp;FK$1)</f>
        <v/>
      </c>
      <c r="FL124" s="66" t="str">
        <f t="shared" ref="FL124" si="2059">IF(CF124="","","|n"&amp;FL$2&amp;"+"&amp;CF124&amp;FL$1)</f>
        <v/>
      </c>
      <c r="FM124" s="66" t="str">
        <f t="shared" ref="FM124" si="2060">IF(CG124="","","|n"&amp;FM$2&amp;"+"&amp;CG124&amp;FM$1)</f>
        <v/>
      </c>
      <c r="FN124" s="66" t="str">
        <f t="shared" ref="FN124" si="2061">IF(CH124="","","|n"&amp;FN$2&amp;"+"&amp;CH124&amp;FN$1)</f>
        <v/>
      </c>
      <c r="FO124" s="66" t="str">
        <f t="shared" ref="FO124" si="2062">IF(CI124="","","|n"&amp;FO$2&amp;"+"&amp;CI124&amp;FO$1)</f>
        <v/>
      </c>
      <c r="FP124" s="66" t="str">
        <f t="shared" ref="FP124" si="2063">IF(CJ124="","","|n"&amp;FP$2&amp;"+"&amp;CJ124&amp;FP$1)</f>
        <v/>
      </c>
      <c r="FQ124" s="66" t="str">
        <f t="shared" ref="FQ124" si="2064">IF(CK124="","","|n"&amp;FQ$2&amp;"+"&amp;CK124&amp;FQ$1)</f>
        <v/>
      </c>
      <c r="FR124" s="66" t="str">
        <f t="shared" ref="FR124" si="2065">IF(CL124="","","|n"&amp;FR$2&amp;"+"&amp;CL124&amp;FR$1)</f>
        <v/>
      </c>
      <c r="FS124" s="66" t="str">
        <f t="shared" ref="FS124" si="2066">IF(CM124="","","|n"&amp;FS$2&amp;"+"&amp;CM124&amp;FS$1)</f>
        <v/>
      </c>
    </row>
    <row r="125" spans="1:175" ht="16.5">
      <c r="A125" s="9"/>
      <c r="B125" s="9" t="s">
        <v>498</v>
      </c>
      <c r="C125" s="9" t="s">
        <v>499</v>
      </c>
      <c r="T125" s="96" t="s">
        <v>500</v>
      </c>
      <c r="U125" s="77" t="str">
        <f t="shared" si="1549"/>
        <v>ReplaceableTextures\\CommandButtons\\BTNIN00.blp</v>
      </c>
      <c r="CN125" s="36" t="str">
        <f t="shared" ref="CN125:CN148" si="2067">"InitUnitState('"&amp;B125&amp;"',"&amp;V125&amp;","&amp;W125&amp;","&amp;X125&amp;","&amp;Y125&amp;","&amp;Z125&amp;","&amp;AA125&amp;","&amp;AB125&amp;","&amp;AC125&amp;","&amp;AD125&amp;","&amp;AE125&amp;")"</f>
        <v>InitUnitState('IN00',,,,,,,,,,)</v>
      </c>
      <c r="CO125" s="36" t="str">
        <f t="shared" ref="CO125:CO148" si="2068">"InitUnitNormal('"&amp;B125&amp;"',"&amp;AF125&amp;","&amp;AG125&amp;","&amp;AH125&amp;","&amp;AI125&amp;","&amp;AJ125&amp;","&amp;AK125&amp;","&amp;AL125&amp;","&amp;AM125&amp;","&amp;AN125&amp;","&amp;AO125&amp;")"</f>
        <v>InitUnitNormal('IN00',,,,,,,,,,)</v>
      </c>
      <c r="CP125" s="36" t="str">
        <f t="shared" ref="CP125:CP148" si="2069">"InitUnitMagic('"&amp;B125&amp;"',"&amp;AP125&amp;","&amp;AQ125&amp;","&amp;AR125&amp;","&amp;AS125&amp;","&amp;AT125&amp;","&amp;AU125&amp;","&amp;AV125&amp;","&amp;AW125&amp;","&amp;BI125&amp;","&amp;BJ125&amp;")"</f>
        <v>InitUnitMagic('IN00',,,,,,,,,,)</v>
      </c>
      <c r="CQ125" s="36" t="str">
        <f t="shared" ref="CQ125:CQ148" si="2070">"InitUnitAdd('"&amp;B125&amp;"',"&amp;BK125&amp;","&amp;BL125&amp;","&amp;BM125&amp;","&amp;BN125&amp;","&amp;BO125&amp;","&amp;BP125&amp;","&amp;BQ125&amp;","&amp;BR125&amp;","&amp;BS125&amp;","&amp;BT125&amp;")"</f>
        <v>InitUnitAdd('IN00',,,,,,,,,,)</v>
      </c>
      <c r="CR125" s="36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166&amp;CR$1&amp;")"</f>
        <v>InitEquipData('IN00',,"",,,,,'','','','','','',"ReplaceableTextures\\CommandButtons\\BTNIT06.blp")</v>
      </c>
      <c r="CU125" s="88" t="str">
        <f t="shared" si="1919"/>
        <v>|n</v>
      </c>
      <c r="CV125" s="19" t="str">
        <f t="shared" si="1920"/>
        <v>开启后获得一个|Cffffd24d随机锦囊|r。</v>
      </c>
      <c r="CW125" s="33"/>
      <c r="CX125" s="33"/>
      <c r="CY125" s="33"/>
      <c r="CZ125" s="33"/>
      <c r="DA125" s="33"/>
      <c r="DB125" s="66" t="str">
        <f t="shared" si="1921"/>
        <v/>
      </c>
      <c r="DC125" s="66" t="str">
        <f t="shared" si="1922"/>
        <v/>
      </c>
      <c r="DD125" s="66" t="str">
        <f t="shared" si="1923"/>
        <v/>
      </c>
      <c r="DE125" s="66" t="str">
        <f t="shared" si="1924"/>
        <v/>
      </c>
      <c r="DF125" s="66" t="str">
        <f t="shared" si="1925"/>
        <v/>
      </c>
      <c r="DG125" s="66" t="str">
        <f t="shared" si="1926"/>
        <v/>
      </c>
      <c r="DH125" s="66" t="str">
        <f t="shared" si="1927"/>
        <v/>
      </c>
      <c r="DI125" s="66" t="str">
        <f t="shared" si="1928"/>
        <v/>
      </c>
      <c r="DJ125" s="66" t="str">
        <f t="shared" si="1929"/>
        <v/>
      </c>
      <c r="DK125" s="66" t="str">
        <f t="shared" si="1930"/>
        <v/>
      </c>
      <c r="DL125" s="66" t="str">
        <f t="shared" si="1931"/>
        <v/>
      </c>
      <c r="DM125" s="66" t="str">
        <f t="shared" si="1932"/>
        <v/>
      </c>
      <c r="DN125" s="66" t="str">
        <f t="shared" si="1933"/>
        <v/>
      </c>
      <c r="DO125" s="66" t="str">
        <f t="shared" si="1934"/>
        <v/>
      </c>
      <c r="DP125" s="66" t="str">
        <f t="shared" si="1935"/>
        <v/>
      </c>
      <c r="DQ125" s="66" t="str">
        <f t="shared" si="1936"/>
        <v/>
      </c>
      <c r="DR125" s="66" t="str">
        <f t="shared" si="1937"/>
        <v/>
      </c>
      <c r="DS125" s="66" t="str">
        <f t="shared" si="1938"/>
        <v/>
      </c>
      <c r="DT125" s="66" t="str">
        <f t="shared" si="1939"/>
        <v/>
      </c>
      <c r="DU125" s="66" t="str">
        <f t="shared" si="1940"/>
        <v/>
      </c>
      <c r="DV125" s="66" t="str">
        <f t="shared" si="1941"/>
        <v/>
      </c>
      <c r="DW125" s="66" t="str">
        <f t="shared" si="1942"/>
        <v/>
      </c>
      <c r="DX125" s="66" t="str">
        <f t="shared" si="1943"/>
        <v/>
      </c>
      <c r="DY125" s="66" t="str">
        <f t="shared" si="1944"/>
        <v/>
      </c>
      <c r="DZ125" s="66" t="str">
        <f t="shared" si="1945"/>
        <v/>
      </c>
      <c r="EA125" s="66" t="str">
        <f t="shared" si="1946"/>
        <v/>
      </c>
      <c r="EB125" s="66" t="str">
        <f t="shared" si="1947"/>
        <v/>
      </c>
      <c r="EC125" s="66" t="str">
        <f t="shared" si="1948"/>
        <v/>
      </c>
      <c r="ED125" s="66" t="str">
        <f t="shared" si="1949"/>
        <v/>
      </c>
      <c r="EE125" s="66" t="str">
        <f t="shared" si="1950"/>
        <v/>
      </c>
      <c r="EF125" s="66" t="str">
        <f t="shared" si="1951"/>
        <v/>
      </c>
      <c r="EG125" s="66" t="str">
        <f t="shared" si="1952"/>
        <v/>
      </c>
      <c r="EH125" s="66" t="str">
        <f t="shared" si="1953"/>
        <v/>
      </c>
      <c r="EI125" s="66" t="str">
        <f t="shared" si="1954"/>
        <v/>
      </c>
      <c r="EJ125" s="66" t="str">
        <f t="shared" si="1955"/>
        <v/>
      </c>
      <c r="EK125" s="66" t="str">
        <f t="shared" si="1956"/>
        <v/>
      </c>
      <c r="EL125" s="66" t="str">
        <f t="shared" si="1957"/>
        <v/>
      </c>
      <c r="EM125" s="66" t="str">
        <f t="shared" si="1958"/>
        <v/>
      </c>
      <c r="EN125" s="66" t="str">
        <f t="shared" si="1959"/>
        <v/>
      </c>
      <c r="EO125" s="66" t="str">
        <f t="shared" si="1960"/>
        <v/>
      </c>
      <c r="EP125" s="66" t="str">
        <f t="shared" si="1961"/>
        <v/>
      </c>
      <c r="EQ125" s="66" t="str">
        <f t="shared" si="1962"/>
        <v/>
      </c>
      <c r="ER125" s="66" t="str">
        <f t="shared" si="1963"/>
        <v/>
      </c>
      <c r="ES125" s="66" t="str">
        <f t="shared" si="1964"/>
        <v/>
      </c>
      <c r="ET125" s="66" t="str">
        <f t="shared" si="1965"/>
        <v/>
      </c>
      <c r="EU125" s="66" t="str">
        <f t="shared" si="1966"/>
        <v/>
      </c>
      <c r="EV125" s="66" t="str">
        <f t="shared" si="1967"/>
        <v/>
      </c>
      <c r="EW125" s="66" t="str">
        <f t="shared" si="1968"/>
        <v/>
      </c>
      <c r="EX125" s="66" t="str">
        <f t="shared" si="1969"/>
        <v/>
      </c>
      <c r="EY125" s="66" t="str">
        <f t="shared" si="1970"/>
        <v/>
      </c>
      <c r="EZ125" s="66" t="str">
        <f t="shared" si="1971"/>
        <v/>
      </c>
      <c r="FA125" s="66" t="str">
        <f t="shared" si="1972"/>
        <v/>
      </c>
      <c r="FB125" s="66" t="str">
        <f t="shared" si="1973"/>
        <v/>
      </c>
      <c r="FC125" s="66" t="str">
        <f t="shared" si="1974"/>
        <v/>
      </c>
      <c r="FD125" s="66" t="str">
        <f t="shared" si="1975"/>
        <v/>
      </c>
      <c r="FE125" s="66" t="str">
        <f t="shared" si="1976"/>
        <v/>
      </c>
      <c r="FF125" s="66" t="str">
        <f t="shared" si="1977"/>
        <v/>
      </c>
      <c r="FG125" s="66" t="str">
        <f t="shared" si="1978"/>
        <v/>
      </c>
      <c r="FH125" s="66" t="str">
        <f t="shared" si="1979"/>
        <v/>
      </c>
      <c r="FI125" s="66" t="str">
        <f t="shared" si="1980"/>
        <v/>
      </c>
      <c r="FJ125" s="66" t="str">
        <f t="shared" si="1981"/>
        <v/>
      </c>
      <c r="FK125" s="66" t="str">
        <f t="shared" si="1982"/>
        <v/>
      </c>
      <c r="FL125" s="66" t="str">
        <f t="shared" si="1983"/>
        <v/>
      </c>
      <c r="FM125" s="66" t="str">
        <f t="shared" si="1984"/>
        <v/>
      </c>
      <c r="FN125" s="66" t="str">
        <f t="shared" si="1985"/>
        <v/>
      </c>
      <c r="FO125" s="66" t="str">
        <f t="shared" si="1986"/>
        <v/>
      </c>
      <c r="FP125" s="66" t="str">
        <f t="shared" si="1987"/>
        <v/>
      </c>
      <c r="FQ125" s="66" t="str">
        <f t="shared" si="1988"/>
        <v/>
      </c>
      <c r="FR125" s="66" t="str">
        <f t="shared" si="1989"/>
        <v/>
      </c>
      <c r="FS125" s="66" t="str">
        <f t="shared" si="1990"/>
        <v/>
      </c>
    </row>
    <row r="126" spans="1:175" ht="16.5">
      <c r="A126" s="9"/>
      <c r="B126" s="17" t="s">
        <v>501</v>
      </c>
      <c r="C126" s="18" t="s">
        <v>502</v>
      </c>
      <c r="T126" s="19" t="s">
        <v>503</v>
      </c>
      <c r="U126" s="77" t="str">
        <f t="shared" si="1549"/>
        <v>ReplaceableTextures\\CommandButtons\\BTNIN07.blp</v>
      </c>
      <c r="CN126" s="36" t="str">
        <f t="shared" si="2067"/>
        <v>InitUnitState('IN07',,,,,,,,,,)</v>
      </c>
      <c r="CO126" s="36" t="str">
        <f t="shared" si="2068"/>
        <v>InitUnitNormal('IN07',,,,,,,,,,)</v>
      </c>
      <c r="CP126" s="36" t="str">
        <f t="shared" si="2069"/>
        <v>InitUnitMagic('IN07',,,,,,,,,,)</v>
      </c>
      <c r="CQ126" s="36" t="str">
        <f t="shared" si="2070"/>
        <v>InitUnitAdd('IN07',,,,,,,,,,)</v>
      </c>
      <c r="CR126" s="36" t="str">
        <f t="shared" ref="CR126:CR140" si="2071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161&amp;CR$1&amp;")"</f>
        <v>InitEquipData('IN07',,"",,,,,'','','','','','',"ReplaceableTextures\\CommandButtons\\BTNIT01.blp")</v>
      </c>
      <c r="CU126" s="88" t="str">
        <f t="shared" ref="CU126:CU131" si="207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19" t="str">
        <f t="shared" ref="CV126:CV131" si="2073">T126</f>
        <v>每秒回复|Cffffd24d10%|r生命值，持续|Cffffd24d10|r秒</v>
      </c>
      <c r="CW126" s="33"/>
      <c r="CX126" s="33"/>
      <c r="CY126" s="33"/>
      <c r="CZ126" s="33"/>
      <c r="DA126" s="33"/>
      <c r="DB126" s="66" t="str">
        <f t="shared" ref="DB126:DB131" si="2074">IF(V126="","","|n"&amp;DB$2&amp;"+"&amp;V126&amp;DB$1)</f>
        <v/>
      </c>
      <c r="DC126" s="66" t="str">
        <f t="shared" ref="DC126:DC131" si="2075">IF(W126="","","|n"&amp;DC$2&amp;"+"&amp;W126&amp;DC$1)</f>
        <v/>
      </c>
      <c r="DD126" s="66" t="str">
        <f t="shared" ref="DD126:DD131" si="2076">IF(X126="","","|n"&amp;DD$2&amp;"+"&amp;X126&amp;DD$1)</f>
        <v/>
      </c>
      <c r="DE126" s="66" t="str">
        <f t="shared" ref="DE126:DE131" si="2077">IF(Y126="","","|n"&amp;DE$2&amp;"+"&amp;Y126&amp;DE$1)</f>
        <v/>
      </c>
      <c r="DF126" s="66" t="str">
        <f t="shared" ref="DF126:DF131" si="2078">IF(Z126="","","|n"&amp;DF$2&amp;"+"&amp;Z126&amp;DF$1)</f>
        <v/>
      </c>
      <c r="DG126" s="66" t="str">
        <f t="shared" ref="DG126:DG131" si="2079">IF(AA126="","","|n"&amp;DG$2&amp;"+"&amp;AA126&amp;DG$1)</f>
        <v/>
      </c>
      <c r="DH126" s="66" t="str">
        <f t="shared" ref="DH126:DH131" si="2080">IF(AB126="","","|n"&amp;DH$2&amp;"+"&amp;AB126&amp;DH$1)</f>
        <v/>
      </c>
      <c r="DI126" s="66" t="str">
        <f t="shared" ref="DI126:DI131" si="2081">IF(AC126="","","|n"&amp;DI$2&amp;"+"&amp;AC126&amp;DI$1)</f>
        <v/>
      </c>
      <c r="DJ126" s="66" t="str">
        <f t="shared" ref="DJ126:DJ131" si="2082">IF(AD126="","","|n"&amp;DJ$2&amp;"+"&amp;AD126&amp;DJ$1)</f>
        <v/>
      </c>
      <c r="DK126" s="66" t="str">
        <f t="shared" ref="DK126:DK131" si="2083">IF(AE126="","","|n"&amp;DK$2&amp;"+"&amp;AE126&amp;DK$1)</f>
        <v/>
      </c>
      <c r="DL126" s="66" t="str">
        <f t="shared" ref="DL126:DL131" si="2084">IF(AF126="","","|n"&amp;DL$2&amp;"+"&amp;AF126&amp;DL$1)</f>
        <v/>
      </c>
      <c r="DM126" s="66" t="str">
        <f t="shared" ref="DM126:DM131" si="2085">IF(AG126="","","|n"&amp;DM$2&amp;"+"&amp;AG126&amp;DM$1)</f>
        <v/>
      </c>
      <c r="DN126" s="66" t="str">
        <f t="shared" ref="DN126:DN131" si="2086">IF(AH126="","","|n"&amp;DN$2&amp;"+"&amp;AH126&amp;DN$1)</f>
        <v/>
      </c>
      <c r="DO126" s="66" t="str">
        <f t="shared" ref="DO126:DO131" si="2087">IF(AI126="","","|n"&amp;DO$2&amp;"+"&amp;AI126&amp;DO$1)</f>
        <v/>
      </c>
      <c r="DP126" s="66" t="str">
        <f t="shared" ref="DP126:DP131" si="2088">IF(AJ126="","","|n"&amp;DP$2&amp;"+"&amp;AJ126&amp;DP$1)</f>
        <v/>
      </c>
      <c r="DQ126" s="66" t="str">
        <f t="shared" ref="DQ126:DQ131" si="2089">IF(AK126="","","|n"&amp;DQ$2&amp;"+"&amp;AK126&amp;DQ$1)</f>
        <v/>
      </c>
      <c r="DR126" s="66" t="str">
        <f t="shared" ref="DR126:DR131" si="2090">IF(AL126="","","|n"&amp;DR$2&amp;"+"&amp;AL126&amp;DR$1)</f>
        <v/>
      </c>
      <c r="DS126" s="66" t="str">
        <f t="shared" ref="DS126:DS131" si="2091">IF(AM126="","","|n"&amp;DS$2&amp;"+"&amp;AM126&amp;DS$1)</f>
        <v/>
      </c>
      <c r="DT126" s="66" t="str">
        <f t="shared" ref="DT126:DT131" si="2092">IF(AN126="","","|n"&amp;DT$2&amp;"+"&amp;AN126&amp;DT$1)</f>
        <v/>
      </c>
      <c r="DU126" s="66" t="str">
        <f t="shared" ref="DU126:DU131" si="2093">IF(AO126="","","|n"&amp;DU$2&amp;"+"&amp;AO126&amp;DU$1)</f>
        <v/>
      </c>
      <c r="DV126" s="66" t="str">
        <f t="shared" ref="DV126:DV131" si="2094">IF(AP126="","","|n"&amp;DV$2&amp;"+"&amp;AP126&amp;DV$1)</f>
        <v/>
      </c>
      <c r="DW126" s="66" t="str">
        <f t="shared" ref="DW126:DW131" si="2095">IF(AQ126="","","|n"&amp;DW$2&amp;"+"&amp;AQ126&amp;DW$1)</f>
        <v/>
      </c>
      <c r="DX126" s="66" t="str">
        <f t="shared" ref="DX126:DX131" si="2096">IF(AR126="","","|n"&amp;DX$2&amp;"+"&amp;AR126&amp;DX$1)</f>
        <v/>
      </c>
      <c r="DY126" s="66" t="str">
        <f t="shared" ref="DY126:DY131" si="2097">IF(AS126="","","|n"&amp;DY$2&amp;"+"&amp;AS126&amp;DY$1)</f>
        <v/>
      </c>
      <c r="DZ126" s="66" t="str">
        <f t="shared" ref="DZ126:DZ131" si="2098">IF(AT126="","","|n"&amp;DZ$2&amp;"+"&amp;AT126&amp;DZ$1)</f>
        <v/>
      </c>
      <c r="EA126" s="66" t="str">
        <f t="shared" ref="EA126:EA131" si="2099">IF(AU126="","","|n"&amp;EA$2&amp;"+"&amp;AU126&amp;EA$1)</f>
        <v/>
      </c>
      <c r="EB126" s="66" t="str">
        <f t="shared" ref="EB126:EB131" si="2100">IF(AV126="","","|n"&amp;EB$2&amp;"+"&amp;AV126&amp;EB$1)</f>
        <v/>
      </c>
      <c r="EC126" s="66" t="str">
        <f t="shared" ref="EC126:EC131" si="2101">IF(AW126="","","|n"&amp;EC$2&amp;"+"&amp;AW126&amp;EC$1)</f>
        <v/>
      </c>
      <c r="ED126" s="66" t="str">
        <f t="shared" ref="ED126:ED131" si="2102">IF(AX126="","","|n"&amp;ED$2&amp;"+"&amp;AX126&amp;ED$1)</f>
        <v/>
      </c>
      <c r="EE126" s="66" t="str">
        <f t="shared" ref="EE126:EE131" si="2103">IF(AY126="","","|n"&amp;EE$2&amp;"+"&amp;AY126&amp;EE$1)</f>
        <v/>
      </c>
      <c r="EF126" s="66" t="str">
        <f t="shared" ref="EF126:EF131" si="2104">IF(AZ126="","","|n"&amp;EF$2&amp;"+"&amp;AZ126&amp;EF$1)</f>
        <v/>
      </c>
      <c r="EG126" s="66" t="str">
        <f t="shared" ref="EG126:EG131" si="2105">IF(BA126="","","|n"&amp;EG$2&amp;"+"&amp;BA126&amp;EG$1)</f>
        <v/>
      </c>
      <c r="EH126" s="66" t="str">
        <f t="shared" ref="EH126:EH131" si="2106">IF(BB126="","","|n"&amp;EH$2&amp;"+"&amp;BB126&amp;EH$1)</f>
        <v/>
      </c>
      <c r="EI126" s="66" t="str">
        <f t="shared" ref="EI126:EI131" si="2107">IF(BC126="","","|n"&amp;EI$2&amp;"+"&amp;BC126&amp;EI$1)</f>
        <v/>
      </c>
      <c r="EJ126" s="66" t="str">
        <f t="shared" ref="EJ126:EJ131" si="2108">IF(BD126="","","|n"&amp;EJ$2&amp;"+"&amp;BD126&amp;EJ$1)</f>
        <v/>
      </c>
      <c r="EK126" s="66" t="str">
        <f t="shared" ref="EK126:EK131" si="2109">IF(BE126="","","|n"&amp;EK$2&amp;"+"&amp;BE126&amp;EK$1)</f>
        <v/>
      </c>
      <c r="EL126" s="66" t="str">
        <f t="shared" ref="EL126:EL131" si="2110">IF(BF126="","","|n"&amp;EL$2&amp;"+"&amp;BF126&amp;EL$1)</f>
        <v/>
      </c>
      <c r="EM126" s="66" t="str">
        <f t="shared" ref="EM126:EM131" si="2111">IF(BG126="","","|n"&amp;EM$2&amp;"+"&amp;BG126&amp;EM$1)</f>
        <v/>
      </c>
      <c r="EN126" s="66" t="str">
        <f t="shared" ref="EN126:EN131" si="2112">IF(BH126="","","|n"&amp;EN$2&amp;"+"&amp;BH126&amp;EN$1)</f>
        <v/>
      </c>
      <c r="EO126" s="66" t="str">
        <f t="shared" ref="EO126:EO131" si="2113">IF(BI126="","","|n"&amp;EO$2&amp;"+"&amp;BI126&amp;EO$1)</f>
        <v/>
      </c>
      <c r="EP126" s="66" t="str">
        <f t="shared" ref="EP126:EP131" si="2114">IF(BJ126="","","|n"&amp;EP$2&amp;"+"&amp;BJ126&amp;EP$1)</f>
        <v/>
      </c>
      <c r="EQ126" s="66" t="str">
        <f t="shared" ref="EQ126:EQ131" si="2115">IF(BK126="","","|n"&amp;EQ$2&amp;"+"&amp;BK126&amp;EQ$1)</f>
        <v/>
      </c>
      <c r="ER126" s="66" t="str">
        <f t="shared" ref="ER126:ER131" si="2116">IF(BL126="","","|n"&amp;ER$2&amp;"+"&amp;BL126&amp;ER$1)</f>
        <v/>
      </c>
      <c r="ES126" s="66" t="str">
        <f t="shared" ref="ES126:ES131" si="2117">IF(BM126="","","|n"&amp;ES$2&amp;"+"&amp;BM126&amp;ES$1)</f>
        <v/>
      </c>
      <c r="ET126" s="66" t="str">
        <f t="shared" ref="ET126:ET131" si="2118">IF(BN126="","","|n"&amp;ET$2&amp;"+"&amp;BN126&amp;ET$1)</f>
        <v/>
      </c>
      <c r="EU126" s="66" t="str">
        <f t="shared" ref="EU126:EU131" si="2119">IF(BO126="","","|n"&amp;EU$2&amp;"+"&amp;BO126&amp;EU$1)</f>
        <v/>
      </c>
      <c r="EV126" s="66" t="str">
        <f t="shared" ref="EV126:EV131" si="2120">IF(BP126="","","|n"&amp;EV$2&amp;"+"&amp;BP126&amp;EV$1)</f>
        <v/>
      </c>
      <c r="EW126" s="66" t="str">
        <f t="shared" ref="EW126:EW131" si="2121">IF(BQ126="","","|n"&amp;EW$2&amp;"+"&amp;BQ126&amp;EW$1)</f>
        <v/>
      </c>
      <c r="EX126" s="66" t="str">
        <f t="shared" ref="EX126:EX131" si="2122">IF(BR126="","","|n"&amp;EX$2&amp;"+"&amp;BR126&amp;EX$1)</f>
        <v/>
      </c>
      <c r="EY126" s="66" t="str">
        <f t="shared" ref="EY126:EY131" si="2123">IF(BS126="","","|n"&amp;EY$2&amp;"+"&amp;BS126&amp;EY$1)</f>
        <v/>
      </c>
      <c r="EZ126" s="66" t="str">
        <f t="shared" ref="EZ126:EZ131" si="2124">IF(BT126="","","|n"&amp;EZ$2&amp;"+"&amp;BT126&amp;EZ$1)</f>
        <v/>
      </c>
      <c r="FA126" s="66" t="str">
        <f t="shared" ref="FA126:FA131" si="2125">IF(BU126="","","|n"&amp;FA$2&amp;"+"&amp;BU126&amp;FA$1)</f>
        <v/>
      </c>
      <c r="FB126" s="66" t="str">
        <f t="shared" ref="FB126:FB131" si="2126">IF(BV126="","","|n"&amp;FB$2&amp;"+"&amp;BV126&amp;FB$1)</f>
        <v/>
      </c>
      <c r="FC126" s="66" t="str">
        <f t="shared" ref="FC126:FC131" si="2127">IF(BW126="","","|n"&amp;FC$2&amp;"+"&amp;BW126&amp;FC$1)</f>
        <v/>
      </c>
      <c r="FD126" s="66" t="str">
        <f t="shared" ref="FD126:FD131" si="2128">IF(BX126="","","|n"&amp;FD$2&amp;"+"&amp;BX126&amp;FD$1)</f>
        <v/>
      </c>
      <c r="FE126" s="66" t="str">
        <f t="shared" ref="FE126:FE131" si="2129">IF(BY126="","","|n"&amp;FE$2&amp;"+"&amp;BY126&amp;FE$1)</f>
        <v/>
      </c>
      <c r="FF126" s="66" t="str">
        <f t="shared" ref="FF126:FF131" si="2130">IF(BZ126="","","|n"&amp;FF$2&amp;"+"&amp;BZ126&amp;FF$1)</f>
        <v/>
      </c>
      <c r="FG126" s="66" t="str">
        <f t="shared" ref="FG126:FG131" si="2131">IF(CA126="","","|n"&amp;FG$2&amp;"+"&amp;CA126&amp;FG$1)</f>
        <v/>
      </c>
      <c r="FH126" s="66" t="str">
        <f t="shared" ref="FH126:FH131" si="2132">IF(CB126="","","|n"&amp;FH$2&amp;"+"&amp;CB126&amp;FH$1)</f>
        <v/>
      </c>
      <c r="FI126" s="66" t="str">
        <f t="shared" ref="FI126:FI131" si="2133">IF(CC126="","","|n"&amp;FI$2&amp;"+"&amp;CC126&amp;FI$1)</f>
        <v/>
      </c>
      <c r="FJ126" s="66" t="str">
        <f t="shared" ref="FJ126:FJ131" si="2134">IF(CD126="","","|n"&amp;FJ$2&amp;"+"&amp;CD126&amp;FJ$1)</f>
        <v/>
      </c>
      <c r="FK126" s="66" t="str">
        <f t="shared" ref="FK126:FK131" si="2135">IF(CE126="","","|n"&amp;FK$2&amp;"+"&amp;CE126&amp;FK$1)</f>
        <v/>
      </c>
      <c r="FL126" s="66" t="str">
        <f t="shared" ref="FL126:FL131" si="2136">IF(CF126="","","|n"&amp;FL$2&amp;"+"&amp;CF126&amp;FL$1)</f>
        <v/>
      </c>
      <c r="FM126" s="66" t="str">
        <f t="shared" ref="FM126:FM131" si="2137">IF(CG126="","","|n"&amp;FM$2&amp;"+"&amp;CG126&amp;FM$1)</f>
        <v/>
      </c>
      <c r="FN126" s="66" t="str">
        <f t="shared" ref="FN126:FN131" si="2138">IF(CH126="","","|n"&amp;FN$2&amp;"+"&amp;CH126&amp;FN$1)</f>
        <v/>
      </c>
      <c r="FO126" s="66" t="str">
        <f t="shared" ref="FO126:FO131" si="2139">IF(CI126="","","|n"&amp;FO$2&amp;"+"&amp;CI126&amp;FO$1)</f>
        <v/>
      </c>
      <c r="FP126" s="66" t="str">
        <f t="shared" ref="FP126:FP131" si="2140">IF(CJ126="","","|n"&amp;FP$2&amp;"+"&amp;CJ126&amp;FP$1)</f>
        <v/>
      </c>
      <c r="FQ126" s="66" t="str">
        <f t="shared" ref="FQ126:FQ131" si="2141">IF(CK126="","","|n"&amp;FQ$2&amp;"+"&amp;CK126&amp;FQ$1)</f>
        <v/>
      </c>
      <c r="FR126" s="66" t="str">
        <f t="shared" ref="FR126:FR131" si="2142">IF(CL126="","","|n"&amp;FR$2&amp;"+"&amp;CL126&amp;FR$1)</f>
        <v/>
      </c>
      <c r="FS126" s="66" t="str">
        <f t="shared" ref="FS126:FS131" si="2143">IF(CM126="","","|n"&amp;FS$2&amp;"+"&amp;CM126&amp;FS$1)</f>
        <v/>
      </c>
    </row>
    <row r="127" spans="1:175" ht="16.5">
      <c r="A127" s="9"/>
      <c r="B127" s="9" t="s">
        <v>504</v>
      </c>
      <c r="C127" s="19" t="s">
        <v>505</v>
      </c>
      <c r="T127" s="19" t="s">
        <v>506</v>
      </c>
      <c r="U127" s="77" t="str">
        <f t="shared" si="1549"/>
        <v>ReplaceableTextures\\CommandButtons\\BTNIN08.blp</v>
      </c>
      <c r="CN127" s="36" t="str">
        <f t="shared" si="2067"/>
        <v>InitUnitState('IN08',,,,,,,,,,)</v>
      </c>
      <c r="CO127" s="36" t="str">
        <f t="shared" si="2068"/>
        <v>InitUnitNormal('IN08',,,,,,,,,,)</v>
      </c>
      <c r="CP127" s="36" t="str">
        <f t="shared" si="2069"/>
        <v>InitUnitMagic('IN08',,,,,,,,,,)</v>
      </c>
      <c r="CQ127" s="36" t="str">
        <f t="shared" si="2070"/>
        <v>InitUnitAdd('IN08',,,,,,,,,,)</v>
      </c>
      <c r="CR127" s="36" t="str">
        <f t="shared" si="2071"/>
        <v>InitEquipData('IN08',,"",,,,,'','','','','','',"ReplaceableTextures\\CommandButtons\\BTNIT02.blp")</v>
      </c>
      <c r="CU127" s="88" t="str">
        <f t="shared" si="2072"/>
        <v>|n</v>
      </c>
      <c r="CV127" s="19" t="str">
        <f t="shared" si="2073"/>
        <v>|CffFFC926击杀|r当前存在的|Cffffc926进攻怪|r和|Cffffc926Boss|r。|n|n|Cff00ff7f无法在大决战时使用|r</v>
      </c>
      <c r="CW127" s="33"/>
      <c r="CX127" s="33"/>
      <c r="CY127" s="33"/>
      <c r="CZ127" s="33"/>
      <c r="DA127" s="33"/>
      <c r="DB127" s="66" t="str">
        <f t="shared" si="2074"/>
        <v/>
      </c>
      <c r="DC127" s="66" t="str">
        <f t="shared" si="2075"/>
        <v/>
      </c>
      <c r="DD127" s="66" t="str">
        <f t="shared" si="2076"/>
        <v/>
      </c>
      <c r="DE127" s="66" t="str">
        <f t="shared" si="2077"/>
        <v/>
      </c>
      <c r="DF127" s="66" t="str">
        <f t="shared" si="2078"/>
        <v/>
      </c>
      <c r="DG127" s="66" t="str">
        <f t="shared" si="2079"/>
        <v/>
      </c>
      <c r="DH127" s="66" t="str">
        <f t="shared" si="2080"/>
        <v/>
      </c>
      <c r="DI127" s="66" t="str">
        <f t="shared" si="2081"/>
        <v/>
      </c>
      <c r="DJ127" s="66" t="str">
        <f t="shared" si="2082"/>
        <v/>
      </c>
      <c r="DK127" s="66" t="str">
        <f t="shared" si="2083"/>
        <v/>
      </c>
      <c r="DL127" s="66" t="str">
        <f t="shared" si="2084"/>
        <v/>
      </c>
      <c r="DM127" s="66" t="str">
        <f t="shared" si="2085"/>
        <v/>
      </c>
      <c r="DN127" s="66" t="str">
        <f t="shared" si="2086"/>
        <v/>
      </c>
      <c r="DO127" s="66" t="str">
        <f t="shared" si="2087"/>
        <v/>
      </c>
      <c r="DP127" s="66" t="str">
        <f t="shared" si="2088"/>
        <v/>
      </c>
      <c r="DQ127" s="66" t="str">
        <f t="shared" si="2089"/>
        <v/>
      </c>
      <c r="DR127" s="66" t="str">
        <f t="shared" si="2090"/>
        <v/>
      </c>
      <c r="DS127" s="66" t="str">
        <f t="shared" si="2091"/>
        <v/>
      </c>
      <c r="DT127" s="66" t="str">
        <f t="shared" si="2092"/>
        <v/>
      </c>
      <c r="DU127" s="66" t="str">
        <f t="shared" si="2093"/>
        <v/>
      </c>
      <c r="DV127" s="66" t="str">
        <f t="shared" si="2094"/>
        <v/>
      </c>
      <c r="DW127" s="66" t="str">
        <f t="shared" si="2095"/>
        <v/>
      </c>
      <c r="DX127" s="66" t="str">
        <f t="shared" si="2096"/>
        <v/>
      </c>
      <c r="DY127" s="66" t="str">
        <f t="shared" si="2097"/>
        <v/>
      </c>
      <c r="DZ127" s="66" t="str">
        <f t="shared" si="2098"/>
        <v/>
      </c>
      <c r="EA127" s="66" t="str">
        <f t="shared" si="2099"/>
        <v/>
      </c>
      <c r="EB127" s="66" t="str">
        <f t="shared" si="2100"/>
        <v/>
      </c>
      <c r="EC127" s="66" t="str">
        <f t="shared" si="2101"/>
        <v/>
      </c>
      <c r="ED127" s="66" t="str">
        <f t="shared" si="2102"/>
        <v/>
      </c>
      <c r="EE127" s="66" t="str">
        <f t="shared" si="2103"/>
        <v/>
      </c>
      <c r="EF127" s="66" t="str">
        <f t="shared" si="2104"/>
        <v/>
      </c>
      <c r="EG127" s="66" t="str">
        <f t="shared" si="2105"/>
        <v/>
      </c>
      <c r="EH127" s="66" t="str">
        <f t="shared" si="2106"/>
        <v/>
      </c>
      <c r="EI127" s="66" t="str">
        <f t="shared" si="2107"/>
        <v/>
      </c>
      <c r="EJ127" s="66" t="str">
        <f t="shared" si="2108"/>
        <v/>
      </c>
      <c r="EK127" s="66" t="str">
        <f t="shared" si="2109"/>
        <v/>
      </c>
      <c r="EL127" s="66" t="str">
        <f t="shared" si="2110"/>
        <v/>
      </c>
      <c r="EM127" s="66" t="str">
        <f t="shared" si="2111"/>
        <v/>
      </c>
      <c r="EN127" s="66" t="str">
        <f t="shared" si="2112"/>
        <v/>
      </c>
      <c r="EO127" s="66" t="str">
        <f t="shared" si="2113"/>
        <v/>
      </c>
      <c r="EP127" s="66" t="str">
        <f t="shared" si="2114"/>
        <v/>
      </c>
      <c r="EQ127" s="66" t="str">
        <f t="shared" si="2115"/>
        <v/>
      </c>
      <c r="ER127" s="66" t="str">
        <f t="shared" si="2116"/>
        <v/>
      </c>
      <c r="ES127" s="66" t="str">
        <f t="shared" si="2117"/>
        <v/>
      </c>
      <c r="ET127" s="66" t="str">
        <f t="shared" si="2118"/>
        <v/>
      </c>
      <c r="EU127" s="66" t="str">
        <f t="shared" si="2119"/>
        <v/>
      </c>
      <c r="EV127" s="66" t="str">
        <f t="shared" si="2120"/>
        <v/>
      </c>
      <c r="EW127" s="66" t="str">
        <f t="shared" si="2121"/>
        <v/>
      </c>
      <c r="EX127" s="66" t="str">
        <f t="shared" si="2122"/>
        <v/>
      </c>
      <c r="EY127" s="66" t="str">
        <f t="shared" si="2123"/>
        <v/>
      </c>
      <c r="EZ127" s="66" t="str">
        <f t="shared" si="2124"/>
        <v/>
      </c>
      <c r="FA127" s="66" t="str">
        <f t="shared" si="2125"/>
        <v/>
      </c>
      <c r="FB127" s="66" t="str">
        <f t="shared" si="2126"/>
        <v/>
      </c>
      <c r="FC127" s="66" t="str">
        <f t="shared" si="2127"/>
        <v/>
      </c>
      <c r="FD127" s="66" t="str">
        <f t="shared" si="2128"/>
        <v/>
      </c>
      <c r="FE127" s="66" t="str">
        <f t="shared" si="2129"/>
        <v/>
      </c>
      <c r="FF127" s="66" t="str">
        <f t="shared" si="2130"/>
        <v/>
      </c>
      <c r="FG127" s="66" t="str">
        <f t="shared" si="2131"/>
        <v/>
      </c>
      <c r="FH127" s="66" t="str">
        <f t="shared" si="2132"/>
        <v/>
      </c>
      <c r="FI127" s="66" t="str">
        <f t="shared" si="2133"/>
        <v/>
      </c>
      <c r="FJ127" s="66" t="str">
        <f t="shared" si="2134"/>
        <v/>
      </c>
      <c r="FK127" s="66" t="str">
        <f t="shared" si="2135"/>
        <v/>
      </c>
      <c r="FL127" s="66" t="str">
        <f t="shared" si="2136"/>
        <v/>
      </c>
      <c r="FM127" s="66" t="str">
        <f t="shared" si="2137"/>
        <v/>
      </c>
      <c r="FN127" s="66" t="str">
        <f t="shared" si="2138"/>
        <v/>
      </c>
      <c r="FO127" s="66" t="str">
        <f t="shared" si="2139"/>
        <v/>
      </c>
      <c r="FP127" s="66" t="str">
        <f t="shared" si="2140"/>
        <v/>
      </c>
      <c r="FQ127" s="66" t="str">
        <f t="shared" si="2141"/>
        <v/>
      </c>
      <c r="FR127" s="66" t="str">
        <f t="shared" si="2142"/>
        <v/>
      </c>
      <c r="FS127" s="66" t="str">
        <f t="shared" si="2143"/>
        <v/>
      </c>
    </row>
    <row r="128" spans="1:175" ht="16.5">
      <c r="A128" s="9"/>
      <c r="B128" s="17" t="s">
        <v>507</v>
      </c>
      <c r="C128" s="18" t="s">
        <v>508</v>
      </c>
      <c r="T128" s="19" t="s">
        <v>509</v>
      </c>
      <c r="U128" s="77" t="str">
        <f t="shared" si="1549"/>
        <v>ReplaceableTextures\\CommandButtons\\BTNIN09.blp</v>
      </c>
      <c r="CN128" s="36" t="str">
        <f t="shared" si="2067"/>
        <v>InitUnitState('IN09',,,,,,,,,,)</v>
      </c>
      <c r="CO128" s="36" t="str">
        <f t="shared" si="2068"/>
        <v>InitUnitNormal('IN09',,,,,,,,,,)</v>
      </c>
      <c r="CP128" s="36" t="str">
        <f t="shared" si="2069"/>
        <v>InitUnitMagic('IN09',,,,,,,,,,)</v>
      </c>
      <c r="CQ128" s="36" t="str">
        <f t="shared" si="2070"/>
        <v>InitUnitAdd('IN09',,,,,,,,,,)</v>
      </c>
      <c r="CR128" s="36" t="str">
        <f t="shared" si="2071"/>
        <v>InitEquipData('IN09',,"",,,,,'','','','','','',"ReplaceableTextures\\CommandButtons\\BTNIT03.blp")</v>
      </c>
      <c r="CU128" s="88" t="str">
        <f t="shared" si="2072"/>
        <v>|n</v>
      </c>
      <c r="CV128" s="19" t="str">
        <f t="shared" si="2073"/>
        <v>死亡时复活。</v>
      </c>
      <c r="CW128" s="33"/>
      <c r="CX128" s="33"/>
      <c r="CY128" s="33"/>
      <c r="CZ128" s="33"/>
      <c r="DA128" s="33"/>
      <c r="DB128" s="66" t="str">
        <f t="shared" si="2074"/>
        <v/>
      </c>
      <c r="DC128" s="66" t="str">
        <f t="shared" si="2075"/>
        <v/>
      </c>
      <c r="DD128" s="66" t="str">
        <f t="shared" si="2076"/>
        <v/>
      </c>
      <c r="DE128" s="66" t="str">
        <f t="shared" si="2077"/>
        <v/>
      </c>
      <c r="DF128" s="66" t="str">
        <f t="shared" si="2078"/>
        <v/>
      </c>
      <c r="DG128" s="66" t="str">
        <f t="shared" si="2079"/>
        <v/>
      </c>
      <c r="DH128" s="66" t="str">
        <f t="shared" si="2080"/>
        <v/>
      </c>
      <c r="DI128" s="66" t="str">
        <f t="shared" si="2081"/>
        <v/>
      </c>
      <c r="DJ128" s="66" t="str">
        <f t="shared" si="2082"/>
        <v/>
      </c>
      <c r="DK128" s="66" t="str">
        <f t="shared" si="2083"/>
        <v/>
      </c>
      <c r="DL128" s="66" t="str">
        <f t="shared" si="2084"/>
        <v/>
      </c>
      <c r="DM128" s="66" t="str">
        <f t="shared" si="2085"/>
        <v/>
      </c>
      <c r="DN128" s="66" t="str">
        <f t="shared" si="2086"/>
        <v/>
      </c>
      <c r="DO128" s="66" t="str">
        <f t="shared" si="2087"/>
        <v/>
      </c>
      <c r="DP128" s="66" t="str">
        <f t="shared" si="2088"/>
        <v/>
      </c>
      <c r="DQ128" s="66" t="str">
        <f t="shared" si="2089"/>
        <v/>
      </c>
      <c r="DR128" s="66" t="str">
        <f t="shared" si="2090"/>
        <v/>
      </c>
      <c r="DS128" s="66" t="str">
        <f t="shared" si="2091"/>
        <v/>
      </c>
      <c r="DT128" s="66" t="str">
        <f t="shared" si="2092"/>
        <v/>
      </c>
      <c r="DU128" s="66" t="str">
        <f t="shared" si="2093"/>
        <v/>
      </c>
      <c r="DV128" s="66" t="str">
        <f t="shared" si="2094"/>
        <v/>
      </c>
      <c r="DW128" s="66" t="str">
        <f t="shared" si="2095"/>
        <v/>
      </c>
      <c r="DX128" s="66" t="str">
        <f t="shared" si="2096"/>
        <v/>
      </c>
      <c r="DY128" s="66" t="str">
        <f t="shared" si="2097"/>
        <v/>
      </c>
      <c r="DZ128" s="66" t="str">
        <f t="shared" si="2098"/>
        <v/>
      </c>
      <c r="EA128" s="66" t="str">
        <f t="shared" si="2099"/>
        <v/>
      </c>
      <c r="EB128" s="66" t="str">
        <f t="shared" si="2100"/>
        <v/>
      </c>
      <c r="EC128" s="66" t="str">
        <f t="shared" si="2101"/>
        <v/>
      </c>
      <c r="ED128" s="66" t="str">
        <f t="shared" si="2102"/>
        <v/>
      </c>
      <c r="EE128" s="66" t="str">
        <f t="shared" si="2103"/>
        <v/>
      </c>
      <c r="EF128" s="66" t="str">
        <f t="shared" si="2104"/>
        <v/>
      </c>
      <c r="EG128" s="66" t="str">
        <f t="shared" si="2105"/>
        <v/>
      </c>
      <c r="EH128" s="66" t="str">
        <f t="shared" si="2106"/>
        <v/>
      </c>
      <c r="EI128" s="66" t="str">
        <f t="shared" si="2107"/>
        <v/>
      </c>
      <c r="EJ128" s="66" t="str">
        <f t="shared" si="2108"/>
        <v/>
      </c>
      <c r="EK128" s="66" t="str">
        <f t="shared" si="2109"/>
        <v/>
      </c>
      <c r="EL128" s="66" t="str">
        <f t="shared" si="2110"/>
        <v/>
      </c>
      <c r="EM128" s="66" t="str">
        <f t="shared" si="2111"/>
        <v/>
      </c>
      <c r="EN128" s="66" t="str">
        <f t="shared" si="2112"/>
        <v/>
      </c>
      <c r="EO128" s="66" t="str">
        <f t="shared" si="2113"/>
        <v/>
      </c>
      <c r="EP128" s="66" t="str">
        <f t="shared" si="2114"/>
        <v/>
      </c>
      <c r="EQ128" s="66" t="str">
        <f t="shared" si="2115"/>
        <v/>
      </c>
      <c r="ER128" s="66" t="str">
        <f t="shared" si="2116"/>
        <v/>
      </c>
      <c r="ES128" s="66" t="str">
        <f t="shared" si="2117"/>
        <v/>
      </c>
      <c r="ET128" s="66" t="str">
        <f t="shared" si="2118"/>
        <v/>
      </c>
      <c r="EU128" s="66" t="str">
        <f t="shared" si="2119"/>
        <v/>
      </c>
      <c r="EV128" s="66" t="str">
        <f t="shared" si="2120"/>
        <v/>
      </c>
      <c r="EW128" s="66" t="str">
        <f t="shared" si="2121"/>
        <v/>
      </c>
      <c r="EX128" s="66" t="str">
        <f t="shared" si="2122"/>
        <v/>
      </c>
      <c r="EY128" s="66" t="str">
        <f t="shared" si="2123"/>
        <v/>
      </c>
      <c r="EZ128" s="66" t="str">
        <f t="shared" si="2124"/>
        <v/>
      </c>
      <c r="FA128" s="66" t="str">
        <f t="shared" si="2125"/>
        <v/>
      </c>
      <c r="FB128" s="66" t="str">
        <f t="shared" si="2126"/>
        <v/>
      </c>
      <c r="FC128" s="66" t="str">
        <f t="shared" si="2127"/>
        <v/>
      </c>
      <c r="FD128" s="66" t="str">
        <f t="shared" si="2128"/>
        <v/>
      </c>
      <c r="FE128" s="66" t="str">
        <f t="shared" si="2129"/>
        <v/>
      </c>
      <c r="FF128" s="66" t="str">
        <f t="shared" si="2130"/>
        <v/>
      </c>
      <c r="FG128" s="66" t="str">
        <f t="shared" si="2131"/>
        <v/>
      </c>
      <c r="FH128" s="66" t="str">
        <f t="shared" si="2132"/>
        <v/>
      </c>
      <c r="FI128" s="66" t="str">
        <f t="shared" si="2133"/>
        <v/>
      </c>
      <c r="FJ128" s="66" t="str">
        <f t="shared" si="2134"/>
        <v/>
      </c>
      <c r="FK128" s="66" t="str">
        <f t="shared" si="2135"/>
        <v/>
      </c>
      <c r="FL128" s="66" t="str">
        <f t="shared" si="2136"/>
        <v/>
      </c>
      <c r="FM128" s="66" t="str">
        <f t="shared" si="2137"/>
        <v/>
      </c>
      <c r="FN128" s="66" t="str">
        <f t="shared" si="2138"/>
        <v/>
      </c>
      <c r="FO128" s="66" t="str">
        <f t="shared" si="2139"/>
        <v/>
      </c>
      <c r="FP128" s="66" t="str">
        <f t="shared" si="2140"/>
        <v/>
      </c>
      <c r="FQ128" s="66" t="str">
        <f t="shared" si="2141"/>
        <v/>
      </c>
      <c r="FR128" s="66" t="str">
        <f t="shared" si="2142"/>
        <v/>
      </c>
      <c r="FS128" s="66" t="str">
        <f t="shared" si="2143"/>
        <v/>
      </c>
    </row>
    <row r="129" spans="1:175" ht="16.5">
      <c r="A129" s="9"/>
      <c r="B129" s="17" t="s">
        <v>510</v>
      </c>
      <c r="C129" s="18" t="s">
        <v>511</v>
      </c>
      <c r="T129" s="19" t="s">
        <v>512</v>
      </c>
      <c r="U129" s="77" t="str">
        <f t="shared" si="1549"/>
        <v>ReplaceableTextures\\CommandButtons\\BTNIN10.blp</v>
      </c>
      <c r="CN129" s="36" t="str">
        <f t="shared" si="2067"/>
        <v>InitUnitState('IN10',,,,,,,,,,)</v>
      </c>
      <c r="CO129" s="36" t="str">
        <f t="shared" si="2068"/>
        <v>InitUnitNormal('IN10',,,,,,,,,,)</v>
      </c>
      <c r="CP129" s="36" t="str">
        <f t="shared" si="2069"/>
        <v>InitUnitMagic('IN10',,,,,,,,,,)</v>
      </c>
      <c r="CQ129" s="36" t="str">
        <f t="shared" si="2070"/>
        <v>InitUnitAdd('IN10',,,,,,,,,,)</v>
      </c>
      <c r="CR129" s="36" t="str">
        <f t="shared" si="2071"/>
        <v>InitEquipData('IN10',,"",,,,,'','','','','','',"ReplaceableTextures\\CommandButtons\\BTNIT04.blp")</v>
      </c>
      <c r="CU129" s="88" t="str">
        <f t="shared" si="2072"/>
        <v>|n</v>
      </c>
      <c r="CV129" s="19" t="str">
        <f t="shared" si="2073"/>
        <v>点金一个|Cffffd24d练功房福娃|r，获得|Cffffd24d100|r倍金币奖励</v>
      </c>
      <c r="CW129" s="33"/>
      <c r="CX129" s="33"/>
      <c r="CY129" s="33"/>
      <c r="CZ129" s="33"/>
      <c r="DA129" s="33"/>
      <c r="DB129" s="66" t="str">
        <f t="shared" si="2074"/>
        <v/>
      </c>
      <c r="DC129" s="66" t="str">
        <f t="shared" si="2075"/>
        <v/>
      </c>
      <c r="DD129" s="66" t="str">
        <f t="shared" si="2076"/>
        <v/>
      </c>
      <c r="DE129" s="66" t="str">
        <f t="shared" si="2077"/>
        <v/>
      </c>
      <c r="DF129" s="66" t="str">
        <f t="shared" si="2078"/>
        <v/>
      </c>
      <c r="DG129" s="66" t="str">
        <f t="shared" si="2079"/>
        <v/>
      </c>
      <c r="DH129" s="66" t="str">
        <f t="shared" si="2080"/>
        <v/>
      </c>
      <c r="DI129" s="66" t="str">
        <f t="shared" si="2081"/>
        <v/>
      </c>
      <c r="DJ129" s="66" t="str">
        <f t="shared" si="2082"/>
        <v/>
      </c>
      <c r="DK129" s="66" t="str">
        <f t="shared" si="2083"/>
        <v/>
      </c>
      <c r="DL129" s="66" t="str">
        <f t="shared" si="2084"/>
        <v/>
      </c>
      <c r="DM129" s="66" t="str">
        <f t="shared" si="2085"/>
        <v/>
      </c>
      <c r="DN129" s="66" t="str">
        <f t="shared" si="2086"/>
        <v/>
      </c>
      <c r="DO129" s="66" t="str">
        <f t="shared" si="2087"/>
        <v/>
      </c>
      <c r="DP129" s="66" t="str">
        <f t="shared" si="2088"/>
        <v/>
      </c>
      <c r="DQ129" s="66" t="str">
        <f t="shared" si="2089"/>
        <v/>
      </c>
      <c r="DR129" s="66" t="str">
        <f t="shared" si="2090"/>
        <v/>
      </c>
      <c r="DS129" s="66" t="str">
        <f t="shared" si="2091"/>
        <v/>
      </c>
      <c r="DT129" s="66" t="str">
        <f t="shared" si="2092"/>
        <v/>
      </c>
      <c r="DU129" s="66" t="str">
        <f t="shared" si="2093"/>
        <v/>
      </c>
      <c r="DV129" s="66" t="str">
        <f t="shared" si="2094"/>
        <v/>
      </c>
      <c r="DW129" s="66" t="str">
        <f t="shared" si="2095"/>
        <v/>
      </c>
      <c r="DX129" s="66" t="str">
        <f t="shared" si="2096"/>
        <v/>
      </c>
      <c r="DY129" s="66" t="str">
        <f t="shared" si="2097"/>
        <v/>
      </c>
      <c r="DZ129" s="66" t="str">
        <f t="shared" si="2098"/>
        <v/>
      </c>
      <c r="EA129" s="66" t="str">
        <f t="shared" si="2099"/>
        <v/>
      </c>
      <c r="EB129" s="66" t="str">
        <f t="shared" si="2100"/>
        <v/>
      </c>
      <c r="EC129" s="66" t="str">
        <f t="shared" si="2101"/>
        <v/>
      </c>
      <c r="ED129" s="66" t="str">
        <f t="shared" si="2102"/>
        <v/>
      </c>
      <c r="EE129" s="66" t="str">
        <f t="shared" si="2103"/>
        <v/>
      </c>
      <c r="EF129" s="66" t="str">
        <f t="shared" si="2104"/>
        <v/>
      </c>
      <c r="EG129" s="66" t="str">
        <f t="shared" si="2105"/>
        <v/>
      </c>
      <c r="EH129" s="66" t="str">
        <f t="shared" si="2106"/>
        <v/>
      </c>
      <c r="EI129" s="66" t="str">
        <f t="shared" si="2107"/>
        <v/>
      </c>
      <c r="EJ129" s="66" t="str">
        <f t="shared" si="2108"/>
        <v/>
      </c>
      <c r="EK129" s="66" t="str">
        <f t="shared" si="2109"/>
        <v/>
      </c>
      <c r="EL129" s="66" t="str">
        <f t="shared" si="2110"/>
        <v/>
      </c>
      <c r="EM129" s="66" t="str">
        <f t="shared" si="2111"/>
        <v/>
      </c>
      <c r="EN129" s="66" t="str">
        <f t="shared" si="2112"/>
        <v/>
      </c>
      <c r="EO129" s="66" t="str">
        <f t="shared" si="2113"/>
        <v/>
      </c>
      <c r="EP129" s="66" t="str">
        <f t="shared" si="2114"/>
        <v/>
      </c>
      <c r="EQ129" s="66" t="str">
        <f t="shared" si="2115"/>
        <v/>
      </c>
      <c r="ER129" s="66" t="str">
        <f t="shared" si="2116"/>
        <v/>
      </c>
      <c r="ES129" s="66" t="str">
        <f t="shared" si="2117"/>
        <v/>
      </c>
      <c r="ET129" s="66" t="str">
        <f t="shared" si="2118"/>
        <v/>
      </c>
      <c r="EU129" s="66" t="str">
        <f t="shared" si="2119"/>
        <v/>
      </c>
      <c r="EV129" s="66" t="str">
        <f t="shared" si="2120"/>
        <v/>
      </c>
      <c r="EW129" s="66" t="str">
        <f t="shared" si="2121"/>
        <v/>
      </c>
      <c r="EX129" s="66" t="str">
        <f t="shared" si="2122"/>
        <v/>
      </c>
      <c r="EY129" s="66" t="str">
        <f t="shared" si="2123"/>
        <v/>
      </c>
      <c r="EZ129" s="66" t="str">
        <f t="shared" si="2124"/>
        <v/>
      </c>
      <c r="FA129" s="66" t="str">
        <f t="shared" si="2125"/>
        <v/>
      </c>
      <c r="FB129" s="66" t="str">
        <f t="shared" si="2126"/>
        <v/>
      </c>
      <c r="FC129" s="66" t="str">
        <f t="shared" si="2127"/>
        <v/>
      </c>
      <c r="FD129" s="66" t="str">
        <f t="shared" si="2128"/>
        <v/>
      </c>
      <c r="FE129" s="66" t="str">
        <f t="shared" si="2129"/>
        <v/>
      </c>
      <c r="FF129" s="66" t="str">
        <f t="shared" si="2130"/>
        <v/>
      </c>
      <c r="FG129" s="66" t="str">
        <f t="shared" si="2131"/>
        <v/>
      </c>
      <c r="FH129" s="66" t="str">
        <f t="shared" si="2132"/>
        <v/>
      </c>
      <c r="FI129" s="66" t="str">
        <f t="shared" si="2133"/>
        <v/>
      </c>
      <c r="FJ129" s="66" t="str">
        <f t="shared" si="2134"/>
        <v/>
      </c>
      <c r="FK129" s="66" t="str">
        <f t="shared" si="2135"/>
        <v/>
      </c>
      <c r="FL129" s="66" t="str">
        <f t="shared" si="2136"/>
        <v/>
      </c>
      <c r="FM129" s="66" t="str">
        <f t="shared" si="2137"/>
        <v/>
      </c>
      <c r="FN129" s="66" t="str">
        <f t="shared" si="2138"/>
        <v/>
      </c>
      <c r="FO129" s="66" t="str">
        <f t="shared" si="2139"/>
        <v/>
      </c>
      <c r="FP129" s="66" t="str">
        <f t="shared" si="2140"/>
        <v/>
      </c>
      <c r="FQ129" s="66" t="str">
        <f t="shared" si="2141"/>
        <v/>
      </c>
      <c r="FR129" s="66" t="str">
        <f t="shared" si="2142"/>
        <v/>
      </c>
      <c r="FS129" s="66" t="str">
        <f t="shared" si="2143"/>
        <v/>
      </c>
    </row>
    <row r="130" spans="1:175" ht="16.5">
      <c r="A130" s="9"/>
      <c r="B130" s="17" t="s">
        <v>513</v>
      </c>
      <c r="C130" s="18" t="s">
        <v>514</v>
      </c>
      <c r="T130" s="19" t="s">
        <v>515</v>
      </c>
      <c r="U130" s="77" t="str">
        <f t="shared" si="1549"/>
        <v>ReplaceableTextures\\CommandButtons\\BTNIN11.blp</v>
      </c>
      <c r="CN130" s="36" t="str">
        <f t="shared" si="2067"/>
        <v>InitUnitState('IN11',,,,,,,,,,)</v>
      </c>
      <c r="CO130" s="36" t="str">
        <f t="shared" si="2068"/>
        <v>InitUnitNormal('IN11',,,,,,,,,,)</v>
      </c>
      <c r="CP130" s="36" t="str">
        <f t="shared" si="2069"/>
        <v>InitUnitMagic('IN11',,,,,,,,,,)</v>
      </c>
      <c r="CQ130" s="36" t="str">
        <f t="shared" si="2070"/>
        <v>InitUnitAdd('IN11',,,,,,,,,,)</v>
      </c>
      <c r="CR130" s="36" t="str">
        <f t="shared" si="2071"/>
        <v>InitEquipData('IN11',,"",,,,,'','','','','','',"ReplaceableTextures\\CommandButtons\\BTNIT05.blp")</v>
      </c>
      <c r="CU130" s="88" t="str">
        <f t="shared" si="2072"/>
        <v>|n</v>
      </c>
      <c r="CV130" s="19" t="str">
        <f t="shared" si="2073"/>
        <v>|CffFFD24D5|r秒内提高|Cffffd24d100%|r物理伤害</v>
      </c>
      <c r="CW130" s="33"/>
      <c r="CX130" s="33"/>
      <c r="CY130" s="33"/>
      <c r="CZ130" s="33"/>
      <c r="DA130" s="33"/>
      <c r="DB130" s="66" t="str">
        <f t="shared" si="2074"/>
        <v/>
      </c>
      <c r="DC130" s="66" t="str">
        <f t="shared" si="2075"/>
        <v/>
      </c>
      <c r="DD130" s="66" t="str">
        <f t="shared" si="2076"/>
        <v/>
      </c>
      <c r="DE130" s="66" t="str">
        <f t="shared" si="2077"/>
        <v/>
      </c>
      <c r="DF130" s="66" t="str">
        <f t="shared" si="2078"/>
        <v/>
      </c>
      <c r="DG130" s="66" t="str">
        <f t="shared" si="2079"/>
        <v/>
      </c>
      <c r="DH130" s="66" t="str">
        <f t="shared" si="2080"/>
        <v/>
      </c>
      <c r="DI130" s="66" t="str">
        <f t="shared" si="2081"/>
        <v/>
      </c>
      <c r="DJ130" s="66" t="str">
        <f t="shared" si="2082"/>
        <v/>
      </c>
      <c r="DK130" s="66" t="str">
        <f t="shared" si="2083"/>
        <v/>
      </c>
      <c r="DL130" s="66" t="str">
        <f t="shared" si="2084"/>
        <v/>
      </c>
      <c r="DM130" s="66" t="str">
        <f t="shared" si="2085"/>
        <v/>
      </c>
      <c r="DN130" s="66" t="str">
        <f t="shared" si="2086"/>
        <v/>
      </c>
      <c r="DO130" s="66" t="str">
        <f t="shared" si="2087"/>
        <v/>
      </c>
      <c r="DP130" s="66" t="str">
        <f t="shared" si="2088"/>
        <v/>
      </c>
      <c r="DQ130" s="66" t="str">
        <f t="shared" si="2089"/>
        <v/>
      </c>
      <c r="DR130" s="66" t="str">
        <f t="shared" si="2090"/>
        <v/>
      </c>
      <c r="DS130" s="66" t="str">
        <f t="shared" si="2091"/>
        <v/>
      </c>
      <c r="DT130" s="66" t="str">
        <f t="shared" si="2092"/>
        <v/>
      </c>
      <c r="DU130" s="66" t="str">
        <f t="shared" si="2093"/>
        <v/>
      </c>
      <c r="DV130" s="66" t="str">
        <f t="shared" si="2094"/>
        <v/>
      </c>
      <c r="DW130" s="66" t="str">
        <f t="shared" si="2095"/>
        <v/>
      </c>
      <c r="DX130" s="66" t="str">
        <f t="shared" si="2096"/>
        <v/>
      </c>
      <c r="DY130" s="66" t="str">
        <f t="shared" si="2097"/>
        <v/>
      </c>
      <c r="DZ130" s="66" t="str">
        <f t="shared" si="2098"/>
        <v/>
      </c>
      <c r="EA130" s="66" t="str">
        <f t="shared" si="2099"/>
        <v/>
      </c>
      <c r="EB130" s="66" t="str">
        <f t="shared" si="2100"/>
        <v/>
      </c>
      <c r="EC130" s="66" t="str">
        <f t="shared" si="2101"/>
        <v/>
      </c>
      <c r="ED130" s="66" t="str">
        <f t="shared" si="2102"/>
        <v/>
      </c>
      <c r="EE130" s="66" t="str">
        <f t="shared" si="2103"/>
        <v/>
      </c>
      <c r="EF130" s="66" t="str">
        <f t="shared" si="2104"/>
        <v/>
      </c>
      <c r="EG130" s="66" t="str">
        <f t="shared" si="2105"/>
        <v/>
      </c>
      <c r="EH130" s="66" t="str">
        <f t="shared" si="2106"/>
        <v/>
      </c>
      <c r="EI130" s="66" t="str">
        <f t="shared" si="2107"/>
        <v/>
      </c>
      <c r="EJ130" s="66" t="str">
        <f t="shared" si="2108"/>
        <v/>
      </c>
      <c r="EK130" s="66" t="str">
        <f t="shared" si="2109"/>
        <v/>
      </c>
      <c r="EL130" s="66" t="str">
        <f t="shared" si="2110"/>
        <v/>
      </c>
      <c r="EM130" s="66" t="str">
        <f t="shared" si="2111"/>
        <v/>
      </c>
      <c r="EN130" s="66" t="str">
        <f t="shared" si="2112"/>
        <v/>
      </c>
      <c r="EO130" s="66" t="str">
        <f t="shared" si="2113"/>
        <v/>
      </c>
      <c r="EP130" s="66" t="str">
        <f t="shared" si="2114"/>
        <v/>
      </c>
      <c r="EQ130" s="66" t="str">
        <f t="shared" si="2115"/>
        <v/>
      </c>
      <c r="ER130" s="66" t="str">
        <f t="shared" si="2116"/>
        <v/>
      </c>
      <c r="ES130" s="66" t="str">
        <f t="shared" si="2117"/>
        <v/>
      </c>
      <c r="ET130" s="66" t="str">
        <f t="shared" si="2118"/>
        <v/>
      </c>
      <c r="EU130" s="66" t="str">
        <f t="shared" si="2119"/>
        <v/>
      </c>
      <c r="EV130" s="66" t="str">
        <f t="shared" si="2120"/>
        <v/>
      </c>
      <c r="EW130" s="66" t="str">
        <f t="shared" si="2121"/>
        <v/>
      </c>
      <c r="EX130" s="66" t="str">
        <f t="shared" si="2122"/>
        <v/>
      </c>
      <c r="EY130" s="66" t="str">
        <f t="shared" si="2123"/>
        <v/>
      </c>
      <c r="EZ130" s="66" t="str">
        <f t="shared" si="2124"/>
        <v/>
      </c>
      <c r="FA130" s="66" t="str">
        <f t="shared" si="2125"/>
        <v/>
      </c>
      <c r="FB130" s="66" t="str">
        <f t="shared" si="2126"/>
        <v/>
      </c>
      <c r="FC130" s="66" t="str">
        <f t="shared" si="2127"/>
        <v/>
      </c>
      <c r="FD130" s="66" t="str">
        <f t="shared" si="2128"/>
        <v/>
      </c>
      <c r="FE130" s="66" t="str">
        <f t="shared" si="2129"/>
        <v/>
      </c>
      <c r="FF130" s="66" t="str">
        <f t="shared" si="2130"/>
        <v/>
      </c>
      <c r="FG130" s="66" t="str">
        <f t="shared" si="2131"/>
        <v/>
      </c>
      <c r="FH130" s="66" t="str">
        <f t="shared" si="2132"/>
        <v/>
      </c>
      <c r="FI130" s="66" t="str">
        <f t="shared" si="2133"/>
        <v/>
      </c>
      <c r="FJ130" s="66" t="str">
        <f t="shared" si="2134"/>
        <v/>
      </c>
      <c r="FK130" s="66" t="str">
        <f t="shared" si="2135"/>
        <v/>
      </c>
      <c r="FL130" s="66" t="str">
        <f t="shared" si="2136"/>
        <v/>
      </c>
      <c r="FM130" s="66" t="str">
        <f t="shared" si="2137"/>
        <v/>
      </c>
      <c r="FN130" s="66" t="str">
        <f t="shared" si="2138"/>
        <v/>
      </c>
      <c r="FO130" s="66" t="str">
        <f t="shared" si="2139"/>
        <v/>
      </c>
      <c r="FP130" s="66" t="str">
        <f t="shared" si="2140"/>
        <v/>
      </c>
      <c r="FQ130" s="66" t="str">
        <f t="shared" si="2141"/>
        <v/>
      </c>
      <c r="FR130" s="66" t="str">
        <f t="shared" si="2142"/>
        <v/>
      </c>
      <c r="FS130" s="66" t="str">
        <f t="shared" si="2143"/>
        <v/>
      </c>
    </row>
    <row r="131" spans="1:175" ht="16.5">
      <c r="A131" s="9"/>
      <c r="B131" s="17" t="s">
        <v>516</v>
      </c>
      <c r="C131" s="18" t="s">
        <v>517</v>
      </c>
      <c r="T131" s="19" t="s">
        <v>518</v>
      </c>
      <c r="U131" s="77" t="str">
        <f t="shared" si="1549"/>
        <v>ReplaceableTextures\\CommandButtons\\BTNIN12.blp</v>
      </c>
      <c r="CN131" s="36" t="str">
        <f t="shared" si="2067"/>
        <v>InitUnitState('IN12',,,,,,,,,,)</v>
      </c>
      <c r="CO131" s="36" t="str">
        <f t="shared" si="2068"/>
        <v>InitUnitNormal('IN12',,,,,,,,,,)</v>
      </c>
      <c r="CP131" s="36" t="str">
        <f t="shared" si="2069"/>
        <v>InitUnitMagic('IN12',,,,,,,,,,)</v>
      </c>
      <c r="CQ131" s="36" t="str">
        <f t="shared" si="2070"/>
        <v>InitUnitAdd('IN12',,,,,,,,,,)</v>
      </c>
      <c r="CR131" s="36" t="str">
        <f t="shared" si="2071"/>
        <v>InitEquipData('IN12',,"",,,,,'','','','','','',"ReplaceableTextures\\CommandButtons\\BTNIT06.blp")</v>
      </c>
      <c r="CU131" s="88" t="str">
        <f t="shared" si="2072"/>
        <v>|n</v>
      </c>
      <c r="CV131" s="19" t="str">
        <f t="shared" si="2073"/>
        <v>在|Cffffd24d基地-周文王|r附近召唤|Cffffd24d1|r个|Cffffd24d黑市商店|r，仅存在|Cffffd24d30|r秒。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spans="1:175" ht="16.5">
      <c r="A132" s="9"/>
      <c r="B132" s="17" t="s">
        <v>519</v>
      </c>
      <c r="C132" s="18" t="s">
        <v>520</v>
      </c>
      <c r="T132" s="19" t="s">
        <v>521</v>
      </c>
      <c r="U132" s="77" t="str">
        <f t="shared" si="1549"/>
        <v>ReplaceableTextures\\CommandButtons\\BTNIN13.blp</v>
      </c>
      <c r="CN132" s="36" t="str">
        <f t="shared" si="2067"/>
        <v>InitUnitState('IN13',,,,,,,,,,)</v>
      </c>
      <c r="CO132" s="36" t="str">
        <f t="shared" si="2068"/>
        <v>InitUnitNormal('IN13',,,,,,,,,,)</v>
      </c>
      <c r="CP132" s="36" t="str">
        <f t="shared" si="2069"/>
        <v>InitUnitMagic('IN13',,,,,,,,,,)</v>
      </c>
      <c r="CQ132" s="36" t="str">
        <f t="shared" si="2070"/>
        <v>InitUnitAdd('IN13',,,,,,,,,,)</v>
      </c>
      <c r="CR132" s="36" t="str">
        <f t="shared" si="2071"/>
        <v>InitEquipData('IN13',,"",,,,,'','','','','','',"ReplaceableTextures\\CommandButtons\\BTNIT07.blp")</v>
      </c>
      <c r="CU132" s="88" t="str">
        <f t="shared" si="1919"/>
        <v>|n</v>
      </c>
      <c r="CV132" s="19" t="str">
        <f t="shared" si="1920"/>
        <v>场上存活的队友|Cffffd24d10|r秒内提高|Cffffd24d30%|r法术伤害</v>
      </c>
      <c r="CW132" s="33"/>
      <c r="CX132" s="33"/>
      <c r="CY132" s="33"/>
      <c r="CZ132" s="33"/>
      <c r="DA132" s="33"/>
      <c r="DB132" s="66" t="str">
        <f t="shared" si="1921"/>
        <v/>
      </c>
      <c r="DC132" s="66" t="str">
        <f t="shared" si="1922"/>
        <v/>
      </c>
      <c r="DD132" s="66" t="str">
        <f t="shared" si="1923"/>
        <v/>
      </c>
      <c r="DE132" s="66" t="str">
        <f t="shared" si="1924"/>
        <v/>
      </c>
      <c r="DF132" s="66" t="str">
        <f t="shared" si="1925"/>
        <v/>
      </c>
      <c r="DG132" s="66" t="str">
        <f t="shared" si="1926"/>
        <v/>
      </c>
      <c r="DH132" s="66" t="str">
        <f t="shared" si="1927"/>
        <v/>
      </c>
      <c r="DI132" s="66" t="str">
        <f t="shared" si="1928"/>
        <v/>
      </c>
      <c r="DJ132" s="66" t="str">
        <f t="shared" si="1929"/>
        <v/>
      </c>
      <c r="DK132" s="66" t="str">
        <f t="shared" si="1930"/>
        <v/>
      </c>
      <c r="DL132" s="66" t="str">
        <f t="shared" si="1931"/>
        <v/>
      </c>
      <c r="DM132" s="66" t="str">
        <f t="shared" si="1932"/>
        <v/>
      </c>
      <c r="DN132" s="66" t="str">
        <f t="shared" si="1933"/>
        <v/>
      </c>
      <c r="DO132" s="66" t="str">
        <f t="shared" si="1934"/>
        <v/>
      </c>
      <c r="DP132" s="66" t="str">
        <f t="shared" si="1935"/>
        <v/>
      </c>
      <c r="DQ132" s="66" t="str">
        <f t="shared" si="1936"/>
        <v/>
      </c>
      <c r="DR132" s="66" t="str">
        <f t="shared" si="1937"/>
        <v/>
      </c>
      <c r="DS132" s="66" t="str">
        <f t="shared" si="1938"/>
        <v/>
      </c>
      <c r="DT132" s="66" t="str">
        <f t="shared" si="1939"/>
        <v/>
      </c>
      <c r="DU132" s="66" t="str">
        <f t="shared" si="1940"/>
        <v/>
      </c>
      <c r="DV132" s="66" t="str">
        <f t="shared" si="1941"/>
        <v/>
      </c>
      <c r="DW132" s="66" t="str">
        <f t="shared" si="1942"/>
        <v/>
      </c>
      <c r="DX132" s="66" t="str">
        <f t="shared" si="1943"/>
        <v/>
      </c>
      <c r="DY132" s="66" t="str">
        <f t="shared" si="1944"/>
        <v/>
      </c>
      <c r="DZ132" s="66" t="str">
        <f t="shared" si="1945"/>
        <v/>
      </c>
      <c r="EA132" s="66" t="str">
        <f t="shared" si="1946"/>
        <v/>
      </c>
      <c r="EB132" s="66" t="str">
        <f t="shared" si="1947"/>
        <v/>
      </c>
      <c r="EC132" s="66" t="str">
        <f t="shared" si="1948"/>
        <v/>
      </c>
      <c r="ED132" s="66" t="str">
        <f t="shared" si="1949"/>
        <v/>
      </c>
      <c r="EE132" s="66" t="str">
        <f t="shared" si="1950"/>
        <v/>
      </c>
      <c r="EF132" s="66" t="str">
        <f t="shared" si="1951"/>
        <v/>
      </c>
      <c r="EG132" s="66" t="str">
        <f t="shared" si="1952"/>
        <v/>
      </c>
      <c r="EH132" s="66" t="str">
        <f t="shared" si="1953"/>
        <v/>
      </c>
      <c r="EI132" s="66" t="str">
        <f t="shared" si="1954"/>
        <v/>
      </c>
      <c r="EJ132" s="66" t="str">
        <f t="shared" si="1955"/>
        <v/>
      </c>
      <c r="EK132" s="66" t="str">
        <f t="shared" si="1956"/>
        <v/>
      </c>
      <c r="EL132" s="66" t="str">
        <f t="shared" si="1957"/>
        <v/>
      </c>
      <c r="EM132" s="66" t="str">
        <f t="shared" si="1958"/>
        <v/>
      </c>
      <c r="EN132" s="66" t="str">
        <f t="shared" si="1959"/>
        <v/>
      </c>
      <c r="EO132" s="66" t="str">
        <f t="shared" si="1960"/>
        <v/>
      </c>
      <c r="EP132" s="66" t="str">
        <f t="shared" si="1961"/>
        <v/>
      </c>
      <c r="EQ132" s="66" t="str">
        <f t="shared" si="1962"/>
        <v/>
      </c>
      <c r="ER132" s="66" t="str">
        <f t="shared" si="1963"/>
        <v/>
      </c>
      <c r="ES132" s="66" t="str">
        <f t="shared" si="1964"/>
        <v/>
      </c>
      <c r="ET132" s="66" t="str">
        <f t="shared" si="1965"/>
        <v/>
      </c>
      <c r="EU132" s="66" t="str">
        <f t="shared" si="1966"/>
        <v/>
      </c>
      <c r="EV132" s="66" t="str">
        <f t="shared" si="1967"/>
        <v/>
      </c>
      <c r="EW132" s="66" t="str">
        <f t="shared" si="1968"/>
        <v/>
      </c>
      <c r="EX132" s="66" t="str">
        <f t="shared" si="1969"/>
        <v/>
      </c>
      <c r="EY132" s="66" t="str">
        <f t="shared" si="1970"/>
        <v/>
      </c>
      <c r="EZ132" s="66" t="str">
        <f t="shared" si="1971"/>
        <v/>
      </c>
      <c r="FA132" s="66" t="str">
        <f t="shared" si="1972"/>
        <v/>
      </c>
      <c r="FB132" s="66" t="str">
        <f t="shared" si="1973"/>
        <v/>
      </c>
      <c r="FC132" s="66" t="str">
        <f t="shared" si="1974"/>
        <v/>
      </c>
      <c r="FD132" s="66" t="str">
        <f t="shared" si="1975"/>
        <v/>
      </c>
      <c r="FE132" s="66" t="str">
        <f t="shared" si="1976"/>
        <v/>
      </c>
      <c r="FF132" s="66" t="str">
        <f t="shared" si="1977"/>
        <v/>
      </c>
      <c r="FG132" s="66" t="str">
        <f t="shared" si="1978"/>
        <v/>
      </c>
      <c r="FH132" s="66" t="str">
        <f t="shared" si="1979"/>
        <v/>
      </c>
      <c r="FI132" s="66" t="str">
        <f t="shared" si="1980"/>
        <v/>
      </c>
      <c r="FJ132" s="66" t="str">
        <f t="shared" si="1981"/>
        <v/>
      </c>
      <c r="FK132" s="66" t="str">
        <f t="shared" si="1982"/>
        <v/>
      </c>
      <c r="FL132" s="66" t="str">
        <f t="shared" si="1983"/>
        <v/>
      </c>
      <c r="FM132" s="66" t="str">
        <f t="shared" si="1984"/>
        <v/>
      </c>
      <c r="FN132" s="66" t="str">
        <f t="shared" si="1985"/>
        <v/>
      </c>
      <c r="FO132" s="66" t="str">
        <f t="shared" si="1986"/>
        <v/>
      </c>
      <c r="FP132" s="66" t="str">
        <f t="shared" si="1987"/>
        <v/>
      </c>
      <c r="FQ132" s="66" t="str">
        <f t="shared" si="1988"/>
        <v/>
      </c>
      <c r="FR132" s="66" t="str">
        <f t="shared" si="1989"/>
        <v/>
      </c>
      <c r="FS132" s="66" t="str">
        <f t="shared" si="1990"/>
        <v/>
      </c>
    </row>
    <row r="133" spans="1:175" ht="16.5">
      <c r="A133" s="9"/>
      <c r="B133" s="17" t="s">
        <v>522</v>
      </c>
      <c r="C133" s="18" t="s">
        <v>523</v>
      </c>
      <c r="T133" s="100" t="s">
        <v>524</v>
      </c>
      <c r="U133" s="77" t="str">
        <f t="shared" si="1549"/>
        <v>ReplaceableTextures\\CommandButtons\\BTNIN14.blp</v>
      </c>
      <c r="CN133" s="36" t="str">
        <f t="shared" si="2067"/>
        <v>InitUnitState('IN14',,,,,,,,,,)</v>
      </c>
      <c r="CO133" s="36" t="str">
        <f t="shared" si="2068"/>
        <v>InitUnitNormal('IN14',,,,,,,,,,)</v>
      </c>
      <c r="CP133" s="36" t="str">
        <f t="shared" si="2069"/>
        <v>InitUnitMagic('IN14',,,,,,,,,,)</v>
      </c>
      <c r="CQ133" s="36" t="str">
        <f t="shared" si="2070"/>
        <v>InitUnitAdd('IN14',,,,,,,,,,)</v>
      </c>
      <c r="CR133" s="36" t="str">
        <f t="shared" si="2071"/>
        <v>InitEquipData('IN14',,"",,,,,'','','','','','',"ReplaceableTextures\\CommandButtons\\BTNIT08.blp")</v>
      </c>
      <c r="CU133" s="88" t="str">
        <f t="shared" si="1919"/>
        <v>|n</v>
      </c>
      <c r="CV133" s="19" t="str">
        <f t="shared" si="1920"/>
        <v>使用后基地无敌|Cffffd24d5|r秒。</v>
      </c>
      <c r="CW133" s="33"/>
      <c r="CX133" s="33"/>
      <c r="CY133" s="33"/>
      <c r="CZ133" s="33"/>
      <c r="DA133" s="33"/>
      <c r="DB133" s="66" t="str">
        <f t="shared" si="1921"/>
        <v/>
      </c>
      <c r="DC133" s="66" t="str">
        <f t="shared" si="1922"/>
        <v/>
      </c>
      <c r="DD133" s="66" t="str">
        <f t="shared" si="1923"/>
        <v/>
      </c>
      <c r="DE133" s="66" t="str">
        <f t="shared" si="1924"/>
        <v/>
      </c>
      <c r="DF133" s="66" t="str">
        <f t="shared" si="1925"/>
        <v/>
      </c>
      <c r="DG133" s="66" t="str">
        <f t="shared" si="1926"/>
        <v/>
      </c>
      <c r="DH133" s="66" t="str">
        <f t="shared" si="1927"/>
        <v/>
      </c>
      <c r="DI133" s="66" t="str">
        <f t="shared" si="1928"/>
        <v/>
      </c>
      <c r="DJ133" s="66" t="str">
        <f t="shared" si="1929"/>
        <v/>
      </c>
      <c r="DK133" s="66" t="str">
        <f t="shared" si="1930"/>
        <v/>
      </c>
      <c r="DL133" s="66" t="str">
        <f t="shared" si="1931"/>
        <v/>
      </c>
      <c r="DM133" s="66" t="str">
        <f t="shared" si="1932"/>
        <v/>
      </c>
      <c r="DN133" s="66" t="str">
        <f t="shared" si="1933"/>
        <v/>
      </c>
      <c r="DO133" s="66" t="str">
        <f t="shared" si="1934"/>
        <v/>
      </c>
      <c r="DP133" s="66" t="str">
        <f t="shared" si="1935"/>
        <v/>
      </c>
      <c r="DQ133" s="66" t="str">
        <f t="shared" si="1936"/>
        <v/>
      </c>
      <c r="DR133" s="66" t="str">
        <f t="shared" si="1937"/>
        <v/>
      </c>
      <c r="DS133" s="66" t="str">
        <f t="shared" si="1938"/>
        <v/>
      </c>
      <c r="DT133" s="66" t="str">
        <f t="shared" si="1939"/>
        <v/>
      </c>
      <c r="DU133" s="66" t="str">
        <f t="shared" si="1940"/>
        <v/>
      </c>
      <c r="DV133" s="66" t="str">
        <f t="shared" si="1941"/>
        <v/>
      </c>
      <c r="DW133" s="66" t="str">
        <f t="shared" si="1942"/>
        <v/>
      </c>
      <c r="DX133" s="66" t="str">
        <f t="shared" si="1943"/>
        <v/>
      </c>
      <c r="DY133" s="66" t="str">
        <f t="shared" si="1944"/>
        <v/>
      </c>
      <c r="DZ133" s="66" t="str">
        <f t="shared" si="1945"/>
        <v/>
      </c>
      <c r="EA133" s="66" t="str">
        <f t="shared" si="1946"/>
        <v/>
      </c>
      <c r="EB133" s="66" t="str">
        <f t="shared" si="1947"/>
        <v/>
      </c>
      <c r="EC133" s="66" t="str">
        <f t="shared" si="1948"/>
        <v/>
      </c>
      <c r="ED133" s="66" t="str">
        <f t="shared" si="1949"/>
        <v/>
      </c>
      <c r="EE133" s="66" t="str">
        <f t="shared" si="1950"/>
        <v/>
      </c>
      <c r="EF133" s="66" t="str">
        <f t="shared" si="1951"/>
        <v/>
      </c>
      <c r="EG133" s="66" t="str">
        <f t="shared" si="1952"/>
        <v/>
      </c>
      <c r="EH133" s="66" t="str">
        <f t="shared" si="1953"/>
        <v/>
      </c>
      <c r="EI133" s="66" t="str">
        <f t="shared" si="1954"/>
        <v/>
      </c>
      <c r="EJ133" s="66" t="str">
        <f t="shared" si="1955"/>
        <v/>
      </c>
      <c r="EK133" s="66" t="str">
        <f t="shared" si="1956"/>
        <v/>
      </c>
      <c r="EL133" s="66" t="str">
        <f t="shared" si="1957"/>
        <v/>
      </c>
      <c r="EM133" s="66" t="str">
        <f t="shared" si="1958"/>
        <v/>
      </c>
      <c r="EN133" s="66" t="str">
        <f t="shared" si="1959"/>
        <v/>
      </c>
      <c r="EO133" s="66" t="str">
        <f t="shared" si="1960"/>
        <v/>
      </c>
      <c r="EP133" s="66" t="str">
        <f t="shared" si="1961"/>
        <v/>
      </c>
      <c r="EQ133" s="66" t="str">
        <f t="shared" si="1962"/>
        <v/>
      </c>
      <c r="ER133" s="66" t="str">
        <f t="shared" si="1963"/>
        <v/>
      </c>
      <c r="ES133" s="66" t="str">
        <f t="shared" si="1964"/>
        <v/>
      </c>
      <c r="ET133" s="66" t="str">
        <f t="shared" si="1965"/>
        <v/>
      </c>
      <c r="EU133" s="66" t="str">
        <f t="shared" si="1966"/>
        <v/>
      </c>
      <c r="EV133" s="66" t="str">
        <f t="shared" si="1967"/>
        <v/>
      </c>
      <c r="EW133" s="66" t="str">
        <f t="shared" si="1968"/>
        <v/>
      </c>
      <c r="EX133" s="66" t="str">
        <f t="shared" si="1969"/>
        <v/>
      </c>
      <c r="EY133" s="66" t="str">
        <f t="shared" si="1970"/>
        <v/>
      </c>
      <c r="EZ133" s="66" t="str">
        <f t="shared" si="1971"/>
        <v/>
      </c>
      <c r="FA133" s="66" t="str">
        <f t="shared" si="1972"/>
        <v/>
      </c>
      <c r="FB133" s="66" t="str">
        <f t="shared" si="1973"/>
        <v/>
      </c>
      <c r="FC133" s="66" t="str">
        <f t="shared" si="1974"/>
        <v/>
      </c>
      <c r="FD133" s="66" t="str">
        <f t="shared" si="1975"/>
        <v/>
      </c>
      <c r="FE133" s="66" t="str">
        <f t="shared" si="1976"/>
        <v/>
      </c>
      <c r="FF133" s="66" t="str">
        <f t="shared" si="1977"/>
        <v/>
      </c>
      <c r="FG133" s="66" t="str">
        <f t="shared" si="1978"/>
        <v/>
      </c>
      <c r="FH133" s="66" t="str">
        <f t="shared" si="1979"/>
        <v/>
      </c>
      <c r="FI133" s="66" t="str">
        <f t="shared" si="1980"/>
        <v/>
      </c>
      <c r="FJ133" s="66" t="str">
        <f t="shared" si="1981"/>
        <v/>
      </c>
      <c r="FK133" s="66" t="str">
        <f t="shared" si="1982"/>
        <v/>
      </c>
      <c r="FL133" s="66" t="str">
        <f t="shared" si="1983"/>
        <v/>
      </c>
      <c r="FM133" s="66" t="str">
        <f t="shared" si="1984"/>
        <v/>
      </c>
      <c r="FN133" s="66" t="str">
        <f t="shared" si="1985"/>
        <v/>
      </c>
      <c r="FO133" s="66" t="str">
        <f t="shared" si="1986"/>
        <v/>
      </c>
      <c r="FP133" s="66" t="str">
        <f t="shared" si="1987"/>
        <v/>
      </c>
      <c r="FQ133" s="66" t="str">
        <f t="shared" si="1988"/>
        <v/>
      </c>
      <c r="FR133" s="66" t="str">
        <f t="shared" si="1989"/>
        <v/>
      </c>
      <c r="FS133" s="66" t="str">
        <f t="shared" si="1990"/>
        <v/>
      </c>
    </row>
    <row r="134" spans="1:175" ht="28.5">
      <c r="A134" s="9"/>
      <c r="B134" s="17" t="s">
        <v>525</v>
      </c>
      <c r="C134" s="18" t="s">
        <v>526</v>
      </c>
      <c r="T134" s="101" t="s">
        <v>527</v>
      </c>
      <c r="U134" s="77" t="str">
        <f t="shared" si="1549"/>
        <v>ReplaceableTextures\\CommandButtons\\BTNIN15.blp</v>
      </c>
      <c r="CN134" s="36" t="str">
        <f t="shared" si="2067"/>
        <v>InitUnitState('IN15',,,,,,,,,,)</v>
      </c>
      <c r="CO134" s="36" t="str">
        <f t="shared" si="2068"/>
        <v>InitUnitNormal('IN15',,,,,,,,,,)</v>
      </c>
      <c r="CP134" s="36" t="str">
        <f t="shared" si="2069"/>
        <v>InitUnitMagic('IN15',,,,,,,,,,)</v>
      </c>
      <c r="CQ134" s="36" t="str">
        <f t="shared" si="2070"/>
        <v>InitUnitAdd('IN15',,,,,,,,,,)</v>
      </c>
      <c r="CR134" s="36" t="str">
        <f t="shared" si="2071"/>
        <v>InitEquipData('IN15',,"",,,,,'','','','','','',"ReplaceableTextures\\CommandButtons\\BTNIT09.blp")</v>
      </c>
      <c r="CU134" s="88" t="str">
        <f t="shared" ref="CU134:CU136" si="214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19" t="str">
        <f t="shared" ref="CV134:CV136" si="2145">T134</f>
        <v>场上存活的队友|Cffffd24d10|r秒内减少|Cffffd24d20%|r承受伤害</v>
      </c>
      <c r="CW134" s="33"/>
      <c r="CX134" s="33"/>
      <c r="CY134" s="33"/>
      <c r="CZ134" s="33"/>
      <c r="DA134" s="33"/>
      <c r="DB134" s="66" t="str">
        <f t="shared" ref="DB134:DB136" si="2146">IF(V134="","","|n"&amp;DB$2&amp;"+"&amp;V134&amp;DB$1)</f>
        <v/>
      </c>
      <c r="DC134" s="66" t="str">
        <f t="shared" ref="DC134:DC136" si="2147">IF(W134="","","|n"&amp;DC$2&amp;"+"&amp;W134&amp;DC$1)</f>
        <v/>
      </c>
      <c r="DD134" s="66" t="str">
        <f t="shared" ref="DD134:DD136" si="2148">IF(X134="","","|n"&amp;DD$2&amp;"+"&amp;X134&amp;DD$1)</f>
        <v/>
      </c>
      <c r="DE134" s="66" t="str">
        <f t="shared" ref="DE134:DE136" si="2149">IF(Y134="","","|n"&amp;DE$2&amp;"+"&amp;Y134&amp;DE$1)</f>
        <v/>
      </c>
      <c r="DF134" s="66" t="str">
        <f t="shared" ref="DF134:DF136" si="2150">IF(Z134="","","|n"&amp;DF$2&amp;"+"&amp;Z134&amp;DF$1)</f>
        <v/>
      </c>
      <c r="DG134" s="66" t="str">
        <f t="shared" ref="DG134:DG136" si="2151">IF(AA134="","","|n"&amp;DG$2&amp;"+"&amp;AA134&amp;DG$1)</f>
        <v/>
      </c>
      <c r="DH134" s="66" t="str">
        <f t="shared" ref="DH134:DH136" si="2152">IF(AB134="","","|n"&amp;DH$2&amp;"+"&amp;AB134&amp;DH$1)</f>
        <v/>
      </c>
      <c r="DI134" s="66" t="str">
        <f t="shared" ref="DI134:DI136" si="2153">IF(AC134="","","|n"&amp;DI$2&amp;"+"&amp;AC134&amp;DI$1)</f>
        <v/>
      </c>
      <c r="DJ134" s="66" t="str">
        <f t="shared" ref="DJ134:DJ136" si="2154">IF(AD134="","","|n"&amp;DJ$2&amp;"+"&amp;AD134&amp;DJ$1)</f>
        <v/>
      </c>
      <c r="DK134" s="66" t="str">
        <f t="shared" ref="DK134:DK136" si="2155">IF(AE134="","","|n"&amp;DK$2&amp;"+"&amp;AE134&amp;DK$1)</f>
        <v/>
      </c>
      <c r="DL134" s="66" t="str">
        <f t="shared" ref="DL134:DL136" si="2156">IF(AF134="","","|n"&amp;DL$2&amp;"+"&amp;AF134&amp;DL$1)</f>
        <v/>
      </c>
      <c r="DM134" s="66" t="str">
        <f t="shared" ref="DM134:DM136" si="2157">IF(AG134="","","|n"&amp;DM$2&amp;"+"&amp;AG134&amp;DM$1)</f>
        <v/>
      </c>
      <c r="DN134" s="66" t="str">
        <f t="shared" ref="DN134:DN136" si="2158">IF(AH134="","","|n"&amp;DN$2&amp;"+"&amp;AH134&amp;DN$1)</f>
        <v/>
      </c>
      <c r="DO134" s="66" t="str">
        <f t="shared" ref="DO134:DO136" si="2159">IF(AI134="","","|n"&amp;DO$2&amp;"+"&amp;AI134&amp;DO$1)</f>
        <v/>
      </c>
      <c r="DP134" s="66" t="str">
        <f t="shared" ref="DP134:DP136" si="2160">IF(AJ134="","","|n"&amp;DP$2&amp;"+"&amp;AJ134&amp;DP$1)</f>
        <v/>
      </c>
      <c r="DQ134" s="66" t="str">
        <f t="shared" ref="DQ134:DQ136" si="2161">IF(AK134="","","|n"&amp;DQ$2&amp;"+"&amp;AK134&amp;DQ$1)</f>
        <v/>
      </c>
      <c r="DR134" s="66" t="str">
        <f t="shared" ref="DR134:DR136" si="2162">IF(AL134="","","|n"&amp;DR$2&amp;"+"&amp;AL134&amp;DR$1)</f>
        <v/>
      </c>
      <c r="DS134" s="66" t="str">
        <f t="shared" ref="DS134:DS136" si="2163">IF(AM134="","","|n"&amp;DS$2&amp;"+"&amp;AM134&amp;DS$1)</f>
        <v/>
      </c>
      <c r="DT134" s="66" t="str">
        <f t="shared" ref="DT134:DT136" si="2164">IF(AN134="","","|n"&amp;DT$2&amp;"+"&amp;AN134&amp;DT$1)</f>
        <v/>
      </c>
      <c r="DU134" s="66" t="str">
        <f t="shared" ref="DU134:DU136" si="2165">IF(AO134="","","|n"&amp;DU$2&amp;"+"&amp;AO134&amp;DU$1)</f>
        <v/>
      </c>
      <c r="DV134" s="66" t="str">
        <f t="shared" ref="DV134:DV136" si="2166">IF(AP134="","","|n"&amp;DV$2&amp;"+"&amp;AP134&amp;DV$1)</f>
        <v/>
      </c>
      <c r="DW134" s="66" t="str">
        <f t="shared" ref="DW134:DW136" si="2167">IF(AQ134="","","|n"&amp;DW$2&amp;"+"&amp;AQ134&amp;DW$1)</f>
        <v/>
      </c>
      <c r="DX134" s="66" t="str">
        <f t="shared" ref="DX134:DX136" si="2168">IF(AR134="","","|n"&amp;DX$2&amp;"+"&amp;AR134&amp;DX$1)</f>
        <v/>
      </c>
      <c r="DY134" s="66" t="str">
        <f t="shared" ref="DY134:DY136" si="2169">IF(AS134="","","|n"&amp;DY$2&amp;"+"&amp;AS134&amp;DY$1)</f>
        <v/>
      </c>
      <c r="DZ134" s="66" t="str">
        <f t="shared" ref="DZ134:DZ136" si="2170">IF(AT134="","","|n"&amp;DZ$2&amp;"+"&amp;AT134&amp;DZ$1)</f>
        <v/>
      </c>
      <c r="EA134" s="66" t="str">
        <f t="shared" ref="EA134:EA136" si="2171">IF(AU134="","","|n"&amp;EA$2&amp;"+"&amp;AU134&amp;EA$1)</f>
        <v/>
      </c>
      <c r="EB134" s="66" t="str">
        <f t="shared" ref="EB134:EB136" si="2172">IF(AV134="","","|n"&amp;EB$2&amp;"+"&amp;AV134&amp;EB$1)</f>
        <v/>
      </c>
      <c r="EC134" s="66" t="str">
        <f t="shared" ref="EC134:EC136" si="2173">IF(AW134="","","|n"&amp;EC$2&amp;"+"&amp;AW134&amp;EC$1)</f>
        <v/>
      </c>
      <c r="ED134" s="66" t="str">
        <f t="shared" ref="ED134:ED136" si="2174">IF(AX134="","","|n"&amp;ED$2&amp;"+"&amp;AX134&amp;ED$1)</f>
        <v/>
      </c>
      <c r="EE134" s="66" t="str">
        <f t="shared" ref="EE134:EE136" si="2175">IF(AY134="","","|n"&amp;EE$2&amp;"+"&amp;AY134&amp;EE$1)</f>
        <v/>
      </c>
      <c r="EF134" s="66" t="str">
        <f t="shared" ref="EF134:EF136" si="2176">IF(AZ134="","","|n"&amp;EF$2&amp;"+"&amp;AZ134&amp;EF$1)</f>
        <v/>
      </c>
      <c r="EG134" s="66" t="str">
        <f t="shared" ref="EG134:EG136" si="2177">IF(BA134="","","|n"&amp;EG$2&amp;"+"&amp;BA134&amp;EG$1)</f>
        <v/>
      </c>
      <c r="EH134" s="66" t="str">
        <f t="shared" ref="EH134:EH136" si="2178">IF(BB134="","","|n"&amp;EH$2&amp;"+"&amp;BB134&amp;EH$1)</f>
        <v/>
      </c>
      <c r="EI134" s="66" t="str">
        <f t="shared" ref="EI134:EI136" si="2179">IF(BC134="","","|n"&amp;EI$2&amp;"+"&amp;BC134&amp;EI$1)</f>
        <v/>
      </c>
      <c r="EJ134" s="66" t="str">
        <f t="shared" ref="EJ134:EJ136" si="2180">IF(BD134="","","|n"&amp;EJ$2&amp;"+"&amp;BD134&amp;EJ$1)</f>
        <v/>
      </c>
      <c r="EK134" s="66" t="str">
        <f t="shared" ref="EK134:EK136" si="2181">IF(BE134="","","|n"&amp;EK$2&amp;"+"&amp;BE134&amp;EK$1)</f>
        <v/>
      </c>
      <c r="EL134" s="66" t="str">
        <f t="shared" ref="EL134:EL136" si="2182">IF(BF134="","","|n"&amp;EL$2&amp;"+"&amp;BF134&amp;EL$1)</f>
        <v/>
      </c>
      <c r="EM134" s="66" t="str">
        <f t="shared" ref="EM134:EM136" si="2183">IF(BG134="","","|n"&amp;EM$2&amp;"+"&amp;BG134&amp;EM$1)</f>
        <v/>
      </c>
      <c r="EN134" s="66" t="str">
        <f t="shared" ref="EN134:EN136" si="2184">IF(BH134="","","|n"&amp;EN$2&amp;"+"&amp;BH134&amp;EN$1)</f>
        <v/>
      </c>
      <c r="EO134" s="66" t="str">
        <f t="shared" ref="EO134:EO136" si="2185">IF(BI134="","","|n"&amp;EO$2&amp;"+"&amp;BI134&amp;EO$1)</f>
        <v/>
      </c>
      <c r="EP134" s="66" t="str">
        <f t="shared" ref="EP134:EP136" si="2186">IF(BJ134="","","|n"&amp;EP$2&amp;"+"&amp;BJ134&amp;EP$1)</f>
        <v/>
      </c>
      <c r="EQ134" s="66" t="str">
        <f t="shared" ref="EQ134:EQ136" si="2187">IF(BK134="","","|n"&amp;EQ$2&amp;"+"&amp;BK134&amp;EQ$1)</f>
        <v/>
      </c>
      <c r="ER134" s="66" t="str">
        <f t="shared" ref="ER134:ER136" si="2188">IF(BL134="","","|n"&amp;ER$2&amp;"+"&amp;BL134&amp;ER$1)</f>
        <v/>
      </c>
      <c r="ES134" s="66" t="str">
        <f t="shared" ref="ES134:ES136" si="2189">IF(BM134="","","|n"&amp;ES$2&amp;"+"&amp;BM134&amp;ES$1)</f>
        <v/>
      </c>
      <c r="ET134" s="66" t="str">
        <f t="shared" ref="ET134:ET136" si="2190">IF(BN134="","","|n"&amp;ET$2&amp;"+"&amp;BN134&amp;ET$1)</f>
        <v/>
      </c>
      <c r="EU134" s="66" t="str">
        <f t="shared" ref="EU134:EU136" si="2191">IF(BO134="","","|n"&amp;EU$2&amp;"+"&amp;BO134&amp;EU$1)</f>
        <v/>
      </c>
      <c r="EV134" s="66" t="str">
        <f t="shared" ref="EV134:EV136" si="2192">IF(BP134="","","|n"&amp;EV$2&amp;"+"&amp;BP134&amp;EV$1)</f>
        <v/>
      </c>
      <c r="EW134" s="66" t="str">
        <f t="shared" ref="EW134:EW136" si="2193">IF(BQ134="","","|n"&amp;EW$2&amp;"+"&amp;BQ134&amp;EW$1)</f>
        <v/>
      </c>
      <c r="EX134" s="66" t="str">
        <f t="shared" ref="EX134:EX136" si="2194">IF(BR134="","","|n"&amp;EX$2&amp;"+"&amp;BR134&amp;EX$1)</f>
        <v/>
      </c>
      <c r="EY134" s="66" t="str">
        <f t="shared" ref="EY134:EY136" si="2195">IF(BS134="","","|n"&amp;EY$2&amp;"+"&amp;BS134&amp;EY$1)</f>
        <v/>
      </c>
      <c r="EZ134" s="66" t="str">
        <f t="shared" ref="EZ134:EZ136" si="2196">IF(BT134="","","|n"&amp;EZ$2&amp;"+"&amp;BT134&amp;EZ$1)</f>
        <v/>
      </c>
      <c r="FA134" s="66" t="str">
        <f t="shared" ref="FA134:FA136" si="2197">IF(BU134="","","|n"&amp;FA$2&amp;"+"&amp;BU134&amp;FA$1)</f>
        <v/>
      </c>
      <c r="FB134" s="66" t="str">
        <f t="shared" ref="FB134:FB136" si="2198">IF(BV134="","","|n"&amp;FB$2&amp;"+"&amp;BV134&amp;FB$1)</f>
        <v/>
      </c>
      <c r="FC134" s="66" t="str">
        <f t="shared" ref="FC134:FC136" si="2199">IF(BW134="","","|n"&amp;FC$2&amp;"+"&amp;BW134&amp;FC$1)</f>
        <v/>
      </c>
      <c r="FD134" s="66" t="str">
        <f t="shared" ref="FD134:FD136" si="2200">IF(BX134="","","|n"&amp;FD$2&amp;"+"&amp;BX134&amp;FD$1)</f>
        <v/>
      </c>
      <c r="FE134" s="66" t="str">
        <f t="shared" ref="FE134:FE136" si="2201">IF(BY134="","","|n"&amp;FE$2&amp;"+"&amp;BY134&amp;FE$1)</f>
        <v/>
      </c>
      <c r="FF134" s="66" t="str">
        <f t="shared" ref="FF134:FF136" si="2202">IF(BZ134="","","|n"&amp;FF$2&amp;"+"&amp;BZ134&amp;FF$1)</f>
        <v/>
      </c>
      <c r="FG134" s="66" t="str">
        <f t="shared" ref="FG134:FG136" si="2203">IF(CA134="","","|n"&amp;FG$2&amp;"+"&amp;CA134&amp;FG$1)</f>
        <v/>
      </c>
      <c r="FH134" s="66" t="str">
        <f t="shared" ref="FH134:FH136" si="2204">IF(CB134="","","|n"&amp;FH$2&amp;"+"&amp;CB134&amp;FH$1)</f>
        <v/>
      </c>
      <c r="FI134" s="66" t="str">
        <f t="shared" ref="FI134:FI136" si="2205">IF(CC134="","","|n"&amp;FI$2&amp;"+"&amp;CC134&amp;FI$1)</f>
        <v/>
      </c>
      <c r="FJ134" s="66" t="str">
        <f t="shared" ref="FJ134:FJ136" si="2206">IF(CD134="","","|n"&amp;FJ$2&amp;"+"&amp;CD134&amp;FJ$1)</f>
        <v/>
      </c>
      <c r="FK134" s="66" t="str">
        <f t="shared" ref="FK134:FK136" si="2207">IF(CE134="","","|n"&amp;FK$2&amp;"+"&amp;CE134&amp;FK$1)</f>
        <v/>
      </c>
      <c r="FL134" s="66" t="str">
        <f t="shared" ref="FL134:FL136" si="2208">IF(CF134="","","|n"&amp;FL$2&amp;"+"&amp;CF134&amp;FL$1)</f>
        <v/>
      </c>
      <c r="FM134" s="66" t="str">
        <f t="shared" ref="FM134:FM136" si="2209">IF(CG134="","","|n"&amp;FM$2&amp;"+"&amp;CG134&amp;FM$1)</f>
        <v/>
      </c>
      <c r="FN134" s="66" t="str">
        <f t="shared" ref="FN134:FN136" si="2210">IF(CH134="","","|n"&amp;FN$2&amp;"+"&amp;CH134&amp;FN$1)</f>
        <v/>
      </c>
      <c r="FO134" s="66" t="str">
        <f t="shared" ref="FO134:FO136" si="2211">IF(CI134="","","|n"&amp;FO$2&amp;"+"&amp;CI134&amp;FO$1)</f>
        <v/>
      </c>
      <c r="FP134" s="66" t="str">
        <f t="shared" ref="FP134:FP136" si="2212">IF(CJ134="","","|n"&amp;FP$2&amp;"+"&amp;CJ134&amp;FP$1)</f>
        <v/>
      </c>
      <c r="FQ134" s="66" t="str">
        <f t="shared" ref="FQ134:FQ136" si="2213">IF(CK134="","","|n"&amp;FQ$2&amp;"+"&amp;CK134&amp;FQ$1)</f>
        <v/>
      </c>
      <c r="FR134" s="66" t="str">
        <f t="shared" ref="FR134:FR136" si="2214">IF(CL134="","","|n"&amp;FR$2&amp;"+"&amp;CL134&amp;FR$1)</f>
        <v/>
      </c>
      <c r="FS134" s="66" t="str">
        <f t="shared" ref="FS134:FS136" si="2215">IF(CM134="","","|n"&amp;FS$2&amp;"+"&amp;CM134&amp;FS$1)</f>
        <v/>
      </c>
    </row>
    <row r="135" spans="1:175" ht="42.75">
      <c r="A135" s="9"/>
      <c r="B135" s="17" t="s">
        <v>528</v>
      </c>
      <c r="C135" s="17" t="s">
        <v>529</v>
      </c>
      <c r="T135" s="100" t="s">
        <v>530</v>
      </c>
      <c r="U135" s="77" t="str">
        <f t="shared" si="1549"/>
        <v>ReplaceableTextures\\CommandButtons\\BTNIN16.blp</v>
      </c>
      <c r="CN135" s="36" t="str">
        <f t="shared" si="2067"/>
        <v>InitUnitState('IN16',,,,,,,,,,)</v>
      </c>
      <c r="CO135" s="36" t="str">
        <f t="shared" si="2068"/>
        <v>InitUnitNormal('IN16',,,,,,,,,,)</v>
      </c>
      <c r="CP135" s="36" t="str">
        <f t="shared" si="2069"/>
        <v>InitUnitMagic('IN16',,,,,,,,,,)</v>
      </c>
      <c r="CQ135" s="36" t="str">
        <f t="shared" si="2070"/>
        <v>InitUnitAdd('IN16',,,,,,,,,,)</v>
      </c>
      <c r="CR135" s="36" t="str">
        <f t="shared" si="2071"/>
        <v>InitEquipData('IN16',,"",,,,,'','','','','','',"ReplaceableTextures\\CommandButtons\\BTNIT10.blp")</v>
      </c>
      <c r="CU135" s="88" t="str">
        <f t="shared" si="2144"/>
        <v>|n</v>
      </c>
      <c r="CV135" s="19" t="str">
        <f t="shared" si="2145"/>
        <v>使|Cffffd24d1|r个|Cffffd24d道果品质|r提高|Cffffd24d-1~+2|r。|n|n|Cff00ff7f只能对天级【7】或以下的道果使用|r</v>
      </c>
      <c r="CW135" s="33"/>
      <c r="CX135" s="33"/>
      <c r="CY135" s="33"/>
      <c r="CZ135" s="33"/>
      <c r="DA135" s="33"/>
      <c r="DB135" s="66" t="str">
        <f t="shared" si="2146"/>
        <v/>
      </c>
      <c r="DC135" s="66" t="str">
        <f t="shared" si="2147"/>
        <v/>
      </c>
      <c r="DD135" s="66" t="str">
        <f t="shared" si="2148"/>
        <v/>
      </c>
      <c r="DE135" s="66" t="str">
        <f t="shared" si="2149"/>
        <v/>
      </c>
      <c r="DF135" s="66" t="str">
        <f t="shared" si="2150"/>
        <v/>
      </c>
      <c r="DG135" s="66" t="str">
        <f t="shared" si="2151"/>
        <v/>
      </c>
      <c r="DH135" s="66" t="str">
        <f t="shared" si="2152"/>
        <v/>
      </c>
      <c r="DI135" s="66" t="str">
        <f t="shared" si="2153"/>
        <v/>
      </c>
      <c r="DJ135" s="66" t="str">
        <f t="shared" si="2154"/>
        <v/>
      </c>
      <c r="DK135" s="66" t="str">
        <f t="shared" si="2155"/>
        <v/>
      </c>
      <c r="DL135" s="66" t="str">
        <f t="shared" si="2156"/>
        <v/>
      </c>
      <c r="DM135" s="66" t="str">
        <f t="shared" si="2157"/>
        <v/>
      </c>
      <c r="DN135" s="66" t="str">
        <f t="shared" si="2158"/>
        <v/>
      </c>
      <c r="DO135" s="66" t="str">
        <f t="shared" si="2159"/>
        <v/>
      </c>
      <c r="DP135" s="66" t="str">
        <f t="shared" si="2160"/>
        <v/>
      </c>
      <c r="DQ135" s="66" t="str">
        <f t="shared" si="2161"/>
        <v/>
      </c>
      <c r="DR135" s="66" t="str">
        <f t="shared" si="2162"/>
        <v/>
      </c>
      <c r="DS135" s="66" t="str">
        <f t="shared" si="2163"/>
        <v/>
      </c>
      <c r="DT135" s="66" t="str">
        <f t="shared" si="2164"/>
        <v/>
      </c>
      <c r="DU135" s="66" t="str">
        <f t="shared" si="2165"/>
        <v/>
      </c>
      <c r="DV135" s="66" t="str">
        <f t="shared" si="2166"/>
        <v/>
      </c>
      <c r="DW135" s="66" t="str">
        <f t="shared" si="2167"/>
        <v/>
      </c>
      <c r="DX135" s="66" t="str">
        <f t="shared" si="2168"/>
        <v/>
      </c>
      <c r="DY135" s="66" t="str">
        <f t="shared" si="2169"/>
        <v/>
      </c>
      <c r="DZ135" s="66" t="str">
        <f t="shared" si="2170"/>
        <v/>
      </c>
      <c r="EA135" s="66" t="str">
        <f t="shared" si="2171"/>
        <v/>
      </c>
      <c r="EB135" s="66" t="str">
        <f t="shared" si="2172"/>
        <v/>
      </c>
      <c r="EC135" s="66" t="str">
        <f t="shared" si="2173"/>
        <v/>
      </c>
      <c r="ED135" s="66" t="str">
        <f t="shared" si="2174"/>
        <v/>
      </c>
      <c r="EE135" s="66" t="str">
        <f t="shared" si="2175"/>
        <v/>
      </c>
      <c r="EF135" s="66" t="str">
        <f t="shared" si="2176"/>
        <v/>
      </c>
      <c r="EG135" s="66" t="str">
        <f t="shared" si="2177"/>
        <v/>
      </c>
      <c r="EH135" s="66" t="str">
        <f t="shared" si="2178"/>
        <v/>
      </c>
      <c r="EI135" s="66" t="str">
        <f t="shared" si="2179"/>
        <v/>
      </c>
      <c r="EJ135" s="66" t="str">
        <f t="shared" si="2180"/>
        <v/>
      </c>
      <c r="EK135" s="66" t="str">
        <f t="shared" si="2181"/>
        <v/>
      </c>
      <c r="EL135" s="66" t="str">
        <f t="shared" si="2182"/>
        <v/>
      </c>
      <c r="EM135" s="66" t="str">
        <f t="shared" si="2183"/>
        <v/>
      </c>
      <c r="EN135" s="66" t="str">
        <f t="shared" si="2184"/>
        <v/>
      </c>
      <c r="EO135" s="66" t="str">
        <f t="shared" si="2185"/>
        <v/>
      </c>
      <c r="EP135" s="66" t="str">
        <f t="shared" si="2186"/>
        <v/>
      </c>
      <c r="EQ135" s="66" t="str">
        <f t="shared" si="2187"/>
        <v/>
      </c>
      <c r="ER135" s="66" t="str">
        <f t="shared" si="2188"/>
        <v/>
      </c>
      <c r="ES135" s="66" t="str">
        <f t="shared" si="2189"/>
        <v/>
      </c>
      <c r="ET135" s="66" t="str">
        <f t="shared" si="2190"/>
        <v/>
      </c>
      <c r="EU135" s="66" t="str">
        <f t="shared" si="2191"/>
        <v/>
      </c>
      <c r="EV135" s="66" t="str">
        <f t="shared" si="2192"/>
        <v/>
      </c>
      <c r="EW135" s="66" t="str">
        <f t="shared" si="2193"/>
        <v/>
      </c>
      <c r="EX135" s="66" t="str">
        <f t="shared" si="2194"/>
        <v/>
      </c>
      <c r="EY135" s="66" t="str">
        <f t="shared" si="2195"/>
        <v/>
      </c>
      <c r="EZ135" s="66" t="str">
        <f t="shared" si="2196"/>
        <v/>
      </c>
      <c r="FA135" s="66" t="str">
        <f t="shared" si="2197"/>
        <v/>
      </c>
      <c r="FB135" s="66" t="str">
        <f t="shared" si="2198"/>
        <v/>
      </c>
      <c r="FC135" s="66" t="str">
        <f t="shared" si="2199"/>
        <v/>
      </c>
      <c r="FD135" s="66" t="str">
        <f t="shared" si="2200"/>
        <v/>
      </c>
      <c r="FE135" s="66" t="str">
        <f t="shared" si="2201"/>
        <v/>
      </c>
      <c r="FF135" s="66" t="str">
        <f t="shared" si="2202"/>
        <v/>
      </c>
      <c r="FG135" s="66" t="str">
        <f t="shared" si="2203"/>
        <v/>
      </c>
      <c r="FH135" s="66" t="str">
        <f t="shared" si="2204"/>
        <v/>
      </c>
      <c r="FI135" s="66" t="str">
        <f t="shared" si="2205"/>
        <v/>
      </c>
      <c r="FJ135" s="66" t="str">
        <f t="shared" si="2206"/>
        <v/>
      </c>
      <c r="FK135" s="66" t="str">
        <f t="shared" si="2207"/>
        <v/>
      </c>
      <c r="FL135" s="66" t="str">
        <f t="shared" si="2208"/>
        <v/>
      </c>
      <c r="FM135" s="66" t="str">
        <f t="shared" si="2209"/>
        <v/>
      </c>
      <c r="FN135" s="66" t="str">
        <f t="shared" si="2210"/>
        <v/>
      </c>
      <c r="FO135" s="66" t="str">
        <f t="shared" si="2211"/>
        <v/>
      </c>
      <c r="FP135" s="66" t="str">
        <f t="shared" si="2212"/>
        <v/>
      </c>
      <c r="FQ135" s="66" t="str">
        <f t="shared" si="2213"/>
        <v/>
      </c>
      <c r="FR135" s="66" t="str">
        <f t="shared" si="2214"/>
        <v/>
      </c>
      <c r="FS135" s="66" t="str">
        <f t="shared" si="2215"/>
        <v/>
      </c>
    </row>
    <row r="136" spans="1:175" ht="16.5">
      <c r="A136" s="9"/>
      <c r="B136" s="17" t="s">
        <v>531</v>
      </c>
      <c r="C136" s="18" t="s">
        <v>532</v>
      </c>
      <c r="T136" s="19" t="s">
        <v>533</v>
      </c>
      <c r="U136" s="77" t="str">
        <f t="shared" si="1549"/>
        <v>ReplaceableTextures\\CommandButtons\\BTNIN17.blp</v>
      </c>
      <c r="CN136" s="36" t="str">
        <f t="shared" si="2067"/>
        <v>InitUnitState('IN17',,,,,,,,,,)</v>
      </c>
      <c r="CO136" s="36" t="str">
        <f t="shared" si="2068"/>
        <v>InitUnitNormal('IN17',,,,,,,,,,)</v>
      </c>
      <c r="CP136" s="36" t="str">
        <f t="shared" si="2069"/>
        <v>InitUnitMagic('IN17',,,,,,,,,,)</v>
      </c>
      <c r="CQ136" s="36" t="str">
        <f t="shared" si="2070"/>
        <v>InitUnitAdd('IN17',,,,,,,,,,)</v>
      </c>
      <c r="CR136" s="36" t="str">
        <f t="shared" si="2071"/>
        <v>InitEquipData('IN17',,"",,,,,'','','','','','',"ReplaceableTextures\\CommandButtons\\BTNIT11.blp")</v>
      </c>
      <c r="CU136" s="88" t="str">
        <f t="shared" si="2144"/>
        <v>|n</v>
      </c>
      <c r="CV136" s="19" t="str">
        <f t="shared" si="2145"/>
        <v>玄铁|Cffffd24d+5~50|r</v>
      </c>
      <c r="CW136" s="33"/>
      <c r="CX136" s="33"/>
      <c r="CY136" s="33"/>
      <c r="CZ136" s="33"/>
      <c r="DA136" s="33"/>
      <c r="DB136" s="66" t="str">
        <f t="shared" si="2146"/>
        <v/>
      </c>
      <c r="DC136" s="66" t="str">
        <f t="shared" si="2147"/>
        <v/>
      </c>
      <c r="DD136" s="66" t="str">
        <f t="shared" si="2148"/>
        <v/>
      </c>
      <c r="DE136" s="66" t="str">
        <f t="shared" si="2149"/>
        <v/>
      </c>
      <c r="DF136" s="66" t="str">
        <f t="shared" si="2150"/>
        <v/>
      </c>
      <c r="DG136" s="66" t="str">
        <f t="shared" si="2151"/>
        <v/>
      </c>
      <c r="DH136" s="66" t="str">
        <f t="shared" si="2152"/>
        <v/>
      </c>
      <c r="DI136" s="66" t="str">
        <f t="shared" si="2153"/>
        <v/>
      </c>
      <c r="DJ136" s="66" t="str">
        <f t="shared" si="2154"/>
        <v/>
      </c>
      <c r="DK136" s="66" t="str">
        <f t="shared" si="2155"/>
        <v/>
      </c>
      <c r="DL136" s="66" t="str">
        <f t="shared" si="2156"/>
        <v/>
      </c>
      <c r="DM136" s="66" t="str">
        <f t="shared" si="2157"/>
        <v/>
      </c>
      <c r="DN136" s="66" t="str">
        <f t="shared" si="2158"/>
        <v/>
      </c>
      <c r="DO136" s="66" t="str">
        <f t="shared" si="2159"/>
        <v/>
      </c>
      <c r="DP136" s="66" t="str">
        <f t="shared" si="2160"/>
        <v/>
      </c>
      <c r="DQ136" s="66" t="str">
        <f t="shared" si="2161"/>
        <v/>
      </c>
      <c r="DR136" s="66" t="str">
        <f t="shared" si="2162"/>
        <v/>
      </c>
      <c r="DS136" s="66" t="str">
        <f t="shared" si="2163"/>
        <v/>
      </c>
      <c r="DT136" s="66" t="str">
        <f t="shared" si="2164"/>
        <v/>
      </c>
      <c r="DU136" s="66" t="str">
        <f t="shared" si="2165"/>
        <v/>
      </c>
      <c r="DV136" s="66" t="str">
        <f t="shared" si="2166"/>
        <v/>
      </c>
      <c r="DW136" s="66" t="str">
        <f t="shared" si="2167"/>
        <v/>
      </c>
      <c r="DX136" s="66" t="str">
        <f t="shared" si="2168"/>
        <v/>
      </c>
      <c r="DY136" s="66" t="str">
        <f t="shared" si="2169"/>
        <v/>
      </c>
      <c r="DZ136" s="66" t="str">
        <f t="shared" si="2170"/>
        <v/>
      </c>
      <c r="EA136" s="66" t="str">
        <f t="shared" si="2171"/>
        <v/>
      </c>
      <c r="EB136" s="66" t="str">
        <f t="shared" si="2172"/>
        <v/>
      </c>
      <c r="EC136" s="66" t="str">
        <f t="shared" si="2173"/>
        <v/>
      </c>
      <c r="ED136" s="66" t="str">
        <f t="shared" si="2174"/>
        <v/>
      </c>
      <c r="EE136" s="66" t="str">
        <f t="shared" si="2175"/>
        <v/>
      </c>
      <c r="EF136" s="66" t="str">
        <f t="shared" si="2176"/>
        <v/>
      </c>
      <c r="EG136" s="66" t="str">
        <f t="shared" si="2177"/>
        <v/>
      </c>
      <c r="EH136" s="66" t="str">
        <f t="shared" si="2178"/>
        <v/>
      </c>
      <c r="EI136" s="66" t="str">
        <f t="shared" si="2179"/>
        <v/>
      </c>
      <c r="EJ136" s="66" t="str">
        <f t="shared" si="2180"/>
        <v/>
      </c>
      <c r="EK136" s="66" t="str">
        <f t="shared" si="2181"/>
        <v/>
      </c>
      <c r="EL136" s="66" t="str">
        <f t="shared" si="2182"/>
        <v/>
      </c>
      <c r="EM136" s="66" t="str">
        <f t="shared" si="2183"/>
        <v/>
      </c>
      <c r="EN136" s="66" t="str">
        <f t="shared" si="2184"/>
        <v/>
      </c>
      <c r="EO136" s="66" t="str">
        <f t="shared" si="2185"/>
        <v/>
      </c>
      <c r="EP136" s="66" t="str">
        <f t="shared" si="2186"/>
        <v/>
      </c>
      <c r="EQ136" s="66" t="str">
        <f t="shared" si="2187"/>
        <v/>
      </c>
      <c r="ER136" s="66" t="str">
        <f t="shared" si="2188"/>
        <v/>
      </c>
      <c r="ES136" s="66" t="str">
        <f t="shared" si="2189"/>
        <v/>
      </c>
      <c r="ET136" s="66" t="str">
        <f t="shared" si="2190"/>
        <v/>
      </c>
      <c r="EU136" s="66" t="str">
        <f t="shared" si="2191"/>
        <v/>
      </c>
      <c r="EV136" s="66" t="str">
        <f t="shared" si="2192"/>
        <v/>
      </c>
      <c r="EW136" s="66" t="str">
        <f t="shared" si="2193"/>
        <v/>
      </c>
      <c r="EX136" s="66" t="str">
        <f t="shared" si="2194"/>
        <v/>
      </c>
      <c r="EY136" s="66" t="str">
        <f t="shared" si="2195"/>
        <v/>
      </c>
      <c r="EZ136" s="66" t="str">
        <f t="shared" si="2196"/>
        <v/>
      </c>
      <c r="FA136" s="66" t="str">
        <f t="shared" si="2197"/>
        <v/>
      </c>
      <c r="FB136" s="66" t="str">
        <f t="shared" si="2198"/>
        <v/>
      </c>
      <c r="FC136" s="66" t="str">
        <f t="shared" si="2199"/>
        <v/>
      </c>
      <c r="FD136" s="66" t="str">
        <f t="shared" si="2200"/>
        <v/>
      </c>
      <c r="FE136" s="66" t="str">
        <f t="shared" si="2201"/>
        <v/>
      </c>
      <c r="FF136" s="66" t="str">
        <f t="shared" si="2202"/>
        <v/>
      </c>
      <c r="FG136" s="66" t="str">
        <f t="shared" si="2203"/>
        <v/>
      </c>
      <c r="FH136" s="66" t="str">
        <f t="shared" si="2204"/>
        <v/>
      </c>
      <c r="FI136" s="66" t="str">
        <f t="shared" si="2205"/>
        <v/>
      </c>
      <c r="FJ136" s="66" t="str">
        <f t="shared" si="2206"/>
        <v/>
      </c>
      <c r="FK136" s="66" t="str">
        <f t="shared" si="2207"/>
        <v/>
      </c>
      <c r="FL136" s="66" t="str">
        <f t="shared" si="2208"/>
        <v/>
      </c>
      <c r="FM136" s="66" t="str">
        <f t="shared" si="2209"/>
        <v/>
      </c>
      <c r="FN136" s="66" t="str">
        <f t="shared" si="2210"/>
        <v/>
      </c>
      <c r="FO136" s="66" t="str">
        <f t="shared" si="2211"/>
        <v/>
      </c>
      <c r="FP136" s="66" t="str">
        <f t="shared" si="2212"/>
        <v/>
      </c>
      <c r="FQ136" s="66" t="str">
        <f t="shared" si="2213"/>
        <v/>
      </c>
      <c r="FR136" s="66" t="str">
        <f t="shared" si="2214"/>
        <v/>
      </c>
      <c r="FS136" s="66" t="str">
        <f t="shared" si="2215"/>
        <v/>
      </c>
    </row>
    <row r="137" spans="1:175" ht="16.5">
      <c r="A137" s="9"/>
      <c r="B137" s="17" t="s">
        <v>534</v>
      </c>
      <c r="C137" s="18" t="s">
        <v>535</v>
      </c>
      <c r="T137" s="29" t="s">
        <v>536</v>
      </c>
      <c r="U137" s="77" t="str">
        <f t="shared" si="1549"/>
        <v>ReplaceableTextures\\CommandButtons\\BTNIN18.blp</v>
      </c>
      <c r="CN137" s="36" t="str">
        <f t="shared" si="2067"/>
        <v>InitUnitState('IN18',,,,,,,,,,)</v>
      </c>
      <c r="CO137" s="36" t="str">
        <f t="shared" si="2068"/>
        <v>InitUnitNormal('IN18',,,,,,,,,,)</v>
      </c>
      <c r="CP137" s="36" t="str">
        <f t="shared" si="2069"/>
        <v>InitUnitMagic('IN18',,,,,,,,,,)</v>
      </c>
      <c r="CQ137" s="36" t="str">
        <f t="shared" si="2070"/>
        <v>InitUnitAdd('IN18',,,,,,,,,,)</v>
      </c>
      <c r="CR137" s="36" t="str">
        <f t="shared" si="2071"/>
        <v>InitEquipData('IN18',,"",,,,,'','','','','','',"ReplaceableTextures\\CommandButtons\\BTNIT12.blp")</v>
      </c>
      <c r="CU137" s="88" t="str">
        <f t="shared" ref="CU137" si="221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" si="2217">T137</f>
        <v>|CffFFD24D30|r秒内增加|Cffffd24d30%|r金币加成</v>
      </c>
      <c r="CW137" s="33"/>
      <c r="CX137" s="33"/>
      <c r="CY137" s="33"/>
      <c r="CZ137" s="33"/>
      <c r="DA137" s="33"/>
      <c r="DB137" s="66" t="str">
        <f t="shared" ref="DB137" si="2218">IF(V137="","","|n"&amp;DB$2&amp;"+"&amp;V137&amp;DB$1)</f>
        <v/>
      </c>
      <c r="DC137" s="66" t="str">
        <f t="shared" ref="DC137" si="2219">IF(W137="","","|n"&amp;DC$2&amp;"+"&amp;W137&amp;DC$1)</f>
        <v/>
      </c>
      <c r="DD137" s="66" t="str">
        <f t="shared" ref="DD137" si="2220">IF(X137="","","|n"&amp;DD$2&amp;"+"&amp;X137&amp;DD$1)</f>
        <v/>
      </c>
      <c r="DE137" s="66" t="str">
        <f t="shared" ref="DE137" si="2221">IF(Y137="","","|n"&amp;DE$2&amp;"+"&amp;Y137&amp;DE$1)</f>
        <v/>
      </c>
      <c r="DF137" s="66" t="str">
        <f t="shared" ref="DF137" si="2222">IF(Z137="","","|n"&amp;DF$2&amp;"+"&amp;Z137&amp;DF$1)</f>
        <v/>
      </c>
      <c r="DG137" s="66" t="str">
        <f t="shared" ref="DG137" si="2223">IF(AA137="","","|n"&amp;DG$2&amp;"+"&amp;AA137&amp;DG$1)</f>
        <v/>
      </c>
      <c r="DH137" s="66" t="str">
        <f t="shared" ref="DH137" si="2224">IF(AB137="","","|n"&amp;DH$2&amp;"+"&amp;AB137&amp;DH$1)</f>
        <v/>
      </c>
      <c r="DI137" s="66" t="str">
        <f t="shared" ref="DI137" si="2225">IF(AC137="","","|n"&amp;DI$2&amp;"+"&amp;AC137&amp;DI$1)</f>
        <v/>
      </c>
      <c r="DJ137" s="66" t="str">
        <f t="shared" ref="DJ137" si="2226">IF(AD137="","","|n"&amp;DJ$2&amp;"+"&amp;AD137&amp;DJ$1)</f>
        <v/>
      </c>
      <c r="DK137" s="66" t="str">
        <f t="shared" ref="DK137" si="2227">IF(AE137="","","|n"&amp;DK$2&amp;"+"&amp;AE137&amp;DK$1)</f>
        <v/>
      </c>
      <c r="DL137" s="66" t="str">
        <f t="shared" ref="DL137" si="2228">IF(AF137="","","|n"&amp;DL$2&amp;"+"&amp;AF137&amp;DL$1)</f>
        <v/>
      </c>
      <c r="DM137" s="66" t="str">
        <f t="shared" ref="DM137" si="2229">IF(AG137="","","|n"&amp;DM$2&amp;"+"&amp;AG137&amp;DM$1)</f>
        <v/>
      </c>
      <c r="DN137" s="66" t="str">
        <f t="shared" ref="DN137" si="2230">IF(AH137="","","|n"&amp;DN$2&amp;"+"&amp;AH137&amp;DN$1)</f>
        <v/>
      </c>
      <c r="DO137" s="66" t="str">
        <f t="shared" ref="DO137" si="2231">IF(AI137="","","|n"&amp;DO$2&amp;"+"&amp;AI137&amp;DO$1)</f>
        <v/>
      </c>
      <c r="DP137" s="66" t="str">
        <f t="shared" ref="DP137" si="2232">IF(AJ137="","","|n"&amp;DP$2&amp;"+"&amp;AJ137&amp;DP$1)</f>
        <v/>
      </c>
      <c r="DQ137" s="66" t="str">
        <f t="shared" ref="DQ137" si="2233">IF(AK137="","","|n"&amp;DQ$2&amp;"+"&amp;AK137&amp;DQ$1)</f>
        <v/>
      </c>
      <c r="DR137" s="66" t="str">
        <f t="shared" ref="DR137" si="2234">IF(AL137="","","|n"&amp;DR$2&amp;"+"&amp;AL137&amp;DR$1)</f>
        <v/>
      </c>
      <c r="DS137" s="66" t="str">
        <f t="shared" ref="DS137" si="2235">IF(AM137="","","|n"&amp;DS$2&amp;"+"&amp;AM137&amp;DS$1)</f>
        <v/>
      </c>
      <c r="DT137" s="66" t="str">
        <f t="shared" ref="DT137" si="2236">IF(AN137="","","|n"&amp;DT$2&amp;"+"&amp;AN137&amp;DT$1)</f>
        <v/>
      </c>
      <c r="DU137" s="66" t="str">
        <f t="shared" ref="DU137" si="2237">IF(AO137="","","|n"&amp;DU$2&amp;"+"&amp;AO137&amp;DU$1)</f>
        <v/>
      </c>
      <c r="DV137" s="66" t="str">
        <f t="shared" ref="DV137" si="2238">IF(AP137="","","|n"&amp;DV$2&amp;"+"&amp;AP137&amp;DV$1)</f>
        <v/>
      </c>
      <c r="DW137" s="66" t="str">
        <f t="shared" ref="DW137" si="2239">IF(AQ137="","","|n"&amp;DW$2&amp;"+"&amp;AQ137&amp;DW$1)</f>
        <v/>
      </c>
      <c r="DX137" s="66" t="str">
        <f t="shared" ref="DX137" si="2240">IF(AR137="","","|n"&amp;DX$2&amp;"+"&amp;AR137&amp;DX$1)</f>
        <v/>
      </c>
      <c r="DY137" s="66" t="str">
        <f t="shared" ref="DY137" si="2241">IF(AS137="","","|n"&amp;DY$2&amp;"+"&amp;AS137&amp;DY$1)</f>
        <v/>
      </c>
      <c r="DZ137" s="66" t="str">
        <f t="shared" ref="DZ137" si="2242">IF(AT137="","","|n"&amp;DZ$2&amp;"+"&amp;AT137&amp;DZ$1)</f>
        <v/>
      </c>
      <c r="EA137" s="66" t="str">
        <f t="shared" ref="EA137" si="2243">IF(AU137="","","|n"&amp;EA$2&amp;"+"&amp;AU137&amp;EA$1)</f>
        <v/>
      </c>
      <c r="EB137" s="66" t="str">
        <f t="shared" ref="EB137" si="2244">IF(AV137="","","|n"&amp;EB$2&amp;"+"&amp;AV137&amp;EB$1)</f>
        <v/>
      </c>
      <c r="EC137" s="66" t="str">
        <f t="shared" ref="EC137" si="2245">IF(AW137="","","|n"&amp;EC$2&amp;"+"&amp;AW137&amp;EC$1)</f>
        <v/>
      </c>
      <c r="ED137" s="66" t="str">
        <f t="shared" ref="ED137" si="2246">IF(AX137="","","|n"&amp;ED$2&amp;"+"&amp;AX137&amp;ED$1)</f>
        <v/>
      </c>
      <c r="EE137" s="66" t="str">
        <f t="shared" ref="EE137" si="2247">IF(AY137="","","|n"&amp;EE$2&amp;"+"&amp;AY137&amp;EE$1)</f>
        <v/>
      </c>
      <c r="EF137" s="66" t="str">
        <f t="shared" ref="EF137" si="2248">IF(AZ137="","","|n"&amp;EF$2&amp;"+"&amp;AZ137&amp;EF$1)</f>
        <v/>
      </c>
      <c r="EG137" s="66" t="str">
        <f t="shared" ref="EG137" si="2249">IF(BA137="","","|n"&amp;EG$2&amp;"+"&amp;BA137&amp;EG$1)</f>
        <v/>
      </c>
      <c r="EH137" s="66" t="str">
        <f t="shared" ref="EH137" si="2250">IF(BB137="","","|n"&amp;EH$2&amp;"+"&amp;BB137&amp;EH$1)</f>
        <v/>
      </c>
      <c r="EI137" s="66" t="str">
        <f t="shared" ref="EI137" si="2251">IF(BC137="","","|n"&amp;EI$2&amp;"+"&amp;BC137&amp;EI$1)</f>
        <v/>
      </c>
      <c r="EJ137" s="66" t="str">
        <f t="shared" ref="EJ137" si="2252">IF(BD137="","","|n"&amp;EJ$2&amp;"+"&amp;BD137&amp;EJ$1)</f>
        <v/>
      </c>
      <c r="EK137" s="66" t="str">
        <f t="shared" ref="EK137" si="2253">IF(BE137="","","|n"&amp;EK$2&amp;"+"&amp;BE137&amp;EK$1)</f>
        <v/>
      </c>
      <c r="EL137" s="66" t="str">
        <f t="shared" ref="EL137" si="2254">IF(BF137="","","|n"&amp;EL$2&amp;"+"&amp;BF137&amp;EL$1)</f>
        <v/>
      </c>
      <c r="EM137" s="66" t="str">
        <f t="shared" ref="EM137" si="2255">IF(BG137="","","|n"&amp;EM$2&amp;"+"&amp;BG137&amp;EM$1)</f>
        <v/>
      </c>
      <c r="EN137" s="66" t="str">
        <f t="shared" ref="EN137" si="2256">IF(BH137="","","|n"&amp;EN$2&amp;"+"&amp;BH137&amp;EN$1)</f>
        <v/>
      </c>
      <c r="EO137" s="66" t="str">
        <f t="shared" ref="EO137" si="2257">IF(BI137="","","|n"&amp;EO$2&amp;"+"&amp;BI137&amp;EO$1)</f>
        <v/>
      </c>
      <c r="EP137" s="66" t="str">
        <f t="shared" ref="EP137" si="2258">IF(BJ137="","","|n"&amp;EP$2&amp;"+"&amp;BJ137&amp;EP$1)</f>
        <v/>
      </c>
      <c r="EQ137" s="66" t="str">
        <f t="shared" ref="EQ137" si="2259">IF(BK137="","","|n"&amp;EQ$2&amp;"+"&amp;BK137&amp;EQ$1)</f>
        <v/>
      </c>
      <c r="ER137" s="66" t="str">
        <f t="shared" ref="ER137" si="2260">IF(BL137="","","|n"&amp;ER$2&amp;"+"&amp;BL137&amp;ER$1)</f>
        <v/>
      </c>
      <c r="ES137" s="66" t="str">
        <f t="shared" ref="ES137" si="2261">IF(BM137="","","|n"&amp;ES$2&amp;"+"&amp;BM137&amp;ES$1)</f>
        <v/>
      </c>
      <c r="ET137" s="66" t="str">
        <f t="shared" ref="ET137" si="2262">IF(BN137="","","|n"&amp;ET$2&amp;"+"&amp;BN137&amp;ET$1)</f>
        <v/>
      </c>
      <c r="EU137" s="66" t="str">
        <f t="shared" ref="EU137" si="2263">IF(BO137="","","|n"&amp;EU$2&amp;"+"&amp;BO137&amp;EU$1)</f>
        <v/>
      </c>
      <c r="EV137" s="66" t="str">
        <f t="shared" ref="EV137" si="2264">IF(BP137="","","|n"&amp;EV$2&amp;"+"&amp;BP137&amp;EV$1)</f>
        <v/>
      </c>
      <c r="EW137" s="66" t="str">
        <f t="shared" ref="EW137" si="2265">IF(BQ137="","","|n"&amp;EW$2&amp;"+"&amp;BQ137&amp;EW$1)</f>
        <v/>
      </c>
      <c r="EX137" s="66" t="str">
        <f t="shared" ref="EX137" si="2266">IF(BR137="","","|n"&amp;EX$2&amp;"+"&amp;BR137&amp;EX$1)</f>
        <v/>
      </c>
      <c r="EY137" s="66" t="str">
        <f t="shared" ref="EY137" si="2267">IF(BS137="","","|n"&amp;EY$2&amp;"+"&amp;BS137&amp;EY$1)</f>
        <v/>
      </c>
      <c r="EZ137" s="66" t="str">
        <f t="shared" ref="EZ137" si="2268">IF(BT137="","","|n"&amp;EZ$2&amp;"+"&amp;BT137&amp;EZ$1)</f>
        <v/>
      </c>
      <c r="FA137" s="66" t="str">
        <f t="shared" ref="FA137" si="2269">IF(BU137="","","|n"&amp;FA$2&amp;"+"&amp;BU137&amp;FA$1)</f>
        <v/>
      </c>
      <c r="FB137" s="66" t="str">
        <f t="shared" ref="FB137" si="2270">IF(BV137="","","|n"&amp;FB$2&amp;"+"&amp;BV137&amp;FB$1)</f>
        <v/>
      </c>
      <c r="FC137" s="66" t="str">
        <f t="shared" ref="FC137" si="2271">IF(BW137="","","|n"&amp;FC$2&amp;"+"&amp;BW137&amp;FC$1)</f>
        <v/>
      </c>
      <c r="FD137" s="66" t="str">
        <f t="shared" ref="FD137" si="2272">IF(BX137="","","|n"&amp;FD$2&amp;"+"&amp;BX137&amp;FD$1)</f>
        <v/>
      </c>
      <c r="FE137" s="66" t="str">
        <f t="shared" ref="FE137" si="2273">IF(BY137="","","|n"&amp;FE$2&amp;"+"&amp;BY137&amp;FE$1)</f>
        <v/>
      </c>
      <c r="FF137" s="66" t="str">
        <f t="shared" ref="FF137" si="2274">IF(BZ137="","","|n"&amp;FF$2&amp;"+"&amp;BZ137&amp;FF$1)</f>
        <v/>
      </c>
      <c r="FG137" s="66" t="str">
        <f t="shared" ref="FG137" si="2275">IF(CA137="","","|n"&amp;FG$2&amp;"+"&amp;CA137&amp;FG$1)</f>
        <v/>
      </c>
      <c r="FH137" s="66" t="str">
        <f t="shared" ref="FH137" si="2276">IF(CB137="","","|n"&amp;FH$2&amp;"+"&amp;CB137&amp;FH$1)</f>
        <v/>
      </c>
      <c r="FI137" s="66" t="str">
        <f t="shared" ref="FI137" si="2277">IF(CC137="","","|n"&amp;FI$2&amp;"+"&amp;CC137&amp;FI$1)</f>
        <v/>
      </c>
      <c r="FJ137" s="66" t="str">
        <f t="shared" ref="FJ137" si="2278">IF(CD137="","","|n"&amp;FJ$2&amp;"+"&amp;CD137&amp;FJ$1)</f>
        <v/>
      </c>
      <c r="FK137" s="66" t="str">
        <f t="shared" ref="FK137" si="2279">IF(CE137="","","|n"&amp;FK$2&amp;"+"&amp;CE137&amp;FK$1)</f>
        <v/>
      </c>
      <c r="FL137" s="66" t="str">
        <f t="shared" ref="FL137" si="2280">IF(CF137="","","|n"&amp;FL$2&amp;"+"&amp;CF137&amp;FL$1)</f>
        <v/>
      </c>
      <c r="FM137" s="66" t="str">
        <f t="shared" ref="FM137" si="2281">IF(CG137="","","|n"&amp;FM$2&amp;"+"&amp;CG137&amp;FM$1)</f>
        <v/>
      </c>
      <c r="FN137" s="66" t="str">
        <f t="shared" ref="FN137" si="2282">IF(CH137="","","|n"&amp;FN$2&amp;"+"&amp;CH137&amp;FN$1)</f>
        <v/>
      </c>
      <c r="FO137" s="66" t="str">
        <f t="shared" ref="FO137" si="2283">IF(CI137="","","|n"&amp;FO$2&amp;"+"&amp;CI137&amp;FO$1)</f>
        <v/>
      </c>
      <c r="FP137" s="66" t="str">
        <f t="shared" ref="FP137" si="2284">IF(CJ137="","","|n"&amp;FP$2&amp;"+"&amp;CJ137&amp;FP$1)</f>
        <v/>
      </c>
      <c r="FQ137" s="66" t="str">
        <f t="shared" ref="FQ137" si="2285">IF(CK137="","","|n"&amp;FQ$2&amp;"+"&amp;CK137&amp;FQ$1)</f>
        <v/>
      </c>
      <c r="FR137" s="66" t="str">
        <f t="shared" ref="FR137" si="2286">IF(CL137="","","|n"&amp;FR$2&amp;"+"&amp;CL137&amp;FR$1)</f>
        <v/>
      </c>
      <c r="FS137" s="66" t="str">
        <f t="shared" ref="FS137" si="2287">IF(CM137="","","|n"&amp;FS$2&amp;"+"&amp;CM137&amp;FS$1)</f>
        <v/>
      </c>
    </row>
    <row r="138" spans="1:175" ht="16.5">
      <c r="A138" s="9"/>
      <c r="B138" s="9" t="s">
        <v>537</v>
      </c>
      <c r="C138" s="20" t="s">
        <v>538</v>
      </c>
      <c r="T138" s="29" t="s">
        <v>910</v>
      </c>
      <c r="U138" s="77" t="s">
        <v>539</v>
      </c>
      <c r="CN138" s="36" t="str">
        <f t="shared" si="2067"/>
        <v>InitUnitState('IN19',,,,,,,,,,)</v>
      </c>
      <c r="CO138" s="36" t="str">
        <f t="shared" si="2068"/>
        <v>InitUnitNormal('IN19',,,,,,,,,,)</v>
      </c>
      <c r="CP138" s="36" t="str">
        <f t="shared" si="2069"/>
        <v>InitUnitMagic('IN19',,,,,,,,,,)</v>
      </c>
      <c r="CQ138" s="36" t="str">
        <f t="shared" si="2070"/>
        <v>InitUnitAdd('IN19',,,,,,,,,,)</v>
      </c>
      <c r="CR138" s="36" t="str">
        <f t="shared" si="2071"/>
        <v>InitEquipData('IN19',,"",,,,,'','','','','','',"ReplaceableTextures\\CommandButtons\\BTNIT13.blp")</v>
      </c>
      <c r="CU138" s="88" t="str">
        <f t="shared" ref="CU138:CU148" si="228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8" si="2289">T138</f>
        <v>使用后获得|Cffffc926随机类型技能附魔石|r</v>
      </c>
      <c r="CW138" s="33"/>
      <c r="CX138" s="33"/>
      <c r="CY138" s="33"/>
      <c r="CZ138" s="33"/>
      <c r="DA138" s="33"/>
      <c r="DB138" s="66" t="str">
        <f t="shared" ref="DB138" si="2290">IF(V138="","","|n"&amp;DB$2&amp;"+"&amp;V138&amp;DB$1)</f>
        <v/>
      </c>
      <c r="DC138" s="66" t="str">
        <f t="shared" ref="DC138" si="2291">IF(W138="","","|n"&amp;DC$2&amp;"+"&amp;W138&amp;DC$1)</f>
        <v/>
      </c>
      <c r="DD138" s="66" t="str">
        <f t="shared" ref="DD138" si="2292">IF(X138="","","|n"&amp;DD$2&amp;"+"&amp;X138&amp;DD$1)</f>
        <v/>
      </c>
      <c r="DE138" s="66" t="str">
        <f t="shared" ref="DE138" si="2293">IF(Y138="","","|n"&amp;DE$2&amp;"+"&amp;Y138&amp;DE$1)</f>
        <v/>
      </c>
      <c r="DF138" s="66" t="str">
        <f t="shared" ref="DF138" si="2294">IF(Z138="","","|n"&amp;DF$2&amp;"+"&amp;Z138&amp;DF$1)</f>
        <v/>
      </c>
      <c r="DG138" s="66" t="str">
        <f t="shared" ref="DG138" si="2295">IF(AA138="","","|n"&amp;DG$2&amp;"+"&amp;AA138&amp;DG$1)</f>
        <v/>
      </c>
      <c r="DH138" s="66" t="str">
        <f t="shared" ref="DH138" si="2296">IF(AB138="","","|n"&amp;DH$2&amp;"+"&amp;AB138&amp;DH$1)</f>
        <v/>
      </c>
      <c r="DI138" s="66" t="str">
        <f t="shared" ref="DI138" si="2297">IF(AC138="","","|n"&amp;DI$2&amp;"+"&amp;AC138&amp;DI$1)</f>
        <v/>
      </c>
      <c r="DJ138" s="66" t="str">
        <f t="shared" ref="DJ138" si="2298">IF(AD138="","","|n"&amp;DJ$2&amp;"+"&amp;AD138&amp;DJ$1)</f>
        <v/>
      </c>
      <c r="DK138" s="66" t="str">
        <f t="shared" ref="DK138" si="2299">IF(AE138="","","|n"&amp;DK$2&amp;"+"&amp;AE138&amp;DK$1)</f>
        <v/>
      </c>
      <c r="DL138" s="66" t="str">
        <f t="shared" ref="DL138" si="2300">IF(AF138="","","|n"&amp;DL$2&amp;"+"&amp;AF138&amp;DL$1)</f>
        <v/>
      </c>
      <c r="DM138" s="66" t="str">
        <f t="shared" ref="DM138" si="2301">IF(AG138="","","|n"&amp;DM$2&amp;"+"&amp;AG138&amp;DM$1)</f>
        <v/>
      </c>
      <c r="DN138" s="66" t="str">
        <f t="shared" ref="DN138" si="2302">IF(AH138="","","|n"&amp;DN$2&amp;"+"&amp;AH138&amp;DN$1)</f>
        <v/>
      </c>
      <c r="DO138" s="66" t="str">
        <f t="shared" ref="DO138" si="2303">IF(AI138="","","|n"&amp;DO$2&amp;"+"&amp;AI138&amp;DO$1)</f>
        <v/>
      </c>
      <c r="DP138" s="66" t="str">
        <f t="shared" ref="DP138" si="2304">IF(AJ138="","","|n"&amp;DP$2&amp;"+"&amp;AJ138&amp;DP$1)</f>
        <v/>
      </c>
      <c r="DQ138" s="66" t="str">
        <f t="shared" ref="DQ138" si="2305">IF(AK138="","","|n"&amp;DQ$2&amp;"+"&amp;AK138&amp;DQ$1)</f>
        <v/>
      </c>
      <c r="DR138" s="66" t="str">
        <f t="shared" ref="DR138" si="2306">IF(AL138="","","|n"&amp;DR$2&amp;"+"&amp;AL138&amp;DR$1)</f>
        <v/>
      </c>
      <c r="DS138" s="66" t="str">
        <f t="shared" ref="DS138" si="2307">IF(AM138="","","|n"&amp;DS$2&amp;"+"&amp;AM138&amp;DS$1)</f>
        <v/>
      </c>
      <c r="DT138" s="66" t="str">
        <f t="shared" ref="DT138" si="2308">IF(AN138="","","|n"&amp;DT$2&amp;"+"&amp;AN138&amp;DT$1)</f>
        <v/>
      </c>
      <c r="DU138" s="66" t="str">
        <f t="shared" ref="DU138" si="2309">IF(AO138="","","|n"&amp;DU$2&amp;"+"&amp;AO138&amp;DU$1)</f>
        <v/>
      </c>
      <c r="DV138" s="66" t="str">
        <f t="shared" ref="DV138" si="2310">IF(AP138="","","|n"&amp;DV$2&amp;"+"&amp;AP138&amp;DV$1)</f>
        <v/>
      </c>
      <c r="DW138" s="66" t="str">
        <f t="shared" ref="DW138" si="2311">IF(AQ138="","","|n"&amp;DW$2&amp;"+"&amp;AQ138&amp;DW$1)</f>
        <v/>
      </c>
      <c r="DX138" s="66" t="str">
        <f t="shared" ref="DX138" si="2312">IF(AR138="","","|n"&amp;DX$2&amp;"+"&amp;AR138&amp;DX$1)</f>
        <v/>
      </c>
      <c r="DY138" s="66" t="str">
        <f t="shared" ref="DY138" si="2313">IF(AS138="","","|n"&amp;DY$2&amp;"+"&amp;AS138&amp;DY$1)</f>
        <v/>
      </c>
      <c r="DZ138" s="66" t="str">
        <f t="shared" ref="DZ138" si="2314">IF(AT138="","","|n"&amp;DZ$2&amp;"+"&amp;AT138&amp;DZ$1)</f>
        <v/>
      </c>
      <c r="EA138" s="66" t="str">
        <f t="shared" ref="EA138" si="2315">IF(AU138="","","|n"&amp;EA$2&amp;"+"&amp;AU138&amp;EA$1)</f>
        <v/>
      </c>
      <c r="EB138" s="66" t="str">
        <f t="shared" ref="EB138" si="2316">IF(AV138="","","|n"&amp;EB$2&amp;"+"&amp;AV138&amp;EB$1)</f>
        <v/>
      </c>
      <c r="EC138" s="66" t="str">
        <f t="shared" ref="EC138" si="2317">IF(AW138="","","|n"&amp;EC$2&amp;"+"&amp;AW138&amp;EC$1)</f>
        <v/>
      </c>
      <c r="ED138" s="66" t="str">
        <f t="shared" ref="ED138" si="2318">IF(AX138="","","|n"&amp;ED$2&amp;"+"&amp;AX138&amp;ED$1)</f>
        <v/>
      </c>
      <c r="EE138" s="66" t="str">
        <f t="shared" ref="EE138" si="2319">IF(AY138="","","|n"&amp;EE$2&amp;"+"&amp;AY138&amp;EE$1)</f>
        <v/>
      </c>
      <c r="EF138" s="66" t="str">
        <f t="shared" ref="EF138" si="2320">IF(AZ138="","","|n"&amp;EF$2&amp;"+"&amp;AZ138&amp;EF$1)</f>
        <v/>
      </c>
      <c r="EG138" s="66" t="str">
        <f t="shared" ref="EG138" si="2321">IF(BA138="","","|n"&amp;EG$2&amp;"+"&amp;BA138&amp;EG$1)</f>
        <v/>
      </c>
      <c r="EH138" s="66" t="str">
        <f t="shared" ref="EH138" si="2322">IF(BB138="","","|n"&amp;EH$2&amp;"+"&amp;BB138&amp;EH$1)</f>
        <v/>
      </c>
      <c r="EI138" s="66" t="str">
        <f t="shared" ref="EI138" si="2323">IF(BC138="","","|n"&amp;EI$2&amp;"+"&amp;BC138&amp;EI$1)</f>
        <v/>
      </c>
      <c r="EJ138" s="66" t="str">
        <f t="shared" ref="EJ138" si="2324">IF(BD138="","","|n"&amp;EJ$2&amp;"+"&amp;BD138&amp;EJ$1)</f>
        <v/>
      </c>
      <c r="EK138" s="66" t="str">
        <f t="shared" ref="EK138" si="2325">IF(BE138="","","|n"&amp;EK$2&amp;"+"&amp;BE138&amp;EK$1)</f>
        <v/>
      </c>
      <c r="EL138" s="66" t="str">
        <f t="shared" ref="EL138" si="2326">IF(BF138="","","|n"&amp;EL$2&amp;"+"&amp;BF138&amp;EL$1)</f>
        <v/>
      </c>
      <c r="EM138" s="66" t="str">
        <f t="shared" ref="EM138" si="2327">IF(BG138="","","|n"&amp;EM$2&amp;"+"&amp;BG138&amp;EM$1)</f>
        <v/>
      </c>
      <c r="EN138" s="66" t="str">
        <f t="shared" ref="EN138" si="2328">IF(BH138="","","|n"&amp;EN$2&amp;"+"&amp;BH138&amp;EN$1)</f>
        <v/>
      </c>
      <c r="EO138" s="66" t="str">
        <f t="shared" ref="EO138" si="2329">IF(BI138="","","|n"&amp;EO$2&amp;"+"&amp;BI138&amp;EO$1)</f>
        <v/>
      </c>
      <c r="EP138" s="66" t="str">
        <f t="shared" ref="EP138" si="2330">IF(BJ138="","","|n"&amp;EP$2&amp;"+"&amp;BJ138&amp;EP$1)</f>
        <v/>
      </c>
      <c r="EQ138" s="66" t="str">
        <f t="shared" ref="EQ138" si="2331">IF(BK138="","","|n"&amp;EQ$2&amp;"+"&amp;BK138&amp;EQ$1)</f>
        <v/>
      </c>
      <c r="ER138" s="66" t="str">
        <f t="shared" ref="ER138" si="2332">IF(BL138="","","|n"&amp;ER$2&amp;"+"&amp;BL138&amp;ER$1)</f>
        <v/>
      </c>
      <c r="ES138" s="66" t="str">
        <f t="shared" ref="ES138" si="2333">IF(BM138="","","|n"&amp;ES$2&amp;"+"&amp;BM138&amp;ES$1)</f>
        <v/>
      </c>
      <c r="ET138" s="66" t="str">
        <f t="shared" ref="ET138" si="2334">IF(BN138="","","|n"&amp;ET$2&amp;"+"&amp;BN138&amp;ET$1)</f>
        <v/>
      </c>
      <c r="EU138" s="66" t="str">
        <f t="shared" ref="EU138" si="2335">IF(BO138="","","|n"&amp;EU$2&amp;"+"&amp;BO138&amp;EU$1)</f>
        <v/>
      </c>
      <c r="EV138" s="66" t="str">
        <f t="shared" ref="EV138" si="2336">IF(BP138="","","|n"&amp;EV$2&amp;"+"&amp;BP138&amp;EV$1)</f>
        <v/>
      </c>
      <c r="EW138" s="66" t="str">
        <f t="shared" ref="EW138" si="2337">IF(BQ138="","","|n"&amp;EW$2&amp;"+"&amp;BQ138&amp;EW$1)</f>
        <v/>
      </c>
      <c r="EX138" s="66" t="str">
        <f t="shared" ref="EX138" si="2338">IF(BR138="","","|n"&amp;EX$2&amp;"+"&amp;BR138&amp;EX$1)</f>
        <v/>
      </c>
      <c r="EY138" s="66" t="str">
        <f t="shared" ref="EY138" si="2339">IF(BS138="","","|n"&amp;EY$2&amp;"+"&amp;BS138&amp;EY$1)</f>
        <v/>
      </c>
      <c r="EZ138" s="66" t="str">
        <f t="shared" ref="EZ138" si="2340">IF(BT138="","","|n"&amp;EZ$2&amp;"+"&amp;BT138&amp;EZ$1)</f>
        <v/>
      </c>
      <c r="FA138" s="66" t="str">
        <f t="shared" ref="FA138" si="2341">IF(BU138="","","|n"&amp;FA$2&amp;"+"&amp;BU138&amp;FA$1)</f>
        <v/>
      </c>
      <c r="FB138" s="66" t="str">
        <f t="shared" ref="FB138" si="2342">IF(BV138="","","|n"&amp;FB$2&amp;"+"&amp;BV138&amp;FB$1)</f>
        <v/>
      </c>
      <c r="FC138" s="66" t="str">
        <f t="shared" ref="FC138" si="2343">IF(BW138="","","|n"&amp;FC$2&amp;"+"&amp;BW138&amp;FC$1)</f>
        <v/>
      </c>
      <c r="FD138" s="66" t="str">
        <f t="shared" ref="FD138" si="2344">IF(BX138="","","|n"&amp;FD$2&amp;"+"&amp;BX138&amp;FD$1)</f>
        <v/>
      </c>
      <c r="FE138" s="66" t="str">
        <f t="shared" ref="FE138" si="2345">IF(BY138="","","|n"&amp;FE$2&amp;"+"&amp;BY138&amp;FE$1)</f>
        <v/>
      </c>
      <c r="FF138" s="66" t="str">
        <f t="shared" ref="FF138" si="2346">IF(BZ138="","","|n"&amp;FF$2&amp;"+"&amp;BZ138&amp;FF$1)</f>
        <v/>
      </c>
      <c r="FG138" s="66" t="str">
        <f t="shared" ref="FG138" si="2347">IF(CA138="","","|n"&amp;FG$2&amp;"+"&amp;CA138&amp;FG$1)</f>
        <v/>
      </c>
      <c r="FH138" s="66" t="str">
        <f t="shared" ref="FH138" si="2348">IF(CB138="","","|n"&amp;FH$2&amp;"+"&amp;CB138&amp;FH$1)</f>
        <v/>
      </c>
      <c r="FI138" s="66" t="str">
        <f t="shared" ref="FI138" si="2349">IF(CC138="","","|n"&amp;FI$2&amp;"+"&amp;CC138&amp;FI$1)</f>
        <v/>
      </c>
      <c r="FJ138" s="66" t="str">
        <f t="shared" ref="FJ138" si="2350">IF(CD138="","","|n"&amp;FJ$2&amp;"+"&amp;CD138&amp;FJ$1)</f>
        <v/>
      </c>
      <c r="FK138" s="66" t="str">
        <f t="shared" ref="FK138" si="2351">IF(CE138="","","|n"&amp;FK$2&amp;"+"&amp;CE138&amp;FK$1)</f>
        <v/>
      </c>
      <c r="FL138" s="66" t="str">
        <f t="shared" ref="FL138" si="2352">IF(CF138="","","|n"&amp;FL$2&amp;"+"&amp;CF138&amp;FL$1)</f>
        <v/>
      </c>
      <c r="FM138" s="66" t="str">
        <f t="shared" ref="FM138" si="2353">IF(CG138="","","|n"&amp;FM$2&amp;"+"&amp;CG138&amp;FM$1)</f>
        <v/>
      </c>
      <c r="FN138" s="66" t="str">
        <f t="shared" ref="FN138" si="2354">IF(CH138="","","|n"&amp;FN$2&amp;"+"&amp;CH138&amp;FN$1)</f>
        <v/>
      </c>
      <c r="FO138" s="66" t="str">
        <f t="shared" ref="FO138" si="2355">IF(CI138="","","|n"&amp;FO$2&amp;"+"&amp;CI138&amp;FO$1)</f>
        <v/>
      </c>
      <c r="FP138" s="66" t="str">
        <f t="shared" ref="FP138" si="2356">IF(CJ138="","","|n"&amp;FP$2&amp;"+"&amp;CJ138&amp;FP$1)</f>
        <v/>
      </c>
      <c r="FQ138" s="66" t="str">
        <f t="shared" ref="FQ138" si="2357">IF(CK138="","","|n"&amp;FQ$2&amp;"+"&amp;CK138&amp;FQ$1)</f>
        <v/>
      </c>
      <c r="FR138" s="66" t="str">
        <f t="shared" ref="FR138" si="2358">IF(CL138="","","|n"&amp;FR$2&amp;"+"&amp;CL138&amp;FR$1)</f>
        <v/>
      </c>
      <c r="FS138" s="66" t="str">
        <f t="shared" ref="FS138" si="2359">IF(CM138="","","|n"&amp;FS$2&amp;"+"&amp;CM138&amp;FS$1)</f>
        <v/>
      </c>
    </row>
    <row r="139" spans="1:175" s="29" customFormat="1" ht="16.5">
      <c r="A139" s="9"/>
      <c r="B139" s="17" t="s">
        <v>540</v>
      </c>
      <c r="C139" s="21" t="s">
        <v>541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2"/>
      <c r="Q139" s="92"/>
      <c r="R139" s="92"/>
      <c r="S139" s="92"/>
      <c r="T139" s="29" t="s">
        <v>542</v>
      </c>
      <c r="U139" s="77" t="str">
        <f t="shared" ref="U139:U154" si="2360">"ReplaceableTextures\\CommandButtons\\BTN"&amp;B139&amp;".blp"</f>
        <v>ReplaceableTextures\\CommandButtons\\BTNIN20.blp</v>
      </c>
      <c r="V139" s="102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6"/>
      <c r="AS139" s="106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7" t="str">
        <f t="shared" si="2067"/>
        <v>InitUnitState('IN20',,,,,,,,,,)</v>
      </c>
      <c r="CO139" s="107" t="str">
        <f t="shared" si="2068"/>
        <v>InitUnitNormal('IN20',,,,,,,,,,)</v>
      </c>
      <c r="CP139" s="107" t="str">
        <f t="shared" si="2069"/>
        <v>InitUnitMagic('IN20',,,,,,,,,,)</v>
      </c>
      <c r="CQ139" s="107" t="str">
        <f t="shared" si="2070"/>
        <v>InitUnitAdd('IN20',,,,,,,,,,)</v>
      </c>
      <c r="CR139" s="107" t="str">
        <f t="shared" si="2071"/>
        <v>InitEquipData('IN20',,"",,,,,'','','','','','',"ReplaceableTextures\\CommandButtons\\BTNIT14.blp")</v>
      </c>
      <c r="CS139" s="107"/>
      <c r="CT139" s="107"/>
      <c r="CU139" s="88" t="str">
        <f t="shared" si="2288"/>
        <v>|n</v>
      </c>
      <c r="CV139" s="29" t="str">
        <f t="shared" si="2289"/>
        <v>|CffFFD24D30|r秒内杀敌金币|Cffffd24d+10|r</v>
      </c>
      <c r="CW139" s="33"/>
      <c r="CX139" s="33"/>
      <c r="CY139" s="33"/>
      <c r="CZ139" s="33"/>
      <c r="DA139" s="33"/>
      <c r="DB139" s="108" t="str">
        <f t="shared" ref="DB139:FM139" si="2361">IF(V139="","","|n"&amp;DB$2&amp;"+"&amp;V139&amp;DB$1)</f>
        <v/>
      </c>
      <c r="DC139" s="108" t="str">
        <f t="shared" si="2361"/>
        <v/>
      </c>
      <c r="DD139" s="108" t="str">
        <f t="shared" si="2361"/>
        <v/>
      </c>
      <c r="DE139" s="108" t="str">
        <f t="shared" si="2361"/>
        <v/>
      </c>
      <c r="DF139" s="108" t="str">
        <f t="shared" si="2361"/>
        <v/>
      </c>
      <c r="DG139" s="108" t="str">
        <f t="shared" si="2361"/>
        <v/>
      </c>
      <c r="DH139" s="108" t="str">
        <f t="shared" si="2361"/>
        <v/>
      </c>
      <c r="DI139" s="108" t="str">
        <f t="shared" si="2361"/>
        <v/>
      </c>
      <c r="DJ139" s="108" t="str">
        <f t="shared" si="2361"/>
        <v/>
      </c>
      <c r="DK139" s="108" t="str">
        <f t="shared" si="2361"/>
        <v/>
      </c>
      <c r="DL139" s="108" t="str">
        <f t="shared" si="2361"/>
        <v/>
      </c>
      <c r="DM139" s="108" t="str">
        <f t="shared" si="2361"/>
        <v/>
      </c>
      <c r="DN139" s="108" t="str">
        <f t="shared" si="2361"/>
        <v/>
      </c>
      <c r="DO139" s="108" t="str">
        <f t="shared" si="2361"/>
        <v/>
      </c>
      <c r="DP139" s="108" t="str">
        <f t="shared" si="2361"/>
        <v/>
      </c>
      <c r="DQ139" s="108" t="str">
        <f t="shared" si="2361"/>
        <v/>
      </c>
      <c r="DR139" s="108" t="str">
        <f t="shared" si="2361"/>
        <v/>
      </c>
      <c r="DS139" s="108" t="str">
        <f t="shared" si="2361"/>
        <v/>
      </c>
      <c r="DT139" s="108" t="str">
        <f t="shared" si="2361"/>
        <v/>
      </c>
      <c r="DU139" s="108" t="str">
        <f t="shared" si="2361"/>
        <v/>
      </c>
      <c r="DV139" s="108" t="str">
        <f t="shared" si="2361"/>
        <v/>
      </c>
      <c r="DW139" s="108" t="str">
        <f t="shared" si="2361"/>
        <v/>
      </c>
      <c r="DX139" s="108" t="str">
        <f t="shared" si="2361"/>
        <v/>
      </c>
      <c r="DY139" s="108" t="str">
        <f t="shared" si="2361"/>
        <v/>
      </c>
      <c r="DZ139" s="108" t="str">
        <f t="shared" si="2361"/>
        <v/>
      </c>
      <c r="EA139" s="108" t="str">
        <f t="shared" si="2361"/>
        <v/>
      </c>
      <c r="EB139" s="108" t="str">
        <f t="shared" si="2361"/>
        <v/>
      </c>
      <c r="EC139" s="108" t="str">
        <f t="shared" si="2361"/>
        <v/>
      </c>
      <c r="ED139" s="108" t="str">
        <f t="shared" si="2361"/>
        <v/>
      </c>
      <c r="EE139" s="108" t="str">
        <f t="shared" si="2361"/>
        <v/>
      </c>
      <c r="EF139" s="108" t="str">
        <f t="shared" si="2361"/>
        <v/>
      </c>
      <c r="EG139" s="108" t="str">
        <f t="shared" si="2361"/>
        <v/>
      </c>
      <c r="EH139" s="108" t="str">
        <f t="shared" si="2361"/>
        <v/>
      </c>
      <c r="EI139" s="108" t="str">
        <f t="shared" si="2361"/>
        <v/>
      </c>
      <c r="EJ139" s="108" t="str">
        <f t="shared" si="2361"/>
        <v/>
      </c>
      <c r="EK139" s="108" t="str">
        <f t="shared" si="2361"/>
        <v/>
      </c>
      <c r="EL139" s="108" t="str">
        <f t="shared" si="2361"/>
        <v/>
      </c>
      <c r="EM139" s="108" t="str">
        <f t="shared" si="2361"/>
        <v/>
      </c>
      <c r="EN139" s="108" t="str">
        <f t="shared" si="2361"/>
        <v/>
      </c>
      <c r="EO139" s="108" t="str">
        <f t="shared" si="2361"/>
        <v/>
      </c>
      <c r="EP139" s="108" t="str">
        <f t="shared" si="2361"/>
        <v/>
      </c>
      <c r="EQ139" s="108" t="str">
        <f t="shared" si="2361"/>
        <v/>
      </c>
      <c r="ER139" s="108" t="str">
        <f t="shared" si="2361"/>
        <v/>
      </c>
      <c r="ES139" s="108" t="str">
        <f t="shared" si="2361"/>
        <v/>
      </c>
      <c r="ET139" s="108" t="str">
        <f t="shared" si="2361"/>
        <v/>
      </c>
      <c r="EU139" s="108" t="str">
        <f t="shared" si="2361"/>
        <v/>
      </c>
      <c r="EV139" s="108" t="str">
        <f t="shared" si="2361"/>
        <v/>
      </c>
      <c r="EW139" s="108" t="str">
        <f t="shared" si="2361"/>
        <v/>
      </c>
      <c r="EX139" s="108" t="str">
        <f t="shared" si="2361"/>
        <v/>
      </c>
      <c r="EY139" s="108" t="str">
        <f t="shared" si="2361"/>
        <v/>
      </c>
      <c r="EZ139" s="108" t="str">
        <f t="shared" si="2361"/>
        <v/>
      </c>
      <c r="FA139" s="108" t="str">
        <f t="shared" si="2361"/>
        <v/>
      </c>
      <c r="FB139" s="108" t="str">
        <f t="shared" si="2361"/>
        <v/>
      </c>
      <c r="FC139" s="108" t="str">
        <f t="shared" si="2361"/>
        <v/>
      </c>
      <c r="FD139" s="108" t="str">
        <f t="shared" si="2361"/>
        <v/>
      </c>
      <c r="FE139" s="108" t="str">
        <f t="shared" si="2361"/>
        <v/>
      </c>
      <c r="FF139" s="108" t="str">
        <f t="shared" si="2361"/>
        <v/>
      </c>
      <c r="FG139" s="108" t="str">
        <f t="shared" si="2361"/>
        <v/>
      </c>
      <c r="FH139" s="108" t="str">
        <f t="shared" si="2361"/>
        <v/>
      </c>
      <c r="FI139" s="108" t="str">
        <f t="shared" si="2361"/>
        <v/>
      </c>
      <c r="FJ139" s="108" t="str">
        <f t="shared" si="2361"/>
        <v/>
      </c>
      <c r="FK139" s="108" t="str">
        <f t="shared" si="2361"/>
        <v/>
      </c>
      <c r="FL139" s="108" t="str">
        <f t="shared" si="2361"/>
        <v/>
      </c>
      <c r="FM139" s="108" t="str">
        <f t="shared" si="2361"/>
        <v/>
      </c>
      <c r="FN139" s="108" t="str">
        <f t="shared" ref="FN139:FS139" si="2362">IF(CH139="","","|n"&amp;FN$2&amp;"+"&amp;CH139&amp;FN$1)</f>
        <v/>
      </c>
      <c r="FO139" s="108" t="str">
        <f t="shared" si="2362"/>
        <v/>
      </c>
      <c r="FP139" s="108" t="str">
        <f t="shared" si="2362"/>
        <v/>
      </c>
      <c r="FQ139" s="108" t="str">
        <f t="shared" si="2362"/>
        <v/>
      </c>
      <c r="FR139" s="108" t="str">
        <f t="shared" si="2362"/>
        <v/>
      </c>
      <c r="FS139" s="108" t="str">
        <f t="shared" si="2362"/>
        <v/>
      </c>
    </row>
    <row r="140" spans="1:175" s="29" customFormat="1" ht="16.5">
      <c r="A140" s="9"/>
      <c r="B140" s="17" t="s">
        <v>543</v>
      </c>
      <c r="C140" s="22" t="s">
        <v>544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2"/>
      <c r="Q140" s="92"/>
      <c r="R140" s="92"/>
      <c r="S140" s="92"/>
      <c r="T140" s="29" t="s">
        <v>545</v>
      </c>
      <c r="U140" s="77" t="str">
        <f t="shared" si="2360"/>
        <v>ReplaceableTextures\\CommandButtons\\BTNIN21.blp</v>
      </c>
      <c r="V140" s="102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6"/>
      <c r="AS140" s="106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7" t="str">
        <f t="shared" si="2067"/>
        <v>InitUnitState('IN21',,,,,,,,,,)</v>
      </c>
      <c r="CO140" s="107" t="str">
        <f t="shared" si="2068"/>
        <v>InitUnitNormal('IN21',,,,,,,,,,)</v>
      </c>
      <c r="CP140" s="107" t="str">
        <f t="shared" si="2069"/>
        <v>InitUnitMagic('IN21',,,,,,,,,,)</v>
      </c>
      <c r="CQ140" s="107" t="str">
        <f t="shared" si="2070"/>
        <v>InitUnitAdd('IN21',,,,,,,,,,)</v>
      </c>
      <c r="CR140" s="107" t="str">
        <f t="shared" si="2071"/>
        <v>InitEquipData('IN21',,"",,,,,'','','','','','',"ReplaceableTextures\\CommandButtons\\BTNIZ0A.blp")</v>
      </c>
      <c r="CS140" s="107"/>
      <c r="CT140" s="107"/>
      <c r="CU140" s="88" t="str">
        <f t="shared" si="2288"/>
        <v>|n</v>
      </c>
      <c r="CV140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0" s="33"/>
      <c r="CX140" s="33"/>
      <c r="CY140" s="33"/>
      <c r="CZ140" s="33"/>
      <c r="DA140" s="33"/>
      <c r="DB140" s="108" t="str">
        <f t="shared" ref="DB140:FM140" si="2363">IF(V140="","","|n"&amp;DB$2&amp;"+"&amp;V140&amp;DB$1)</f>
        <v/>
      </c>
      <c r="DC140" s="108" t="str">
        <f t="shared" si="2363"/>
        <v/>
      </c>
      <c r="DD140" s="108" t="str">
        <f t="shared" si="2363"/>
        <v/>
      </c>
      <c r="DE140" s="108" t="str">
        <f t="shared" si="2363"/>
        <v/>
      </c>
      <c r="DF140" s="108" t="str">
        <f t="shared" si="2363"/>
        <v/>
      </c>
      <c r="DG140" s="108" t="str">
        <f t="shared" si="2363"/>
        <v/>
      </c>
      <c r="DH140" s="108" t="str">
        <f t="shared" si="2363"/>
        <v/>
      </c>
      <c r="DI140" s="108" t="str">
        <f t="shared" si="2363"/>
        <v/>
      </c>
      <c r="DJ140" s="108" t="str">
        <f t="shared" si="2363"/>
        <v/>
      </c>
      <c r="DK140" s="108" t="str">
        <f t="shared" si="2363"/>
        <v/>
      </c>
      <c r="DL140" s="108" t="str">
        <f t="shared" si="2363"/>
        <v/>
      </c>
      <c r="DM140" s="108" t="str">
        <f t="shared" si="2363"/>
        <v/>
      </c>
      <c r="DN140" s="108" t="str">
        <f t="shared" si="2363"/>
        <v/>
      </c>
      <c r="DO140" s="108" t="str">
        <f t="shared" si="2363"/>
        <v/>
      </c>
      <c r="DP140" s="108" t="str">
        <f t="shared" si="2363"/>
        <v/>
      </c>
      <c r="DQ140" s="108" t="str">
        <f t="shared" si="2363"/>
        <v/>
      </c>
      <c r="DR140" s="108" t="str">
        <f t="shared" si="2363"/>
        <v/>
      </c>
      <c r="DS140" s="108" t="str">
        <f t="shared" si="2363"/>
        <v/>
      </c>
      <c r="DT140" s="108" t="str">
        <f t="shared" si="2363"/>
        <v/>
      </c>
      <c r="DU140" s="108" t="str">
        <f t="shared" si="2363"/>
        <v/>
      </c>
      <c r="DV140" s="108" t="str">
        <f t="shared" si="2363"/>
        <v/>
      </c>
      <c r="DW140" s="108" t="str">
        <f t="shared" si="2363"/>
        <v/>
      </c>
      <c r="DX140" s="108" t="str">
        <f t="shared" si="2363"/>
        <v/>
      </c>
      <c r="DY140" s="108" t="str">
        <f t="shared" si="2363"/>
        <v/>
      </c>
      <c r="DZ140" s="108" t="str">
        <f t="shared" si="2363"/>
        <v/>
      </c>
      <c r="EA140" s="108" t="str">
        <f t="shared" si="2363"/>
        <v/>
      </c>
      <c r="EB140" s="108" t="str">
        <f t="shared" si="2363"/>
        <v/>
      </c>
      <c r="EC140" s="108" t="str">
        <f t="shared" si="2363"/>
        <v/>
      </c>
      <c r="ED140" s="108" t="str">
        <f t="shared" si="2363"/>
        <v/>
      </c>
      <c r="EE140" s="108" t="str">
        <f t="shared" si="2363"/>
        <v/>
      </c>
      <c r="EF140" s="108" t="str">
        <f t="shared" si="2363"/>
        <v/>
      </c>
      <c r="EG140" s="108" t="str">
        <f t="shared" si="2363"/>
        <v/>
      </c>
      <c r="EH140" s="108" t="str">
        <f t="shared" si="2363"/>
        <v/>
      </c>
      <c r="EI140" s="108" t="str">
        <f t="shared" si="2363"/>
        <v/>
      </c>
      <c r="EJ140" s="108" t="str">
        <f t="shared" si="2363"/>
        <v/>
      </c>
      <c r="EK140" s="108" t="str">
        <f t="shared" si="2363"/>
        <v/>
      </c>
      <c r="EL140" s="108" t="str">
        <f t="shared" si="2363"/>
        <v/>
      </c>
      <c r="EM140" s="108" t="str">
        <f t="shared" si="2363"/>
        <v/>
      </c>
      <c r="EN140" s="108" t="str">
        <f t="shared" si="2363"/>
        <v/>
      </c>
      <c r="EO140" s="108" t="str">
        <f t="shared" si="2363"/>
        <v/>
      </c>
      <c r="EP140" s="108" t="str">
        <f t="shared" si="2363"/>
        <v/>
      </c>
      <c r="EQ140" s="108" t="str">
        <f t="shared" si="2363"/>
        <v/>
      </c>
      <c r="ER140" s="108" t="str">
        <f t="shared" si="2363"/>
        <v/>
      </c>
      <c r="ES140" s="108" t="str">
        <f t="shared" si="2363"/>
        <v/>
      </c>
      <c r="ET140" s="108" t="str">
        <f t="shared" si="2363"/>
        <v/>
      </c>
      <c r="EU140" s="108" t="str">
        <f t="shared" si="2363"/>
        <v/>
      </c>
      <c r="EV140" s="108" t="str">
        <f t="shared" si="2363"/>
        <v/>
      </c>
      <c r="EW140" s="108" t="str">
        <f t="shared" si="2363"/>
        <v/>
      </c>
      <c r="EX140" s="108" t="str">
        <f t="shared" si="2363"/>
        <v/>
      </c>
      <c r="EY140" s="108" t="str">
        <f t="shared" si="2363"/>
        <v/>
      </c>
      <c r="EZ140" s="108" t="str">
        <f t="shared" si="2363"/>
        <v/>
      </c>
      <c r="FA140" s="108" t="str">
        <f t="shared" si="2363"/>
        <v/>
      </c>
      <c r="FB140" s="108" t="str">
        <f t="shared" si="2363"/>
        <v/>
      </c>
      <c r="FC140" s="108" t="str">
        <f t="shared" si="2363"/>
        <v/>
      </c>
      <c r="FD140" s="108" t="str">
        <f t="shared" si="2363"/>
        <v/>
      </c>
      <c r="FE140" s="108" t="str">
        <f t="shared" si="2363"/>
        <v/>
      </c>
      <c r="FF140" s="108" t="str">
        <f t="shared" si="2363"/>
        <v/>
      </c>
      <c r="FG140" s="108" t="str">
        <f t="shared" si="2363"/>
        <v/>
      </c>
      <c r="FH140" s="108" t="str">
        <f t="shared" si="2363"/>
        <v/>
      </c>
      <c r="FI140" s="108" t="str">
        <f t="shared" si="2363"/>
        <v/>
      </c>
      <c r="FJ140" s="108" t="str">
        <f t="shared" si="2363"/>
        <v/>
      </c>
      <c r="FK140" s="108" t="str">
        <f t="shared" si="2363"/>
        <v/>
      </c>
      <c r="FL140" s="108" t="str">
        <f t="shared" si="2363"/>
        <v/>
      </c>
      <c r="FM140" s="108" t="str">
        <f t="shared" si="2363"/>
        <v/>
      </c>
      <c r="FN140" s="108" t="str">
        <f t="shared" ref="FN140:FS140" si="2364">IF(CH140="","","|n"&amp;FN$2&amp;"+"&amp;CH140&amp;FN$1)</f>
        <v/>
      </c>
      <c r="FO140" s="108" t="str">
        <f t="shared" si="2364"/>
        <v/>
      </c>
      <c r="FP140" s="108" t="str">
        <f t="shared" si="2364"/>
        <v/>
      </c>
      <c r="FQ140" s="108" t="str">
        <f t="shared" si="2364"/>
        <v/>
      </c>
      <c r="FR140" s="108" t="str">
        <f t="shared" si="2364"/>
        <v/>
      </c>
      <c r="FS140" s="108" t="str">
        <f t="shared" si="2364"/>
        <v/>
      </c>
    </row>
    <row r="141" spans="1:175" s="29" customFormat="1" ht="16.5">
      <c r="A141" s="9"/>
      <c r="B141" s="9" t="s">
        <v>546</v>
      </c>
      <c r="C141" s="23" t="s">
        <v>547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2"/>
      <c r="Q141" s="92"/>
      <c r="R141" s="92"/>
      <c r="S141" s="92"/>
      <c r="T141" s="29" t="s">
        <v>548</v>
      </c>
      <c r="U141" s="77" t="str">
        <f t="shared" si="2360"/>
        <v>ReplaceableTextures\\CommandButtons\\BTNIN22.blp</v>
      </c>
      <c r="V141" s="102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6"/>
      <c r="AS141" s="106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7" t="str">
        <f t="shared" si="2067"/>
        <v>InitUnitState('IN22',,,,,,,,,,)</v>
      </c>
      <c r="CO141" s="107" t="str">
        <f t="shared" si="2068"/>
        <v>InitUnitNormal('IN22',,,,,,,,,,)</v>
      </c>
      <c r="CP141" s="107" t="str">
        <f t="shared" si="2069"/>
        <v>InitUnitMagic('IN22',,,,,,,,,,)</v>
      </c>
      <c r="CQ141" s="107" t="str">
        <f t="shared" si="2070"/>
        <v>InitUnitAdd('IN22',,,,,,,,,,)</v>
      </c>
      <c r="CR141" s="107" t="str">
        <f t="shared" ref="CR141:CR151" si="236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177&amp;CR$1&amp;")"</f>
        <v>InitEquipData('IN22',,"",,,,,'','','','','','',"ReplaceableTextures\\CommandButtons\\BTNIZ01.blp")</v>
      </c>
      <c r="CS141" s="107"/>
      <c r="CT141" s="107"/>
      <c r="CU141" s="88" t="str">
        <f t="shared" si="2288"/>
        <v>|n</v>
      </c>
      <c r="CV141" s="29" t="str">
        <f t="shared" si="2289"/>
        <v>使用后|Cffffd24d5|r分钟内|Cffffd24d不使用任何主动技能/药水|r，获得|Cffffd24d1|r个|Cffff0000附魔宝箱|r</v>
      </c>
      <c r="CW141" s="33"/>
      <c r="CX141" s="33"/>
      <c r="CY141" s="33"/>
      <c r="CZ141" s="33"/>
      <c r="DA141" s="33"/>
      <c r="DB141" s="108" t="str">
        <f t="shared" ref="DB141:FM141" si="2366">IF(V141="","","|n"&amp;DB$2&amp;"+"&amp;V141&amp;DB$1)</f>
        <v/>
      </c>
      <c r="DC141" s="108" t="str">
        <f t="shared" si="2366"/>
        <v/>
      </c>
      <c r="DD141" s="108" t="str">
        <f t="shared" si="2366"/>
        <v/>
      </c>
      <c r="DE141" s="108" t="str">
        <f t="shared" si="2366"/>
        <v/>
      </c>
      <c r="DF141" s="108" t="str">
        <f t="shared" si="2366"/>
        <v/>
      </c>
      <c r="DG141" s="108" t="str">
        <f t="shared" si="2366"/>
        <v/>
      </c>
      <c r="DH141" s="108" t="str">
        <f t="shared" si="2366"/>
        <v/>
      </c>
      <c r="DI141" s="108" t="str">
        <f t="shared" si="2366"/>
        <v/>
      </c>
      <c r="DJ141" s="108" t="str">
        <f t="shared" si="2366"/>
        <v/>
      </c>
      <c r="DK141" s="108" t="str">
        <f t="shared" si="2366"/>
        <v/>
      </c>
      <c r="DL141" s="108" t="str">
        <f t="shared" si="2366"/>
        <v/>
      </c>
      <c r="DM141" s="108" t="str">
        <f t="shared" si="2366"/>
        <v/>
      </c>
      <c r="DN141" s="108" t="str">
        <f t="shared" si="2366"/>
        <v/>
      </c>
      <c r="DO141" s="108" t="str">
        <f t="shared" si="2366"/>
        <v/>
      </c>
      <c r="DP141" s="108" t="str">
        <f t="shared" si="2366"/>
        <v/>
      </c>
      <c r="DQ141" s="108" t="str">
        <f t="shared" si="2366"/>
        <v/>
      </c>
      <c r="DR141" s="108" t="str">
        <f t="shared" si="2366"/>
        <v/>
      </c>
      <c r="DS141" s="108" t="str">
        <f t="shared" si="2366"/>
        <v/>
      </c>
      <c r="DT141" s="108" t="str">
        <f t="shared" si="2366"/>
        <v/>
      </c>
      <c r="DU141" s="108" t="str">
        <f t="shared" si="2366"/>
        <v/>
      </c>
      <c r="DV141" s="108" t="str">
        <f t="shared" si="2366"/>
        <v/>
      </c>
      <c r="DW141" s="108" t="str">
        <f t="shared" si="2366"/>
        <v/>
      </c>
      <c r="DX141" s="108" t="str">
        <f t="shared" si="2366"/>
        <v/>
      </c>
      <c r="DY141" s="108" t="str">
        <f t="shared" si="2366"/>
        <v/>
      </c>
      <c r="DZ141" s="108" t="str">
        <f t="shared" si="2366"/>
        <v/>
      </c>
      <c r="EA141" s="108" t="str">
        <f t="shared" si="2366"/>
        <v/>
      </c>
      <c r="EB141" s="108" t="str">
        <f t="shared" si="2366"/>
        <v/>
      </c>
      <c r="EC141" s="108" t="str">
        <f t="shared" si="2366"/>
        <v/>
      </c>
      <c r="ED141" s="108" t="str">
        <f t="shared" si="2366"/>
        <v/>
      </c>
      <c r="EE141" s="108" t="str">
        <f t="shared" si="2366"/>
        <v/>
      </c>
      <c r="EF141" s="108" t="str">
        <f t="shared" si="2366"/>
        <v/>
      </c>
      <c r="EG141" s="108" t="str">
        <f t="shared" si="2366"/>
        <v/>
      </c>
      <c r="EH141" s="108" t="str">
        <f t="shared" si="2366"/>
        <v/>
      </c>
      <c r="EI141" s="108" t="str">
        <f t="shared" si="2366"/>
        <v/>
      </c>
      <c r="EJ141" s="108" t="str">
        <f t="shared" si="2366"/>
        <v/>
      </c>
      <c r="EK141" s="108" t="str">
        <f t="shared" si="2366"/>
        <v/>
      </c>
      <c r="EL141" s="108" t="str">
        <f t="shared" si="2366"/>
        <v/>
      </c>
      <c r="EM141" s="108" t="str">
        <f t="shared" si="2366"/>
        <v/>
      </c>
      <c r="EN141" s="108" t="str">
        <f t="shared" si="2366"/>
        <v/>
      </c>
      <c r="EO141" s="108" t="str">
        <f t="shared" si="2366"/>
        <v/>
      </c>
      <c r="EP141" s="108" t="str">
        <f t="shared" si="2366"/>
        <v/>
      </c>
      <c r="EQ141" s="108" t="str">
        <f t="shared" si="2366"/>
        <v/>
      </c>
      <c r="ER141" s="108" t="str">
        <f t="shared" si="2366"/>
        <v/>
      </c>
      <c r="ES141" s="108" t="str">
        <f t="shared" si="2366"/>
        <v/>
      </c>
      <c r="ET141" s="108" t="str">
        <f t="shared" si="2366"/>
        <v/>
      </c>
      <c r="EU141" s="108" t="str">
        <f t="shared" si="2366"/>
        <v/>
      </c>
      <c r="EV141" s="108" t="str">
        <f t="shared" si="2366"/>
        <v/>
      </c>
      <c r="EW141" s="108" t="str">
        <f t="shared" si="2366"/>
        <v/>
      </c>
      <c r="EX141" s="108" t="str">
        <f t="shared" si="2366"/>
        <v/>
      </c>
      <c r="EY141" s="108" t="str">
        <f t="shared" si="2366"/>
        <v/>
      </c>
      <c r="EZ141" s="108" t="str">
        <f t="shared" si="2366"/>
        <v/>
      </c>
      <c r="FA141" s="108" t="str">
        <f t="shared" si="2366"/>
        <v/>
      </c>
      <c r="FB141" s="108" t="str">
        <f t="shared" si="2366"/>
        <v/>
      </c>
      <c r="FC141" s="108" t="str">
        <f t="shared" si="2366"/>
        <v/>
      </c>
      <c r="FD141" s="108" t="str">
        <f t="shared" si="2366"/>
        <v/>
      </c>
      <c r="FE141" s="108" t="str">
        <f t="shared" si="2366"/>
        <v/>
      </c>
      <c r="FF141" s="108" t="str">
        <f t="shared" si="2366"/>
        <v/>
      </c>
      <c r="FG141" s="108" t="str">
        <f t="shared" si="2366"/>
        <v/>
      </c>
      <c r="FH141" s="108" t="str">
        <f t="shared" si="2366"/>
        <v/>
      </c>
      <c r="FI141" s="108" t="str">
        <f t="shared" si="2366"/>
        <v/>
      </c>
      <c r="FJ141" s="108" t="str">
        <f t="shared" si="2366"/>
        <v/>
      </c>
      <c r="FK141" s="108" t="str">
        <f t="shared" si="2366"/>
        <v/>
      </c>
      <c r="FL141" s="108" t="str">
        <f t="shared" si="2366"/>
        <v/>
      </c>
      <c r="FM141" s="108" t="str">
        <f t="shared" si="2366"/>
        <v/>
      </c>
      <c r="FN141" s="108" t="str">
        <f t="shared" ref="FN141:FS141" si="2367">IF(CH141="","","|n"&amp;FN$2&amp;"+"&amp;CH141&amp;FN$1)</f>
        <v/>
      </c>
      <c r="FO141" s="108" t="str">
        <f t="shared" si="2367"/>
        <v/>
      </c>
      <c r="FP141" s="108" t="str">
        <f t="shared" si="2367"/>
        <v/>
      </c>
      <c r="FQ141" s="108" t="str">
        <f t="shared" si="2367"/>
        <v/>
      </c>
      <c r="FR141" s="108" t="str">
        <f t="shared" si="2367"/>
        <v/>
      </c>
      <c r="FS141" s="108" t="str">
        <f t="shared" si="2367"/>
        <v/>
      </c>
    </row>
    <row r="142" spans="1:175" s="29" customFormat="1" ht="16.5">
      <c r="A142" s="9"/>
      <c r="B142" s="17" t="s">
        <v>549</v>
      </c>
      <c r="C142" s="21" t="s">
        <v>550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2"/>
      <c r="Q142" s="92"/>
      <c r="R142" s="92"/>
      <c r="S142" s="92"/>
      <c r="T142" s="29" t="s">
        <v>551</v>
      </c>
      <c r="U142" s="77" t="str">
        <f t="shared" si="2360"/>
        <v>ReplaceableTextures\\CommandButtons\\BTNIN23.blp</v>
      </c>
      <c r="V142" s="102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6"/>
      <c r="AS142" s="106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7" t="str">
        <f t="shared" si="2067"/>
        <v>InitUnitState('IN23',,,,,,,,,,)</v>
      </c>
      <c r="CO142" s="107" t="str">
        <f t="shared" si="2068"/>
        <v>InitUnitNormal('IN23',,,,,,,,,,)</v>
      </c>
      <c r="CP142" s="107" t="str">
        <f t="shared" si="2069"/>
        <v>InitUnitMagic('IN23',,,,,,,,,,)</v>
      </c>
      <c r="CQ142" s="107" t="str">
        <f t="shared" si="2070"/>
        <v>InitUnitAdd('IN23',,,,,,,,,,)</v>
      </c>
      <c r="CR142" s="107" t="str">
        <f t="shared" si="2365"/>
        <v>InitEquipData('IN23',,"",,,,,'','','','','','',"ReplaceableTextures\\CommandButtons\\BTN001.blp")</v>
      </c>
      <c r="CS142" s="107"/>
      <c r="CT142" s="107"/>
      <c r="CU142" s="88" t="str">
        <f t="shared" si="2288"/>
        <v>|n</v>
      </c>
      <c r="CV142" s="29" t="str">
        <f t="shared" si="2289"/>
        <v>使用后|Cffffd24d5|r分钟内|Cffffd24d不进行任何挑战|r，获得|Cffffd24d1|r个|Cffff0000附魔宝箱|r</v>
      </c>
      <c r="CW142" s="33"/>
      <c r="CX142" s="33"/>
      <c r="CY142" s="33"/>
      <c r="CZ142" s="33"/>
      <c r="DA142" s="33"/>
      <c r="DB142" s="108" t="str">
        <f t="shared" ref="DB142:FM142" si="2368">IF(V142="","","|n"&amp;DB$2&amp;"+"&amp;V142&amp;DB$1)</f>
        <v/>
      </c>
      <c r="DC142" s="108" t="str">
        <f t="shared" si="2368"/>
        <v/>
      </c>
      <c r="DD142" s="108" t="str">
        <f t="shared" si="2368"/>
        <v/>
      </c>
      <c r="DE142" s="108" t="str">
        <f t="shared" si="2368"/>
        <v/>
      </c>
      <c r="DF142" s="108" t="str">
        <f t="shared" si="2368"/>
        <v/>
      </c>
      <c r="DG142" s="108" t="str">
        <f t="shared" si="2368"/>
        <v/>
      </c>
      <c r="DH142" s="108" t="str">
        <f t="shared" si="2368"/>
        <v/>
      </c>
      <c r="DI142" s="108" t="str">
        <f t="shared" si="2368"/>
        <v/>
      </c>
      <c r="DJ142" s="108" t="str">
        <f t="shared" si="2368"/>
        <v/>
      </c>
      <c r="DK142" s="108" t="str">
        <f t="shared" si="2368"/>
        <v/>
      </c>
      <c r="DL142" s="108" t="str">
        <f t="shared" si="2368"/>
        <v/>
      </c>
      <c r="DM142" s="108" t="str">
        <f t="shared" si="2368"/>
        <v/>
      </c>
      <c r="DN142" s="108" t="str">
        <f t="shared" si="2368"/>
        <v/>
      </c>
      <c r="DO142" s="108" t="str">
        <f t="shared" si="2368"/>
        <v/>
      </c>
      <c r="DP142" s="108" t="str">
        <f t="shared" si="2368"/>
        <v/>
      </c>
      <c r="DQ142" s="108" t="str">
        <f t="shared" si="2368"/>
        <v/>
      </c>
      <c r="DR142" s="108" t="str">
        <f t="shared" si="2368"/>
        <v/>
      </c>
      <c r="DS142" s="108" t="str">
        <f t="shared" si="2368"/>
        <v/>
      </c>
      <c r="DT142" s="108" t="str">
        <f t="shared" si="2368"/>
        <v/>
      </c>
      <c r="DU142" s="108" t="str">
        <f t="shared" si="2368"/>
        <v/>
      </c>
      <c r="DV142" s="108" t="str">
        <f t="shared" si="2368"/>
        <v/>
      </c>
      <c r="DW142" s="108" t="str">
        <f t="shared" si="2368"/>
        <v/>
      </c>
      <c r="DX142" s="108" t="str">
        <f t="shared" si="2368"/>
        <v/>
      </c>
      <c r="DY142" s="108" t="str">
        <f t="shared" si="2368"/>
        <v/>
      </c>
      <c r="DZ142" s="108" t="str">
        <f t="shared" si="2368"/>
        <v/>
      </c>
      <c r="EA142" s="108" t="str">
        <f t="shared" si="2368"/>
        <v/>
      </c>
      <c r="EB142" s="108" t="str">
        <f t="shared" si="2368"/>
        <v/>
      </c>
      <c r="EC142" s="108" t="str">
        <f t="shared" si="2368"/>
        <v/>
      </c>
      <c r="ED142" s="108" t="str">
        <f t="shared" si="2368"/>
        <v/>
      </c>
      <c r="EE142" s="108" t="str">
        <f t="shared" si="2368"/>
        <v/>
      </c>
      <c r="EF142" s="108" t="str">
        <f t="shared" si="2368"/>
        <v/>
      </c>
      <c r="EG142" s="108" t="str">
        <f t="shared" si="2368"/>
        <v/>
      </c>
      <c r="EH142" s="108" t="str">
        <f t="shared" si="2368"/>
        <v/>
      </c>
      <c r="EI142" s="108" t="str">
        <f t="shared" si="2368"/>
        <v/>
      </c>
      <c r="EJ142" s="108" t="str">
        <f t="shared" si="2368"/>
        <v/>
      </c>
      <c r="EK142" s="108" t="str">
        <f t="shared" si="2368"/>
        <v/>
      </c>
      <c r="EL142" s="108" t="str">
        <f t="shared" si="2368"/>
        <v/>
      </c>
      <c r="EM142" s="108" t="str">
        <f t="shared" si="2368"/>
        <v/>
      </c>
      <c r="EN142" s="108" t="str">
        <f t="shared" si="2368"/>
        <v/>
      </c>
      <c r="EO142" s="108" t="str">
        <f t="shared" si="2368"/>
        <v/>
      </c>
      <c r="EP142" s="108" t="str">
        <f t="shared" si="2368"/>
        <v/>
      </c>
      <c r="EQ142" s="108" t="str">
        <f t="shared" si="2368"/>
        <v/>
      </c>
      <c r="ER142" s="108" t="str">
        <f t="shared" si="2368"/>
        <v/>
      </c>
      <c r="ES142" s="108" t="str">
        <f t="shared" si="2368"/>
        <v/>
      </c>
      <c r="ET142" s="108" t="str">
        <f t="shared" si="2368"/>
        <v/>
      </c>
      <c r="EU142" s="108" t="str">
        <f t="shared" si="2368"/>
        <v/>
      </c>
      <c r="EV142" s="108" t="str">
        <f t="shared" si="2368"/>
        <v/>
      </c>
      <c r="EW142" s="108" t="str">
        <f t="shared" si="2368"/>
        <v/>
      </c>
      <c r="EX142" s="108" t="str">
        <f t="shared" si="2368"/>
        <v/>
      </c>
      <c r="EY142" s="108" t="str">
        <f t="shared" si="2368"/>
        <v/>
      </c>
      <c r="EZ142" s="108" t="str">
        <f t="shared" si="2368"/>
        <v/>
      </c>
      <c r="FA142" s="108" t="str">
        <f t="shared" si="2368"/>
        <v/>
      </c>
      <c r="FB142" s="108" t="str">
        <f t="shared" si="2368"/>
        <v/>
      </c>
      <c r="FC142" s="108" t="str">
        <f t="shared" si="2368"/>
        <v/>
      </c>
      <c r="FD142" s="108" t="str">
        <f t="shared" si="2368"/>
        <v/>
      </c>
      <c r="FE142" s="108" t="str">
        <f t="shared" si="2368"/>
        <v/>
      </c>
      <c r="FF142" s="108" t="str">
        <f t="shared" si="2368"/>
        <v/>
      </c>
      <c r="FG142" s="108" t="str">
        <f t="shared" si="2368"/>
        <v/>
      </c>
      <c r="FH142" s="108" t="str">
        <f t="shared" si="2368"/>
        <v/>
      </c>
      <c r="FI142" s="108" t="str">
        <f t="shared" si="2368"/>
        <v/>
      </c>
      <c r="FJ142" s="108" t="str">
        <f t="shared" si="2368"/>
        <v/>
      </c>
      <c r="FK142" s="108" t="str">
        <f t="shared" si="2368"/>
        <v/>
      </c>
      <c r="FL142" s="108" t="str">
        <f t="shared" si="2368"/>
        <v/>
      </c>
      <c r="FM142" s="108" t="str">
        <f t="shared" si="2368"/>
        <v/>
      </c>
      <c r="FN142" s="108" t="str">
        <f t="shared" ref="FN142:FS142" si="2369">IF(CH142="","","|n"&amp;FN$2&amp;"+"&amp;CH142&amp;FN$1)</f>
        <v/>
      </c>
      <c r="FO142" s="108" t="str">
        <f t="shared" si="2369"/>
        <v/>
      </c>
      <c r="FP142" s="108" t="str">
        <f t="shared" si="2369"/>
        <v/>
      </c>
      <c r="FQ142" s="108" t="str">
        <f t="shared" si="2369"/>
        <v/>
      </c>
      <c r="FR142" s="108" t="str">
        <f t="shared" si="2369"/>
        <v/>
      </c>
      <c r="FS142" s="108" t="str">
        <f t="shared" si="2369"/>
        <v/>
      </c>
    </row>
    <row r="143" spans="1:175" s="29" customFormat="1" ht="16.5">
      <c r="A143" s="9"/>
      <c r="B143" s="17" t="s">
        <v>552</v>
      </c>
      <c r="C143" s="21" t="s">
        <v>553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554</v>
      </c>
      <c r="U143" s="77" t="str">
        <f t="shared" si="2360"/>
        <v>ReplaceableTextures\\CommandButtons\\BTNIN24.blp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7"/>
        <v>InitUnitState('IN24',,,,,,,,,,)</v>
      </c>
      <c r="CO143" s="107" t="str">
        <f t="shared" si="2068"/>
        <v>InitUnitNormal('IN24',,,,,,,,,,)</v>
      </c>
      <c r="CP143" s="107" t="str">
        <f t="shared" si="2069"/>
        <v>InitUnitMagic('IN24',,,,,,,,,,)</v>
      </c>
      <c r="CQ143" s="107" t="str">
        <f t="shared" si="2070"/>
        <v>InitUnitAdd('IN24',,,,,,,,,,)</v>
      </c>
      <c r="CR143" s="107" t="str">
        <f t="shared" si="2365"/>
        <v>InitEquipData('IN24',,"",,,,,'','','','','','',"ReplaceableTextures\\CommandButtons\\BTN002.blp")</v>
      </c>
      <c r="CS143" s="107"/>
      <c r="CT143" s="107"/>
      <c r="CU143" s="88" t="str">
        <f t="shared" si="2288"/>
        <v>|n</v>
      </c>
      <c r="CV143" s="29" t="str">
        <f t="shared" si="2289"/>
        <v>使用后|Cffffd24d5|r分钟内|Cffffd24d不使用轻功|r，获得|Cffffd24d1|r个|Cffff0000附魔宝箱|r</v>
      </c>
      <c r="CW143" s="33"/>
      <c r="CX143" s="33"/>
      <c r="CY143" s="33"/>
      <c r="CZ143" s="33"/>
      <c r="DA143" s="33"/>
      <c r="DB143" s="108" t="str">
        <f t="shared" ref="DB143:FM143" si="2370">IF(V143="","","|n"&amp;DB$2&amp;"+"&amp;V143&amp;DB$1)</f>
        <v/>
      </c>
      <c r="DC143" s="108" t="str">
        <f t="shared" si="2370"/>
        <v/>
      </c>
      <c r="DD143" s="108" t="str">
        <f t="shared" si="2370"/>
        <v/>
      </c>
      <c r="DE143" s="108" t="str">
        <f t="shared" si="2370"/>
        <v/>
      </c>
      <c r="DF143" s="108" t="str">
        <f t="shared" si="2370"/>
        <v/>
      </c>
      <c r="DG143" s="108" t="str">
        <f t="shared" si="2370"/>
        <v/>
      </c>
      <c r="DH143" s="108" t="str">
        <f t="shared" si="2370"/>
        <v/>
      </c>
      <c r="DI143" s="108" t="str">
        <f t="shared" si="2370"/>
        <v/>
      </c>
      <c r="DJ143" s="108" t="str">
        <f t="shared" si="2370"/>
        <v/>
      </c>
      <c r="DK143" s="108" t="str">
        <f t="shared" si="2370"/>
        <v/>
      </c>
      <c r="DL143" s="108" t="str">
        <f t="shared" si="2370"/>
        <v/>
      </c>
      <c r="DM143" s="108" t="str">
        <f t="shared" si="2370"/>
        <v/>
      </c>
      <c r="DN143" s="108" t="str">
        <f t="shared" si="2370"/>
        <v/>
      </c>
      <c r="DO143" s="108" t="str">
        <f t="shared" si="2370"/>
        <v/>
      </c>
      <c r="DP143" s="108" t="str">
        <f t="shared" si="2370"/>
        <v/>
      </c>
      <c r="DQ143" s="108" t="str">
        <f t="shared" si="2370"/>
        <v/>
      </c>
      <c r="DR143" s="108" t="str">
        <f t="shared" si="2370"/>
        <v/>
      </c>
      <c r="DS143" s="108" t="str">
        <f t="shared" si="2370"/>
        <v/>
      </c>
      <c r="DT143" s="108" t="str">
        <f t="shared" si="2370"/>
        <v/>
      </c>
      <c r="DU143" s="108" t="str">
        <f t="shared" si="2370"/>
        <v/>
      </c>
      <c r="DV143" s="108" t="str">
        <f t="shared" si="2370"/>
        <v/>
      </c>
      <c r="DW143" s="108" t="str">
        <f t="shared" si="2370"/>
        <v/>
      </c>
      <c r="DX143" s="108" t="str">
        <f t="shared" si="2370"/>
        <v/>
      </c>
      <c r="DY143" s="108" t="str">
        <f t="shared" si="2370"/>
        <v/>
      </c>
      <c r="DZ143" s="108" t="str">
        <f t="shared" si="2370"/>
        <v/>
      </c>
      <c r="EA143" s="108" t="str">
        <f t="shared" si="2370"/>
        <v/>
      </c>
      <c r="EB143" s="108" t="str">
        <f t="shared" si="2370"/>
        <v/>
      </c>
      <c r="EC143" s="108" t="str">
        <f t="shared" si="2370"/>
        <v/>
      </c>
      <c r="ED143" s="108" t="str">
        <f t="shared" si="2370"/>
        <v/>
      </c>
      <c r="EE143" s="108" t="str">
        <f t="shared" si="2370"/>
        <v/>
      </c>
      <c r="EF143" s="108" t="str">
        <f t="shared" si="2370"/>
        <v/>
      </c>
      <c r="EG143" s="108" t="str">
        <f t="shared" si="2370"/>
        <v/>
      </c>
      <c r="EH143" s="108" t="str">
        <f t="shared" si="2370"/>
        <v/>
      </c>
      <c r="EI143" s="108" t="str">
        <f t="shared" si="2370"/>
        <v/>
      </c>
      <c r="EJ143" s="108" t="str">
        <f t="shared" si="2370"/>
        <v/>
      </c>
      <c r="EK143" s="108" t="str">
        <f t="shared" si="2370"/>
        <v/>
      </c>
      <c r="EL143" s="108" t="str">
        <f t="shared" si="2370"/>
        <v/>
      </c>
      <c r="EM143" s="108" t="str">
        <f t="shared" si="2370"/>
        <v/>
      </c>
      <c r="EN143" s="108" t="str">
        <f t="shared" si="2370"/>
        <v/>
      </c>
      <c r="EO143" s="108" t="str">
        <f t="shared" si="2370"/>
        <v/>
      </c>
      <c r="EP143" s="108" t="str">
        <f t="shared" si="2370"/>
        <v/>
      </c>
      <c r="EQ143" s="108" t="str">
        <f t="shared" si="2370"/>
        <v/>
      </c>
      <c r="ER143" s="108" t="str">
        <f t="shared" si="2370"/>
        <v/>
      </c>
      <c r="ES143" s="108" t="str">
        <f t="shared" si="2370"/>
        <v/>
      </c>
      <c r="ET143" s="108" t="str">
        <f t="shared" si="2370"/>
        <v/>
      </c>
      <c r="EU143" s="108" t="str">
        <f t="shared" si="2370"/>
        <v/>
      </c>
      <c r="EV143" s="108" t="str">
        <f t="shared" si="2370"/>
        <v/>
      </c>
      <c r="EW143" s="108" t="str">
        <f t="shared" si="2370"/>
        <v/>
      </c>
      <c r="EX143" s="108" t="str">
        <f t="shared" si="2370"/>
        <v/>
      </c>
      <c r="EY143" s="108" t="str">
        <f t="shared" si="2370"/>
        <v/>
      </c>
      <c r="EZ143" s="108" t="str">
        <f t="shared" si="2370"/>
        <v/>
      </c>
      <c r="FA143" s="108" t="str">
        <f t="shared" si="2370"/>
        <v/>
      </c>
      <c r="FB143" s="108" t="str">
        <f t="shared" si="2370"/>
        <v/>
      </c>
      <c r="FC143" s="108" t="str">
        <f t="shared" si="2370"/>
        <v/>
      </c>
      <c r="FD143" s="108" t="str">
        <f t="shared" si="2370"/>
        <v/>
      </c>
      <c r="FE143" s="108" t="str">
        <f t="shared" si="2370"/>
        <v/>
      </c>
      <c r="FF143" s="108" t="str">
        <f t="shared" si="2370"/>
        <v/>
      </c>
      <c r="FG143" s="108" t="str">
        <f t="shared" si="2370"/>
        <v/>
      </c>
      <c r="FH143" s="108" t="str">
        <f t="shared" si="2370"/>
        <v/>
      </c>
      <c r="FI143" s="108" t="str">
        <f t="shared" si="2370"/>
        <v/>
      </c>
      <c r="FJ143" s="108" t="str">
        <f t="shared" si="2370"/>
        <v/>
      </c>
      <c r="FK143" s="108" t="str">
        <f t="shared" si="2370"/>
        <v/>
      </c>
      <c r="FL143" s="108" t="str">
        <f t="shared" si="2370"/>
        <v/>
      </c>
      <c r="FM143" s="108" t="str">
        <f t="shared" si="2370"/>
        <v/>
      </c>
      <c r="FN143" s="108" t="str">
        <f t="shared" ref="FN143:FS143" si="2371">IF(CH143="","","|n"&amp;FN$2&amp;"+"&amp;CH143&amp;FN$1)</f>
        <v/>
      </c>
      <c r="FO143" s="108" t="str">
        <f t="shared" si="2371"/>
        <v/>
      </c>
      <c r="FP143" s="108" t="str">
        <f t="shared" si="2371"/>
        <v/>
      </c>
      <c r="FQ143" s="108" t="str">
        <f t="shared" si="2371"/>
        <v/>
      </c>
      <c r="FR143" s="108" t="str">
        <f t="shared" si="2371"/>
        <v/>
      </c>
      <c r="FS143" s="108" t="str">
        <f t="shared" si="2371"/>
        <v/>
      </c>
    </row>
    <row r="144" spans="1:175" s="29" customFormat="1" ht="16.5">
      <c r="A144" s="9"/>
      <c r="B144" s="24" t="s">
        <v>555</v>
      </c>
      <c r="C144" s="23" t="s">
        <v>556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557</v>
      </c>
      <c r="U144" s="77" t="s">
        <v>558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7"/>
        <v>InitUnitState('IN25',,,,,,,,,,)</v>
      </c>
      <c r="CO144" s="107" t="str">
        <f t="shared" si="2068"/>
        <v>InitUnitNormal('IN25',,,,,,,,,,)</v>
      </c>
      <c r="CP144" s="107" t="str">
        <f t="shared" si="2069"/>
        <v>InitUnitMagic('IN25',,,,,,,,,,)</v>
      </c>
      <c r="CQ144" s="107" t="str">
        <f t="shared" si="2070"/>
        <v>InitUnitAdd('IN25',,,,,,,,,,)</v>
      </c>
      <c r="CR144" s="107" t="str">
        <f t="shared" si="2365"/>
        <v>InitEquipData('IN25',,"",,,,,'','','','','','',"ReplaceableTextures\\CommandButtons\\BTN003.blp")</v>
      </c>
      <c r="CS144" s="107"/>
      <c r="CT144" s="107"/>
      <c r="CU144" s="88" t="str">
        <f t="shared" si="2288"/>
        <v>|n</v>
      </c>
      <c r="CV144" s="29" t="str">
        <f t="shared" si="2289"/>
        <v>打开后有几率获得以下奖励：|n【随机品质】中级道果|n|Cff00ff7f【随机品质】高级道果|r</v>
      </c>
      <c r="CW144" s="33"/>
      <c r="CX144" s="33"/>
      <c r="CY144" s="33"/>
      <c r="CZ144" s="33"/>
      <c r="DA144" s="33"/>
      <c r="DB144" s="108" t="str">
        <f t="shared" ref="DB144:FM144" si="2372">IF(V144="","","|n"&amp;DB$2&amp;"+"&amp;V144&amp;DB$1)</f>
        <v/>
      </c>
      <c r="DC144" s="108" t="str">
        <f t="shared" si="2372"/>
        <v/>
      </c>
      <c r="DD144" s="108" t="str">
        <f t="shared" si="2372"/>
        <v/>
      </c>
      <c r="DE144" s="108" t="str">
        <f t="shared" si="2372"/>
        <v/>
      </c>
      <c r="DF144" s="108" t="str">
        <f t="shared" si="2372"/>
        <v/>
      </c>
      <c r="DG144" s="108" t="str">
        <f t="shared" si="2372"/>
        <v/>
      </c>
      <c r="DH144" s="108" t="str">
        <f t="shared" si="2372"/>
        <v/>
      </c>
      <c r="DI144" s="108" t="str">
        <f t="shared" si="2372"/>
        <v/>
      </c>
      <c r="DJ144" s="108" t="str">
        <f t="shared" si="2372"/>
        <v/>
      </c>
      <c r="DK144" s="108" t="str">
        <f t="shared" si="2372"/>
        <v/>
      </c>
      <c r="DL144" s="108" t="str">
        <f t="shared" si="2372"/>
        <v/>
      </c>
      <c r="DM144" s="108" t="str">
        <f t="shared" si="2372"/>
        <v/>
      </c>
      <c r="DN144" s="108" t="str">
        <f t="shared" si="2372"/>
        <v/>
      </c>
      <c r="DO144" s="108" t="str">
        <f t="shared" si="2372"/>
        <v/>
      </c>
      <c r="DP144" s="108" t="str">
        <f t="shared" si="2372"/>
        <v/>
      </c>
      <c r="DQ144" s="108" t="str">
        <f t="shared" si="2372"/>
        <v/>
      </c>
      <c r="DR144" s="108" t="str">
        <f t="shared" si="2372"/>
        <v/>
      </c>
      <c r="DS144" s="108" t="str">
        <f t="shared" si="2372"/>
        <v/>
      </c>
      <c r="DT144" s="108" t="str">
        <f t="shared" si="2372"/>
        <v/>
      </c>
      <c r="DU144" s="108" t="str">
        <f t="shared" si="2372"/>
        <v/>
      </c>
      <c r="DV144" s="108" t="str">
        <f t="shared" si="2372"/>
        <v/>
      </c>
      <c r="DW144" s="108" t="str">
        <f t="shared" si="2372"/>
        <v/>
      </c>
      <c r="DX144" s="108" t="str">
        <f t="shared" si="2372"/>
        <v/>
      </c>
      <c r="DY144" s="108" t="str">
        <f t="shared" si="2372"/>
        <v/>
      </c>
      <c r="DZ144" s="108" t="str">
        <f t="shared" si="2372"/>
        <v/>
      </c>
      <c r="EA144" s="108" t="str">
        <f t="shared" si="2372"/>
        <v/>
      </c>
      <c r="EB144" s="108" t="str">
        <f t="shared" si="2372"/>
        <v/>
      </c>
      <c r="EC144" s="108" t="str">
        <f t="shared" si="2372"/>
        <v/>
      </c>
      <c r="ED144" s="108" t="str">
        <f t="shared" si="2372"/>
        <v/>
      </c>
      <c r="EE144" s="108" t="str">
        <f t="shared" si="2372"/>
        <v/>
      </c>
      <c r="EF144" s="108" t="str">
        <f t="shared" si="2372"/>
        <v/>
      </c>
      <c r="EG144" s="108" t="str">
        <f t="shared" si="2372"/>
        <v/>
      </c>
      <c r="EH144" s="108" t="str">
        <f t="shared" si="2372"/>
        <v/>
      </c>
      <c r="EI144" s="108" t="str">
        <f t="shared" si="2372"/>
        <v/>
      </c>
      <c r="EJ144" s="108" t="str">
        <f t="shared" si="2372"/>
        <v/>
      </c>
      <c r="EK144" s="108" t="str">
        <f t="shared" si="2372"/>
        <v/>
      </c>
      <c r="EL144" s="108" t="str">
        <f t="shared" si="2372"/>
        <v/>
      </c>
      <c r="EM144" s="108" t="str">
        <f t="shared" si="2372"/>
        <v/>
      </c>
      <c r="EN144" s="108" t="str">
        <f t="shared" si="2372"/>
        <v/>
      </c>
      <c r="EO144" s="108" t="str">
        <f t="shared" si="2372"/>
        <v/>
      </c>
      <c r="EP144" s="108" t="str">
        <f t="shared" si="2372"/>
        <v/>
      </c>
      <c r="EQ144" s="108" t="str">
        <f t="shared" si="2372"/>
        <v/>
      </c>
      <c r="ER144" s="108" t="str">
        <f t="shared" si="2372"/>
        <v/>
      </c>
      <c r="ES144" s="108" t="str">
        <f t="shared" si="2372"/>
        <v/>
      </c>
      <c r="ET144" s="108" t="str">
        <f t="shared" si="2372"/>
        <v/>
      </c>
      <c r="EU144" s="108" t="str">
        <f t="shared" si="2372"/>
        <v/>
      </c>
      <c r="EV144" s="108" t="str">
        <f t="shared" si="2372"/>
        <v/>
      </c>
      <c r="EW144" s="108" t="str">
        <f t="shared" si="2372"/>
        <v/>
      </c>
      <c r="EX144" s="108" t="str">
        <f t="shared" si="2372"/>
        <v/>
      </c>
      <c r="EY144" s="108" t="str">
        <f t="shared" si="2372"/>
        <v/>
      </c>
      <c r="EZ144" s="108" t="str">
        <f t="shared" si="2372"/>
        <v/>
      </c>
      <c r="FA144" s="108" t="str">
        <f t="shared" si="2372"/>
        <v/>
      </c>
      <c r="FB144" s="108" t="str">
        <f t="shared" si="2372"/>
        <v/>
      </c>
      <c r="FC144" s="108" t="str">
        <f t="shared" si="2372"/>
        <v/>
      </c>
      <c r="FD144" s="108" t="str">
        <f t="shared" si="2372"/>
        <v/>
      </c>
      <c r="FE144" s="108" t="str">
        <f t="shared" si="2372"/>
        <v/>
      </c>
      <c r="FF144" s="108" t="str">
        <f t="shared" si="2372"/>
        <v/>
      </c>
      <c r="FG144" s="108" t="str">
        <f t="shared" si="2372"/>
        <v/>
      </c>
      <c r="FH144" s="108" t="str">
        <f t="shared" si="2372"/>
        <v/>
      </c>
      <c r="FI144" s="108" t="str">
        <f t="shared" si="2372"/>
        <v/>
      </c>
      <c r="FJ144" s="108" t="str">
        <f t="shared" si="2372"/>
        <v/>
      </c>
      <c r="FK144" s="108" t="str">
        <f t="shared" si="2372"/>
        <v/>
      </c>
      <c r="FL144" s="108" t="str">
        <f t="shared" si="2372"/>
        <v/>
      </c>
      <c r="FM144" s="108" t="str">
        <f t="shared" si="2372"/>
        <v/>
      </c>
      <c r="FN144" s="108" t="str">
        <f t="shared" ref="FN144:FS144" si="2373">IF(CH144="","","|n"&amp;FN$2&amp;"+"&amp;CH144&amp;FN$1)</f>
        <v/>
      </c>
      <c r="FO144" s="108" t="str">
        <f t="shared" si="2373"/>
        <v/>
      </c>
      <c r="FP144" s="108" t="str">
        <f t="shared" si="2373"/>
        <v/>
      </c>
      <c r="FQ144" s="108" t="str">
        <f t="shared" si="2373"/>
        <v/>
      </c>
      <c r="FR144" s="108" t="str">
        <f t="shared" si="2373"/>
        <v/>
      </c>
      <c r="FS144" s="108" t="str">
        <f t="shared" si="2373"/>
        <v/>
      </c>
    </row>
    <row r="145" spans="1:175" s="29" customFormat="1" ht="16.5">
      <c r="A145" s="9"/>
      <c r="B145" s="24" t="s">
        <v>559</v>
      </c>
      <c r="C145" s="23" t="s">
        <v>560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561</v>
      </c>
      <c r="U145" s="77" t="s">
        <v>562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7"/>
        <v>InitUnitState('IN26',,,,,,,,,,)</v>
      </c>
      <c r="CO145" s="107" t="str">
        <f t="shared" si="2068"/>
        <v>InitUnitNormal('IN26',,,,,,,,,,)</v>
      </c>
      <c r="CP145" s="107" t="str">
        <f t="shared" si="2069"/>
        <v>InitUnitMagic('IN26',,,,,,,,,,)</v>
      </c>
      <c r="CQ145" s="107" t="str">
        <f t="shared" si="2070"/>
        <v>InitUnitAdd('IN26',,,,,,,,,,)</v>
      </c>
      <c r="CR145" s="107" t="str">
        <f t="shared" si="2365"/>
        <v>InitEquipData('IN26',,"",,,,,'','','','','','',"ReplaceableTextures\\CommandButtons\\BTNIN01.blp")</v>
      </c>
      <c r="CS145" s="107"/>
      <c r="CT145" s="107"/>
      <c r="CU145" s="88" t="str">
        <f t="shared" si="2288"/>
        <v>|n</v>
      </c>
      <c r="CV145" s="29" t="str">
        <f t="shared" si="2289"/>
        <v>打开后有几率获得以下奖励：|n|Cff00ff7f【随机品质】黄级道果|r|n|Cff00bfff【随机品质】玄级道果|n【随机品质】地级道果|r</v>
      </c>
      <c r="CW145" s="33"/>
      <c r="CX145" s="33"/>
      <c r="CY145" s="33"/>
      <c r="CZ145" s="33"/>
      <c r="DA145" s="33"/>
      <c r="DB145" s="108" t="str">
        <f t="shared" ref="DB145:FM145" si="2374">IF(V145="","","|n"&amp;DB$2&amp;"+"&amp;V145&amp;DB$1)</f>
        <v/>
      </c>
      <c r="DC145" s="108" t="str">
        <f t="shared" si="2374"/>
        <v/>
      </c>
      <c r="DD145" s="108" t="str">
        <f t="shared" si="2374"/>
        <v/>
      </c>
      <c r="DE145" s="108" t="str">
        <f t="shared" si="2374"/>
        <v/>
      </c>
      <c r="DF145" s="108" t="str">
        <f t="shared" si="2374"/>
        <v/>
      </c>
      <c r="DG145" s="108" t="str">
        <f t="shared" si="2374"/>
        <v/>
      </c>
      <c r="DH145" s="108" t="str">
        <f t="shared" si="2374"/>
        <v/>
      </c>
      <c r="DI145" s="108" t="str">
        <f t="shared" si="2374"/>
        <v/>
      </c>
      <c r="DJ145" s="108" t="str">
        <f t="shared" si="2374"/>
        <v/>
      </c>
      <c r="DK145" s="108" t="str">
        <f t="shared" si="2374"/>
        <v/>
      </c>
      <c r="DL145" s="108" t="str">
        <f t="shared" si="2374"/>
        <v/>
      </c>
      <c r="DM145" s="108" t="str">
        <f t="shared" si="2374"/>
        <v/>
      </c>
      <c r="DN145" s="108" t="str">
        <f t="shared" si="2374"/>
        <v/>
      </c>
      <c r="DO145" s="108" t="str">
        <f t="shared" si="2374"/>
        <v/>
      </c>
      <c r="DP145" s="108" t="str">
        <f t="shared" si="2374"/>
        <v/>
      </c>
      <c r="DQ145" s="108" t="str">
        <f t="shared" si="2374"/>
        <v/>
      </c>
      <c r="DR145" s="108" t="str">
        <f t="shared" si="2374"/>
        <v/>
      </c>
      <c r="DS145" s="108" t="str">
        <f t="shared" si="2374"/>
        <v/>
      </c>
      <c r="DT145" s="108" t="str">
        <f t="shared" si="2374"/>
        <v/>
      </c>
      <c r="DU145" s="108" t="str">
        <f t="shared" si="2374"/>
        <v/>
      </c>
      <c r="DV145" s="108" t="str">
        <f t="shared" si="2374"/>
        <v/>
      </c>
      <c r="DW145" s="108" t="str">
        <f t="shared" si="2374"/>
        <v/>
      </c>
      <c r="DX145" s="108" t="str">
        <f t="shared" si="2374"/>
        <v/>
      </c>
      <c r="DY145" s="108" t="str">
        <f t="shared" si="2374"/>
        <v/>
      </c>
      <c r="DZ145" s="108" t="str">
        <f t="shared" si="2374"/>
        <v/>
      </c>
      <c r="EA145" s="108" t="str">
        <f t="shared" si="2374"/>
        <v/>
      </c>
      <c r="EB145" s="108" t="str">
        <f t="shared" si="2374"/>
        <v/>
      </c>
      <c r="EC145" s="108" t="str">
        <f t="shared" si="2374"/>
        <v/>
      </c>
      <c r="ED145" s="108" t="str">
        <f t="shared" si="2374"/>
        <v/>
      </c>
      <c r="EE145" s="108" t="str">
        <f t="shared" si="2374"/>
        <v/>
      </c>
      <c r="EF145" s="108" t="str">
        <f t="shared" si="2374"/>
        <v/>
      </c>
      <c r="EG145" s="108" t="str">
        <f t="shared" si="2374"/>
        <v/>
      </c>
      <c r="EH145" s="108" t="str">
        <f t="shared" si="2374"/>
        <v/>
      </c>
      <c r="EI145" s="108" t="str">
        <f t="shared" si="2374"/>
        <v/>
      </c>
      <c r="EJ145" s="108" t="str">
        <f t="shared" si="2374"/>
        <v/>
      </c>
      <c r="EK145" s="108" t="str">
        <f t="shared" si="2374"/>
        <v/>
      </c>
      <c r="EL145" s="108" t="str">
        <f t="shared" si="2374"/>
        <v/>
      </c>
      <c r="EM145" s="108" t="str">
        <f t="shared" si="2374"/>
        <v/>
      </c>
      <c r="EN145" s="108" t="str">
        <f t="shared" si="2374"/>
        <v/>
      </c>
      <c r="EO145" s="108" t="str">
        <f t="shared" si="2374"/>
        <v/>
      </c>
      <c r="EP145" s="108" t="str">
        <f t="shared" si="2374"/>
        <v/>
      </c>
      <c r="EQ145" s="108" t="str">
        <f t="shared" si="2374"/>
        <v/>
      </c>
      <c r="ER145" s="108" t="str">
        <f t="shared" si="2374"/>
        <v/>
      </c>
      <c r="ES145" s="108" t="str">
        <f t="shared" si="2374"/>
        <v/>
      </c>
      <c r="ET145" s="108" t="str">
        <f t="shared" si="2374"/>
        <v/>
      </c>
      <c r="EU145" s="108" t="str">
        <f t="shared" si="2374"/>
        <v/>
      </c>
      <c r="EV145" s="108" t="str">
        <f t="shared" si="2374"/>
        <v/>
      </c>
      <c r="EW145" s="108" t="str">
        <f t="shared" si="2374"/>
        <v/>
      </c>
      <c r="EX145" s="108" t="str">
        <f t="shared" si="2374"/>
        <v/>
      </c>
      <c r="EY145" s="108" t="str">
        <f t="shared" si="2374"/>
        <v/>
      </c>
      <c r="EZ145" s="108" t="str">
        <f t="shared" si="2374"/>
        <v/>
      </c>
      <c r="FA145" s="108" t="str">
        <f t="shared" si="2374"/>
        <v/>
      </c>
      <c r="FB145" s="108" t="str">
        <f t="shared" si="2374"/>
        <v/>
      </c>
      <c r="FC145" s="108" t="str">
        <f t="shared" si="2374"/>
        <v/>
      </c>
      <c r="FD145" s="108" t="str">
        <f t="shared" si="2374"/>
        <v/>
      </c>
      <c r="FE145" s="108" t="str">
        <f t="shared" si="2374"/>
        <v/>
      </c>
      <c r="FF145" s="108" t="str">
        <f t="shared" si="2374"/>
        <v/>
      </c>
      <c r="FG145" s="108" t="str">
        <f t="shared" si="2374"/>
        <v/>
      </c>
      <c r="FH145" s="108" t="str">
        <f t="shared" si="2374"/>
        <v/>
      </c>
      <c r="FI145" s="108" t="str">
        <f t="shared" si="2374"/>
        <v/>
      </c>
      <c r="FJ145" s="108" t="str">
        <f t="shared" si="2374"/>
        <v/>
      </c>
      <c r="FK145" s="108" t="str">
        <f t="shared" si="2374"/>
        <v/>
      </c>
      <c r="FL145" s="108" t="str">
        <f t="shared" si="2374"/>
        <v/>
      </c>
      <c r="FM145" s="108" t="str">
        <f t="shared" si="2374"/>
        <v/>
      </c>
      <c r="FN145" s="108" t="str">
        <f t="shared" ref="FN145:FS145" si="2375">IF(CH145="","","|n"&amp;FN$2&amp;"+"&amp;CH145&amp;FN$1)</f>
        <v/>
      </c>
      <c r="FO145" s="108" t="str">
        <f t="shared" si="2375"/>
        <v/>
      </c>
      <c r="FP145" s="108" t="str">
        <f t="shared" si="2375"/>
        <v/>
      </c>
      <c r="FQ145" s="108" t="str">
        <f t="shared" si="2375"/>
        <v/>
      </c>
      <c r="FR145" s="108" t="str">
        <f t="shared" si="2375"/>
        <v/>
      </c>
      <c r="FS145" s="108" t="str">
        <f t="shared" si="2375"/>
        <v/>
      </c>
    </row>
    <row r="146" spans="1:175" s="29" customFormat="1" ht="16.5">
      <c r="A146" s="9"/>
      <c r="B146" s="24" t="s">
        <v>563</v>
      </c>
      <c r="C146" s="23" t="s">
        <v>564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565</v>
      </c>
      <c r="U146" s="77" t="s">
        <v>566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7"/>
        <v>InitUnitState('IN27',,,,,,,,,,)</v>
      </c>
      <c r="CO146" s="107" t="str">
        <f t="shared" si="2068"/>
        <v>InitUnitNormal('IN27',,,,,,,,,,)</v>
      </c>
      <c r="CP146" s="107" t="str">
        <f t="shared" si="2069"/>
        <v>InitUnitMagic('IN27',,,,,,,,,,)</v>
      </c>
      <c r="CQ146" s="107" t="str">
        <f t="shared" si="2070"/>
        <v>InitUnitAdd('IN27',,,,,,,,,,)</v>
      </c>
      <c r="CR146" s="107" t="str">
        <f t="shared" si="2365"/>
        <v>InitEquipData('IN27',,"",,,,,'','','','','','',"ReplaceableTextures\\CommandButtons\\BTNIN02.blp")</v>
      </c>
      <c r="CS146" s="107"/>
      <c r="CT146" s="107"/>
      <c r="CU146" s="88" t="str">
        <f t="shared" si="2288"/>
        <v>|n</v>
      </c>
      <c r="CV146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46" s="33"/>
      <c r="CX146" s="33"/>
      <c r="CY146" s="33"/>
      <c r="CZ146" s="33"/>
      <c r="DA146" s="33"/>
      <c r="DB146" s="108" t="str">
        <f t="shared" ref="DB146:FM146" si="2376">IF(V146="","","|n"&amp;DB$2&amp;"+"&amp;V146&amp;DB$1)</f>
        <v/>
      </c>
      <c r="DC146" s="108" t="str">
        <f t="shared" si="2376"/>
        <v/>
      </c>
      <c r="DD146" s="108" t="str">
        <f t="shared" si="2376"/>
        <v/>
      </c>
      <c r="DE146" s="108" t="str">
        <f t="shared" si="2376"/>
        <v/>
      </c>
      <c r="DF146" s="108" t="str">
        <f t="shared" si="2376"/>
        <v/>
      </c>
      <c r="DG146" s="108" t="str">
        <f t="shared" si="2376"/>
        <v/>
      </c>
      <c r="DH146" s="108" t="str">
        <f t="shared" si="2376"/>
        <v/>
      </c>
      <c r="DI146" s="108" t="str">
        <f t="shared" si="2376"/>
        <v/>
      </c>
      <c r="DJ146" s="108" t="str">
        <f t="shared" si="2376"/>
        <v/>
      </c>
      <c r="DK146" s="108" t="str">
        <f t="shared" si="2376"/>
        <v/>
      </c>
      <c r="DL146" s="108" t="str">
        <f t="shared" si="2376"/>
        <v/>
      </c>
      <c r="DM146" s="108" t="str">
        <f t="shared" si="2376"/>
        <v/>
      </c>
      <c r="DN146" s="108" t="str">
        <f t="shared" si="2376"/>
        <v/>
      </c>
      <c r="DO146" s="108" t="str">
        <f t="shared" si="2376"/>
        <v/>
      </c>
      <c r="DP146" s="108" t="str">
        <f t="shared" si="2376"/>
        <v/>
      </c>
      <c r="DQ146" s="108" t="str">
        <f t="shared" si="2376"/>
        <v/>
      </c>
      <c r="DR146" s="108" t="str">
        <f t="shared" si="2376"/>
        <v/>
      </c>
      <c r="DS146" s="108" t="str">
        <f t="shared" si="2376"/>
        <v/>
      </c>
      <c r="DT146" s="108" t="str">
        <f t="shared" si="2376"/>
        <v/>
      </c>
      <c r="DU146" s="108" t="str">
        <f t="shared" si="2376"/>
        <v/>
      </c>
      <c r="DV146" s="108" t="str">
        <f t="shared" si="2376"/>
        <v/>
      </c>
      <c r="DW146" s="108" t="str">
        <f t="shared" si="2376"/>
        <v/>
      </c>
      <c r="DX146" s="108" t="str">
        <f t="shared" si="2376"/>
        <v/>
      </c>
      <c r="DY146" s="108" t="str">
        <f t="shared" si="2376"/>
        <v/>
      </c>
      <c r="DZ146" s="108" t="str">
        <f t="shared" si="2376"/>
        <v/>
      </c>
      <c r="EA146" s="108" t="str">
        <f t="shared" si="2376"/>
        <v/>
      </c>
      <c r="EB146" s="108" t="str">
        <f t="shared" si="2376"/>
        <v/>
      </c>
      <c r="EC146" s="108" t="str">
        <f t="shared" si="2376"/>
        <v/>
      </c>
      <c r="ED146" s="108" t="str">
        <f t="shared" si="2376"/>
        <v/>
      </c>
      <c r="EE146" s="108" t="str">
        <f t="shared" si="2376"/>
        <v/>
      </c>
      <c r="EF146" s="108" t="str">
        <f t="shared" si="2376"/>
        <v/>
      </c>
      <c r="EG146" s="108" t="str">
        <f t="shared" si="2376"/>
        <v/>
      </c>
      <c r="EH146" s="108" t="str">
        <f t="shared" si="2376"/>
        <v/>
      </c>
      <c r="EI146" s="108" t="str">
        <f t="shared" si="2376"/>
        <v/>
      </c>
      <c r="EJ146" s="108" t="str">
        <f t="shared" si="2376"/>
        <v/>
      </c>
      <c r="EK146" s="108" t="str">
        <f t="shared" si="2376"/>
        <v/>
      </c>
      <c r="EL146" s="108" t="str">
        <f t="shared" si="2376"/>
        <v/>
      </c>
      <c r="EM146" s="108" t="str">
        <f t="shared" si="2376"/>
        <v/>
      </c>
      <c r="EN146" s="108" t="str">
        <f t="shared" si="2376"/>
        <v/>
      </c>
      <c r="EO146" s="108" t="str">
        <f t="shared" si="2376"/>
        <v/>
      </c>
      <c r="EP146" s="108" t="str">
        <f t="shared" si="2376"/>
        <v/>
      </c>
      <c r="EQ146" s="108" t="str">
        <f t="shared" si="2376"/>
        <v/>
      </c>
      <c r="ER146" s="108" t="str">
        <f t="shared" si="2376"/>
        <v/>
      </c>
      <c r="ES146" s="108" t="str">
        <f t="shared" si="2376"/>
        <v/>
      </c>
      <c r="ET146" s="108" t="str">
        <f t="shared" si="2376"/>
        <v/>
      </c>
      <c r="EU146" s="108" t="str">
        <f t="shared" si="2376"/>
        <v/>
      </c>
      <c r="EV146" s="108" t="str">
        <f t="shared" si="2376"/>
        <v/>
      </c>
      <c r="EW146" s="108" t="str">
        <f t="shared" si="2376"/>
        <v/>
      </c>
      <c r="EX146" s="108" t="str">
        <f t="shared" si="2376"/>
        <v/>
      </c>
      <c r="EY146" s="108" t="str">
        <f t="shared" si="2376"/>
        <v/>
      </c>
      <c r="EZ146" s="108" t="str">
        <f t="shared" si="2376"/>
        <v/>
      </c>
      <c r="FA146" s="108" t="str">
        <f t="shared" si="2376"/>
        <v/>
      </c>
      <c r="FB146" s="108" t="str">
        <f t="shared" si="2376"/>
        <v/>
      </c>
      <c r="FC146" s="108" t="str">
        <f t="shared" si="2376"/>
        <v/>
      </c>
      <c r="FD146" s="108" t="str">
        <f t="shared" si="2376"/>
        <v/>
      </c>
      <c r="FE146" s="108" t="str">
        <f t="shared" si="2376"/>
        <v/>
      </c>
      <c r="FF146" s="108" t="str">
        <f t="shared" si="2376"/>
        <v/>
      </c>
      <c r="FG146" s="108" t="str">
        <f t="shared" si="2376"/>
        <v/>
      </c>
      <c r="FH146" s="108" t="str">
        <f t="shared" si="2376"/>
        <v/>
      </c>
      <c r="FI146" s="108" t="str">
        <f t="shared" si="2376"/>
        <v/>
      </c>
      <c r="FJ146" s="108" t="str">
        <f t="shared" si="2376"/>
        <v/>
      </c>
      <c r="FK146" s="108" t="str">
        <f t="shared" si="2376"/>
        <v/>
      </c>
      <c r="FL146" s="108" t="str">
        <f t="shared" si="2376"/>
        <v/>
      </c>
      <c r="FM146" s="108" t="str">
        <f t="shared" si="2376"/>
        <v/>
      </c>
      <c r="FN146" s="108" t="str">
        <f t="shared" ref="FN146:FS146" si="2377">IF(CH146="","","|n"&amp;FN$2&amp;"+"&amp;CH146&amp;FN$1)</f>
        <v/>
      </c>
      <c r="FO146" s="108" t="str">
        <f t="shared" si="2377"/>
        <v/>
      </c>
      <c r="FP146" s="108" t="str">
        <f t="shared" si="2377"/>
        <v/>
      </c>
      <c r="FQ146" s="108" t="str">
        <f t="shared" si="2377"/>
        <v/>
      </c>
      <c r="FR146" s="108" t="str">
        <f t="shared" si="2377"/>
        <v/>
      </c>
      <c r="FS146" s="108" t="str">
        <f t="shared" si="2377"/>
        <v/>
      </c>
    </row>
    <row r="147" spans="1:175" s="29" customFormat="1" ht="16.5">
      <c r="A147" s="9"/>
      <c r="B147" s="24" t="s">
        <v>567</v>
      </c>
      <c r="C147" s="20" t="s">
        <v>568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569</v>
      </c>
      <c r="U147" s="77" t="s">
        <v>570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7"/>
        <v>InitUnitState('IN28',,,,,,,,,,)</v>
      </c>
      <c r="CO147" s="107" t="str">
        <f t="shared" si="2068"/>
        <v>InitUnitNormal('IN28',,,,,,,,,,)</v>
      </c>
      <c r="CP147" s="107" t="str">
        <f t="shared" si="2069"/>
        <v>InitUnitMagic('IN28',,,,,,,,,,)</v>
      </c>
      <c r="CQ147" s="107" t="str">
        <f t="shared" si="2070"/>
        <v>InitUnitAdd('IN28',,,,,,,,,,)</v>
      </c>
      <c r="CR147" s="107" t="str">
        <f t="shared" si="2365"/>
        <v>InitEquipData('IN28',,"",,,,,'','','','','','',"ReplaceableTextures\\CommandButtons\\BTNIN03.blp")</v>
      </c>
      <c r="CS147" s="107"/>
      <c r="CT147" s="107"/>
      <c r="CU147" s="88" t="str">
        <f t="shared" si="2288"/>
        <v>|n</v>
      </c>
      <c r="CV147" s="29" t="str">
        <f t="shared" si="2289"/>
        <v>使用后获得|Cffffc926随机类型技能升阶石|r</v>
      </c>
      <c r="CW147" s="33"/>
      <c r="CX147" s="33"/>
      <c r="CY147" s="33"/>
      <c r="CZ147" s="33"/>
      <c r="DA147" s="33"/>
      <c r="DB147" s="108" t="str">
        <f t="shared" ref="DB147:FM147" si="2378">IF(V147="","","|n"&amp;DB$2&amp;"+"&amp;V147&amp;DB$1)</f>
        <v/>
      </c>
      <c r="DC147" s="108" t="str">
        <f t="shared" si="2378"/>
        <v/>
      </c>
      <c r="DD147" s="108" t="str">
        <f t="shared" si="2378"/>
        <v/>
      </c>
      <c r="DE147" s="108" t="str">
        <f t="shared" si="2378"/>
        <v/>
      </c>
      <c r="DF147" s="108" t="str">
        <f t="shared" si="2378"/>
        <v/>
      </c>
      <c r="DG147" s="108" t="str">
        <f t="shared" si="2378"/>
        <v/>
      </c>
      <c r="DH147" s="108" t="str">
        <f t="shared" si="2378"/>
        <v/>
      </c>
      <c r="DI147" s="108" t="str">
        <f t="shared" si="2378"/>
        <v/>
      </c>
      <c r="DJ147" s="108" t="str">
        <f t="shared" si="2378"/>
        <v/>
      </c>
      <c r="DK147" s="108" t="str">
        <f t="shared" si="2378"/>
        <v/>
      </c>
      <c r="DL147" s="108" t="str">
        <f t="shared" si="2378"/>
        <v/>
      </c>
      <c r="DM147" s="108" t="str">
        <f t="shared" si="2378"/>
        <v/>
      </c>
      <c r="DN147" s="108" t="str">
        <f t="shared" si="2378"/>
        <v/>
      </c>
      <c r="DO147" s="108" t="str">
        <f t="shared" si="2378"/>
        <v/>
      </c>
      <c r="DP147" s="108" t="str">
        <f t="shared" si="2378"/>
        <v/>
      </c>
      <c r="DQ147" s="108" t="str">
        <f t="shared" si="2378"/>
        <v/>
      </c>
      <c r="DR147" s="108" t="str">
        <f t="shared" si="2378"/>
        <v/>
      </c>
      <c r="DS147" s="108" t="str">
        <f t="shared" si="2378"/>
        <v/>
      </c>
      <c r="DT147" s="108" t="str">
        <f t="shared" si="2378"/>
        <v/>
      </c>
      <c r="DU147" s="108" t="str">
        <f t="shared" si="2378"/>
        <v/>
      </c>
      <c r="DV147" s="108" t="str">
        <f t="shared" si="2378"/>
        <v/>
      </c>
      <c r="DW147" s="108" t="str">
        <f t="shared" si="2378"/>
        <v/>
      </c>
      <c r="DX147" s="108" t="str">
        <f t="shared" si="2378"/>
        <v/>
      </c>
      <c r="DY147" s="108" t="str">
        <f t="shared" si="2378"/>
        <v/>
      </c>
      <c r="DZ147" s="108" t="str">
        <f t="shared" si="2378"/>
        <v/>
      </c>
      <c r="EA147" s="108" t="str">
        <f t="shared" si="2378"/>
        <v/>
      </c>
      <c r="EB147" s="108" t="str">
        <f t="shared" si="2378"/>
        <v/>
      </c>
      <c r="EC147" s="108" t="str">
        <f t="shared" si="2378"/>
        <v/>
      </c>
      <c r="ED147" s="108" t="str">
        <f t="shared" si="2378"/>
        <v/>
      </c>
      <c r="EE147" s="108" t="str">
        <f t="shared" si="2378"/>
        <v/>
      </c>
      <c r="EF147" s="108" t="str">
        <f t="shared" si="2378"/>
        <v/>
      </c>
      <c r="EG147" s="108" t="str">
        <f t="shared" si="2378"/>
        <v/>
      </c>
      <c r="EH147" s="108" t="str">
        <f t="shared" si="2378"/>
        <v/>
      </c>
      <c r="EI147" s="108" t="str">
        <f t="shared" si="2378"/>
        <v/>
      </c>
      <c r="EJ147" s="108" t="str">
        <f t="shared" si="2378"/>
        <v/>
      </c>
      <c r="EK147" s="108" t="str">
        <f t="shared" si="2378"/>
        <v/>
      </c>
      <c r="EL147" s="108" t="str">
        <f t="shared" si="2378"/>
        <v/>
      </c>
      <c r="EM147" s="108" t="str">
        <f t="shared" si="2378"/>
        <v/>
      </c>
      <c r="EN147" s="108" t="str">
        <f t="shared" si="2378"/>
        <v/>
      </c>
      <c r="EO147" s="108" t="str">
        <f t="shared" si="2378"/>
        <v/>
      </c>
      <c r="EP147" s="108" t="str">
        <f t="shared" si="2378"/>
        <v/>
      </c>
      <c r="EQ147" s="108" t="str">
        <f t="shared" si="2378"/>
        <v/>
      </c>
      <c r="ER147" s="108" t="str">
        <f t="shared" si="2378"/>
        <v/>
      </c>
      <c r="ES147" s="108" t="str">
        <f t="shared" si="2378"/>
        <v/>
      </c>
      <c r="ET147" s="108" t="str">
        <f t="shared" si="2378"/>
        <v/>
      </c>
      <c r="EU147" s="108" t="str">
        <f t="shared" si="2378"/>
        <v/>
      </c>
      <c r="EV147" s="108" t="str">
        <f t="shared" si="2378"/>
        <v/>
      </c>
      <c r="EW147" s="108" t="str">
        <f t="shared" si="2378"/>
        <v/>
      </c>
      <c r="EX147" s="108" t="str">
        <f t="shared" si="2378"/>
        <v/>
      </c>
      <c r="EY147" s="108" t="str">
        <f t="shared" si="2378"/>
        <v/>
      </c>
      <c r="EZ147" s="108" t="str">
        <f t="shared" si="2378"/>
        <v/>
      </c>
      <c r="FA147" s="108" t="str">
        <f t="shared" si="2378"/>
        <v/>
      </c>
      <c r="FB147" s="108" t="str">
        <f t="shared" si="2378"/>
        <v/>
      </c>
      <c r="FC147" s="108" t="str">
        <f t="shared" si="2378"/>
        <v/>
      </c>
      <c r="FD147" s="108" t="str">
        <f t="shared" si="2378"/>
        <v/>
      </c>
      <c r="FE147" s="108" t="str">
        <f t="shared" si="2378"/>
        <v/>
      </c>
      <c r="FF147" s="108" t="str">
        <f t="shared" si="2378"/>
        <v/>
      </c>
      <c r="FG147" s="108" t="str">
        <f t="shared" si="2378"/>
        <v/>
      </c>
      <c r="FH147" s="108" t="str">
        <f t="shared" si="2378"/>
        <v/>
      </c>
      <c r="FI147" s="108" t="str">
        <f t="shared" si="2378"/>
        <v/>
      </c>
      <c r="FJ147" s="108" t="str">
        <f t="shared" si="2378"/>
        <v/>
      </c>
      <c r="FK147" s="108" t="str">
        <f t="shared" si="2378"/>
        <v/>
      </c>
      <c r="FL147" s="108" t="str">
        <f t="shared" si="2378"/>
        <v/>
      </c>
      <c r="FM147" s="108" t="str">
        <f t="shared" si="2378"/>
        <v/>
      </c>
      <c r="FN147" s="108" t="str">
        <f t="shared" ref="FN147:FS147" si="2379">IF(CH147="","","|n"&amp;FN$2&amp;"+"&amp;CH147&amp;FN$1)</f>
        <v/>
      </c>
      <c r="FO147" s="108" t="str">
        <f t="shared" si="2379"/>
        <v/>
      </c>
      <c r="FP147" s="108" t="str">
        <f t="shared" si="2379"/>
        <v/>
      </c>
      <c r="FQ147" s="108" t="str">
        <f t="shared" si="2379"/>
        <v/>
      </c>
      <c r="FR147" s="108" t="str">
        <f t="shared" si="2379"/>
        <v/>
      </c>
      <c r="FS147" s="108" t="str">
        <f t="shared" si="2379"/>
        <v/>
      </c>
    </row>
    <row r="148" spans="1:175" s="29" customFormat="1" ht="16.5">
      <c r="A148" s="9"/>
      <c r="B148" s="24" t="s">
        <v>571</v>
      </c>
      <c r="C148" s="20" t="s">
        <v>572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910</v>
      </c>
      <c r="U148" s="77" t="s">
        <v>573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si="2067"/>
        <v>InitUnitState('IN29',,,,,,,,,,)</v>
      </c>
      <c r="CO148" s="107" t="str">
        <f t="shared" si="2068"/>
        <v>InitUnitNormal('IN29',,,,,,,,,,)</v>
      </c>
      <c r="CP148" s="107" t="str">
        <f t="shared" si="2069"/>
        <v>InitUnitMagic('IN29',,,,,,,,,,)</v>
      </c>
      <c r="CQ148" s="107" t="str">
        <f t="shared" si="2070"/>
        <v>InitUnitAdd('IN29',,,,,,,,,,)</v>
      </c>
      <c r="CR148" s="107" t="str">
        <f t="shared" si="2365"/>
        <v>InitEquipData('IN29',,"",,,,,'','','','','','',"ReplaceableTextures\\CommandButtons\\BTN009.blp")</v>
      </c>
      <c r="CS148" s="107"/>
      <c r="CT148" s="107"/>
      <c r="CU148" s="88" t="str">
        <f t="shared" si="2288"/>
        <v>|n</v>
      </c>
      <c r="CV148" s="29" t="str">
        <f t="shared" si="2289"/>
        <v>使用后获得|Cffffc926随机类型技能附魔石|r</v>
      </c>
      <c r="CW148" s="33"/>
      <c r="CX148" s="33"/>
      <c r="CY148" s="33"/>
      <c r="CZ148" s="33"/>
      <c r="DA148" s="33"/>
      <c r="DB148" s="108" t="str">
        <f t="shared" ref="DB148:FM149" si="2380">IF(V148="","","|n"&amp;DB$2&amp;"+"&amp;V148&amp;DB$1)</f>
        <v/>
      </c>
      <c r="DC148" s="108" t="str">
        <f t="shared" si="2380"/>
        <v/>
      </c>
      <c r="DD148" s="108" t="str">
        <f t="shared" si="2380"/>
        <v/>
      </c>
      <c r="DE148" s="108" t="str">
        <f t="shared" si="2380"/>
        <v/>
      </c>
      <c r="DF148" s="108" t="str">
        <f t="shared" si="2380"/>
        <v/>
      </c>
      <c r="DG148" s="108" t="str">
        <f t="shared" si="2380"/>
        <v/>
      </c>
      <c r="DH148" s="108" t="str">
        <f t="shared" si="2380"/>
        <v/>
      </c>
      <c r="DI148" s="108" t="str">
        <f t="shared" si="2380"/>
        <v/>
      </c>
      <c r="DJ148" s="108" t="str">
        <f t="shared" si="2380"/>
        <v/>
      </c>
      <c r="DK148" s="108" t="str">
        <f t="shared" si="2380"/>
        <v/>
      </c>
      <c r="DL148" s="108" t="str">
        <f t="shared" si="2380"/>
        <v/>
      </c>
      <c r="DM148" s="108" t="str">
        <f t="shared" si="2380"/>
        <v/>
      </c>
      <c r="DN148" s="108" t="str">
        <f t="shared" si="2380"/>
        <v/>
      </c>
      <c r="DO148" s="108" t="str">
        <f t="shared" si="2380"/>
        <v/>
      </c>
      <c r="DP148" s="108" t="str">
        <f t="shared" si="2380"/>
        <v/>
      </c>
      <c r="DQ148" s="108" t="str">
        <f t="shared" si="2380"/>
        <v/>
      </c>
      <c r="DR148" s="108" t="str">
        <f t="shared" si="2380"/>
        <v/>
      </c>
      <c r="DS148" s="108" t="str">
        <f t="shared" si="2380"/>
        <v/>
      </c>
      <c r="DT148" s="108" t="str">
        <f t="shared" si="2380"/>
        <v/>
      </c>
      <c r="DU148" s="108" t="str">
        <f t="shared" si="2380"/>
        <v/>
      </c>
      <c r="DV148" s="108" t="str">
        <f t="shared" si="2380"/>
        <v/>
      </c>
      <c r="DW148" s="108" t="str">
        <f t="shared" si="2380"/>
        <v/>
      </c>
      <c r="DX148" s="108" t="str">
        <f t="shared" si="2380"/>
        <v/>
      </c>
      <c r="DY148" s="108" t="str">
        <f t="shared" si="2380"/>
        <v/>
      </c>
      <c r="DZ148" s="108" t="str">
        <f t="shared" si="2380"/>
        <v/>
      </c>
      <c r="EA148" s="108" t="str">
        <f t="shared" si="2380"/>
        <v/>
      </c>
      <c r="EB148" s="108" t="str">
        <f t="shared" si="2380"/>
        <v/>
      </c>
      <c r="EC148" s="108" t="str">
        <f t="shared" si="2380"/>
        <v/>
      </c>
      <c r="ED148" s="108" t="str">
        <f t="shared" si="2380"/>
        <v/>
      </c>
      <c r="EE148" s="108" t="str">
        <f t="shared" si="2380"/>
        <v/>
      </c>
      <c r="EF148" s="108" t="str">
        <f t="shared" si="2380"/>
        <v/>
      </c>
      <c r="EG148" s="108" t="str">
        <f t="shared" si="2380"/>
        <v/>
      </c>
      <c r="EH148" s="108" t="str">
        <f t="shared" si="2380"/>
        <v/>
      </c>
      <c r="EI148" s="108" t="str">
        <f t="shared" si="2380"/>
        <v/>
      </c>
      <c r="EJ148" s="108" t="str">
        <f t="shared" si="2380"/>
        <v/>
      </c>
      <c r="EK148" s="108" t="str">
        <f t="shared" si="2380"/>
        <v/>
      </c>
      <c r="EL148" s="108" t="str">
        <f t="shared" si="2380"/>
        <v/>
      </c>
      <c r="EM148" s="108" t="str">
        <f t="shared" si="2380"/>
        <v/>
      </c>
      <c r="EN148" s="108" t="str">
        <f t="shared" si="2380"/>
        <v/>
      </c>
      <c r="EO148" s="108" t="str">
        <f t="shared" si="2380"/>
        <v/>
      </c>
      <c r="EP148" s="108" t="str">
        <f t="shared" si="2380"/>
        <v/>
      </c>
      <c r="EQ148" s="108" t="str">
        <f t="shared" si="2380"/>
        <v/>
      </c>
      <c r="ER148" s="108" t="str">
        <f t="shared" si="2380"/>
        <v/>
      </c>
      <c r="ES148" s="108" t="str">
        <f t="shared" si="2380"/>
        <v/>
      </c>
      <c r="ET148" s="108" t="str">
        <f t="shared" si="2380"/>
        <v/>
      </c>
      <c r="EU148" s="108" t="str">
        <f t="shared" si="2380"/>
        <v/>
      </c>
      <c r="EV148" s="108" t="str">
        <f t="shared" si="2380"/>
        <v/>
      </c>
      <c r="EW148" s="108" t="str">
        <f t="shared" si="2380"/>
        <v/>
      </c>
      <c r="EX148" s="108" t="str">
        <f t="shared" si="2380"/>
        <v/>
      </c>
      <c r="EY148" s="108" t="str">
        <f t="shared" si="2380"/>
        <v/>
      </c>
      <c r="EZ148" s="108" t="str">
        <f t="shared" si="2380"/>
        <v/>
      </c>
      <c r="FA148" s="108" t="str">
        <f t="shared" si="2380"/>
        <v/>
      </c>
      <c r="FB148" s="108" t="str">
        <f t="shared" si="2380"/>
        <v/>
      </c>
      <c r="FC148" s="108" t="str">
        <f t="shared" si="2380"/>
        <v/>
      </c>
      <c r="FD148" s="108" t="str">
        <f t="shared" si="2380"/>
        <v/>
      </c>
      <c r="FE148" s="108" t="str">
        <f t="shared" si="2380"/>
        <v/>
      </c>
      <c r="FF148" s="108" t="str">
        <f t="shared" si="2380"/>
        <v/>
      </c>
      <c r="FG148" s="108" t="str">
        <f t="shared" si="2380"/>
        <v/>
      </c>
      <c r="FH148" s="108" t="str">
        <f t="shared" si="2380"/>
        <v/>
      </c>
      <c r="FI148" s="108" t="str">
        <f t="shared" si="2380"/>
        <v/>
      </c>
      <c r="FJ148" s="108" t="str">
        <f t="shared" si="2380"/>
        <v/>
      </c>
      <c r="FK148" s="108" t="str">
        <f t="shared" si="2380"/>
        <v/>
      </c>
      <c r="FL148" s="108" t="str">
        <f t="shared" si="2380"/>
        <v/>
      </c>
      <c r="FM148" s="108" t="str">
        <f t="shared" si="2380"/>
        <v/>
      </c>
      <c r="FN148" s="108" t="str">
        <f t="shared" ref="FN148:FS149" si="2381">IF(CH148="","","|n"&amp;FN$2&amp;"+"&amp;CH148&amp;FN$1)</f>
        <v/>
      </c>
      <c r="FO148" s="108" t="str">
        <f t="shared" si="2381"/>
        <v/>
      </c>
      <c r="FP148" s="108" t="str">
        <f t="shared" si="2381"/>
        <v/>
      </c>
      <c r="FQ148" s="108" t="str">
        <f t="shared" si="2381"/>
        <v/>
      </c>
      <c r="FR148" s="108" t="str">
        <f t="shared" si="2381"/>
        <v/>
      </c>
      <c r="FS148" s="108" t="str">
        <f t="shared" si="2381"/>
        <v/>
      </c>
    </row>
    <row r="149" spans="1:175" s="29" customFormat="1" ht="16.5">
      <c r="A149" s="9"/>
      <c r="B149" s="24" t="s">
        <v>574</v>
      </c>
      <c r="C149" s="20" t="s">
        <v>575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0" t="s">
        <v>576</v>
      </c>
      <c r="U149" s="77" t="s">
        <v>577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ref="CN149:CN151" si="2382">"InitUnitState('"&amp;B149&amp;"',"&amp;V149&amp;","&amp;W149&amp;","&amp;X149&amp;","&amp;Y149&amp;","&amp;Z149&amp;","&amp;AA149&amp;","&amp;AB149&amp;","&amp;AC149&amp;","&amp;AD149&amp;","&amp;AE149&amp;")"</f>
        <v>InitUnitState('IN30',,,,,,,,,,)</v>
      </c>
      <c r="CO149" s="107" t="str">
        <f t="shared" ref="CO149:CO151" si="2383">"InitUnitNormal('"&amp;B149&amp;"',"&amp;AF149&amp;","&amp;AG149&amp;","&amp;AH149&amp;","&amp;AI149&amp;","&amp;AJ149&amp;","&amp;AK149&amp;","&amp;AL149&amp;","&amp;AM149&amp;","&amp;AN149&amp;","&amp;AO149&amp;")"</f>
        <v>InitUnitNormal('IN30',,,,,,,,,,)</v>
      </c>
      <c r="CP149" s="107" t="str">
        <f t="shared" ref="CP149:CP151" si="2384">"InitUnitMagic('"&amp;B149&amp;"',"&amp;AP149&amp;","&amp;AQ149&amp;","&amp;AR149&amp;","&amp;AS149&amp;","&amp;AT149&amp;","&amp;AU149&amp;","&amp;AV149&amp;","&amp;AW149&amp;","&amp;BI149&amp;","&amp;BJ149&amp;")"</f>
        <v>InitUnitMagic('IN30',,,,,,,,,,)</v>
      </c>
      <c r="CQ149" s="107" t="str">
        <f t="shared" ref="CQ149:CQ151" si="2385">"InitUnitAdd('"&amp;B149&amp;"',"&amp;BK149&amp;","&amp;BL149&amp;","&amp;BM149&amp;","&amp;BN149&amp;","&amp;BO149&amp;","&amp;BP149&amp;","&amp;BQ149&amp;","&amp;BR149&amp;","&amp;BS149&amp;","&amp;BT149&amp;")"</f>
        <v>InitUnitAdd('IN30',,,,,,,,,,)</v>
      </c>
      <c r="CR149" s="107" t="str">
        <f t="shared" si="2365"/>
        <v>InitEquipData('IN30',,"",,,,,'','','','','','',"ReplaceableTextures\\CommandButtons\\BTN010.blp")</v>
      </c>
      <c r="CS149" s="107"/>
      <c r="CT149" s="107"/>
      <c r="CU149" s="88" t="str">
        <f t="shared" ref="CU149:CU151" si="238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:CV151" si="2387">T149</f>
        <v>开启后获得|Cff00bfff随机奖励|r。</v>
      </c>
      <c r="CW149" s="33"/>
      <c r="CX149" s="33"/>
      <c r="CY149" s="33"/>
      <c r="CZ149" s="33"/>
      <c r="DA149" s="33"/>
      <c r="DB149" s="108" t="str">
        <f t="shared" si="2380"/>
        <v/>
      </c>
      <c r="DC149" s="108" t="str">
        <f t="shared" si="2380"/>
        <v/>
      </c>
      <c r="DD149" s="108" t="str">
        <f t="shared" si="2380"/>
        <v/>
      </c>
      <c r="DE149" s="108" t="str">
        <f t="shared" si="2380"/>
        <v/>
      </c>
      <c r="DF149" s="108" t="str">
        <f t="shared" si="2380"/>
        <v/>
      </c>
      <c r="DG149" s="108" t="str">
        <f t="shared" si="2380"/>
        <v/>
      </c>
      <c r="DH149" s="108" t="str">
        <f t="shared" si="2380"/>
        <v/>
      </c>
      <c r="DI149" s="108" t="str">
        <f t="shared" si="2380"/>
        <v/>
      </c>
      <c r="DJ149" s="108" t="str">
        <f t="shared" si="2380"/>
        <v/>
      </c>
      <c r="DK149" s="108" t="str">
        <f t="shared" si="2380"/>
        <v/>
      </c>
      <c r="DL149" s="108" t="str">
        <f t="shared" si="2380"/>
        <v/>
      </c>
      <c r="DM149" s="108" t="str">
        <f t="shared" si="2380"/>
        <v/>
      </c>
      <c r="DN149" s="108" t="str">
        <f t="shared" si="2380"/>
        <v/>
      </c>
      <c r="DO149" s="108" t="str">
        <f t="shared" si="2380"/>
        <v/>
      </c>
      <c r="DP149" s="108" t="str">
        <f t="shared" si="2380"/>
        <v/>
      </c>
      <c r="DQ149" s="108" t="str">
        <f t="shared" si="2380"/>
        <v/>
      </c>
      <c r="DR149" s="108" t="str">
        <f t="shared" si="2380"/>
        <v/>
      </c>
      <c r="DS149" s="108" t="str">
        <f t="shared" si="2380"/>
        <v/>
      </c>
      <c r="DT149" s="108" t="str">
        <f t="shared" si="2380"/>
        <v/>
      </c>
      <c r="DU149" s="108" t="str">
        <f t="shared" si="2380"/>
        <v/>
      </c>
      <c r="DV149" s="108" t="str">
        <f t="shared" si="2380"/>
        <v/>
      </c>
      <c r="DW149" s="108" t="str">
        <f t="shared" si="2380"/>
        <v/>
      </c>
      <c r="DX149" s="108" t="str">
        <f t="shared" si="2380"/>
        <v/>
      </c>
      <c r="DY149" s="108" t="str">
        <f t="shared" si="2380"/>
        <v/>
      </c>
      <c r="DZ149" s="108" t="str">
        <f t="shared" si="2380"/>
        <v/>
      </c>
      <c r="EA149" s="108" t="str">
        <f t="shared" si="2380"/>
        <v/>
      </c>
      <c r="EB149" s="108" t="str">
        <f t="shared" si="2380"/>
        <v/>
      </c>
      <c r="EC149" s="108" t="str">
        <f t="shared" si="2380"/>
        <v/>
      </c>
      <c r="ED149" s="108" t="str">
        <f t="shared" si="2380"/>
        <v/>
      </c>
      <c r="EE149" s="108" t="str">
        <f t="shared" si="2380"/>
        <v/>
      </c>
      <c r="EF149" s="108" t="str">
        <f t="shared" si="2380"/>
        <v/>
      </c>
      <c r="EG149" s="108" t="str">
        <f t="shared" si="2380"/>
        <v/>
      </c>
      <c r="EH149" s="108" t="str">
        <f t="shared" si="2380"/>
        <v/>
      </c>
      <c r="EI149" s="108" t="str">
        <f t="shared" si="2380"/>
        <v/>
      </c>
      <c r="EJ149" s="108" t="str">
        <f t="shared" si="2380"/>
        <v/>
      </c>
      <c r="EK149" s="108" t="str">
        <f t="shared" si="2380"/>
        <v/>
      </c>
      <c r="EL149" s="108" t="str">
        <f t="shared" si="2380"/>
        <v/>
      </c>
      <c r="EM149" s="108" t="str">
        <f t="shared" si="2380"/>
        <v/>
      </c>
      <c r="EN149" s="108" t="str">
        <f t="shared" si="2380"/>
        <v/>
      </c>
      <c r="EO149" s="108" t="str">
        <f t="shared" si="2380"/>
        <v/>
      </c>
      <c r="EP149" s="108" t="str">
        <f t="shared" si="2380"/>
        <v/>
      </c>
      <c r="EQ149" s="108" t="str">
        <f t="shared" si="2380"/>
        <v/>
      </c>
      <c r="ER149" s="108" t="str">
        <f t="shared" si="2380"/>
        <v/>
      </c>
      <c r="ES149" s="108" t="str">
        <f t="shared" si="2380"/>
        <v/>
      </c>
      <c r="ET149" s="108" t="str">
        <f t="shared" si="2380"/>
        <v/>
      </c>
      <c r="EU149" s="108" t="str">
        <f t="shared" si="2380"/>
        <v/>
      </c>
      <c r="EV149" s="108" t="str">
        <f t="shared" si="2380"/>
        <v/>
      </c>
      <c r="EW149" s="108" t="str">
        <f t="shared" si="2380"/>
        <v/>
      </c>
      <c r="EX149" s="108" t="str">
        <f t="shared" si="2380"/>
        <v/>
      </c>
      <c r="EY149" s="108" t="str">
        <f t="shared" si="2380"/>
        <v/>
      </c>
      <c r="EZ149" s="108" t="str">
        <f t="shared" si="2380"/>
        <v/>
      </c>
      <c r="FA149" s="108" t="str">
        <f t="shared" si="2380"/>
        <v/>
      </c>
      <c r="FB149" s="108" t="str">
        <f t="shared" si="2380"/>
        <v/>
      </c>
      <c r="FC149" s="108" t="str">
        <f t="shared" si="2380"/>
        <v/>
      </c>
      <c r="FD149" s="108" t="str">
        <f t="shared" si="2380"/>
        <v/>
      </c>
      <c r="FE149" s="108" t="str">
        <f t="shared" si="2380"/>
        <v/>
      </c>
      <c r="FF149" s="108" t="str">
        <f t="shared" si="2380"/>
        <v/>
      </c>
      <c r="FG149" s="108" t="str">
        <f t="shared" si="2380"/>
        <v/>
      </c>
      <c r="FH149" s="108" t="str">
        <f t="shared" si="2380"/>
        <v/>
      </c>
      <c r="FI149" s="108" t="str">
        <f t="shared" si="2380"/>
        <v/>
      </c>
      <c r="FJ149" s="108" t="str">
        <f t="shared" si="2380"/>
        <v/>
      </c>
      <c r="FK149" s="108" t="str">
        <f t="shared" si="2380"/>
        <v/>
      </c>
      <c r="FL149" s="108" t="str">
        <f t="shared" si="2380"/>
        <v/>
      </c>
      <c r="FM149" s="108" t="str">
        <f t="shared" si="2380"/>
        <v/>
      </c>
      <c r="FN149" s="108" t="str">
        <f t="shared" si="2381"/>
        <v/>
      </c>
      <c r="FO149" s="108" t="str">
        <f t="shared" si="2381"/>
        <v/>
      </c>
      <c r="FP149" s="108" t="str">
        <f t="shared" si="2381"/>
        <v/>
      </c>
      <c r="FQ149" s="108" t="str">
        <f t="shared" si="2381"/>
        <v/>
      </c>
      <c r="FR149" s="108" t="str">
        <f t="shared" si="2381"/>
        <v/>
      </c>
      <c r="FS149" s="108" t="str">
        <f t="shared" si="2381"/>
        <v/>
      </c>
    </row>
    <row r="150" spans="1:175" s="29" customFormat="1" ht="16.5">
      <c r="A150" s="9"/>
      <c r="B150" s="24" t="s">
        <v>578</v>
      </c>
      <c r="C150" s="20" t="s">
        <v>579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0" t="s">
        <v>580</v>
      </c>
      <c r="U150" s="77" t="s">
        <v>581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382"/>
        <v>InitUnitState('IN31',,,,,,,,,,)</v>
      </c>
      <c r="CO150" s="107" t="str">
        <f t="shared" si="2383"/>
        <v>InitUnitNormal('IN31',,,,,,,,,,)</v>
      </c>
      <c r="CP150" s="107" t="str">
        <f t="shared" si="2384"/>
        <v>InitUnitMagic('IN31',,,,,,,,,,)</v>
      </c>
      <c r="CQ150" s="107" t="str">
        <f t="shared" si="2385"/>
        <v>InitUnitAdd('IN31',,,,,,,,,,)</v>
      </c>
      <c r="CR150" s="107" t="str">
        <f t="shared" si="2365"/>
        <v>InitEquipData('IN31',,"",,,,,'','','','','','',"ReplaceableTextures\\CommandButtons\\BTN011.blp")</v>
      </c>
      <c r="CS150" s="107"/>
      <c r="CT150" s="107"/>
      <c r="CU150" s="88" t="str">
        <f t="shared" si="2386"/>
        <v>|n</v>
      </c>
      <c r="CV150" s="29" t="str">
        <f t="shared" si="2387"/>
        <v>开启后获得|Cffffd24d随机奖励|r。</v>
      </c>
      <c r="CW150" s="33"/>
      <c r="CX150" s="33"/>
      <c r="CY150" s="33"/>
      <c r="CZ150" s="33"/>
      <c r="DA150" s="33"/>
      <c r="DB150" s="108" t="str">
        <f t="shared" ref="DB150:DB151" si="2388">IF(V150="","","|n"&amp;DB$2&amp;"+"&amp;V150&amp;DB$1)</f>
        <v/>
      </c>
      <c r="DC150" s="108" t="str">
        <f t="shared" ref="DC150:DC151" si="2389">IF(W150="","","|n"&amp;DC$2&amp;"+"&amp;W150&amp;DC$1)</f>
        <v/>
      </c>
      <c r="DD150" s="108" t="str">
        <f t="shared" ref="DD150:DD151" si="2390">IF(X150="","","|n"&amp;DD$2&amp;"+"&amp;X150&amp;DD$1)</f>
        <v/>
      </c>
      <c r="DE150" s="108" t="str">
        <f t="shared" ref="DE150:DE151" si="2391">IF(Y150="","","|n"&amp;DE$2&amp;"+"&amp;Y150&amp;DE$1)</f>
        <v/>
      </c>
      <c r="DF150" s="108" t="str">
        <f t="shared" ref="DF150:DF151" si="2392">IF(Z150="","","|n"&amp;DF$2&amp;"+"&amp;Z150&amp;DF$1)</f>
        <v/>
      </c>
      <c r="DG150" s="108" t="str">
        <f t="shared" ref="DG150:DG151" si="2393">IF(AA150="","","|n"&amp;DG$2&amp;"+"&amp;AA150&amp;DG$1)</f>
        <v/>
      </c>
      <c r="DH150" s="108" t="str">
        <f t="shared" ref="DH150:DH151" si="2394">IF(AB150="","","|n"&amp;DH$2&amp;"+"&amp;AB150&amp;DH$1)</f>
        <v/>
      </c>
      <c r="DI150" s="108" t="str">
        <f t="shared" ref="DI150:DI151" si="2395">IF(AC150="","","|n"&amp;DI$2&amp;"+"&amp;AC150&amp;DI$1)</f>
        <v/>
      </c>
      <c r="DJ150" s="108" t="str">
        <f t="shared" ref="DJ150:DJ151" si="2396">IF(AD150="","","|n"&amp;DJ$2&amp;"+"&amp;AD150&amp;DJ$1)</f>
        <v/>
      </c>
      <c r="DK150" s="108" t="str">
        <f t="shared" ref="DK150:DK151" si="2397">IF(AE150="","","|n"&amp;DK$2&amp;"+"&amp;AE150&amp;DK$1)</f>
        <v/>
      </c>
      <c r="DL150" s="108" t="str">
        <f t="shared" ref="DL150:DL151" si="2398">IF(AF150="","","|n"&amp;DL$2&amp;"+"&amp;AF150&amp;DL$1)</f>
        <v/>
      </c>
      <c r="DM150" s="108" t="str">
        <f t="shared" ref="DM150:DM151" si="2399">IF(AG150="","","|n"&amp;DM$2&amp;"+"&amp;AG150&amp;DM$1)</f>
        <v/>
      </c>
      <c r="DN150" s="108" t="str">
        <f t="shared" ref="DN150:DN151" si="2400">IF(AH150="","","|n"&amp;DN$2&amp;"+"&amp;AH150&amp;DN$1)</f>
        <v/>
      </c>
      <c r="DO150" s="108" t="str">
        <f t="shared" ref="DO150:DO151" si="2401">IF(AI150="","","|n"&amp;DO$2&amp;"+"&amp;AI150&amp;DO$1)</f>
        <v/>
      </c>
      <c r="DP150" s="108" t="str">
        <f t="shared" ref="DP150:DP151" si="2402">IF(AJ150="","","|n"&amp;DP$2&amp;"+"&amp;AJ150&amp;DP$1)</f>
        <v/>
      </c>
      <c r="DQ150" s="108" t="str">
        <f t="shared" ref="DQ150:DQ151" si="2403">IF(AK150="","","|n"&amp;DQ$2&amp;"+"&amp;AK150&amp;DQ$1)</f>
        <v/>
      </c>
      <c r="DR150" s="108" t="str">
        <f t="shared" ref="DR150:DR151" si="2404">IF(AL150="","","|n"&amp;DR$2&amp;"+"&amp;AL150&amp;DR$1)</f>
        <v/>
      </c>
      <c r="DS150" s="108" t="str">
        <f t="shared" ref="DS150:DS151" si="2405">IF(AM150="","","|n"&amp;DS$2&amp;"+"&amp;AM150&amp;DS$1)</f>
        <v/>
      </c>
      <c r="DT150" s="108" t="str">
        <f t="shared" ref="DT150:DT151" si="2406">IF(AN150="","","|n"&amp;DT$2&amp;"+"&amp;AN150&amp;DT$1)</f>
        <v/>
      </c>
      <c r="DU150" s="108" t="str">
        <f t="shared" ref="DU150:DU151" si="2407">IF(AO150="","","|n"&amp;DU$2&amp;"+"&amp;AO150&amp;DU$1)</f>
        <v/>
      </c>
      <c r="DV150" s="108" t="str">
        <f t="shared" ref="DV150:DV151" si="2408">IF(AP150="","","|n"&amp;DV$2&amp;"+"&amp;AP150&amp;DV$1)</f>
        <v/>
      </c>
      <c r="DW150" s="108" t="str">
        <f t="shared" ref="DW150:DW151" si="2409">IF(AQ150="","","|n"&amp;DW$2&amp;"+"&amp;AQ150&amp;DW$1)</f>
        <v/>
      </c>
      <c r="DX150" s="108" t="str">
        <f t="shared" ref="DX150:DX151" si="2410">IF(AR150="","","|n"&amp;DX$2&amp;"+"&amp;AR150&amp;DX$1)</f>
        <v/>
      </c>
      <c r="DY150" s="108" t="str">
        <f t="shared" ref="DY150:DY151" si="2411">IF(AS150="","","|n"&amp;DY$2&amp;"+"&amp;AS150&amp;DY$1)</f>
        <v/>
      </c>
      <c r="DZ150" s="108" t="str">
        <f t="shared" ref="DZ150:DZ151" si="2412">IF(AT150="","","|n"&amp;DZ$2&amp;"+"&amp;AT150&amp;DZ$1)</f>
        <v/>
      </c>
      <c r="EA150" s="108" t="str">
        <f t="shared" ref="EA150:EA151" si="2413">IF(AU150="","","|n"&amp;EA$2&amp;"+"&amp;AU150&amp;EA$1)</f>
        <v/>
      </c>
      <c r="EB150" s="108" t="str">
        <f t="shared" ref="EB150:EB151" si="2414">IF(AV150="","","|n"&amp;EB$2&amp;"+"&amp;AV150&amp;EB$1)</f>
        <v/>
      </c>
      <c r="EC150" s="108" t="str">
        <f t="shared" ref="EC150:EC151" si="2415">IF(AW150="","","|n"&amp;EC$2&amp;"+"&amp;AW150&amp;EC$1)</f>
        <v/>
      </c>
      <c r="ED150" s="108" t="str">
        <f t="shared" ref="ED150:ED151" si="2416">IF(AX150="","","|n"&amp;ED$2&amp;"+"&amp;AX150&amp;ED$1)</f>
        <v/>
      </c>
      <c r="EE150" s="108" t="str">
        <f t="shared" ref="EE150:EE151" si="2417">IF(AY150="","","|n"&amp;EE$2&amp;"+"&amp;AY150&amp;EE$1)</f>
        <v/>
      </c>
      <c r="EF150" s="108" t="str">
        <f t="shared" ref="EF150:EF151" si="2418">IF(AZ150="","","|n"&amp;EF$2&amp;"+"&amp;AZ150&amp;EF$1)</f>
        <v/>
      </c>
      <c r="EG150" s="108" t="str">
        <f t="shared" ref="EG150:EG151" si="2419">IF(BA150="","","|n"&amp;EG$2&amp;"+"&amp;BA150&amp;EG$1)</f>
        <v/>
      </c>
      <c r="EH150" s="108" t="str">
        <f t="shared" ref="EH150:EH151" si="2420">IF(BB150="","","|n"&amp;EH$2&amp;"+"&amp;BB150&amp;EH$1)</f>
        <v/>
      </c>
      <c r="EI150" s="108" t="str">
        <f t="shared" ref="EI150:EI151" si="2421">IF(BC150="","","|n"&amp;EI$2&amp;"+"&amp;BC150&amp;EI$1)</f>
        <v/>
      </c>
      <c r="EJ150" s="108" t="str">
        <f t="shared" ref="EJ150:EJ151" si="2422">IF(BD150="","","|n"&amp;EJ$2&amp;"+"&amp;BD150&amp;EJ$1)</f>
        <v/>
      </c>
      <c r="EK150" s="108" t="str">
        <f t="shared" ref="EK150:EK151" si="2423">IF(BE150="","","|n"&amp;EK$2&amp;"+"&amp;BE150&amp;EK$1)</f>
        <v/>
      </c>
      <c r="EL150" s="108" t="str">
        <f t="shared" ref="EL150:EL151" si="2424">IF(BF150="","","|n"&amp;EL$2&amp;"+"&amp;BF150&amp;EL$1)</f>
        <v/>
      </c>
      <c r="EM150" s="108" t="str">
        <f t="shared" ref="EM150:EM151" si="2425">IF(BG150="","","|n"&amp;EM$2&amp;"+"&amp;BG150&amp;EM$1)</f>
        <v/>
      </c>
      <c r="EN150" s="108" t="str">
        <f t="shared" ref="EN150:EN151" si="2426">IF(BH150="","","|n"&amp;EN$2&amp;"+"&amp;BH150&amp;EN$1)</f>
        <v/>
      </c>
      <c r="EO150" s="108" t="str">
        <f t="shared" ref="EO150:EO151" si="2427">IF(BI150="","","|n"&amp;EO$2&amp;"+"&amp;BI150&amp;EO$1)</f>
        <v/>
      </c>
      <c r="EP150" s="108" t="str">
        <f t="shared" ref="EP150:EP151" si="2428">IF(BJ150="","","|n"&amp;EP$2&amp;"+"&amp;BJ150&amp;EP$1)</f>
        <v/>
      </c>
      <c r="EQ150" s="108" t="str">
        <f t="shared" ref="EQ150:EQ151" si="2429">IF(BK150="","","|n"&amp;EQ$2&amp;"+"&amp;BK150&amp;EQ$1)</f>
        <v/>
      </c>
      <c r="ER150" s="108" t="str">
        <f t="shared" ref="ER150:ER151" si="2430">IF(BL150="","","|n"&amp;ER$2&amp;"+"&amp;BL150&amp;ER$1)</f>
        <v/>
      </c>
      <c r="ES150" s="108" t="str">
        <f t="shared" ref="ES150:ES151" si="2431">IF(BM150="","","|n"&amp;ES$2&amp;"+"&amp;BM150&amp;ES$1)</f>
        <v/>
      </c>
      <c r="ET150" s="108" t="str">
        <f t="shared" ref="ET150:ET151" si="2432">IF(BN150="","","|n"&amp;ET$2&amp;"+"&amp;BN150&amp;ET$1)</f>
        <v/>
      </c>
      <c r="EU150" s="108" t="str">
        <f t="shared" ref="EU150:EU151" si="2433">IF(BO150="","","|n"&amp;EU$2&amp;"+"&amp;BO150&amp;EU$1)</f>
        <v/>
      </c>
      <c r="EV150" s="108" t="str">
        <f t="shared" ref="EV150:EV151" si="2434">IF(BP150="","","|n"&amp;EV$2&amp;"+"&amp;BP150&amp;EV$1)</f>
        <v/>
      </c>
      <c r="EW150" s="108" t="str">
        <f t="shared" ref="EW150:EW151" si="2435">IF(BQ150="","","|n"&amp;EW$2&amp;"+"&amp;BQ150&amp;EW$1)</f>
        <v/>
      </c>
      <c r="EX150" s="108" t="str">
        <f t="shared" ref="EX150:EX151" si="2436">IF(BR150="","","|n"&amp;EX$2&amp;"+"&amp;BR150&amp;EX$1)</f>
        <v/>
      </c>
      <c r="EY150" s="108" t="str">
        <f t="shared" ref="EY150:EY151" si="2437">IF(BS150="","","|n"&amp;EY$2&amp;"+"&amp;BS150&amp;EY$1)</f>
        <v/>
      </c>
      <c r="EZ150" s="108" t="str">
        <f t="shared" ref="EZ150:EZ151" si="2438">IF(BT150="","","|n"&amp;EZ$2&amp;"+"&amp;BT150&amp;EZ$1)</f>
        <v/>
      </c>
      <c r="FA150" s="108" t="str">
        <f t="shared" ref="FA150:FA151" si="2439">IF(BU150="","","|n"&amp;FA$2&amp;"+"&amp;BU150&amp;FA$1)</f>
        <v/>
      </c>
      <c r="FB150" s="108" t="str">
        <f t="shared" ref="FB150:FB151" si="2440">IF(BV150="","","|n"&amp;FB$2&amp;"+"&amp;BV150&amp;FB$1)</f>
        <v/>
      </c>
      <c r="FC150" s="108" t="str">
        <f t="shared" ref="FC150:FC151" si="2441">IF(BW150="","","|n"&amp;FC$2&amp;"+"&amp;BW150&amp;FC$1)</f>
        <v/>
      </c>
      <c r="FD150" s="108" t="str">
        <f t="shared" ref="FD150:FD151" si="2442">IF(BX150="","","|n"&amp;FD$2&amp;"+"&amp;BX150&amp;FD$1)</f>
        <v/>
      </c>
      <c r="FE150" s="108" t="str">
        <f t="shared" ref="FE150:FE151" si="2443">IF(BY150="","","|n"&amp;FE$2&amp;"+"&amp;BY150&amp;FE$1)</f>
        <v/>
      </c>
      <c r="FF150" s="108" t="str">
        <f t="shared" ref="FF150:FF151" si="2444">IF(BZ150="","","|n"&amp;FF$2&amp;"+"&amp;BZ150&amp;FF$1)</f>
        <v/>
      </c>
      <c r="FG150" s="108" t="str">
        <f t="shared" ref="FG150:FG151" si="2445">IF(CA150="","","|n"&amp;FG$2&amp;"+"&amp;CA150&amp;FG$1)</f>
        <v/>
      </c>
      <c r="FH150" s="108" t="str">
        <f t="shared" ref="FH150:FH151" si="2446">IF(CB150="","","|n"&amp;FH$2&amp;"+"&amp;CB150&amp;FH$1)</f>
        <v/>
      </c>
      <c r="FI150" s="108" t="str">
        <f t="shared" ref="FI150:FI151" si="2447">IF(CC150="","","|n"&amp;FI$2&amp;"+"&amp;CC150&amp;FI$1)</f>
        <v/>
      </c>
      <c r="FJ150" s="108" t="str">
        <f t="shared" ref="FJ150:FJ151" si="2448">IF(CD150="","","|n"&amp;FJ$2&amp;"+"&amp;CD150&amp;FJ$1)</f>
        <v/>
      </c>
      <c r="FK150" s="108" t="str">
        <f t="shared" ref="FK150:FK151" si="2449">IF(CE150="","","|n"&amp;FK$2&amp;"+"&amp;CE150&amp;FK$1)</f>
        <v/>
      </c>
      <c r="FL150" s="108" t="str">
        <f t="shared" ref="FL150:FL151" si="2450">IF(CF150="","","|n"&amp;FL$2&amp;"+"&amp;CF150&amp;FL$1)</f>
        <v/>
      </c>
      <c r="FM150" s="108" t="str">
        <f t="shared" ref="FM150:FM151" si="2451">IF(CG150="","","|n"&amp;FM$2&amp;"+"&amp;CG150&amp;FM$1)</f>
        <v/>
      </c>
      <c r="FN150" s="108" t="str">
        <f t="shared" ref="FN150:FN151" si="2452">IF(CH150="","","|n"&amp;FN$2&amp;"+"&amp;CH150&amp;FN$1)</f>
        <v/>
      </c>
      <c r="FO150" s="108" t="str">
        <f t="shared" ref="FO150:FO151" si="2453">IF(CI150="","","|n"&amp;FO$2&amp;"+"&amp;CI150&amp;FO$1)</f>
        <v/>
      </c>
      <c r="FP150" s="108" t="str">
        <f t="shared" ref="FP150:FP151" si="2454">IF(CJ150="","","|n"&amp;FP$2&amp;"+"&amp;CJ150&amp;FP$1)</f>
        <v/>
      </c>
      <c r="FQ150" s="108" t="str">
        <f t="shared" ref="FQ150:FQ151" si="2455">IF(CK150="","","|n"&amp;FQ$2&amp;"+"&amp;CK150&amp;FQ$1)</f>
        <v/>
      </c>
      <c r="FR150" s="108" t="str">
        <f t="shared" ref="FR150:FR151" si="2456">IF(CL150="","","|n"&amp;FR$2&amp;"+"&amp;CL150&amp;FR$1)</f>
        <v/>
      </c>
      <c r="FS150" s="108" t="str">
        <f t="shared" ref="FS150:FS151" si="2457">IF(CM150="","","|n"&amp;FS$2&amp;"+"&amp;CM150&amp;FS$1)</f>
        <v/>
      </c>
    </row>
    <row r="151" spans="1:175" s="29" customFormat="1" ht="16.5">
      <c r="A151" s="9"/>
      <c r="B151" s="24" t="s">
        <v>582</v>
      </c>
      <c r="C151" s="20" t="s">
        <v>568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569</v>
      </c>
      <c r="U151" s="77" t="s">
        <v>570</v>
      </c>
      <c r="V151" s="102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6"/>
      <c r="AS151" s="106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7" t="str">
        <f t="shared" si="2382"/>
        <v>InitUnitState('IN32',,,,,,,,,,)</v>
      </c>
      <c r="CO151" s="107" t="str">
        <f t="shared" si="2383"/>
        <v>InitUnitNormal('IN32',,,,,,,,,,)</v>
      </c>
      <c r="CP151" s="107" t="str">
        <f t="shared" si="2384"/>
        <v>InitUnitMagic('IN32',,,,,,,,,,)</v>
      </c>
      <c r="CQ151" s="107" t="str">
        <f t="shared" si="2385"/>
        <v>InitUnitAdd('IN32',,,,,,,,,,)</v>
      </c>
      <c r="CR151" s="107" t="str">
        <f t="shared" si="2365"/>
        <v>InitEquipData('IN32',,"",,,,,'','','','','','',"ReplaceableTextures\\CommandButtons\\BTNIS11.blp")</v>
      </c>
      <c r="CS151" s="107"/>
      <c r="CT151" s="107"/>
      <c r="CU151" s="88" t="str">
        <f t="shared" si="2386"/>
        <v>|n</v>
      </c>
      <c r="CV151" s="29" t="str">
        <f t="shared" si="2387"/>
        <v>使用后获得|Cffffc926随机类型技能升阶石|r</v>
      </c>
      <c r="CW151" s="33"/>
      <c r="CX151" s="33"/>
      <c r="CY151" s="33"/>
      <c r="CZ151" s="33"/>
      <c r="DA151" s="33"/>
      <c r="DB151" s="108" t="str">
        <f t="shared" si="2388"/>
        <v/>
      </c>
      <c r="DC151" s="108" t="str">
        <f t="shared" si="2389"/>
        <v/>
      </c>
      <c r="DD151" s="108" t="str">
        <f t="shared" si="2390"/>
        <v/>
      </c>
      <c r="DE151" s="108" t="str">
        <f t="shared" si="2391"/>
        <v/>
      </c>
      <c r="DF151" s="108" t="str">
        <f t="shared" si="2392"/>
        <v/>
      </c>
      <c r="DG151" s="108" t="str">
        <f t="shared" si="2393"/>
        <v/>
      </c>
      <c r="DH151" s="108" t="str">
        <f t="shared" si="2394"/>
        <v/>
      </c>
      <c r="DI151" s="108" t="str">
        <f t="shared" si="2395"/>
        <v/>
      </c>
      <c r="DJ151" s="108" t="str">
        <f t="shared" si="2396"/>
        <v/>
      </c>
      <c r="DK151" s="108" t="str">
        <f t="shared" si="2397"/>
        <v/>
      </c>
      <c r="DL151" s="108" t="str">
        <f t="shared" si="2398"/>
        <v/>
      </c>
      <c r="DM151" s="108" t="str">
        <f t="shared" si="2399"/>
        <v/>
      </c>
      <c r="DN151" s="108" t="str">
        <f t="shared" si="2400"/>
        <v/>
      </c>
      <c r="DO151" s="108" t="str">
        <f t="shared" si="2401"/>
        <v/>
      </c>
      <c r="DP151" s="108" t="str">
        <f t="shared" si="2402"/>
        <v/>
      </c>
      <c r="DQ151" s="108" t="str">
        <f t="shared" si="2403"/>
        <v/>
      </c>
      <c r="DR151" s="108" t="str">
        <f t="shared" si="2404"/>
        <v/>
      </c>
      <c r="DS151" s="108" t="str">
        <f t="shared" si="2405"/>
        <v/>
      </c>
      <c r="DT151" s="108" t="str">
        <f t="shared" si="2406"/>
        <v/>
      </c>
      <c r="DU151" s="108" t="str">
        <f t="shared" si="2407"/>
        <v/>
      </c>
      <c r="DV151" s="108" t="str">
        <f t="shared" si="2408"/>
        <v/>
      </c>
      <c r="DW151" s="108" t="str">
        <f t="shared" si="2409"/>
        <v/>
      </c>
      <c r="DX151" s="108" t="str">
        <f t="shared" si="2410"/>
        <v/>
      </c>
      <c r="DY151" s="108" t="str">
        <f t="shared" si="2411"/>
        <v/>
      </c>
      <c r="DZ151" s="108" t="str">
        <f t="shared" si="2412"/>
        <v/>
      </c>
      <c r="EA151" s="108" t="str">
        <f t="shared" si="2413"/>
        <v/>
      </c>
      <c r="EB151" s="108" t="str">
        <f t="shared" si="2414"/>
        <v/>
      </c>
      <c r="EC151" s="108" t="str">
        <f t="shared" si="2415"/>
        <v/>
      </c>
      <c r="ED151" s="108" t="str">
        <f t="shared" si="2416"/>
        <v/>
      </c>
      <c r="EE151" s="108" t="str">
        <f t="shared" si="2417"/>
        <v/>
      </c>
      <c r="EF151" s="108" t="str">
        <f t="shared" si="2418"/>
        <v/>
      </c>
      <c r="EG151" s="108" t="str">
        <f t="shared" si="2419"/>
        <v/>
      </c>
      <c r="EH151" s="108" t="str">
        <f t="shared" si="2420"/>
        <v/>
      </c>
      <c r="EI151" s="108" t="str">
        <f t="shared" si="2421"/>
        <v/>
      </c>
      <c r="EJ151" s="108" t="str">
        <f t="shared" si="2422"/>
        <v/>
      </c>
      <c r="EK151" s="108" t="str">
        <f t="shared" si="2423"/>
        <v/>
      </c>
      <c r="EL151" s="108" t="str">
        <f t="shared" si="2424"/>
        <v/>
      </c>
      <c r="EM151" s="108" t="str">
        <f t="shared" si="2425"/>
        <v/>
      </c>
      <c r="EN151" s="108" t="str">
        <f t="shared" si="2426"/>
        <v/>
      </c>
      <c r="EO151" s="108" t="str">
        <f t="shared" si="2427"/>
        <v/>
      </c>
      <c r="EP151" s="108" t="str">
        <f t="shared" si="2428"/>
        <v/>
      </c>
      <c r="EQ151" s="108" t="str">
        <f t="shared" si="2429"/>
        <v/>
      </c>
      <c r="ER151" s="108" t="str">
        <f t="shared" si="2430"/>
        <v/>
      </c>
      <c r="ES151" s="108" t="str">
        <f t="shared" si="2431"/>
        <v/>
      </c>
      <c r="ET151" s="108" t="str">
        <f t="shared" si="2432"/>
        <v/>
      </c>
      <c r="EU151" s="108" t="str">
        <f t="shared" si="2433"/>
        <v/>
      </c>
      <c r="EV151" s="108" t="str">
        <f t="shared" si="2434"/>
        <v/>
      </c>
      <c r="EW151" s="108" t="str">
        <f t="shared" si="2435"/>
        <v/>
      </c>
      <c r="EX151" s="108" t="str">
        <f t="shared" si="2436"/>
        <v/>
      </c>
      <c r="EY151" s="108" t="str">
        <f t="shared" si="2437"/>
        <v/>
      </c>
      <c r="EZ151" s="108" t="str">
        <f t="shared" si="2438"/>
        <v/>
      </c>
      <c r="FA151" s="108" t="str">
        <f t="shared" si="2439"/>
        <v/>
      </c>
      <c r="FB151" s="108" t="str">
        <f t="shared" si="2440"/>
        <v/>
      </c>
      <c r="FC151" s="108" t="str">
        <f t="shared" si="2441"/>
        <v/>
      </c>
      <c r="FD151" s="108" t="str">
        <f t="shared" si="2442"/>
        <v/>
      </c>
      <c r="FE151" s="108" t="str">
        <f t="shared" si="2443"/>
        <v/>
      </c>
      <c r="FF151" s="108" t="str">
        <f t="shared" si="2444"/>
        <v/>
      </c>
      <c r="FG151" s="108" t="str">
        <f t="shared" si="2445"/>
        <v/>
      </c>
      <c r="FH151" s="108" t="str">
        <f t="shared" si="2446"/>
        <v/>
      </c>
      <c r="FI151" s="108" t="str">
        <f t="shared" si="2447"/>
        <v/>
      </c>
      <c r="FJ151" s="108" t="str">
        <f t="shared" si="2448"/>
        <v/>
      </c>
      <c r="FK151" s="108" t="str">
        <f t="shared" si="2449"/>
        <v/>
      </c>
      <c r="FL151" s="108" t="str">
        <f t="shared" si="2450"/>
        <v/>
      </c>
      <c r="FM151" s="108" t="str">
        <f t="shared" si="2451"/>
        <v/>
      </c>
      <c r="FN151" s="108" t="str">
        <f t="shared" si="2452"/>
        <v/>
      </c>
      <c r="FO151" s="108" t="str">
        <f t="shared" si="2453"/>
        <v/>
      </c>
      <c r="FP151" s="108" t="str">
        <f t="shared" si="2454"/>
        <v/>
      </c>
      <c r="FQ151" s="108" t="str">
        <f t="shared" si="2455"/>
        <v/>
      </c>
      <c r="FR151" s="108" t="str">
        <f t="shared" si="2456"/>
        <v/>
      </c>
      <c r="FS151" s="108" t="str">
        <f t="shared" si="2457"/>
        <v/>
      </c>
    </row>
    <row r="152" spans="1:175" ht="16.5">
      <c r="A152" s="9"/>
      <c r="B152" s="9" t="s">
        <v>583</v>
      </c>
      <c r="C152" s="9" t="s">
        <v>584</v>
      </c>
      <c r="T152" s="104" t="s">
        <v>585</v>
      </c>
      <c r="U152" s="77" t="str">
        <f t="shared" si="2360"/>
        <v>ReplaceableTextures\\CommandButtons\\BTNIP01.blp</v>
      </c>
      <c r="CN152" s="36" t="str">
        <f t="shared" ref="CN152:CN160" si="2458">"InitUnitState('"&amp;B152&amp;"',"&amp;V152&amp;","&amp;W152&amp;","&amp;X152&amp;","&amp;Y152&amp;","&amp;Z152&amp;","&amp;AA152&amp;","&amp;AB152&amp;","&amp;AC152&amp;","&amp;AD152&amp;","&amp;AE152&amp;")"</f>
        <v>InitUnitState('IP01',,,,,,,,,,)</v>
      </c>
      <c r="CO152" s="36" t="str">
        <f t="shared" ref="CO152:CO160" si="2459">"InitUnitNormal('"&amp;B152&amp;"',"&amp;AF152&amp;","&amp;AG152&amp;","&amp;AH152&amp;","&amp;AI152&amp;","&amp;AJ152&amp;","&amp;AK152&amp;","&amp;AL152&amp;","&amp;AM152&amp;","&amp;AN152&amp;","&amp;AO152&amp;")"</f>
        <v>InitUnitNormal('IP01',,,,,,,,,,)</v>
      </c>
      <c r="CP152" s="36" t="str">
        <f t="shared" ref="CP152:CP160" si="2460">"InitUnitMagic('"&amp;B152&amp;"',"&amp;AP152&amp;","&amp;AQ152&amp;","&amp;AR152&amp;","&amp;AS152&amp;","&amp;AT152&amp;","&amp;AU152&amp;","&amp;AV152&amp;","&amp;AW152&amp;","&amp;BI152&amp;","&amp;BJ152&amp;")"</f>
        <v>InitUnitMagic('IP01',,,,,,,,,,)</v>
      </c>
      <c r="CQ152" s="36" t="str">
        <f t="shared" ref="CQ152:CQ160" si="2461">"InitUnitAdd('"&amp;B152&amp;"',"&amp;BK152&amp;","&amp;BL152&amp;","&amp;BM152&amp;","&amp;BN152&amp;","&amp;BO152&amp;","&amp;BP152&amp;","&amp;BQ152&amp;","&amp;BR152&amp;","&amp;BS152&amp;","&amp;BT152&amp;")"</f>
        <v>InitUnitAdd('IP01',,,,,,,,,,)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InitEquipData('IP01',,"",,,,,'','','','','','',"ReplaceableTextures\\CommandButtons\\BTNIP02.blp")</v>
      </c>
      <c r="CU152" s="88" t="str">
        <f t="shared" ref="CU152" si="246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" si="2463">T152</f>
        <v>每次|Cffffd24d完成|r时渊副本将消耗|Cffffd24d1|r个|Cffffd24d时渊入场券|r</v>
      </c>
      <c r="CW152" s="33"/>
      <c r="CX152" s="33"/>
      <c r="CY152" s="33"/>
      <c r="CZ152" s="33"/>
      <c r="DA152" s="33"/>
      <c r="DB152" s="66" t="str">
        <f t="shared" ref="DB152" si="2464">IF(V152="","","|n"&amp;DB$2&amp;"+"&amp;V152&amp;DB$1)</f>
        <v/>
      </c>
      <c r="DC152" s="66" t="str">
        <f t="shared" ref="DC152" si="2465">IF(W152="","","|n"&amp;DC$2&amp;"+"&amp;W152&amp;DC$1)</f>
        <v/>
      </c>
      <c r="DD152" s="66" t="str">
        <f t="shared" ref="DD152" si="2466">IF(X152="","","|n"&amp;DD$2&amp;"+"&amp;X152&amp;DD$1)</f>
        <v/>
      </c>
      <c r="DE152" s="66" t="str">
        <f t="shared" ref="DE152" si="2467">IF(Y152="","","|n"&amp;DE$2&amp;"+"&amp;Y152&amp;DE$1)</f>
        <v/>
      </c>
      <c r="DF152" s="66" t="str">
        <f t="shared" ref="DF152" si="2468">IF(Z152="","","|n"&amp;DF$2&amp;"+"&amp;Z152&amp;DF$1)</f>
        <v/>
      </c>
      <c r="DG152" s="66" t="str">
        <f t="shared" ref="DG152" si="2469">IF(AA152="","","|n"&amp;DG$2&amp;"+"&amp;AA152&amp;DG$1)</f>
        <v/>
      </c>
      <c r="DH152" s="66" t="str">
        <f t="shared" ref="DH152" si="2470">IF(AB152="","","|n"&amp;DH$2&amp;"+"&amp;AB152&amp;DH$1)</f>
        <v/>
      </c>
      <c r="DI152" s="66" t="str">
        <f t="shared" ref="DI152" si="2471">IF(AC152="","","|n"&amp;DI$2&amp;"+"&amp;AC152&amp;DI$1)</f>
        <v/>
      </c>
      <c r="DJ152" s="66" t="str">
        <f t="shared" ref="DJ152" si="2472">IF(AD152="","","|n"&amp;DJ$2&amp;"+"&amp;AD152&amp;DJ$1)</f>
        <v/>
      </c>
      <c r="DK152" s="66" t="str">
        <f t="shared" ref="DK152" si="2473">IF(AE152="","","|n"&amp;DK$2&amp;"+"&amp;AE152&amp;DK$1)</f>
        <v/>
      </c>
      <c r="DL152" s="66" t="str">
        <f t="shared" ref="DL152" si="2474">IF(AF152="","","|n"&amp;DL$2&amp;"+"&amp;AF152&amp;DL$1)</f>
        <v/>
      </c>
      <c r="DM152" s="66" t="str">
        <f t="shared" ref="DM152" si="2475">IF(AG152="","","|n"&amp;DM$2&amp;"+"&amp;AG152&amp;DM$1)</f>
        <v/>
      </c>
      <c r="DN152" s="66" t="str">
        <f t="shared" ref="DN152" si="2476">IF(AH152="","","|n"&amp;DN$2&amp;"+"&amp;AH152&amp;DN$1)</f>
        <v/>
      </c>
      <c r="DO152" s="66" t="str">
        <f t="shared" ref="DO152" si="2477">IF(AI152="","","|n"&amp;DO$2&amp;"+"&amp;AI152&amp;DO$1)</f>
        <v/>
      </c>
      <c r="DP152" s="66" t="str">
        <f t="shared" ref="DP152" si="2478">IF(AJ152="","","|n"&amp;DP$2&amp;"+"&amp;AJ152&amp;DP$1)</f>
        <v/>
      </c>
      <c r="DQ152" s="66" t="str">
        <f t="shared" ref="DQ152" si="2479">IF(AK152="","","|n"&amp;DQ$2&amp;"+"&amp;AK152&amp;DQ$1)</f>
        <v/>
      </c>
      <c r="DR152" s="66" t="str">
        <f t="shared" ref="DR152" si="2480">IF(AL152="","","|n"&amp;DR$2&amp;"+"&amp;AL152&amp;DR$1)</f>
        <v/>
      </c>
      <c r="DS152" s="66" t="str">
        <f t="shared" ref="DS152" si="2481">IF(AM152="","","|n"&amp;DS$2&amp;"+"&amp;AM152&amp;DS$1)</f>
        <v/>
      </c>
      <c r="DT152" s="66" t="str">
        <f t="shared" ref="DT152" si="2482">IF(AN152="","","|n"&amp;DT$2&amp;"+"&amp;AN152&amp;DT$1)</f>
        <v/>
      </c>
      <c r="DU152" s="66" t="str">
        <f t="shared" ref="DU152" si="2483">IF(AO152="","","|n"&amp;DU$2&amp;"+"&amp;AO152&amp;DU$1)</f>
        <v/>
      </c>
      <c r="DV152" s="66" t="str">
        <f t="shared" ref="DV152" si="2484">IF(AP152="","","|n"&amp;DV$2&amp;"+"&amp;AP152&amp;DV$1)</f>
        <v/>
      </c>
      <c r="DW152" s="66" t="str">
        <f t="shared" ref="DW152" si="2485">IF(AQ152="","","|n"&amp;DW$2&amp;"+"&amp;AQ152&amp;DW$1)</f>
        <v/>
      </c>
      <c r="DX152" s="66" t="str">
        <f t="shared" ref="DX152" si="2486">IF(AR152="","","|n"&amp;DX$2&amp;"+"&amp;AR152&amp;DX$1)</f>
        <v/>
      </c>
      <c r="DY152" s="66" t="str">
        <f t="shared" ref="DY152" si="2487">IF(AS152="","","|n"&amp;DY$2&amp;"+"&amp;AS152&amp;DY$1)</f>
        <v/>
      </c>
      <c r="DZ152" s="66" t="str">
        <f t="shared" ref="DZ152" si="2488">IF(AT152="","","|n"&amp;DZ$2&amp;"+"&amp;AT152&amp;DZ$1)</f>
        <v/>
      </c>
      <c r="EA152" s="66" t="str">
        <f t="shared" ref="EA152" si="2489">IF(AU152="","","|n"&amp;EA$2&amp;"+"&amp;AU152&amp;EA$1)</f>
        <v/>
      </c>
      <c r="EB152" s="66" t="str">
        <f t="shared" ref="EB152" si="2490">IF(AV152="","","|n"&amp;EB$2&amp;"+"&amp;AV152&amp;EB$1)</f>
        <v/>
      </c>
      <c r="EC152" s="66" t="str">
        <f t="shared" ref="EC152" si="2491">IF(AW152="","","|n"&amp;EC$2&amp;"+"&amp;AW152&amp;EC$1)</f>
        <v/>
      </c>
      <c r="ED152" s="66" t="str">
        <f t="shared" ref="ED152" si="2492">IF(AX152="","","|n"&amp;ED$2&amp;"+"&amp;AX152&amp;ED$1)</f>
        <v/>
      </c>
      <c r="EE152" s="66" t="str">
        <f t="shared" ref="EE152" si="2493">IF(AY152="","","|n"&amp;EE$2&amp;"+"&amp;AY152&amp;EE$1)</f>
        <v/>
      </c>
      <c r="EF152" s="66" t="str">
        <f t="shared" ref="EF152" si="2494">IF(AZ152="","","|n"&amp;EF$2&amp;"+"&amp;AZ152&amp;EF$1)</f>
        <v/>
      </c>
      <c r="EG152" s="66" t="str">
        <f t="shared" ref="EG152" si="2495">IF(BA152="","","|n"&amp;EG$2&amp;"+"&amp;BA152&amp;EG$1)</f>
        <v/>
      </c>
      <c r="EH152" s="66" t="str">
        <f t="shared" ref="EH152" si="2496">IF(BB152="","","|n"&amp;EH$2&amp;"+"&amp;BB152&amp;EH$1)</f>
        <v/>
      </c>
      <c r="EI152" s="66" t="str">
        <f t="shared" ref="EI152" si="2497">IF(BC152="","","|n"&amp;EI$2&amp;"+"&amp;BC152&amp;EI$1)</f>
        <v/>
      </c>
      <c r="EJ152" s="66" t="str">
        <f t="shared" ref="EJ152" si="2498">IF(BD152="","","|n"&amp;EJ$2&amp;"+"&amp;BD152&amp;EJ$1)</f>
        <v/>
      </c>
      <c r="EK152" s="66" t="str">
        <f t="shared" ref="EK152" si="2499">IF(BE152="","","|n"&amp;EK$2&amp;"+"&amp;BE152&amp;EK$1)</f>
        <v/>
      </c>
      <c r="EL152" s="66" t="str">
        <f t="shared" ref="EL152" si="2500">IF(BF152="","","|n"&amp;EL$2&amp;"+"&amp;BF152&amp;EL$1)</f>
        <v/>
      </c>
      <c r="EM152" s="66" t="str">
        <f t="shared" ref="EM152" si="2501">IF(BG152="","","|n"&amp;EM$2&amp;"+"&amp;BG152&amp;EM$1)</f>
        <v/>
      </c>
      <c r="EN152" s="66" t="str">
        <f t="shared" ref="EN152" si="2502">IF(BH152="","","|n"&amp;EN$2&amp;"+"&amp;BH152&amp;EN$1)</f>
        <v/>
      </c>
      <c r="EO152" s="66" t="str">
        <f t="shared" ref="EO152" si="2503">IF(BI152="","","|n"&amp;EO$2&amp;"+"&amp;BI152&amp;EO$1)</f>
        <v/>
      </c>
      <c r="EP152" s="66" t="str">
        <f t="shared" ref="EP152" si="2504">IF(BJ152="","","|n"&amp;EP$2&amp;"+"&amp;BJ152&amp;EP$1)</f>
        <v/>
      </c>
      <c r="EQ152" s="66" t="str">
        <f t="shared" ref="EQ152" si="2505">IF(BK152="","","|n"&amp;EQ$2&amp;"+"&amp;BK152&amp;EQ$1)</f>
        <v/>
      </c>
      <c r="ER152" s="66" t="str">
        <f t="shared" ref="ER152" si="2506">IF(BL152="","","|n"&amp;ER$2&amp;"+"&amp;BL152&amp;ER$1)</f>
        <v/>
      </c>
      <c r="ES152" s="66" t="str">
        <f t="shared" ref="ES152" si="2507">IF(BM152="","","|n"&amp;ES$2&amp;"+"&amp;BM152&amp;ES$1)</f>
        <v/>
      </c>
      <c r="ET152" s="66" t="str">
        <f t="shared" ref="ET152" si="2508">IF(BN152="","","|n"&amp;ET$2&amp;"+"&amp;BN152&amp;ET$1)</f>
        <v/>
      </c>
      <c r="EU152" s="66" t="str">
        <f t="shared" ref="EU152" si="2509">IF(BO152="","","|n"&amp;EU$2&amp;"+"&amp;BO152&amp;EU$1)</f>
        <v/>
      </c>
      <c r="EV152" s="66" t="str">
        <f t="shared" ref="EV152" si="2510">IF(BP152="","","|n"&amp;EV$2&amp;"+"&amp;BP152&amp;EV$1)</f>
        <v/>
      </c>
      <c r="EW152" s="66" t="str">
        <f t="shared" ref="EW152" si="2511">IF(BQ152="","","|n"&amp;EW$2&amp;"+"&amp;BQ152&amp;EW$1)</f>
        <v/>
      </c>
      <c r="EX152" s="66" t="str">
        <f t="shared" ref="EX152" si="2512">IF(BR152="","","|n"&amp;EX$2&amp;"+"&amp;BR152&amp;EX$1)</f>
        <v/>
      </c>
      <c r="EY152" s="66" t="str">
        <f t="shared" ref="EY152" si="2513">IF(BS152="","","|n"&amp;EY$2&amp;"+"&amp;BS152&amp;EY$1)</f>
        <v/>
      </c>
      <c r="EZ152" s="66" t="str">
        <f t="shared" ref="EZ152" si="2514">IF(BT152="","","|n"&amp;EZ$2&amp;"+"&amp;BT152&amp;EZ$1)</f>
        <v/>
      </c>
      <c r="FA152" s="66" t="str">
        <f t="shared" ref="FA152" si="2515">IF(BU152="","","|n"&amp;FA$2&amp;"+"&amp;BU152&amp;FA$1)</f>
        <v/>
      </c>
      <c r="FB152" s="66" t="str">
        <f t="shared" ref="FB152" si="2516">IF(BV152="","","|n"&amp;FB$2&amp;"+"&amp;BV152&amp;FB$1)</f>
        <v/>
      </c>
      <c r="FC152" s="66" t="str">
        <f t="shared" ref="FC152" si="2517">IF(BW152="","","|n"&amp;FC$2&amp;"+"&amp;BW152&amp;FC$1)</f>
        <v/>
      </c>
      <c r="FD152" s="66" t="str">
        <f t="shared" ref="FD152" si="2518">IF(BX152="","","|n"&amp;FD$2&amp;"+"&amp;BX152&amp;FD$1)</f>
        <v/>
      </c>
      <c r="FE152" s="66" t="str">
        <f t="shared" ref="FE152" si="2519">IF(BY152="","","|n"&amp;FE$2&amp;"+"&amp;BY152&amp;FE$1)</f>
        <v/>
      </c>
      <c r="FF152" s="66" t="str">
        <f t="shared" ref="FF152" si="2520">IF(BZ152="","","|n"&amp;FF$2&amp;"+"&amp;BZ152&amp;FF$1)</f>
        <v/>
      </c>
      <c r="FG152" s="66" t="str">
        <f t="shared" ref="FG152" si="2521">IF(CA152="","","|n"&amp;FG$2&amp;"+"&amp;CA152&amp;FG$1)</f>
        <v/>
      </c>
      <c r="FH152" s="66" t="str">
        <f t="shared" ref="FH152" si="2522">IF(CB152="","","|n"&amp;FH$2&amp;"+"&amp;CB152&amp;FH$1)</f>
        <v/>
      </c>
      <c r="FI152" s="66" t="str">
        <f t="shared" ref="FI152" si="2523">IF(CC152="","","|n"&amp;FI$2&amp;"+"&amp;CC152&amp;FI$1)</f>
        <v/>
      </c>
      <c r="FJ152" s="66" t="str">
        <f t="shared" ref="FJ152" si="2524">IF(CD152="","","|n"&amp;FJ$2&amp;"+"&amp;CD152&amp;FJ$1)</f>
        <v/>
      </c>
      <c r="FK152" s="66" t="str">
        <f t="shared" ref="FK152" si="2525">IF(CE152="","","|n"&amp;FK$2&amp;"+"&amp;CE152&amp;FK$1)</f>
        <v/>
      </c>
      <c r="FL152" s="66" t="str">
        <f t="shared" ref="FL152" si="2526">IF(CF152="","","|n"&amp;FL$2&amp;"+"&amp;CF152&amp;FL$1)</f>
        <v/>
      </c>
      <c r="FM152" s="66" t="str">
        <f t="shared" ref="FM152" si="2527">IF(CG152="","","|n"&amp;FM$2&amp;"+"&amp;CG152&amp;FM$1)</f>
        <v/>
      </c>
      <c r="FN152" s="66" t="str">
        <f t="shared" ref="FN152" si="2528">IF(CH152="","","|n"&amp;FN$2&amp;"+"&amp;CH152&amp;FN$1)</f>
        <v/>
      </c>
      <c r="FO152" s="66" t="str">
        <f t="shared" ref="FO152" si="2529">IF(CI152="","","|n"&amp;FO$2&amp;"+"&amp;CI152&amp;FO$1)</f>
        <v/>
      </c>
      <c r="FP152" s="66" t="str">
        <f t="shared" ref="FP152" si="2530">IF(CJ152="","","|n"&amp;FP$2&amp;"+"&amp;CJ152&amp;FP$1)</f>
        <v/>
      </c>
      <c r="FQ152" s="66" t="str">
        <f t="shared" ref="FQ152" si="2531">IF(CK152="","","|n"&amp;FQ$2&amp;"+"&amp;CK152&amp;FQ$1)</f>
        <v/>
      </c>
      <c r="FR152" s="66" t="str">
        <f t="shared" ref="FR152" si="2532">IF(CL152="","","|n"&amp;FR$2&amp;"+"&amp;CL152&amp;FR$1)</f>
        <v/>
      </c>
      <c r="FS152" s="66" t="str">
        <f t="shared" ref="FS152" si="2533">IF(CM152="","","|n"&amp;FS$2&amp;"+"&amp;CM152&amp;FS$1)</f>
        <v/>
      </c>
    </row>
    <row r="153" spans="1:175" ht="16.5">
      <c r="A153" s="15"/>
      <c r="B153" s="9" t="s">
        <v>586</v>
      </c>
      <c r="C153" s="15" t="s">
        <v>587</v>
      </c>
      <c r="T153" s="16" t="s">
        <v>588</v>
      </c>
      <c r="U153" s="77" t="str">
        <f t="shared" si="2360"/>
        <v>ReplaceableTextures\\CommandButtons\\BTNIP02.blp</v>
      </c>
      <c r="CN153" s="36" t="str">
        <f t="shared" si="2458"/>
        <v>InitUnitState('IP02',,,,,,,,,,)</v>
      </c>
      <c r="CO153" s="36" t="str">
        <f t="shared" si="2459"/>
        <v>InitUnitNormal('IP02',,,,,,,,,,)</v>
      </c>
      <c r="CP153" s="36" t="str">
        <f t="shared" si="2460"/>
        <v>InitUnitMagic('IP02',,,,,,,,,,)</v>
      </c>
      <c r="CQ153" s="36" t="str">
        <f t="shared" si="2461"/>
        <v>InitUnitAdd('IP02',,,,,,,,,,)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InitEquipData('IP02',,"",,,,,'','','','','','',"ReplaceableTextures\\CommandButtons\\BTNIP03.blp")</v>
      </c>
      <c r="CU153" s="88" t="str">
        <f t="shared" ref="CU153:CU154" si="253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19" t="str">
        <f t="shared" ref="CV153:CV154" si="2535">T153</f>
        <v>点击|Cffffc926选中指定法宝|r后，再点击|Cffffc926重铸|r，可|Cffffc926重置|r指定法宝，|Cffffc926品质不变|r。|n|n|Cff00ff7f每次重铸消耗1个补天石|r</v>
      </c>
      <c r="CW153" s="33"/>
      <c r="CX153" s="33"/>
      <c r="CY153" s="33"/>
      <c r="CZ153" s="33"/>
      <c r="DA153" s="33"/>
      <c r="DB153" s="66" t="str">
        <f t="shared" ref="DB153:DB154" si="2536">IF(V153="","","|n"&amp;DB$2&amp;"+"&amp;V153&amp;DB$1)</f>
        <v/>
      </c>
      <c r="DC153" s="66" t="str">
        <f t="shared" ref="DC153:DC154" si="2537">IF(W153="","","|n"&amp;DC$2&amp;"+"&amp;W153&amp;DC$1)</f>
        <v/>
      </c>
      <c r="DD153" s="66" t="str">
        <f t="shared" ref="DD153:DD154" si="2538">IF(X153="","","|n"&amp;DD$2&amp;"+"&amp;X153&amp;DD$1)</f>
        <v/>
      </c>
      <c r="DE153" s="66" t="str">
        <f t="shared" ref="DE153:DE154" si="2539">IF(Y153="","","|n"&amp;DE$2&amp;"+"&amp;Y153&amp;DE$1)</f>
        <v/>
      </c>
      <c r="DF153" s="66" t="str">
        <f t="shared" ref="DF153:DF154" si="2540">IF(Z153="","","|n"&amp;DF$2&amp;"+"&amp;Z153&amp;DF$1)</f>
        <v/>
      </c>
      <c r="DG153" s="66" t="str">
        <f t="shared" ref="DG153:DG154" si="2541">IF(AA153="","","|n"&amp;DG$2&amp;"+"&amp;AA153&amp;DG$1)</f>
        <v/>
      </c>
      <c r="DH153" s="66" t="str">
        <f t="shared" ref="DH153:DH154" si="2542">IF(AB153="","","|n"&amp;DH$2&amp;"+"&amp;AB153&amp;DH$1)</f>
        <v/>
      </c>
      <c r="DI153" s="66" t="str">
        <f t="shared" ref="DI153:DI154" si="2543">IF(AC153="","","|n"&amp;DI$2&amp;"+"&amp;AC153&amp;DI$1)</f>
        <v/>
      </c>
      <c r="DJ153" s="66" t="str">
        <f t="shared" ref="DJ153:DJ154" si="2544">IF(AD153="","","|n"&amp;DJ$2&amp;"+"&amp;AD153&amp;DJ$1)</f>
        <v/>
      </c>
      <c r="DK153" s="66" t="str">
        <f t="shared" ref="DK153:DK154" si="2545">IF(AE153="","","|n"&amp;DK$2&amp;"+"&amp;AE153&amp;DK$1)</f>
        <v/>
      </c>
      <c r="DL153" s="66" t="str">
        <f t="shared" ref="DL153:DL154" si="2546">IF(AF153="","","|n"&amp;DL$2&amp;"+"&amp;AF153&amp;DL$1)</f>
        <v/>
      </c>
      <c r="DM153" s="66" t="str">
        <f t="shared" ref="DM153:DM154" si="2547">IF(AG153="","","|n"&amp;DM$2&amp;"+"&amp;AG153&amp;DM$1)</f>
        <v/>
      </c>
      <c r="DN153" s="66" t="str">
        <f t="shared" ref="DN153:DN154" si="2548">IF(AH153="","","|n"&amp;DN$2&amp;"+"&amp;AH153&amp;DN$1)</f>
        <v/>
      </c>
      <c r="DO153" s="66" t="str">
        <f t="shared" ref="DO153:DO154" si="2549">IF(AI153="","","|n"&amp;DO$2&amp;"+"&amp;AI153&amp;DO$1)</f>
        <v/>
      </c>
      <c r="DP153" s="66" t="str">
        <f t="shared" ref="DP153:DP154" si="2550">IF(AJ153="","","|n"&amp;DP$2&amp;"+"&amp;AJ153&amp;DP$1)</f>
        <v/>
      </c>
      <c r="DQ153" s="66" t="str">
        <f t="shared" ref="DQ153:DQ154" si="2551">IF(AK153="","","|n"&amp;DQ$2&amp;"+"&amp;AK153&amp;DQ$1)</f>
        <v/>
      </c>
      <c r="DR153" s="66" t="str">
        <f t="shared" ref="DR153:DR154" si="2552">IF(AL153="","","|n"&amp;DR$2&amp;"+"&amp;AL153&amp;DR$1)</f>
        <v/>
      </c>
      <c r="DS153" s="66" t="str">
        <f t="shared" ref="DS153:DS154" si="2553">IF(AM153="","","|n"&amp;DS$2&amp;"+"&amp;AM153&amp;DS$1)</f>
        <v/>
      </c>
      <c r="DT153" s="66" t="str">
        <f t="shared" ref="DT153:DT154" si="2554">IF(AN153="","","|n"&amp;DT$2&amp;"+"&amp;AN153&amp;DT$1)</f>
        <v/>
      </c>
      <c r="DU153" s="66" t="str">
        <f t="shared" ref="DU153:DU154" si="2555">IF(AO153="","","|n"&amp;DU$2&amp;"+"&amp;AO153&amp;DU$1)</f>
        <v/>
      </c>
      <c r="DV153" s="66" t="str">
        <f t="shared" ref="DV153:DV154" si="2556">IF(AP153="","","|n"&amp;DV$2&amp;"+"&amp;AP153&amp;DV$1)</f>
        <v/>
      </c>
      <c r="DW153" s="66" t="str">
        <f t="shared" ref="DW153:DW154" si="2557">IF(AQ153="","","|n"&amp;DW$2&amp;"+"&amp;AQ153&amp;DW$1)</f>
        <v/>
      </c>
      <c r="DX153" s="66" t="str">
        <f t="shared" ref="DX153:DX154" si="2558">IF(AR153="","","|n"&amp;DX$2&amp;"+"&amp;AR153&amp;DX$1)</f>
        <v/>
      </c>
      <c r="DY153" s="66" t="str">
        <f t="shared" ref="DY153:DY154" si="2559">IF(AS153="","","|n"&amp;DY$2&amp;"+"&amp;AS153&amp;DY$1)</f>
        <v/>
      </c>
      <c r="DZ153" s="66" t="str">
        <f t="shared" ref="DZ153:DZ154" si="2560">IF(AT153="","","|n"&amp;DZ$2&amp;"+"&amp;AT153&amp;DZ$1)</f>
        <v/>
      </c>
      <c r="EA153" s="66" t="str">
        <f t="shared" ref="EA153:EA154" si="2561">IF(AU153="","","|n"&amp;EA$2&amp;"+"&amp;AU153&amp;EA$1)</f>
        <v/>
      </c>
      <c r="EB153" s="66" t="str">
        <f t="shared" ref="EB153:EB154" si="2562">IF(AV153="","","|n"&amp;EB$2&amp;"+"&amp;AV153&amp;EB$1)</f>
        <v/>
      </c>
      <c r="EC153" s="66" t="str">
        <f t="shared" ref="EC153:EC154" si="2563">IF(AW153="","","|n"&amp;EC$2&amp;"+"&amp;AW153&amp;EC$1)</f>
        <v/>
      </c>
      <c r="ED153" s="66" t="str">
        <f t="shared" ref="ED153:ED154" si="2564">IF(AX153="","","|n"&amp;ED$2&amp;"+"&amp;AX153&amp;ED$1)</f>
        <v/>
      </c>
      <c r="EE153" s="66" t="str">
        <f t="shared" ref="EE153:EE154" si="2565">IF(AY153="","","|n"&amp;EE$2&amp;"+"&amp;AY153&amp;EE$1)</f>
        <v/>
      </c>
      <c r="EF153" s="66" t="str">
        <f t="shared" ref="EF153:EF154" si="2566">IF(AZ153="","","|n"&amp;EF$2&amp;"+"&amp;AZ153&amp;EF$1)</f>
        <v/>
      </c>
      <c r="EG153" s="66" t="str">
        <f t="shared" ref="EG153:EG154" si="2567">IF(BA153="","","|n"&amp;EG$2&amp;"+"&amp;BA153&amp;EG$1)</f>
        <v/>
      </c>
      <c r="EH153" s="66" t="str">
        <f t="shared" ref="EH153:EH154" si="2568">IF(BB153="","","|n"&amp;EH$2&amp;"+"&amp;BB153&amp;EH$1)</f>
        <v/>
      </c>
      <c r="EI153" s="66" t="str">
        <f t="shared" ref="EI153:EI154" si="2569">IF(BC153="","","|n"&amp;EI$2&amp;"+"&amp;BC153&amp;EI$1)</f>
        <v/>
      </c>
      <c r="EJ153" s="66" t="str">
        <f t="shared" ref="EJ153:EJ154" si="2570">IF(BD153="","","|n"&amp;EJ$2&amp;"+"&amp;BD153&amp;EJ$1)</f>
        <v/>
      </c>
      <c r="EK153" s="66" t="str">
        <f t="shared" ref="EK153:EK154" si="2571">IF(BE153="","","|n"&amp;EK$2&amp;"+"&amp;BE153&amp;EK$1)</f>
        <v/>
      </c>
      <c r="EL153" s="66" t="str">
        <f t="shared" ref="EL153:EL154" si="2572">IF(BF153="","","|n"&amp;EL$2&amp;"+"&amp;BF153&amp;EL$1)</f>
        <v/>
      </c>
      <c r="EM153" s="66" t="str">
        <f t="shared" ref="EM153:EM154" si="2573">IF(BG153="","","|n"&amp;EM$2&amp;"+"&amp;BG153&amp;EM$1)</f>
        <v/>
      </c>
      <c r="EN153" s="66" t="str">
        <f t="shared" ref="EN153:EN154" si="2574">IF(BH153="","","|n"&amp;EN$2&amp;"+"&amp;BH153&amp;EN$1)</f>
        <v/>
      </c>
      <c r="EO153" s="66" t="str">
        <f t="shared" ref="EO153:EO154" si="2575">IF(BI153="","","|n"&amp;EO$2&amp;"+"&amp;BI153&amp;EO$1)</f>
        <v/>
      </c>
      <c r="EP153" s="66" t="str">
        <f t="shared" ref="EP153:EP154" si="2576">IF(BJ153="","","|n"&amp;EP$2&amp;"+"&amp;BJ153&amp;EP$1)</f>
        <v/>
      </c>
      <c r="EQ153" s="66" t="str">
        <f t="shared" ref="EQ153:EQ154" si="2577">IF(BK153="","","|n"&amp;EQ$2&amp;"+"&amp;BK153&amp;EQ$1)</f>
        <v/>
      </c>
      <c r="ER153" s="66" t="str">
        <f t="shared" ref="ER153:ER154" si="2578">IF(BL153="","","|n"&amp;ER$2&amp;"+"&amp;BL153&amp;ER$1)</f>
        <v/>
      </c>
      <c r="ES153" s="66" t="str">
        <f t="shared" ref="ES153:ES154" si="2579">IF(BM153="","","|n"&amp;ES$2&amp;"+"&amp;BM153&amp;ES$1)</f>
        <v/>
      </c>
      <c r="ET153" s="66" t="str">
        <f t="shared" ref="ET153:ET154" si="2580">IF(BN153="","","|n"&amp;ET$2&amp;"+"&amp;BN153&amp;ET$1)</f>
        <v/>
      </c>
      <c r="EU153" s="66" t="str">
        <f t="shared" ref="EU153:EU154" si="2581">IF(BO153="","","|n"&amp;EU$2&amp;"+"&amp;BO153&amp;EU$1)</f>
        <v/>
      </c>
      <c r="EV153" s="66" t="str">
        <f t="shared" ref="EV153:EV154" si="2582">IF(BP153="","","|n"&amp;EV$2&amp;"+"&amp;BP153&amp;EV$1)</f>
        <v/>
      </c>
      <c r="EW153" s="66" t="str">
        <f t="shared" ref="EW153:EW154" si="2583">IF(BQ153="","","|n"&amp;EW$2&amp;"+"&amp;BQ153&amp;EW$1)</f>
        <v/>
      </c>
      <c r="EX153" s="66" t="str">
        <f t="shared" ref="EX153:EX154" si="2584">IF(BR153="","","|n"&amp;EX$2&amp;"+"&amp;BR153&amp;EX$1)</f>
        <v/>
      </c>
      <c r="EY153" s="66" t="str">
        <f t="shared" ref="EY153:EY154" si="2585">IF(BS153="","","|n"&amp;EY$2&amp;"+"&amp;BS153&amp;EY$1)</f>
        <v/>
      </c>
      <c r="EZ153" s="66" t="str">
        <f t="shared" ref="EZ153:EZ154" si="2586">IF(BT153="","","|n"&amp;EZ$2&amp;"+"&amp;BT153&amp;EZ$1)</f>
        <v/>
      </c>
      <c r="FA153" s="66" t="str">
        <f t="shared" ref="FA153:FA154" si="2587">IF(BU153="","","|n"&amp;FA$2&amp;"+"&amp;BU153&amp;FA$1)</f>
        <v/>
      </c>
      <c r="FB153" s="66" t="str">
        <f t="shared" ref="FB153:FB154" si="2588">IF(BV153="","","|n"&amp;FB$2&amp;"+"&amp;BV153&amp;FB$1)</f>
        <v/>
      </c>
      <c r="FC153" s="66" t="str">
        <f t="shared" ref="FC153:FC154" si="2589">IF(BW153="","","|n"&amp;FC$2&amp;"+"&amp;BW153&amp;FC$1)</f>
        <v/>
      </c>
      <c r="FD153" s="66" t="str">
        <f t="shared" ref="FD153:FD154" si="2590">IF(BX153="","","|n"&amp;FD$2&amp;"+"&amp;BX153&amp;FD$1)</f>
        <v/>
      </c>
      <c r="FE153" s="66" t="str">
        <f t="shared" ref="FE153:FE154" si="2591">IF(BY153="","","|n"&amp;FE$2&amp;"+"&amp;BY153&amp;FE$1)</f>
        <v/>
      </c>
      <c r="FF153" s="66" t="str">
        <f t="shared" ref="FF153:FF154" si="2592">IF(BZ153="","","|n"&amp;FF$2&amp;"+"&amp;BZ153&amp;FF$1)</f>
        <v/>
      </c>
      <c r="FG153" s="66" t="str">
        <f t="shared" ref="FG153:FG154" si="2593">IF(CA153="","","|n"&amp;FG$2&amp;"+"&amp;CA153&amp;FG$1)</f>
        <v/>
      </c>
      <c r="FH153" s="66" t="str">
        <f t="shared" ref="FH153:FH154" si="2594">IF(CB153="","","|n"&amp;FH$2&amp;"+"&amp;CB153&amp;FH$1)</f>
        <v/>
      </c>
      <c r="FI153" s="66" t="str">
        <f t="shared" ref="FI153:FI154" si="2595">IF(CC153="","","|n"&amp;FI$2&amp;"+"&amp;CC153&amp;FI$1)</f>
        <v/>
      </c>
      <c r="FJ153" s="66" t="str">
        <f t="shared" ref="FJ153:FJ154" si="2596">IF(CD153="","","|n"&amp;FJ$2&amp;"+"&amp;CD153&amp;FJ$1)</f>
        <v/>
      </c>
      <c r="FK153" s="66" t="str">
        <f t="shared" ref="FK153:FK154" si="2597">IF(CE153="","","|n"&amp;FK$2&amp;"+"&amp;CE153&amp;FK$1)</f>
        <v/>
      </c>
      <c r="FL153" s="66" t="str">
        <f t="shared" ref="FL153:FL154" si="2598">IF(CF153="","","|n"&amp;FL$2&amp;"+"&amp;CF153&amp;FL$1)</f>
        <v/>
      </c>
      <c r="FM153" s="66" t="str">
        <f t="shared" ref="FM153:FM154" si="2599">IF(CG153="","","|n"&amp;FM$2&amp;"+"&amp;CG153&amp;FM$1)</f>
        <v/>
      </c>
      <c r="FN153" s="66" t="str">
        <f t="shared" ref="FN153:FN154" si="2600">IF(CH153="","","|n"&amp;FN$2&amp;"+"&amp;CH153&amp;FN$1)</f>
        <v/>
      </c>
      <c r="FO153" s="66" t="str">
        <f t="shared" ref="FO153:FO154" si="2601">IF(CI153="","","|n"&amp;FO$2&amp;"+"&amp;CI153&amp;FO$1)</f>
        <v/>
      </c>
      <c r="FP153" s="66" t="str">
        <f t="shared" ref="FP153:FP154" si="2602">IF(CJ153="","","|n"&amp;FP$2&amp;"+"&amp;CJ153&amp;FP$1)</f>
        <v/>
      </c>
      <c r="FQ153" s="66" t="str">
        <f t="shared" ref="FQ153:FQ154" si="2603">IF(CK153="","","|n"&amp;FQ$2&amp;"+"&amp;CK153&amp;FQ$1)</f>
        <v/>
      </c>
      <c r="FR153" s="66" t="str">
        <f t="shared" ref="FR153:FR154" si="2604">IF(CL153="","","|n"&amp;FR$2&amp;"+"&amp;CL153&amp;FR$1)</f>
        <v/>
      </c>
      <c r="FS153" s="66" t="str">
        <f t="shared" ref="FS153:FS154" si="2605">IF(CM153="","","|n"&amp;FS$2&amp;"+"&amp;CM153&amp;FS$1)</f>
        <v/>
      </c>
    </row>
    <row r="154" spans="1:175" ht="16.5">
      <c r="A154" s="15"/>
      <c r="B154" s="9" t="s">
        <v>589</v>
      </c>
      <c r="C154" s="15" t="s">
        <v>590</v>
      </c>
      <c r="T154" s="16" t="s">
        <v>591</v>
      </c>
      <c r="U154" s="77" t="str">
        <f t="shared" si="2360"/>
        <v>ReplaceableTextures\\CommandButtons\\BTNIP03.blp</v>
      </c>
      <c r="CN154" s="36" t="str">
        <f t="shared" si="2458"/>
        <v>InitUnitState('IP03',,,,,,,,,,)</v>
      </c>
      <c r="CO154" s="36" t="str">
        <f t="shared" si="2459"/>
        <v>InitUnitNormal('IP03',,,,,,,,,,)</v>
      </c>
      <c r="CP154" s="36" t="str">
        <f t="shared" si="2460"/>
        <v>InitUnitMagic('IP03',,,,,,,,,,)</v>
      </c>
      <c r="CQ154" s="36" t="str">
        <f t="shared" si="2461"/>
        <v>InitUnitAdd('IP03',,,,,,,,,,)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InitEquipData('IP03',,"",,,,,'','','','','','',"ReplaceableTextures\\CommandButtons\\BTNIT01.blp")</v>
      </c>
      <c r="CU154" s="88" t="str">
        <f t="shared" si="2534"/>
        <v>|n</v>
      </c>
      <c r="CV154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4" s="33"/>
      <c r="CX154" s="33"/>
      <c r="CY154" s="33"/>
      <c r="CZ154" s="33"/>
      <c r="DA154" s="33"/>
      <c r="DB154" s="66" t="str">
        <f t="shared" si="2536"/>
        <v/>
      </c>
      <c r="DC154" s="66" t="str">
        <f t="shared" si="2537"/>
        <v/>
      </c>
      <c r="DD154" s="66" t="str">
        <f t="shared" si="2538"/>
        <v/>
      </c>
      <c r="DE154" s="66" t="str">
        <f t="shared" si="2539"/>
        <v/>
      </c>
      <c r="DF154" s="66" t="str">
        <f t="shared" si="2540"/>
        <v/>
      </c>
      <c r="DG154" s="66" t="str">
        <f t="shared" si="2541"/>
        <v/>
      </c>
      <c r="DH154" s="66" t="str">
        <f t="shared" si="2542"/>
        <v/>
      </c>
      <c r="DI154" s="66" t="str">
        <f t="shared" si="2543"/>
        <v/>
      </c>
      <c r="DJ154" s="66" t="str">
        <f t="shared" si="2544"/>
        <v/>
      </c>
      <c r="DK154" s="66" t="str">
        <f t="shared" si="2545"/>
        <v/>
      </c>
      <c r="DL154" s="66" t="str">
        <f t="shared" si="2546"/>
        <v/>
      </c>
      <c r="DM154" s="66" t="str">
        <f t="shared" si="2547"/>
        <v/>
      </c>
      <c r="DN154" s="66" t="str">
        <f t="shared" si="2548"/>
        <v/>
      </c>
      <c r="DO154" s="66" t="str">
        <f t="shared" si="2549"/>
        <v/>
      </c>
      <c r="DP154" s="66" t="str">
        <f t="shared" si="2550"/>
        <v/>
      </c>
      <c r="DQ154" s="66" t="str">
        <f t="shared" si="2551"/>
        <v/>
      </c>
      <c r="DR154" s="66" t="str">
        <f t="shared" si="2552"/>
        <v/>
      </c>
      <c r="DS154" s="66" t="str">
        <f t="shared" si="2553"/>
        <v/>
      </c>
      <c r="DT154" s="66" t="str">
        <f t="shared" si="2554"/>
        <v/>
      </c>
      <c r="DU154" s="66" t="str">
        <f t="shared" si="2555"/>
        <v/>
      </c>
      <c r="DV154" s="66" t="str">
        <f t="shared" si="2556"/>
        <v/>
      </c>
      <c r="DW154" s="66" t="str">
        <f t="shared" si="2557"/>
        <v/>
      </c>
      <c r="DX154" s="66" t="str">
        <f t="shared" si="2558"/>
        <v/>
      </c>
      <c r="DY154" s="66" t="str">
        <f t="shared" si="2559"/>
        <v/>
      </c>
      <c r="DZ154" s="66" t="str">
        <f t="shared" si="2560"/>
        <v/>
      </c>
      <c r="EA154" s="66" t="str">
        <f t="shared" si="2561"/>
        <v/>
      </c>
      <c r="EB154" s="66" t="str">
        <f t="shared" si="2562"/>
        <v/>
      </c>
      <c r="EC154" s="66" t="str">
        <f t="shared" si="2563"/>
        <v/>
      </c>
      <c r="ED154" s="66" t="str">
        <f t="shared" si="2564"/>
        <v/>
      </c>
      <c r="EE154" s="66" t="str">
        <f t="shared" si="2565"/>
        <v/>
      </c>
      <c r="EF154" s="66" t="str">
        <f t="shared" si="2566"/>
        <v/>
      </c>
      <c r="EG154" s="66" t="str">
        <f t="shared" si="2567"/>
        <v/>
      </c>
      <c r="EH154" s="66" t="str">
        <f t="shared" si="2568"/>
        <v/>
      </c>
      <c r="EI154" s="66" t="str">
        <f t="shared" si="2569"/>
        <v/>
      </c>
      <c r="EJ154" s="66" t="str">
        <f t="shared" si="2570"/>
        <v/>
      </c>
      <c r="EK154" s="66" t="str">
        <f t="shared" si="2571"/>
        <v/>
      </c>
      <c r="EL154" s="66" t="str">
        <f t="shared" si="2572"/>
        <v/>
      </c>
      <c r="EM154" s="66" t="str">
        <f t="shared" si="2573"/>
        <v/>
      </c>
      <c r="EN154" s="66" t="str">
        <f t="shared" si="2574"/>
        <v/>
      </c>
      <c r="EO154" s="66" t="str">
        <f t="shared" si="2575"/>
        <v/>
      </c>
      <c r="EP154" s="66" t="str">
        <f t="shared" si="2576"/>
        <v/>
      </c>
      <c r="EQ154" s="66" t="str">
        <f t="shared" si="2577"/>
        <v/>
      </c>
      <c r="ER154" s="66" t="str">
        <f t="shared" si="2578"/>
        <v/>
      </c>
      <c r="ES154" s="66" t="str">
        <f t="shared" si="2579"/>
        <v/>
      </c>
      <c r="ET154" s="66" t="str">
        <f t="shared" si="2580"/>
        <v/>
      </c>
      <c r="EU154" s="66" t="str">
        <f t="shared" si="2581"/>
        <v/>
      </c>
      <c r="EV154" s="66" t="str">
        <f t="shared" si="2582"/>
        <v/>
      </c>
      <c r="EW154" s="66" t="str">
        <f t="shared" si="2583"/>
        <v/>
      </c>
      <c r="EX154" s="66" t="str">
        <f t="shared" si="2584"/>
        <v/>
      </c>
      <c r="EY154" s="66" t="str">
        <f t="shared" si="2585"/>
        <v/>
      </c>
      <c r="EZ154" s="66" t="str">
        <f t="shared" si="2586"/>
        <v/>
      </c>
      <c r="FA154" s="66" t="str">
        <f t="shared" si="2587"/>
        <v/>
      </c>
      <c r="FB154" s="66" t="str">
        <f t="shared" si="2588"/>
        <v/>
      </c>
      <c r="FC154" s="66" t="str">
        <f t="shared" si="2589"/>
        <v/>
      </c>
      <c r="FD154" s="66" t="str">
        <f t="shared" si="2590"/>
        <v/>
      </c>
      <c r="FE154" s="66" t="str">
        <f t="shared" si="2591"/>
        <v/>
      </c>
      <c r="FF154" s="66" t="str">
        <f t="shared" si="2592"/>
        <v/>
      </c>
      <c r="FG154" s="66" t="str">
        <f t="shared" si="2593"/>
        <v/>
      </c>
      <c r="FH154" s="66" t="str">
        <f t="shared" si="2594"/>
        <v/>
      </c>
      <c r="FI154" s="66" t="str">
        <f t="shared" si="2595"/>
        <v/>
      </c>
      <c r="FJ154" s="66" t="str">
        <f t="shared" si="2596"/>
        <v/>
      </c>
      <c r="FK154" s="66" t="str">
        <f t="shared" si="2597"/>
        <v/>
      </c>
      <c r="FL154" s="66" t="str">
        <f t="shared" si="2598"/>
        <v/>
      </c>
      <c r="FM154" s="66" t="str">
        <f t="shared" si="2599"/>
        <v/>
      </c>
      <c r="FN154" s="66" t="str">
        <f t="shared" si="2600"/>
        <v/>
      </c>
      <c r="FO154" s="66" t="str">
        <f t="shared" si="2601"/>
        <v/>
      </c>
      <c r="FP154" s="66" t="str">
        <f t="shared" si="2602"/>
        <v/>
      </c>
      <c r="FQ154" s="66" t="str">
        <f t="shared" si="2603"/>
        <v/>
      </c>
      <c r="FR154" s="66" t="str">
        <f t="shared" si="2604"/>
        <v/>
      </c>
      <c r="FS154" s="66" t="str">
        <f t="shared" si="2605"/>
        <v/>
      </c>
    </row>
    <row r="155" spans="1:175" ht="16.5">
      <c r="A155" s="15"/>
      <c r="B155" s="9" t="s">
        <v>592</v>
      </c>
      <c r="C155" s="15" t="s">
        <v>593</v>
      </c>
      <c r="T155" s="16" t="s">
        <v>594</v>
      </c>
      <c r="U155" s="154" t="s">
        <v>903</v>
      </c>
      <c r="CN155" s="36" t="str">
        <f t="shared" si="2458"/>
        <v>InitUnitState('IP04',,,,,,,,,,)</v>
      </c>
      <c r="CO155" s="36" t="str">
        <f t="shared" si="2459"/>
        <v>InitUnitNormal('IP04',,,,,,,,,,)</v>
      </c>
      <c r="CP155" s="36" t="str">
        <f t="shared" si="2460"/>
        <v>InitUnitMagic('IP04',,,,,,,,,,)</v>
      </c>
      <c r="CQ155" s="36" t="str">
        <f t="shared" si="2461"/>
        <v>InitUnitAdd('IP04',,,,,,,,,,)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InitEquipData('IP04',,"",,,,,'','','','','','',"ReplaceableTextures\\CommandButtons\\BTNIP05.blp")</v>
      </c>
      <c r="CU155" s="88" t="str">
        <f t="shared" ref="CU155:CU160" si="26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19" t="str">
        <f t="shared" ref="CV155:CV160" si="2607">T155</f>
        <v>使用后|Cffffd24d重置|r当前|Cffff0000神兽神通【R】|r|Cfff0f0f0。|r</v>
      </c>
      <c r="CW155" s="33"/>
      <c r="CX155" s="33"/>
      <c r="CY155" s="33"/>
      <c r="CZ155" s="33"/>
      <c r="DA155" s="33"/>
      <c r="DB155" s="66" t="str">
        <f t="shared" ref="DB155:DB156" si="2608">IF(V155="","","|n"&amp;DB$2&amp;"+"&amp;V155&amp;DB$1)</f>
        <v/>
      </c>
      <c r="DC155" s="66" t="str">
        <f t="shared" ref="DC155:DC156" si="2609">IF(W155="","","|n"&amp;DC$2&amp;"+"&amp;W155&amp;DC$1)</f>
        <v/>
      </c>
      <c r="DD155" s="66" t="str">
        <f t="shared" ref="DD155:DD156" si="2610">IF(X155="","","|n"&amp;DD$2&amp;"+"&amp;X155&amp;DD$1)</f>
        <v/>
      </c>
      <c r="DE155" s="66" t="str">
        <f t="shared" ref="DE155:DE156" si="2611">IF(Y155="","","|n"&amp;DE$2&amp;"+"&amp;Y155&amp;DE$1)</f>
        <v/>
      </c>
      <c r="DF155" s="66" t="str">
        <f t="shared" ref="DF155:DF156" si="2612">IF(Z155="","","|n"&amp;DF$2&amp;"+"&amp;Z155&amp;DF$1)</f>
        <v/>
      </c>
      <c r="DG155" s="66" t="str">
        <f t="shared" ref="DG155:DG156" si="2613">IF(AA155="","","|n"&amp;DG$2&amp;"+"&amp;AA155&amp;DG$1)</f>
        <v/>
      </c>
      <c r="DH155" s="66" t="str">
        <f t="shared" ref="DH155:DH156" si="2614">IF(AB155="","","|n"&amp;DH$2&amp;"+"&amp;AB155&amp;DH$1)</f>
        <v/>
      </c>
      <c r="DI155" s="66" t="str">
        <f t="shared" ref="DI155:DI156" si="2615">IF(AC155="","","|n"&amp;DI$2&amp;"+"&amp;AC155&amp;DI$1)</f>
        <v/>
      </c>
      <c r="DJ155" s="66" t="str">
        <f t="shared" ref="DJ155:DJ156" si="2616">IF(AD155="","","|n"&amp;DJ$2&amp;"+"&amp;AD155&amp;DJ$1)</f>
        <v/>
      </c>
      <c r="DK155" s="66" t="str">
        <f t="shared" ref="DK155:DK156" si="2617">IF(AE155="","","|n"&amp;DK$2&amp;"+"&amp;AE155&amp;DK$1)</f>
        <v/>
      </c>
      <c r="DL155" s="66" t="str">
        <f t="shared" ref="DL155:DL156" si="2618">IF(AF155="","","|n"&amp;DL$2&amp;"+"&amp;AF155&amp;DL$1)</f>
        <v/>
      </c>
      <c r="DM155" s="66" t="str">
        <f t="shared" ref="DM155:DM156" si="2619">IF(AG155="","","|n"&amp;DM$2&amp;"+"&amp;AG155&amp;DM$1)</f>
        <v/>
      </c>
      <c r="DN155" s="66" t="str">
        <f t="shared" ref="DN155:DN156" si="2620">IF(AH155="","","|n"&amp;DN$2&amp;"+"&amp;AH155&amp;DN$1)</f>
        <v/>
      </c>
      <c r="DO155" s="66" t="str">
        <f t="shared" ref="DO155:DO156" si="2621">IF(AI155="","","|n"&amp;DO$2&amp;"+"&amp;AI155&amp;DO$1)</f>
        <v/>
      </c>
      <c r="DP155" s="66" t="str">
        <f t="shared" ref="DP155:DP156" si="2622">IF(AJ155="","","|n"&amp;DP$2&amp;"+"&amp;AJ155&amp;DP$1)</f>
        <v/>
      </c>
      <c r="DQ155" s="66" t="str">
        <f t="shared" ref="DQ155:DQ156" si="2623">IF(AK155="","","|n"&amp;DQ$2&amp;"+"&amp;AK155&amp;DQ$1)</f>
        <v/>
      </c>
      <c r="DR155" s="66" t="str">
        <f t="shared" ref="DR155:DR156" si="2624">IF(AL155="","","|n"&amp;DR$2&amp;"+"&amp;AL155&amp;DR$1)</f>
        <v/>
      </c>
      <c r="DS155" s="66" t="str">
        <f t="shared" ref="DS155:DS156" si="2625">IF(AM155="","","|n"&amp;DS$2&amp;"+"&amp;AM155&amp;DS$1)</f>
        <v/>
      </c>
      <c r="DT155" s="66" t="str">
        <f t="shared" ref="DT155:DT156" si="2626">IF(AN155="","","|n"&amp;DT$2&amp;"+"&amp;AN155&amp;DT$1)</f>
        <v/>
      </c>
      <c r="DU155" s="66" t="str">
        <f t="shared" ref="DU155:DU156" si="2627">IF(AO155="","","|n"&amp;DU$2&amp;"+"&amp;AO155&amp;DU$1)</f>
        <v/>
      </c>
      <c r="DV155" s="66" t="str">
        <f t="shared" ref="DV155:DV156" si="2628">IF(AP155="","","|n"&amp;DV$2&amp;"+"&amp;AP155&amp;DV$1)</f>
        <v/>
      </c>
      <c r="DW155" s="66" t="str">
        <f t="shared" ref="DW155:DW156" si="2629">IF(AQ155="","","|n"&amp;DW$2&amp;"+"&amp;AQ155&amp;DW$1)</f>
        <v/>
      </c>
      <c r="DX155" s="66" t="str">
        <f t="shared" ref="DX155:DX156" si="2630">IF(AR155="","","|n"&amp;DX$2&amp;"+"&amp;AR155&amp;DX$1)</f>
        <v/>
      </c>
      <c r="DY155" s="66" t="str">
        <f t="shared" ref="DY155:DY156" si="2631">IF(AS155="","","|n"&amp;DY$2&amp;"+"&amp;AS155&amp;DY$1)</f>
        <v/>
      </c>
      <c r="DZ155" s="66" t="str">
        <f t="shared" ref="DZ155:DZ156" si="2632">IF(AT155="","","|n"&amp;DZ$2&amp;"+"&amp;AT155&amp;DZ$1)</f>
        <v/>
      </c>
      <c r="EA155" s="66" t="str">
        <f t="shared" ref="EA155:EA156" si="2633">IF(AU155="","","|n"&amp;EA$2&amp;"+"&amp;AU155&amp;EA$1)</f>
        <v/>
      </c>
      <c r="EB155" s="66" t="str">
        <f t="shared" ref="EB155:EB156" si="2634">IF(AV155="","","|n"&amp;EB$2&amp;"+"&amp;AV155&amp;EB$1)</f>
        <v/>
      </c>
      <c r="EC155" s="66" t="str">
        <f t="shared" ref="EC155:EC156" si="2635">IF(AW155="","","|n"&amp;EC$2&amp;"+"&amp;AW155&amp;EC$1)</f>
        <v/>
      </c>
      <c r="ED155" s="66" t="str">
        <f t="shared" ref="ED155:ED156" si="2636">IF(AX155="","","|n"&amp;ED$2&amp;"+"&amp;AX155&amp;ED$1)</f>
        <v/>
      </c>
      <c r="EE155" s="66" t="str">
        <f t="shared" ref="EE155:EE156" si="2637">IF(AY155="","","|n"&amp;EE$2&amp;"+"&amp;AY155&amp;EE$1)</f>
        <v/>
      </c>
      <c r="EF155" s="66" t="str">
        <f t="shared" ref="EF155:EF156" si="2638">IF(AZ155="","","|n"&amp;EF$2&amp;"+"&amp;AZ155&amp;EF$1)</f>
        <v/>
      </c>
      <c r="EG155" s="66" t="str">
        <f t="shared" ref="EG155:EG156" si="2639">IF(BA155="","","|n"&amp;EG$2&amp;"+"&amp;BA155&amp;EG$1)</f>
        <v/>
      </c>
      <c r="EH155" s="66" t="str">
        <f t="shared" ref="EH155:EH156" si="2640">IF(BB155="","","|n"&amp;EH$2&amp;"+"&amp;BB155&amp;EH$1)</f>
        <v/>
      </c>
      <c r="EI155" s="66" t="str">
        <f t="shared" ref="EI155:EI156" si="2641">IF(BC155="","","|n"&amp;EI$2&amp;"+"&amp;BC155&amp;EI$1)</f>
        <v/>
      </c>
      <c r="EJ155" s="66" t="str">
        <f t="shared" ref="EJ155:EJ156" si="2642">IF(BD155="","","|n"&amp;EJ$2&amp;"+"&amp;BD155&amp;EJ$1)</f>
        <v/>
      </c>
      <c r="EK155" s="66" t="str">
        <f t="shared" ref="EK155:EK156" si="2643">IF(BE155="","","|n"&amp;EK$2&amp;"+"&amp;BE155&amp;EK$1)</f>
        <v/>
      </c>
      <c r="EL155" s="66" t="str">
        <f t="shared" ref="EL155:EL156" si="2644">IF(BF155="","","|n"&amp;EL$2&amp;"+"&amp;BF155&amp;EL$1)</f>
        <v/>
      </c>
      <c r="EM155" s="66" t="str">
        <f t="shared" ref="EM155:EM156" si="2645">IF(BG155="","","|n"&amp;EM$2&amp;"+"&amp;BG155&amp;EM$1)</f>
        <v/>
      </c>
      <c r="EN155" s="66" t="str">
        <f t="shared" ref="EN155:EN156" si="2646">IF(BH155="","","|n"&amp;EN$2&amp;"+"&amp;BH155&amp;EN$1)</f>
        <v/>
      </c>
      <c r="EO155" s="66" t="str">
        <f t="shared" ref="EO155:EO156" si="2647">IF(BI155="","","|n"&amp;EO$2&amp;"+"&amp;BI155&amp;EO$1)</f>
        <v/>
      </c>
      <c r="EP155" s="66" t="str">
        <f t="shared" ref="EP155:EP156" si="2648">IF(BJ155="","","|n"&amp;EP$2&amp;"+"&amp;BJ155&amp;EP$1)</f>
        <v/>
      </c>
      <c r="EQ155" s="66" t="str">
        <f t="shared" ref="EQ155:EQ156" si="2649">IF(BK155="","","|n"&amp;EQ$2&amp;"+"&amp;BK155&amp;EQ$1)</f>
        <v/>
      </c>
      <c r="ER155" s="66" t="str">
        <f t="shared" ref="ER155:ER156" si="2650">IF(BL155="","","|n"&amp;ER$2&amp;"+"&amp;BL155&amp;ER$1)</f>
        <v/>
      </c>
      <c r="ES155" s="66" t="str">
        <f t="shared" ref="ES155:ES156" si="2651">IF(BM155="","","|n"&amp;ES$2&amp;"+"&amp;BM155&amp;ES$1)</f>
        <v/>
      </c>
      <c r="ET155" s="66" t="str">
        <f t="shared" ref="ET155:ET156" si="2652">IF(BN155="","","|n"&amp;ET$2&amp;"+"&amp;BN155&amp;ET$1)</f>
        <v/>
      </c>
      <c r="EU155" s="66" t="str">
        <f t="shared" ref="EU155:EU156" si="2653">IF(BO155="","","|n"&amp;EU$2&amp;"+"&amp;BO155&amp;EU$1)</f>
        <v/>
      </c>
      <c r="EV155" s="66" t="str">
        <f t="shared" ref="EV155:EV156" si="2654">IF(BP155="","","|n"&amp;EV$2&amp;"+"&amp;BP155&amp;EV$1)</f>
        <v/>
      </c>
      <c r="EW155" s="66" t="str">
        <f t="shared" ref="EW155:EW156" si="2655">IF(BQ155="","","|n"&amp;EW$2&amp;"+"&amp;BQ155&amp;EW$1)</f>
        <v/>
      </c>
      <c r="EX155" s="66" t="str">
        <f t="shared" ref="EX155:EX156" si="2656">IF(BR155="","","|n"&amp;EX$2&amp;"+"&amp;BR155&amp;EX$1)</f>
        <v/>
      </c>
      <c r="EY155" s="66" t="str">
        <f t="shared" ref="EY155:EY156" si="2657">IF(BS155="","","|n"&amp;EY$2&amp;"+"&amp;BS155&amp;EY$1)</f>
        <v/>
      </c>
      <c r="EZ155" s="66" t="str">
        <f t="shared" ref="EZ155:EZ156" si="2658">IF(BT155="","","|n"&amp;EZ$2&amp;"+"&amp;BT155&amp;EZ$1)</f>
        <v/>
      </c>
      <c r="FA155" s="66" t="str">
        <f t="shared" ref="FA155:FA156" si="2659">IF(BU155="","","|n"&amp;FA$2&amp;"+"&amp;BU155&amp;FA$1)</f>
        <v/>
      </c>
      <c r="FB155" s="66" t="str">
        <f t="shared" ref="FB155:FB156" si="2660">IF(BV155="","","|n"&amp;FB$2&amp;"+"&amp;BV155&amp;FB$1)</f>
        <v/>
      </c>
      <c r="FC155" s="66" t="str">
        <f t="shared" ref="FC155:FC156" si="2661">IF(BW155="","","|n"&amp;FC$2&amp;"+"&amp;BW155&amp;FC$1)</f>
        <v/>
      </c>
      <c r="FD155" s="66" t="str">
        <f t="shared" ref="FD155:FD156" si="2662">IF(BX155="","","|n"&amp;FD$2&amp;"+"&amp;BX155&amp;FD$1)</f>
        <v/>
      </c>
      <c r="FE155" s="66" t="str">
        <f t="shared" ref="FE155:FE156" si="2663">IF(BY155="","","|n"&amp;FE$2&amp;"+"&amp;BY155&amp;FE$1)</f>
        <v/>
      </c>
      <c r="FF155" s="66" t="str">
        <f t="shared" ref="FF155:FF156" si="2664">IF(BZ155="","","|n"&amp;FF$2&amp;"+"&amp;BZ155&amp;FF$1)</f>
        <v/>
      </c>
      <c r="FG155" s="66" t="str">
        <f t="shared" ref="FG155:FG156" si="2665">IF(CA155="","","|n"&amp;FG$2&amp;"+"&amp;CA155&amp;FG$1)</f>
        <v/>
      </c>
      <c r="FH155" s="66" t="str">
        <f t="shared" ref="FH155:FH156" si="2666">IF(CB155="","","|n"&amp;FH$2&amp;"+"&amp;CB155&amp;FH$1)</f>
        <v/>
      </c>
      <c r="FI155" s="66" t="str">
        <f t="shared" ref="FI155:FI156" si="2667">IF(CC155="","","|n"&amp;FI$2&amp;"+"&amp;CC155&amp;FI$1)</f>
        <v/>
      </c>
      <c r="FJ155" s="66" t="str">
        <f t="shared" ref="FJ155:FJ156" si="2668">IF(CD155="","","|n"&amp;FJ$2&amp;"+"&amp;CD155&amp;FJ$1)</f>
        <v/>
      </c>
      <c r="FK155" s="66" t="str">
        <f t="shared" ref="FK155:FK156" si="2669">IF(CE155="","","|n"&amp;FK$2&amp;"+"&amp;CE155&amp;FK$1)</f>
        <v/>
      </c>
      <c r="FL155" s="66" t="str">
        <f t="shared" ref="FL155:FL156" si="2670">IF(CF155="","","|n"&amp;FL$2&amp;"+"&amp;CF155&amp;FL$1)</f>
        <v/>
      </c>
      <c r="FM155" s="66" t="str">
        <f t="shared" ref="FM155:FM156" si="2671">IF(CG155="","","|n"&amp;FM$2&amp;"+"&amp;CG155&amp;FM$1)</f>
        <v/>
      </c>
      <c r="FN155" s="66" t="str">
        <f t="shared" ref="FN155:FN156" si="2672">IF(CH155="","","|n"&amp;FN$2&amp;"+"&amp;CH155&amp;FN$1)</f>
        <v/>
      </c>
      <c r="FO155" s="66" t="str">
        <f t="shared" ref="FO155:FO156" si="2673">IF(CI155="","","|n"&amp;FO$2&amp;"+"&amp;CI155&amp;FO$1)</f>
        <v/>
      </c>
      <c r="FP155" s="66" t="str">
        <f t="shared" ref="FP155:FP156" si="2674">IF(CJ155="","","|n"&amp;FP$2&amp;"+"&amp;CJ155&amp;FP$1)</f>
        <v/>
      </c>
      <c r="FQ155" s="66" t="str">
        <f t="shared" ref="FQ155:FQ156" si="2675">IF(CK155="","","|n"&amp;FQ$2&amp;"+"&amp;CK155&amp;FQ$1)</f>
        <v/>
      </c>
      <c r="FR155" s="66" t="str">
        <f t="shared" ref="FR155:FR156" si="2676">IF(CL155="","","|n"&amp;FR$2&amp;"+"&amp;CL155&amp;FR$1)</f>
        <v/>
      </c>
      <c r="FS155" s="66" t="str">
        <f t="shared" ref="FS155:FS156" si="2677">IF(CM155="","","|n"&amp;FS$2&amp;"+"&amp;CM155&amp;FS$1)</f>
        <v/>
      </c>
    </row>
    <row r="156" spans="1:175" ht="16.5">
      <c r="A156" s="15"/>
      <c r="B156" s="9" t="s">
        <v>595</v>
      </c>
      <c r="C156" s="15" t="s">
        <v>596</v>
      </c>
      <c r="T156" s="16" t="s">
        <v>597</v>
      </c>
      <c r="U156" s="77" t="str">
        <f t="shared" ref="U156:U158" si="2678">"ReplaceableTextures\\CommandButtons\\BTN"&amp;B156&amp;".blp"</f>
        <v>ReplaceableTextures\\CommandButtons\\BTNIP05.blp</v>
      </c>
      <c r="CN156" s="36" t="str">
        <f t="shared" si="2458"/>
        <v>InitUnitState('IP05',,,,,,,,,,)</v>
      </c>
      <c r="CO156" s="36" t="str">
        <f t="shared" si="2459"/>
        <v>InitUnitNormal('IP05',,,,,,,,,,)</v>
      </c>
      <c r="CP156" s="36" t="str">
        <f t="shared" si="2460"/>
        <v>InitUnitMagic('IP05',,,,,,,,,,)</v>
      </c>
      <c r="CQ156" s="36" t="str">
        <f t="shared" si="2461"/>
        <v>InitUnitAdd('IP05',,,,,,,,,,)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InitEquipData('IP05',,"",,,,,'','','','','','',"ReplaceableTextures\\CommandButtons\\BTNIT03.blp")</v>
      </c>
      <c r="CU156" s="88" t="str">
        <f t="shared" si="2606"/>
        <v>|n</v>
      </c>
      <c r="CV156" s="19" t="str">
        <f t="shared" si="2607"/>
        <v>开启|Cffffd24d结界|r，前往虚空终止|Cffff0000封神圣战|r。</v>
      </c>
      <c r="CW156" s="33"/>
      <c r="CX156" s="33"/>
      <c r="CY156" s="33"/>
      <c r="CZ156" s="33"/>
      <c r="DA156" s="33"/>
      <c r="DB156" s="66" t="str">
        <f t="shared" si="2608"/>
        <v/>
      </c>
      <c r="DC156" s="66" t="str">
        <f t="shared" si="2609"/>
        <v/>
      </c>
      <c r="DD156" s="66" t="str">
        <f t="shared" si="2610"/>
        <v/>
      </c>
      <c r="DE156" s="66" t="str">
        <f t="shared" si="2611"/>
        <v/>
      </c>
      <c r="DF156" s="66" t="str">
        <f t="shared" si="2612"/>
        <v/>
      </c>
      <c r="DG156" s="66" t="str">
        <f t="shared" si="2613"/>
        <v/>
      </c>
      <c r="DH156" s="66" t="str">
        <f t="shared" si="2614"/>
        <v/>
      </c>
      <c r="DI156" s="66" t="str">
        <f t="shared" si="2615"/>
        <v/>
      </c>
      <c r="DJ156" s="66" t="str">
        <f t="shared" si="2616"/>
        <v/>
      </c>
      <c r="DK156" s="66" t="str">
        <f t="shared" si="2617"/>
        <v/>
      </c>
      <c r="DL156" s="66" t="str">
        <f t="shared" si="2618"/>
        <v/>
      </c>
      <c r="DM156" s="66" t="str">
        <f t="shared" si="2619"/>
        <v/>
      </c>
      <c r="DN156" s="66" t="str">
        <f t="shared" si="2620"/>
        <v/>
      </c>
      <c r="DO156" s="66" t="str">
        <f t="shared" si="2621"/>
        <v/>
      </c>
      <c r="DP156" s="66" t="str">
        <f t="shared" si="2622"/>
        <v/>
      </c>
      <c r="DQ156" s="66" t="str">
        <f t="shared" si="2623"/>
        <v/>
      </c>
      <c r="DR156" s="66" t="str">
        <f t="shared" si="2624"/>
        <v/>
      </c>
      <c r="DS156" s="66" t="str">
        <f t="shared" si="2625"/>
        <v/>
      </c>
      <c r="DT156" s="66" t="str">
        <f t="shared" si="2626"/>
        <v/>
      </c>
      <c r="DU156" s="66" t="str">
        <f t="shared" si="2627"/>
        <v/>
      </c>
      <c r="DV156" s="66" t="str">
        <f t="shared" si="2628"/>
        <v/>
      </c>
      <c r="DW156" s="66" t="str">
        <f t="shared" si="2629"/>
        <v/>
      </c>
      <c r="DX156" s="66" t="str">
        <f t="shared" si="2630"/>
        <v/>
      </c>
      <c r="DY156" s="66" t="str">
        <f t="shared" si="2631"/>
        <v/>
      </c>
      <c r="DZ156" s="66" t="str">
        <f t="shared" si="2632"/>
        <v/>
      </c>
      <c r="EA156" s="66" t="str">
        <f t="shared" si="2633"/>
        <v/>
      </c>
      <c r="EB156" s="66" t="str">
        <f t="shared" si="2634"/>
        <v/>
      </c>
      <c r="EC156" s="66" t="str">
        <f t="shared" si="2635"/>
        <v/>
      </c>
      <c r="ED156" s="66" t="str">
        <f t="shared" si="2636"/>
        <v/>
      </c>
      <c r="EE156" s="66" t="str">
        <f t="shared" si="2637"/>
        <v/>
      </c>
      <c r="EF156" s="66" t="str">
        <f t="shared" si="2638"/>
        <v/>
      </c>
      <c r="EG156" s="66" t="str">
        <f t="shared" si="2639"/>
        <v/>
      </c>
      <c r="EH156" s="66" t="str">
        <f t="shared" si="2640"/>
        <v/>
      </c>
      <c r="EI156" s="66" t="str">
        <f t="shared" si="2641"/>
        <v/>
      </c>
      <c r="EJ156" s="66" t="str">
        <f t="shared" si="2642"/>
        <v/>
      </c>
      <c r="EK156" s="66" t="str">
        <f t="shared" si="2643"/>
        <v/>
      </c>
      <c r="EL156" s="66" t="str">
        <f t="shared" si="2644"/>
        <v/>
      </c>
      <c r="EM156" s="66" t="str">
        <f t="shared" si="2645"/>
        <v/>
      </c>
      <c r="EN156" s="66" t="str">
        <f t="shared" si="2646"/>
        <v/>
      </c>
      <c r="EO156" s="66" t="str">
        <f t="shared" si="2647"/>
        <v/>
      </c>
      <c r="EP156" s="66" t="str">
        <f t="shared" si="2648"/>
        <v/>
      </c>
      <c r="EQ156" s="66" t="str">
        <f t="shared" si="2649"/>
        <v/>
      </c>
      <c r="ER156" s="66" t="str">
        <f t="shared" si="2650"/>
        <v/>
      </c>
      <c r="ES156" s="66" t="str">
        <f t="shared" si="2651"/>
        <v/>
      </c>
      <c r="ET156" s="66" t="str">
        <f t="shared" si="2652"/>
        <v/>
      </c>
      <c r="EU156" s="66" t="str">
        <f t="shared" si="2653"/>
        <v/>
      </c>
      <c r="EV156" s="66" t="str">
        <f t="shared" si="2654"/>
        <v/>
      </c>
      <c r="EW156" s="66" t="str">
        <f t="shared" si="2655"/>
        <v/>
      </c>
      <c r="EX156" s="66" t="str">
        <f t="shared" si="2656"/>
        <v/>
      </c>
      <c r="EY156" s="66" t="str">
        <f t="shared" si="2657"/>
        <v/>
      </c>
      <c r="EZ156" s="66" t="str">
        <f t="shared" si="2658"/>
        <v/>
      </c>
      <c r="FA156" s="66" t="str">
        <f t="shared" si="2659"/>
        <v/>
      </c>
      <c r="FB156" s="66" t="str">
        <f t="shared" si="2660"/>
        <v/>
      </c>
      <c r="FC156" s="66" t="str">
        <f t="shared" si="2661"/>
        <v/>
      </c>
      <c r="FD156" s="66" t="str">
        <f t="shared" si="2662"/>
        <v/>
      </c>
      <c r="FE156" s="66" t="str">
        <f t="shared" si="2663"/>
        <v/>
      </c>
      <c r="FF156" s="66" t="str">
        <f t="shared" si="2664"/>
        <v/>
      </c>
      <c r="FG156" s="66" t="str">
        <f t="shared" si="2665"/>
        <v/>
      </c>
      <c r="FH156" s="66" t="str">
        <f t="shared" si="2666"/>
        <v/>
      </c>
      <c r="FI156" s="66" t="str">
        <f t="shared" si="2667"/>
        <v/>
      </c>
      <c r="FJ156" s="66" t="str">
        <f t="shared" si="2668"/>
        <v/>
      </c>
      <c r="FK156" s="66" t="str">
        <f t="shared" si="2669"/>
        <v/>
      </c>
      <c r="FL156" s="66" t="str">
        <f t="shared" si="2670"/>
        <v/>
      </c>
      <c r="FM156" s="66" t="str">
        <f t="shared" si="2671"/>
        <v/>
      </c>
      <c r="FN156" s="66" t="str">
        <f t="shared" si="2672"/>
        <v/>
      </c>
      <c r="FO156" s="66" t="str">
        <f t="shared" si="2673"/>
        <v/>
      </c>
      <c r="FP156" s="66" t="str">
        <f t="shared" si="2674"/>
        <v/>
      </c>
      <c r="FQ156" s="66" t="str">
        <f t="shared" si="2675"/>
        <v/>
      </c>
      <c r="FR156" s="66" t="str">
        <f t="shared" si="2676"/>
        <v/>
      </c>
      <c r="FS156" s="66" t="str">
        <f t="shared" si="2677"/>
        <v/>
      </c>
    </row>
    <row r="157" spans="1:175" s="29" customFormat="1" ht="16.5">
      <c r="A157" s="15"/>
      <c r="B157" s="9" t="s">
        <v>598</v>
      </c>
      <c r="C157" s="25" t="s">
        <v>599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2"/>
      <c r="Q157" s="92"/>
      <c r="R157" s="92"/>
      <c r="S157" s="92"/>
      <c r="T157" s="16" t="s">
        <v>600</v>
      </c>
      <c r="U157" s="77" t="s">
        <v>601</v>
      </c>
      <c r="V157" s="102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6"/>
      <c r="AS157" s="106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7" t="str">
        <f t="shared" si="2458"/>
        <v>InitUnitState('IP06',,,,,,,,,,)</v>
      </c>
      <c r="CO157" s="107" t="str">
        <f t="shared" si="2459"/>
        <v>InitUnitNormal('IP06',,,,,,,,,,)</v>
      </c>
      <c r="CP157" s="107" t="str">
        <f t="shared" si="2460"/>
        <v>InitUnitMagic('IP06',,,,,,,,,,)</v>
      </c>
      <c r="CQ157" s="107" t="str">
        <f t="shared" si="2461"/>
        <v>InitUnitAdd('IP06',,,,,,,,,,)</v>
      </c>
      <c r="CR157" s="107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InitEquipData('IP06',,"",,,,,'','','','','','',"ReplaceableTextures\\CommandButtons\\BTNIT04.blp")</v>
      </c>
      <c r="CS157" s="107"/>
      <c r="CT157" s="107"/>
      <c r="CU157" s="88" t="str">
        <f t="shared" si="2606"/>
        <v>|n</v>
      </c>
      <c r="CV157" s="29" t="str">
        <f t="shared" si="2607"/>
        <v>使用后增加|Cffffd24d100点|r境界经验。</v>
      </c>
      <c r="CW157" s="33"/>
      <c r="CX157" s="33"/>
      <c r="CY157" s="33"/>
      <c r="CZ157" s="33"/>
      <c r="DA157" s="33"/>
      <c r="DB157" s="108" t="str">
        <f t="shared" ref="DB157:FM157" si="2679">IF(V157="","","|n"&amp;DB$2&amp;"+"&amp;V157&amp;DB$1)</f>
        <v/>
      </c>
      <c r="DC157" s="108" t="str">
        <f t="shared" si="2679"/>
        <v/>
      </c>
      <c r="DD157" s="108" t="str">
        <f t="shared" si="2679"/>
        <v/>
      </c>
      <c r="DE157" s="108" t="str">
        <f t="shared" si="2679"/>
        <v/>
      </c>
      <c r="DF157" s="108" t="str">
        <f t="shared" si="2679"/>
        <v/>
      </c>
      <c r="DG157" s="108" t="str">
        <f t="shared" si="2679"/>
        <v/>
      </c>
      <c r="DH157" s="108" t="str">
        <f t="shared" si="2679"/>
        <v/>
      </c>
      <c r="DI157" s="108" t="str">
        <f t="shared" si="2679"/>
        <v/>
      </c>
      <c r="DJ157" s="108" t="str">
        <f t="shared" si="2679"/>
        <v/>
      </c>
      <c r="DK157" s="108" t="str">
        <f t="shared" si="2679"/>
        <v/>
      </c>
      <c r="DL157" s="108" t="str">
        <f t="shared" si="2679"/>
        <v/>
      </c>
      <c r="DM157" s="108" t="str">
        <f t="shared" si="2679"/>
        <v/>
      </c>
      <c r="DN157" s="108" t="str">
        <f t="shared" si="2679"/>
        <v/>
      </c>
      <c r="DO157" s="108" t="str">
        <f t="shared" si="2679"/>
        <v/>
      </c>
      <c r="DP157" s="108" t="str">
        <f t="shared" si="2679"/>
        <v/>
      </c>
      <c r="DQ157" s="108" t="str">
        <f t="shared" si="2679"/>
        <v/>
      </c>
      <c r="DR157" s="108" t="str">
        <f t="shared" si="2679"/>
        <v/>
      </c>
      <c r="DS157" s="108" t="str">
        <f t="shared" si="2679"/>
        <v/>
      </c>
      <c r="DT157" s="108" t="str">
        <f t="shared" si="2679"/>
        <v/>
      </c>
      <c r="DU157" s="108" t="str">
        <f t="shared" si="2679"/>
        <v/>
      </c>
      <c r="DV157" s="108" t="str">
        <f t="shared" si="2679"/>
        <v/>
      </c>
      <c r="DW157" s="108" t="str">
        <f t="shared" si="2679"/>
        <v/>
      </c>
      <c r="DX157" s="108" t="str">
        <f t="shared" si="2679"/>
        <v/>
      </c>
      <c r="DY157" s="108" t="str">
        <f t="shared" si="2679"/>
        <v/>
      </c>
      <c r="DZ157" s="108" t="str">
        <f t="shared" si="2679"/>
        <v/>
      </c>
      <c r="EA157" s="108" t="str">
        <f t="shared" si="2679"/>
        <v/>
      </c>
      <c r="EB157" s="108" t="str">
        <f t="shared" si="2679"/>
        <v/>
      </c>
      <c r="EC157" s="108" t="str">
        <f t="shared" si="2679"/>
        <v/>
      </c>
      <c r="ED157" s="108" t="str">
        <f t="shared" si="2679"/>
        <v/>
      </c>
      <c r="EE157" s="108" t="str">
        <f t="shared" si="2679"/>
        <v/>
      </c>
      <c r="EF157" s="108" t="str">
        <f t="shared" si="2679"/>
        <v/>
      </c>
      <c r="EG157" s="108" t="str">
        <f t="shared" si="2679"/>
        <v/>
      </c>
      <c r="EH157" s="108" t="str">
        <f t="shared" si="2679"/>
        <v/>
      </c>
      <c r="EI157" s="108" t="str">
        <f t="shared" si="2679"/>
        <v/>
      </c>
      <c r="EJ157" s="108" t="str">
        <f t="shared" si="2679"/>
        <v/>
      </c>
      <c r="EK157" s="108" t="str">
        <f t="shared" si="2679"/>
        <v/>
      </c>
      <c r="EL157" s="108" t="str">
        <f t="shared" si="2679"/>
        <v/>
      </c>
      <c r="EM157" s="108" t="str">
        <f t="shared" si="2679"/>
        <v/>
      </c>
      <c r="EN157" s="108" t="str">
        <f t="shared" si="2679"/>
        <v/>
      </c>
      <c r="EO157" s="108" t="str">
        <f t="shared" si="2679"/>
        <v/>
      </c>
      <c r="EP157" s="108" t="str">
        <f t="shared" si="2679"/>
        <v/>
      </c>
      <c r="EQ157" s="108" t="str">
        <f t="shared" si="2679"/>
        <v/>
      </c>
      <c r="ER157" s="108" t="str">
        <f t="shared" si="2679"/>
        <v/>
      </c>
      <c r="ES157" s="108" t="str">
        <f t="shared" si="2679"/>
        <v/>
      </c>
      <c r="ET157" s="108" t="str">
        <f t="shared" si="2679"/>
        <v/>
      </c>
      <c r="EU157" s="108" t="str">
        <f t="shared" si="2679"/>
        <v/>
      </c>
      <c r="EV157" s="108" t="str">
        <f t="shared" si="2679"/>
        <v/>
      </c>
      <c r="EW157" s="108" t="str">
        <f t="shared" si="2679"/>
        <v/>
      </c>
      <c r="EX157" s="108" t="str">
        <f t="shared" si="2679"/>
        <v/>
      </c>
      <c r="EY157" s="108" t="str">
        <f t="shared" si="2679"/>
        <v/>
      </c>
      <c r="EZ157" s="108" t="str">
        <f t="shared" si="2679"/>
        <v/>
      </c>
      <c r="FA157" s="108" t="str">
        <f t="shared" si="2679"/>
        <v/>
      </c>
      <c r="FB157" s="108" t="str">
        <f t="shared" si="2679"/>
        <v/>
      </c>
      <c r="FC157" s="108" t="str">
        <f t="shared" si="2679"/>
        <v/>
      </c>
      <c r="FD157" s="108" t="str">
        <f t="shared" si="2679"/>
        <v/>
      </c>
      <c r="FE157" s="108" t="str">
        <f t="shared" si="2679"/>
        <v/>
      </c>
      <c r="FF157" s="108" t="str">
        <f t="shared" si="2679"/>
        <v/>
      </c>
      <c r="FG157" s="108" t="str">
        <f t="shared" si="2679"/>
        <v/>
      </c>
      <c r="FH157" s="108" t="str">
        <f t="shared" si="2679"/>
        <v/>
      </c>
      <c r="FI157" s="108" t="str">
        <f t="shared" si="2679"/>
        <v/>
      </c>
      <c r="FJ157" s="108" t="str">
        <f t="shared" si="2679"/>
        <v/>
      </c>
      <c r="FK157" s="108" t="str">
        <f t="shared" si="2679"/>
        <v/>
      </c>
      <c r="FL157" s="108" t="str">
        <f t="shared" si="2679"/>
        <v/>
      </c>
      <c r="FM157" s="108" t="str">
        <f t="shared" si="2679"/>
        <v/>
      </c>
      <c r="FN157" s="108" t="str">
        <f t="shared" ref="FN157:FS157" si="2680">IF(CH157="","","|n"&amp;FN$2&amp;"+"&amp;CH157&amp;FN$1)</f>
        <v/>
      </c>
      <c r="FO157" s="108" t="str">
        <f t="shared" si="2680"/>
        <v/>
      </c>
      <c r="FP157" s="108" t="str">
        <f t="shared" si="2680"/>
        <v/>
      </c>
      <c r="FQ157" s="108" t="str">
        <f t="shared" si="2680"/>
        <v/>
      </c>
      <c r="FR157" s="108" t="str">
        <f t="shared" si="2680"/>
        <v/>
      </c>
      <c r="FS157" s="108" t="str">
        <f t="shared" si="2680"/>
        <v/>
      </c>
    </row>
    <row r="158" spans="1:175" s="29" customFormat="1" ht="16.5">
      <c r="A158" s="15"/>
      <c r="B158" s="9" t="s">
        <v>602</v>
      </c>
      <c r="C158" s="25" t="s">
        <v>603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2"/>
      <c r="Q158" s="92"/>
      <c r="R158" s="92"/>
      <c r="S158" s="92"/>
      <c r="T158" s="16" t="s">
        <v>604</v>
      </c>
      <c r="U158" s="77" t="str">
        <f t="shared" si="2678"/>
        <v>ReplaceableTextures\\CommandButtons\\BTNIP07.blp</v>
      </c>
      <c r="V158" s="102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6"/>
      <c r="AS158" s="106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7" t="str">
        <f t="shared" si="2458"/>
        <v>InitUnitState('IP07',,,,,,,,,,)</v>
      </c>
      <c r="CO158" s="107" t="str">
        <f t="shared" si="2459"/>
        <v>InitUnitNormal('IP07',,,,,,,,,,)</v>
      </c>
      <c r="CP158" s="107" t="str">
        <f t="shared" si="2460"/>
        <v>InitUnitMagic('IP07',,,,,,,,,,)</v>
      </c>
      <c r="CQ158" s="107" t="str">
        <f t="shared" si="2461"/>
        <v>InitUnitAdd('IP07',,,,,,,,,,)</v>
      </c>
      <c r="CR158" s="10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InitEquipData('IP07',,"",,,,,'','','','','','',"ReplaceableTextures\\CommandButtons\\BTNIT05.blp")</v>
      </c>
      <c r="CS158" s="107"/>
      <c r="CT158" s="107"/>
      <c r="CU158" s="88" t="str">
        <f t="shared" si="2606"/>
        <v>|n</v>
      </c>
      <c r="CV158" s="29" t="str">
        <f t="shared" si="2607"/>
        <v>可抵扣|Cffffd24d1|r次抽奖消耗</v>
      </c>
      <c r="CW158" s="33"/>
      <c r="CX158" s="33"/>
      <c r="CY158" s="33"/>
      <c r="CZ158" s="33"/>
      <c r="DA158" s="33"/>
      <c r="DB158" s="108" t="str">
        <f t="shared" ref="DB158:FM158" si="2681">IF(V158="","","|n"&amp;DB$2&amp;"+"&amp;V158&amp;DB$1)</f>
        <v/>
      </c>
      <c r="DC158" s="108" t="str">
        <f t="shared" si="2681"/>
        <v/>
      </c>
      <c r="DD158" s="108" t="str">
        <f t="shared" si="2681"/>
        <v/>
      </c>
      <c r="DE158" s="108" t="str">
        <f t="shared" si="2681"/>
        <v/>
      </c>
      <c r="DF158" s="108" t="str">
        <f t="shared" si="2681"/>
        <v/>
      </c>
      <c r="DG158" s="108" t="str">
        <f t="shared" si="2681"/>
        <v/>
      </c>
      <c r="DH158" s="108" t="str">
        <f t="shared" si="2681"/>
        <v/>
      </c>
      <c r="DI158" s="108" t="str">
        <f t="shared" si="2681"/>
        <v/>
      </c>
      <c r="DJ158" s="108" t="str">
        <f t="shared" si="2681"/>
        <v/>
      </c>
      <c r="DK158" s="108" t="str">
        <f t="shared" si="2681"/>
        <v/>
      </c>
      <c r="DL158" s="108" t="str">
        <f t="shared" si="2681"/>
        <v/>
      </c>
      <c r="DM158" s="108" t="str">
        <f t="shared" si="2681"/>
        <v/>
      </c>
      <c r="DN158" s="108" t="str">
        <f t="shared" si="2681"/>
        <v/>
      </c>
      <c r="DO158" s="108" t="str">
        <f t="shared" si="2681"/>
        <v/>
      </c>
      <c r="DP158" s="108" t="str">
        <f t="shared" si="2681"/>
        <v/>
      </c>
      <c r="DQ158" s="108" t="str">
        <f t="shared" si="2681"/>
        <v/>
      </c>
      <c r="DR158" s="108" t="str">
        <f t="shared" si="2681"/>
        <v/>
      </c>
      <c r="DS158" s="108" t="str">
        <f t="shared" si="2681"/>
        <v/>
      </c>
      <c r="DT158" s="108" t="str">
        <f t="shared" si="2681"/>
        <v/>
      </c>
      <c r="DU158" s="108" t="str">
        <f t="shared" si="2681"/>
        <v/>
      </c>
      <c r="DV158" s="108" t="str">
        <f t="shared" si="2681"/>
        <v/>
      </c>
      <c r="DW158" s="108" t="str">
        <f t="shared" si="2681"/>
        <v/>
      </c>
      <c r="DX158" s="108" t="str">
        <f t="shared" si="2681"/>
        <v/>
      </c>
      <c r="DY158" s="108" t="str">
        <f t="shared" si="2681"/>
        <v/>
      </c>
      <c r="DZ158" s="108" t="str">
        <f t="shared" si="2681"/>
        <v/>
      </c>
      <c r="EA158" s="108" t="str">
        <f t="shared" si="2681"/>
        <v/>
      </c>
      <c r="EB158" s="108" t="str">
        <f t="shared" si="2681"/>
        <v/>
      </c>
      <c r="EC158" s="108" t="str">
        <f t="shared" si="2681"/>
        <v/>
      </c>
      <c r="ED158" s="108" t="str">
        <f t="shared" si="2681"/>
        <v/>
      </c>
      <c r="EE158" s="108" t="str">
        <f t="shared" si="2681"/>
        <v/>
      </c>
      <c r="EF158" s="108" t="str">
        <f t="shared" si="2681"/>
        <v/>
      </c>
      <c r="EG158" s="108" t="str">
        <f t="shared" si="2681"/>
        <v/>
      </c>
      <c r="EH158" s="108" t="str">
        <f t="shared" si="2681"/>
        <v/>
      </c>
      <c r="EI158" s="108" t="str">
        <f t="shared" si="2681"/>
        <v/>
      </c>
      <c r="EJ158" s="108" t="str">
        <f t="shared" si="2681"/>
        <v/>
      </c>
      <c r="EK158" s="108" t="str">
        <f t="shared" si="2681"/>
        <v/>
      </c>
      <c r="EL158" s="108" t="str">
        <f t="shared" si="2681"/>
        <v/>
      </c>
      <c r="EM158" s="108" t="str">
        <f t="shared" si="2681"/>
        <v/>
      </c>
      <c r="EN158" s="108" t="str">
        <f t="shared" si="2681"/>
        <v/>
      </c>
      <c r="EO158" s="108" t="str">
        <f t="shared" si="2681"/>
        <v/>
      </c>
      <c r="EP158" s="108" t="str">
        <f t="shared" si="2681"/>
        <v/>
      </c>
      <c r="EQ158" s="108" t="str">
        <f t="shared" si="2681"/>
        <v/>
      </c>
      <c r="ER158" s="108" t="str">
        <f t="shared" si="2681"/>
        <v/>
      </c>
      <c r="ES158" s="108" t="str">
        <f t="shared" si="2681"/>
        <v/>
      </c>
      <c r="ET158" s="108" t="str">
        <f t="shared" si="2681"/>
        <v/>
      </c>
      <c r="EU158" s="108" t="str">
        <f t="shared" si="2681"/>
        <v/>
      </c>
      <c r="EV158" s="108" t="str">
        <f t="shared" si="2681"/>
        <v/>
      </c>
      <c r="EW158" s="108" t="str">
        <f t="shared" si="2681"/>
        <v/>
      </c>
      <c r="EX158" s="108" t="str">
        <f t="shared" si="2681"/>
        <v/>
      </c>
      <c r="EY158" s="108" t="str">
        <f t="shared" si="2681"/>
        <v/>
      </c>
      <c r="EZ158" s="108" t="str">
        <f t="shared" si="2681"/>
        <v/>
      </c>
      <c r="FA158" s="108" t="str">
        <f t="shared" si="2681"/>
        <v/>
      </c>
      <c r="FB158" s="108" t="str">
        <f t="shared" si="2681"/>
        <v/>
      </c>
      <c r="FC158" s="108" t="str">
        <f t="shared" si="2681"/>
        <v/>
      </c>
      <c r="FD158" s="108" t="str">
        <f t="shared" si="2681"/>
        <v/>
      </c>
      <c r="FE158" s="108" t="str">
        <f t="shared" si="2681"/>
        <v/>
      </c>
      <c r="FF158" s="108" t="str">
        <f t="shared" si="2681"/>
        <v/>
      </c>
      <c r="FG158" s="108" t="str">
        <f t="shared" si="2681"/>
        <v/>
      </c>
      <c r="FH158" s="108" t="str">
        <f t="shared" si="2681"/>
        <v/>
      </c>
      <c r="FI158" s="108" t="str">
        <f t="shared" si="2681"/>
        <v/>
      </c>
      <c r="FJ158" s="108" t="str">
        <f t="shared" si="2681"/>
        <v/>
      </c>
      <c r="FK158" s="108" t="str">
        <f t="shared" si="2681"/>
        <v/>
      </c>
      <c r="FL158" s="108" t="str">
        <f t="shared" si="2681"/>
        <v/>
      </c>
      <c r="FM158" s="108" t="str">
        <f t="shared" si="2681"/>
        <v/>
      </c>
      <c r="FN158" s="108" t="str">
        <f t="shared" ref="FN158:FS158" si="2682">IF(CH158="","","|n"&amp;FN$2&amp;"+"&amp;CH158&amp;FN$1)</f>
        <v/>
      </c>
      <c r="FO158" s="108" t="str">
        <f t="shared" si="2682"/>
        <v/>
      </c>
      <c r="FP158" s="108" t="str">
        <f t="shared" si="2682"/>
        <v/>
      </c>
      <c r="FQ158" s="108" t="str">
        <f t="shared" si="2682"/>
        <v/>
      </c>
      <c r="FR158" s="108" t="str">
        <f t="shared" si="2682"/>
        <v/>
      </c>
      <c r="FS158" s="108" t="str">
        <f t="shared" si="2682"/>
        <v/>
      </c>
    </row>
    <row r="159" spans="1:175" s="29" customFormat="1" ht="16.5">
      <c r="A159" s="15"/>
      <c r="B159" s="9" t="s">
        <v>605</v>
      </c>
      <c r="C159" s="25" t="s">
        <v>606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2"/>
      <c r="Q159" s="92"/>
      <c r="R159" s="92"/>
      <c r="S159" s="92"/>
      <c r="T159" s="16" t="s">
        <v>607</v>
      </c>
      <c r="U159" s="77" t="s">
        <v>608</v>
      </c>
      <c r="V159" s="102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6"/>
      <c r="AS159" s="106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7" t="str">
        <f t="shared" si="2458"/>
        <v>InitUnitState('IP08',,,,,,,,,,)</v>
      </c>
      <c r="CO159" s="107" t="str">
        <f t="shared" si="2459"/>
        <v>InitUnitNormal('IP08',,,,,,,,,,)</v>
      </c>
      <c r="CP159" s="107" t="str">
        <f t="shared" si="2460"/>
        <v>InitUnitMagic('IP08',,,,,,,,,,)</v>
      </c>
      <c r="CQ159" s="107" t="str">
        <f t="shared" si="2461"/>
        <v>InitUnitAdd('IP08',,,,,,,,,,)</v>
      </c>
      <c r="CR159" s="10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InitEquipData('IP08',,"",,,,,'','','','','','',"ReplaceableTextures\\CommandButtons\\BTNIT06.blp")</v>
      </c>
      <c r="CS159" s="107"/>
      <c r="CT159" s="107"/>
      <c r="CU159" s="88" t="str">
        <f t="shared" si="2606"/>
        <v>|n</v>
      </c>
      <c r="CV159" s="29" t="str">
        <f t="shared" si="2607"/>
        <v>使用后增加|Cffffd24d300点|r境界经验。</v>
      </c>
      <c r="CW159" s="33"/>
      <c r="CX159" s="33"/>
      <c r="CY159" s="33"/>
      <c r="CZ159" s="33"/>
      <c r="DA159" s="33"/>
      <c r="DB159" s="108" t="str">
        <f t="shared" ref="DB159:FM159" si="2683">IF(V159="","","|n"&amp;DB$2&amp;"+"&amp;V159&amp;DB$1)</f>
        <v/>
      </c>
      <c r="DC159" s="108" t="str">
        <f t="shared" si="2683"/>
        <v/>
      </c>
      <c r="DD159" s="108" t="str">
        <f t="shared" si="2683"/>
        <v/>
      </c>
      <c r="DE159" s="108" t="str">
        <f t="shared" si="2683"/>
        <v/>
      </c>
      <c r="DF159" s="108" t="str">
        <f t="shared" si="2683"/>
        <v/>
      </c>
      <c r="DG159" s="108" t="str">
        <f t="shared" si="2683"/>
        <v/>
      </c>
      <c r="DH159" s="108" t="str">
        <f t="shared" si="2683"/>
        <v/>
      </c>
      <c r="DI159" s="108" t="str">
        <f t="shared" si="2683"/>
        <v/>
      </c>
      <c r="DJ159" s="108" t="str">
        <f t="shared" si="2683"/>
        <v/>
      </c>
      <c r="DK159" s="108" t="str">
        <f t="shared" si="2683"/>
        <v/>
      </c>
      <c r="DL159" s="108" t="str">
        <f t="shared" si="2683"/>
        <v/>
      </c>
      <c r="DM159" s="108" t="str">
        <f t="shared" si="2683"/>
        <v/>
      </c>
      <c r="DN159" s="108" t="str">
        <f t="shared" si="2683"/>
        <v/>
      </c>
      <c r="DO159" s="108" t="str">
        <f t="shared" si="2683"/>
        <v/>
      </c>
      <c r="DP159" s="108" t="str">
        <f t="shared" si="2683"/>
        <v/>
      </c>
      <c r="DQ159" s="108" t="str">
        <f t="shared" si="2683"/>
        <v/>
      </c>
      <c r="DR159" s="108" t="str">
        <f t="shared" si="2683"/>
        <v/>
      </c>
      <c r="DS159" s="108" t="str">
        <f t="shared" si="2683"/>
        <v/>
      </c>
      <c r="DT159" s="108" t="str">
        <f t="shared" si="2683"/>
        <v/>
      </c>
      <c r="DU159" s="108" t="str">
        <f t="shared" si="2683"/>
        <v/>
      </c>
      <c r="DV159" s="108" t="str">
        <f t="shared" si="2683"/>
        <v/>
      </c>
      <c r="DW159" s="108" t="str">
        <f t="shared" si="2683"/>
        <v/>
      </c>
      <c r="DX159" s="108" t="str">
        <f t="shared" si="2683"/>
        <v/>
      </c>
      <c r="DY159" s="108" t="str">
        <f t="shared" si="2683"/>
        <v/>
      </c>
      <c r="DZ159" s="108" t="str">
        <f t="shared" si="2683"/>
        <v/>
      </c>
      <c r="EA159" s="108" t="str">
        <f t="shared" si="2683"/>
        <v/>
      </c>
      <c r="EB159" s="108" t="str">
        <f t="shared" si="2683"/>
        <v/>
      </c>
      <c r="EC159" s="108" t="str">
        <f t="shared" si="2683"/>
        <v/>
      </c>
      <c r="ED159" s="108" t="str">
        <f t="shared" si="2683"/>
        <v/>
      </c>
      <c r="EE159" s="108" t="str">
        <f t="shared" si="2683"/>
        <v/>
      </c>
      <c r="EF159" s="108" t="str">
        <f t="shared" si="2683"/>
        <v/>
      </c>
      <c r="EG159" s="108" t="str">
        <f t="shared" si="2683"/>
        <v/>
      </c>
      <c r="EH159" s="108" t="str">
        <f t="shared" si="2683"/>
        <v/>
      </c>
      <c r="EI159" s="108" t="str">
        <f t="shared" si="2683"/>
        <v/>
      </c>
      <c r="EJ159" s="108" t="str">
        <f t="shared" si="2683"/>
        <v/>
      </c>
      <c r="EK159" s="108" t="str">
        <f t="shared" si="2683"/>
        <v/>
      </c>
      <c r="EL159" s="108" t="str">
        <f t="shared" si="2683"/>
        <v/>
      </c>
      <c r="EM159" s="108" t="str">
        <f t="shared" si="2683"/>
        <v/>
      </c>
      <c r="EN159" s="108" t="str">
        <f t="shared" si="2683"/>
        <v/>
      </c>
      <c r="EO159" s="108" t="str">
        <f t="shared" si="2683"/>
        <v/>
      </c>
      <c r="EP159" s="108" t="str">
        <f t="shared" si="2683"/>
        <v/>
      </c>
      <c r="EQ159" s="108" t="str">
        <f t="shared" si="2683"/>
        <v/>
      </c>
      <c r="ER159" s="108" t="str">
        <f t="shared" si="2683"/>
        <v/>
      </c>
      <c r="ES159" s="108" t="str">
        <f t="shared" si="2683"/>
        <v/>
      </c>
      <c r="ET159" s="108" t="str">
        <f t="shared" si="2683"/>
        <v/>
      </c>
      <c r="EU159" s="108" t="str">
        <f t="shared" si="2683"/>
        <v/>
      </c>
      <c r="EV159" s="108" t="str">
        <f t="shared" si="2683"/>
        <v/>
      </c>
      <c r="EW159" s="108" t="str">
        <f t="shared" si="2683"/>
        <v/>
      </c>
      <c r="EX159" s="108" t="str">
        <f t="shared" si="2683"/>
        <v/>
      </c>
      <c r="EY159" s="108" t="str">
        <f t="shared" si="2683"/>
        <v/>
      </c>
      <c r="EZ159" s="108" t="str">
        <f t="shared" si="2683"/>
        <v/>
      </c>
      <c r="FA159" s="108" t="str">
        <f t="shared" si="2683"/>
        <v/>
      </c>
      <c r="FB159" s="108" t="str">
        <f t="shared" si="2683"/>
        <v/>
      </c>
      <c r="FC159" s="108" t="str">
        <f t="shared" si="2683"/>
        <v/>
      </c>
      <c r="FD159" s="108" t="str">
        <f t="shared" si="2683"/>
        <v/>
      </c>
      <c r="FE159" s="108" t="str">
        <f t="shared" si="2683"/>
        <v/>
      </c>
      <c r="FF159" s="108" t="str">
        <f t="shared" si="2683"/>
        <v/>
      </c>
      <c r="FG159" s="108" t="str">
        <f t="shared" si="2683"/>
        <v/>
      </c>
      <c r="FH159" s="108" t="str">
        <f t="shared" si="2683"/>
        <v/>
      </c>
      <c r="FI159" s="108" t="str">
        <f t="shared" si="2683"/>
        <v/>
      </c>
      <c r="FJ159" s="108" t="str">
        <f t="shared" si="2683"/>
        <v/>
      </c>
      <c r="FK159" s="108" t="str">
        <f t="shared" si="2683"/>
        <v/>
      </c>
      <c r="FL159" s="108" t="str">
        <f t="shared" si="2683"/>
        <v/>
      </c>
      <c r="FM159" s="108" t="str">
        <f t="shared" si="2683"/>
        <v/>
      </c>
      <c r="FN159" s="108" t="str">
        <f t="shared" ref="FN159:FS159" si="2684">IF(CH159="","","|n"&amp;FN$2&amp;"+"&amp;CH159&amp;FN$1)</f>
        <v/>
      </c>
      <c r="FO159" s="108" t="str">
        <f t="shared" si="2684"/>
        <v/>
      </c>
      <c r="FP159" s="108" t="str">
        <f t="shared" si="2684"/>
        <v/>
      </c>
      <c r="FQ159" s="108" t="str">
        <f t="shared" si="2684"/>
        <v/>
      </c>
      <c r="FR159" s="108" t="str">
        <f t="shared" si="2684"/>
        <v/>
      </c>
      <c r="FS159" s="108" t="str">
        <f t="shared" si="2684"/>
        <v/>
      </c>
    </row>
    <row r="160" spans="1:175" s="29" customFormat="1" ht="16.5">
      <c r="A160" s="15"/>
      <c r="B160" s="9" t="s">
        <v>609</v>
      </c>
      <c r="C160" s="25" t="s">
        <v>610</v>
      </c>
      <c r="D160" s="12"/>
      <c r="E160" s="12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92"/>
      <c r="Q160" s="92"/>
      <c r="R160" s="92"/>
      <c r="S160" s="92"/>
      <c r="T160" s="16" t="s">
        <v>611</v>
      </c>
      <c r="U160" s="77" t="s">
        <v>612</v>
      </c>
      <c r="V160" s="102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6"/>
      <c r="AS160" s="106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  <c r="BU160" s="103"/>
      <c r="BV160" s="103"/>
      <c r="BW160" s="103"/>
      <c r="BX160" s="103"/>
      <c r="BY160" s="103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  <c r="CJ160" s="103"/>
      <c r="CK160" s="103"/>
      <c r="CL160" s="103"/>
      <c r="CM160" s="103"/>
      <c r="CN160" s="107" t="str">
        <f t="shared" si="2458"/>
        <v>InitUnitState('IP09',,,,,,,,,,)</v>
      </c>
      <c r="CO160" s="107" t="str">
        <f t="shared" si="2459"/>
        <v>InitUnitNormal('IP09',,,,,,,,,,)</v>
      </c>
      <c r="CP160" s="107" t="str">
        <f t="shared" si="2460"/>
        <v>InitUnitMagic('IP09',,,,,,,,,,)</v>
      </c>
      <c r="CQ160" s="107" t="str">
        <f t="shared" si="2461"/>
        <v>InitUnitAdd('IP09',,,,,,,,,,)</v>
      </c>
      <c r="CR160" s="107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InitEquipData('IP09',,"",,,,,'','','','','','',"ReplaceableTextures\\CommandButtons\\BTNIT07.blp")</v>
      </c>
      <c r="CS160" s="107"/>
      <c r="CT160" s="107"/>
      <c r="CU160" s="88" t="str">
        <f t="shared" si="2606"/>
        <v>|n</v>
      </c>
      <c r="CV160" s="29" t="str">
        <f t="shared" si="2607"/>
        <v>使用后增加|Cffffd24d500点|r境界经验。</v>
      </c>
      <c r="CW160" s="33"/>
      <c r="CX160" s="33"/>
      <c r="CY160" s="33"/>
      <c r="CZ160" s="33"/>
      <c r="DA160" s="33"/>
      <c r="DB160" s="108" t="str">
        <f t="shared" ref="DB160:FM160" si="2685">IF(V160="","","|n"&amp;DB$2&amp;"+"&amp;V160&amp;DB$1)</f>
        <v/>
      </c>
      <c r="DC160" s="108" t="str">
        <f t="shared" si="2685"/>
        <v/>
      </c>
      <c r="DD160" s="108" t="str">
        <f t="shared" si="2685"/>
        <v/>
      </c>
      <c r="DE160" s="108" t="str">
        <f t="shared" si="2685"/>
        <v/>
      </c>
      <c r="DF160" s="108" t="str">
        <f t="shared" si="2685"/>
        <v/>
      </c>
      <c r="DG160" s="108" t="str">
        <f t="shared" si="2685"/>
        <v/>
      </c>
      <c r="DH160" s="108" t="str">
        <f t="shared" si="2685"/>
        <v/>
      </c>
      <c r="DI160" s="108" t="str">
        <f t="shared" si="2685"/>
        <v/>
      </c>
      <c r="DJ160" s="108" t="str">
        <f t="shared" si="2685"/>
        <v/>
      </c>
      <c r="DK160" s="108" t="str">
        <f t="shared" si="2685"/>
        <v/>
      </c>
      <c r="DL160" s="108" t="str">
        <f t="shared" si="2685"/>
        <v/>
      </c>
      <c r="DM160" s="108" t="str">
        <f t="shared" si="2685"/>
        <v/>
      </c>
      <c r="DN160" s="108" t="str">
        <f t="shared" si="2685"/>
        <v/>
      </c>
      <c r="DO160" s="108" t="str">
        <f t="shared" si="2685"/>
        <v/>
      </c>
      <c r="DP160" s="108" t="str">
        <f t="shared" si="2685"/>
        <v/>
      </c>
      <c r="DQ160" s="108" t="str">
        <f t="shared" si="2685"/>
        <v/>
      </c>
      <c r="DR160" s="108" t="str">
        <f t="shared" si="2685"/>
        <v/>
      </c>
      <c r="DS160" s="108" t="str">
        <f t="shared" si="2685"/>
        <v/>
      </c>
      <c r="DT160" s="108" t="str">
        <f t="shared" si="2685"/>
        <v/>
      </c>
      <c r="DU160" s="108" t="str">
        <f t="shared" si="2685"/>
        <v/>
      </c>
      <c r="DV160" s="108" t="str">
        <f t="shared" si="2685"/>
        <v/>
      </c>
      <c r="DW160" s="108" t="str">
        <f t="shared" si="2685"/>
        <v/>
      </c>
      <c r="DX160" s="108" t="str">
        <f t="shared" si="2685"/>
        <v/>
      </c>
      <c r="DY160" s="108" t="str">
        <f t="shared" si="2685"/>
        <v/>
      </c>
      <c r="DZ160" s="108" t="str">
        <f t="shared" si="2685"/>
        <v/>
      </c>
      <c r="EA160" s="108" t="str">
        <f t="shared" si="2685"/>
        <v/>
      </c>
      <c r="EB160" s="108" t="str">
        <f t="shared" si="2685"/>
        <v/>
      </c>
      <c r="EC160" s="108" t="str">
        <f t="shared" si="2685"/>
        <v/>
      </c>
      <c r="ED160" s="108" t="str">
        <f t="shared" si="2685"/>
        <v/>
      </c>
      <c r="EE160" s="108" t="str">
        <f t="shared" si="2685"/>
        <v/>
      </c>
      <c r="EF160" s="108" t="str">
        <f t="shared" si="2685"/>
        <v/>
      </c>
      <c r="EG160" s="108" t="str">
        <f t="shared" si="2685"/>
        <v/>
      </c>
      <c r="EH160" s="108" t="str">
        <f t="shared" si="2685"/>
        <v/>
      </c>
      <c r="EI160" s="108" t="str">
        <f t="shared" si="2685"/>
        <v/>
      </c>
      <c r="EJ160" s="108" t="str">
        <f t="shared" si="2685"/>
        <v/>
      </c>
      <c r="EK160" s="108" t="str">
        <f t="shared" si="2685"/>
        <v/>
      </c>
      <c r="EL160" s="108" t="str">
        <f t="shared" si="2685"/>
        <v/>
      </c>
      <c r="EM160" s="108" t="str">
        <f t="shared" si="2685"/>
        <v/>
      </c>
      <c r="EN160" s="108" t="str">
        <f t="shared" si="2685"/>
        <v/>
      </c>
      <c r="EO160" s="108" t="str">
        <f t="shared" si="2685"/>
        <v/>
      </c>
      <c r="EP160" s="108" t="str">
        <f t="shared" si="2685"/>
        <v/>
      </c>
      <c r="EQ160" s="108" t="str">
        <f t="shared" si="2685"/>
        <v/>
      </c>
      <c r="ER160" s="108" t="str">
        <f t="shared" si="2685"/>
        <v/>
      </c>
      <c r="ES160" s="108" t="str">
        <f t="shared" si="2685"/>
        <v/>
      </c>
      <c r="ET160" s="108" t="str">
        <f t="shared" si="2685"/>
        <v/>
      </c>
      <c r="EU160" s="108" t="str">
        <f t="shared" si="2685"/>
        <v/>
      </c>
      <c r="EV160" s="108" t="str">
        <f t="shared" si="2685"/>
        <v/>
      </c>
      <c r="EW160" s="108" t="str">
        <f t="shared" si="2685"/>
        <v/>
      </c>
      <c r="EX160" s="108" t="str">
        <f t="shared" si="2685"/>
        <v/>
      </c>
      <c r="EY160" s="108" t="str">
        <f t="shared" si="2685"/>
        <v/>
      </c>
      <c r="EZ160" s="108" t="str">
        <f t="shared" si="2685"/>
        <v/>
      </c>
      <c r="FA160" s="108" t="str">
        <f t="shared" si="2685"/>
        <v/>
      </c>
      <c r="FB160" s="108" t="str">
        <f t="shared" si="2685"/>
        <v/>
      </c>
      <c r="FC160" s="108" t="str">
        <f t="shared" si="2685"/>
        <v/>
      </c>
      <c r="FD160" s="108" t="str">
        <f t="shared" si="2685"/>
        <v/>
      </c>
      <c r="FE160" s="108" t="str">
        <f t="shared" si="2685"/>
        <v/>
      </c>
      <c r="FF160" s="108" t="str">
        <f t="shared" si="2685"/>
        <v/>
      </c>
      <c r="FG160" s="108" t="str">
        <f t="shared" si="2685"/>
        <v/>
      </c>
      <c r="FH160" s="108" t="str">
        <f t="shared" si="2685"/>
        <v/>
      </c>
      <c r="FI160" s="108" t="str">
        <f t="shared" si="2685"/>
        <v/>
      </c>
      <c r="FJ160" s="108" t="str">
        <f t="shared" si="2685"/>
        <v/>
      </c>
      <c r="FK160" s="108" t="str">
        <f t="shared" si="2685"/>
        <v/>
      </c>
      <c r="FL160" s="108" t="str">
        <f t="shared" si="2685"/>
        <v/>
      </c>
      <c r="FM160" s="108" t="str">
        <f t="shared" si="2685"/>
        <v/>
      </c>
      <c r="FN160" s="108" t="str">
        <f t="shared" ref="FN160:FS160" si="2686">IF(CH160="","","|n"&amp;FN$2&amp;"+"&amp;CH160&amp;FN$1)</f>
        <v/>
      </c>
      <c r="FO160" s="108" t="str">
        <f t="shared" si="2686"/>
        <v/>
      </c>
      <c r="FP160" s="108" t="str">
        <f t="shared" si="2686"/>
        <v/>
      </c>
      <c r="FQ160" s="108" t="str">
        <f t="shared" si="2686"/>
        <v/>
      </c>
      <c r="FR160" s="108" t="str">
        <f t="shared" si="2686"/>
        <v/>
      </c>
      <c r="FS160" s="108" t="str">
        <f t="shared" si="2686"/>
        <v/>
      </c>
    </row>
    <row r="161" spans="1:175" ht="71.25">
      <c r="A161" s="15"/>
      <c r="B161" s="9" t="s">
        <v>613</v>
      </c>
      <c r="C161" s="15" t="s">
        <v>614</v>
      </c>
      <c r="R161" s="60">
        <v>-8086</v>
      </c>
      <c r="S161" s="60">
        <v>-3245</v>
      </c>
      <c r="T161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1" s="77" t="str">
        <f t="shared" ref="U161:U174" si="2687">"ReplaceableTextures\\CommandButtons\\BTN"&amp;B161&amp;".blp"</f>
        <v>ReplaceableTextures\\CommandButtons\\BTNIT01.blp</v>
      </c>
      <c r="CN161" s="36" t="str">
        <f t="shared" ref="CN161:CN191" si="2688">"InitUnitState('"&amp;B161&amp;"',"&amp;V161&amp;","&amp;W161&amp;","&amp;X161&amp;","&amp;Y161&amp;","&amp;Z161&amp;","&amp;AA161&amp;","&amp;AB161&amp;","&amp;AC161&amp;","&amp;AD161&amp;","&amp;AE161&amp;")"</f>
        <v>InitUnitState('IT01',,,,,,,,,,)</v>
      </c>
      <c r="CO161" s="36" t="str">
        <f t="shared" ref="CO161:CO191" si="2689">"InitUnitNormal('"&amp;B161&amp;"',"&amp;AF161&amp;","&amp;AG161&amp;","&amp;AH161&amp;","&amp;AI161&amp;","&amp;AJ161&amp;","&amp;AK161&amp;","&amp;AL161&amp;","&amp;AM161&amp;","&amp;AN161&amp;","&amp;AO161&amp;")"</f>
        <v>InitUnitNormal('IT01',,,,,,,,,,)</v>
      </c>
      <c r="CP161" s="36" t="str">
        <f t="shared" ref="CP161:CP191" si="2690">"InitUnitMagic('"&amp;B161&amp;"',"&amp;AP161&amp;","&amp;AQ161&amp;","&amp;AR161&amp;","&amp;AS161&amp;","&amp;AT161&amp;","&amp;AU161&amp;","&amp;AV161&amp;","&amp;AW161&amp;","&amp;BI161&amp;","&amp;BJ161&amp;")"</f>
        <v>InitUnitMagic('IT01',,,,,,,,,,)</v>
      </c>
      <c r="CQ161" s="36" t="str">
        <f t="shared" ref="CQ161:CQ191" si="2691">"InitUnitAdd('"&amp;B161&amp;"',"&amp;BK161&amp;","&amp;BL161&amp;","&amp;BM161&amp;","&amp;BN161&amp;","&amp;BO161&amp;","&amp;BP161&amp;","&amp;BQ161&amp;","&amp;BR161&amp;","&amp;BS161&amp;","&amp;BT161&amp;")"</f>
        <v>InitUnitAdd('IT01',,,,,,,,,,)</v>
      </c>
      <c r="CR161" s="36" t="str">
        <f t="shared" ref="CR161:CR169" si="2692"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InitEquipData('IT01',,"",,,,,'','','','','','',"ReplaceableTextures\\CommandButtons\\BTNIT02.blp")</v>
      </c>
      <c r="CU161" s="88" t="str">
        <f t="shared" ref="CU161" si="269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ref="CV161:CV162" si="2694">T161</f>
        <v>渡过该劫后可结成|CffCCCCCC低级道果|r。|n|n|CffCCCCCC低级道果：|r|n攻击+7500|n生命值+30000|n物理伤害+20%|n法术伤害+20%|n杀敌攻击+8|n杀敌业力+1|n杀敌生命+30|n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" si="2695">IF(V161="","","|n"&amp;DB$2&amp;"+"&amp;V161&amp;DB$1)</f>
        <v/>
      </c>
      <c r="DC161" s="66" t="str">
        <f t="shared" ref="DC161" si="2696">IF(W161="","","|n"&amp;DC$2&amp;"+"&amp;W161&amp;DC$1)</f>
        <v/>
      </c>
      <c r="DD161" s="66" t="str">
        <f t="shared" ref="DD161" si="2697">IF(X161="","","|n"&amp;DD$2&amp;"+"&amp;X161&amp;DD$1)</f>
        <v/>
      </c>
      <c r="DE161" s="66" t="str">
        <f t="shared" ref="DE161" si="2698">IF(Y161="","","|n"&amp;DE$2&amp;"+"&amp;Y161&amp;DE$1)</f>
        <v/>
      </c>
      <c r="DF161" s="66" t="str">
        <f t="shared" ref="DF161" si="2699">IF(Z161="","","|n"&amp;DF$2&amp;"+"&amp;Z161&amp;DF$1)</f>
        <v/>
      </c>
      <c r="DG161" s="66" t="str">
        <f t="shared" ref="DG161" si="2700">IF(AA161="","","|n"&amp;DG$2&amp;"+"&amp;AA161&amp;DG$1)</f>
        <v/>
      </c>
      <c r="DH161" s="66" t="str">
        <f t="shared" ref="DH161" si="2701">IF(AB161="","","|n"&amp;DH$2&amp;"+"&amp;AB161&amp;DH$1)</f>
        <v/>
      </c>
      <c r="DI161" s="66" t="str">
        <f t="shared" ref="DI161" si="2702">IF(AC161="","","|n"&amp;DI$2&amp;"+"&amp;AC161&amp;DI$1)</f>
        <v/>
      </c>
      <c r="DJ161" s="66" t="str">
        <f t="shared" ref="DJ161" si="2703">IF(AD161="","","|n"&amp;DJ$2&amp;"+"&amp;AD161&amp;DJ$1)</f>
        <v/>
      </c>
      <c r="DK161" s="66" t="str">
        <f t="shared" ref="DK161" si="2704">IF(AE161="","","|n"&amp;DK$2&amp;"+"&amp;AE161&amp;DK$1)</f>
        <v/>
      </c>
      <c r="DL161" s="66" t="str">
        <f t="shared" ref="DL161" si="2705">IF(AF161="","","|n"&amp;DL$2&amp;"+"&amp;AF161&amp;DL$1)</f>
        <v/>
      </c>
      <c r="DM161" s="66" t="str">
        <f t="shared" ref="DM161" si="2706">IF(AG161="","","|n"&amp;DM$2&amp;"+"&amp;AG161&amp;DM$1)</f>
        <v/>
      </c>
      <c r="DN161" s="66" t="str">
        <f t="shared" ref="DN161" si="2707">IF(AH161="","","|n"&amp;DN$2&amp;"+"&amp;AH161&amp;DN$1)</f>
        <v/>
      </c>
      <c r="DO161" s="66" t="str">
        <f t="shared" ref="DO161" si="2708">IF(AI161="","","|n"&amp;DO$2&amp;"+"&amp;AI161&amp;DO$1)</f>
        <v/>
      </c>
      <c r="DP161" s="66" t="str">
        <f t="shared" ref="DP161" si="2709">IF(AJ161="","","|n"&amp;DP$2&amp;"+"&amp;AJ161&amp;DP$1)</f>
        <v/>
      </c>
      <c r="DQ161" s="66" t="str">
        <f t="shared" ref="DQ161" si="2710">IF(AK161="","","|n"&amp;DQ$2&amp;"+"&amp;AK161&amp;DQ$1)</f>
        <v/>
      </c>
      <c r="DR161" s="66" t="str">
        <f t="shared" ref="DR161" si="2711">IF(AL161="","","|n"&amp;DR$2&amp;"+"&amp;AL161&amp;DR$1)</f>
        <v/>
      </c>
      <c r="DS161" s="66" t="str">
        <f t="shared" ref="DS161" si="2712">IF(AM161="","","|n"&amp;DS$2&amp;"+"&amp;AM161&amp;DS$1)</f>
        <v/>
      </c>
      <c r="DT161" s="66" t="str">
        <f t="shared" ref="DT161" si="2713">IF(AN161="","","|n"&amp;DT$2&amp;"+"&amp;AN161&amp;DT$1)</f>
        <v/>
      </c>
      <c r="DU161" s="66" t="str">
        <f t="shared" ref="DU161" si="2714">IF(AO161="","","|n"&amp;DU$2&amp;"+"&amp;AO161&amp;DU$1)</f>
        <v/>
      </c>
      <c r="DV161" s="66" t="str">
        <f t="shared" ref="DV161" si="2715">IF(AP161="","","|n"&amp;DV$2&amp;"+"&amp;AP161&amp;DV$1)</f>
        <v/>
      </c>
      <c r="DW161" s="66" t="str">
        <f t="shared" ref="DW161" si="2716">IF(AQ161="","","|n"&amp;DW$2&amp;"+"&amp;AQ161&amp;DW$1)</f>
        <v/>
      </c>
      <c r="DX161" s="66" t="str">
        <f t="shared" ref="DX161" si="2717">IF(AR161="","","|n"&amp;DX$2&amp;"+"&amp;AR161&amp;DX$1)</f>
        <v/>
      </c>
      <c r="DY161" s="66" t="str">
        <f t="shared" ref="DY161" si="2718">IF(AS161="","","|n"&amp;DY$2&amp;"+"&amp;AS161&amp;DY$1)</f>
        <v/>
      </c>
      <c r="DZ161" s="66" t="str">
        <f t="shared" ref="DZ161" si="2719">IF(AT161="","","|n"&amp;DZ$2&amp;"+"&amp;AT161&amp;DZ$1)</f>
        <v/>
      </c>
      <c r="EA161" s="66" t="str">
        <f t="shared" ref="EA161" si="2720">IF(AU161="","","|n"&amp;EA$2&amp;"+"&amp;AU161&amp;EA$1)</f>
        <v/>
      </c>
      <c r="EB161" s="66" t="str">
        <f t="shared" ref="EB161" si="2721">IF(AV161="","","|n"&amp;EB$2&amp;"+"&amp;AV161&amp;EB$1)</f>
        <v/>
      </c>
      <c r="EC161" s="66" t="str">
        <f t="shared" ref="EC161" si="2722">IF(AW161="","","|n"&amp;EC$2&amp;"+"&amp;AW161&amp;EC$1)</f>
        <v/>
      </c>
      <c r="ED161" s="66" t="str">
        <f t="shared" ref="ED161" si="2723">IF(AX161="","","|n"&amp;ED$2&amp;"+"&amp;AX161&amp;ED$1)</f>
        <v/>
      </c>
      <c r="EE161" s="66" t="str">
        <f t="shared" ref="EE161" si="2724">IF(AY161="","","|n"&amp;EE$2&amp;"+"&amp;AY161&amp;EE$1)</f>
        <v/>
      </c>
      <c r="EF161" s="66" t="str">
        <f t="shared" ref="EF161" si="2725">IF(AZ161="","","|n"&amp;EF$2&amp;"+"&amp;AZ161&amp;EF$1)</f>
        <v/>
      </c>
      <c r="EG161" s="66" t="str">
        <f t="shared" ref="EG161" si="2726">IF(BA161="","","|n"&amp;EG$2&amp;"+"&amp;BA161&amp;EG$1)</f>
        <v/>
      </c>
      <c r="EH161" s="66" t="str">
        <f t="shared" ref="EH161" si="2727">IF(BB161="","","|n"&amp;EH$2&amp;"+"&amp;BB161&amp;EH$1)</f>
        <v/>
      </c>
      <c r="EI161" s="66" t="str">
        <f t="shared" ref="EI161" si="2728">IF(BC161="","","|n"&amp;EI$2&amp;"+"&amp;BC161&amp;EI$1)</f>
        <v/>
      </c>
      <c r="EJ161" s="66" t="str">
        <f t="shared" ref="EJ161" si="2729">IF(BD161="","","|n"&amp;EJ$2&amp;"+"&amp;BD161&amp;EJ$1)</f>
        <v/>
      </c>
      <c r="EK161" s="66" t="str">
        <f t="shared" ref="EK161" si="2730">IF(BE161="","","|n"&amp;EK$2&amp;"+"&amp;BE161&amp;EK$1)</f>
        <v/>
      </c>
      <c r="EL161" s="66" t="str">
        <f t="shared" ref="EL161" si="2731">IF(BF161="","","|n"&amp;EL$2&amp;"+"&amp;BF161&amp;EL$1)</f>
        <v/>
      </c>
      <c r="EM161" s="66" t="str">
        <f t="shared" ref="EM161" si="2732">IF(BG161="","","|n"&amp;EM$2&amp;"+"&amp;BG161&amp;EM$1)</f>
        <v/>
      </c>
      <c r="EN161" s="66" t="str">
        <f t="shared" ref="EN161" si="2733">IF(BH161="","","|n"&amp;EN$2&amp;"+"&amp;BH161&amp;EN$1)</f>
        <v/>
      </c>
      <c r="EO161" s="66" t="str">
        <f t="shared" ref="EO161" si="2734">IF(BI161="","","|n"&amp;EO$2&amp;"+"&amp;BI161&amp;EO$1)</f>
        <v/>
      </c>
      <c r="EP161" s="66" t="str">
        <f t="shared" ref="EP161" si="2735">IF(BJ161="","","|n"&amp;EP$2&amp;"+"&amp;BJ161&amp;EP$1)</f>
        <v/>
      </c>
      <c r="EQ161" s="66" t="str">
        <f t="shared" ref="EQ161" si="2736">IF(BK161="","","|n"&amp;EQ$2&amp;"+"&amp;BK161&amp;EQ$1)</f>
        <v/>
      </c>
      <c r="ER161" s="66" t="str">
        <f t="shared" ref="ER161" si="2737">IF(BL161="","","|n"&amp;ER$2&amp;"+"&amp;BL161&amp;ER$1)</f>
        <v/>
      </c>
      <c r="ES161" s="66" t="str">
        <f t="shared" ref="ES161" si="2738">IF(BM161="","","|n"&amp;ES$2&amp;"+"&amp;BM161&amp;ES$1)</f>
        <v/>
      </c>
      <c r="ET161" s="66" t="str">
        <f t="shared" ref="ET161" si="2739">IF(BN161="","","|n"&amp;ET$2&amp;"+"&amp;BN161&amp;ET$1)</f>
        <v/>
      </c>
      <c r="EU161" s="66" t="str">
        <f t="shared" ref="EU161" si="2740">IF(BO161="","","|n"&amp;EU$2&amp;"+"&amp;BO161&amp;EU$1)</f>
        <v/>
      </c>
      <c r="EV161" s="66" t="str">
        <f t="shared" ref="EV161" si="2741">IF(BP161="","","|n"&amp;EV$2&amp;"+"&amp;BP161&amp;EV$1)</f>
        <v/>
      </c>
      <c r="EW161" s="66" t="str">
        <f t="shared" ref="EW161" si="2742">IF(BQ161="","","|n"&amp;EW$2&amp;"+"&amp;BQ161&amp;EW$1)</f>
        <v/>
      </c>
      <c r="EX161" s="66" t="str">
        <f t="shared" ref="EX161" si="2743">IF(BR161="","","|n"&amp;EX$2&amp;"+"&amp;BR161&amp;EX$1)</f>
        <v/>
      </c>
      <c r="EY161" s="66" t="str">
        <f t="shared" ref="EY161" si="2744">IF(BS161="","","|n"&amp;EY$2&amp;"+"&amp;BS161&amp;EY$1)</f>
        <v/>
      </c>
      <c r="EZ161" s="66" t="str">
        <f t="shared" ref="EZ161" si="2745">IF(BT161="","","|n"&amp;EZ$2&amp;"+"&amp;BT161&amp;EZ$1)</f>
        <v/>
      </c>
      <c r="FA161" s="66" t="str">
        <f t="shared" ref="FA161" si="2746">IF(BU161="","","|n"&amp;FA$2&amp;"+"&amp;BU161&amp;FA$1)</f>
        <v/>
      </c>
      <c r="FB161" s="66" t="str">
        <f t="shared" ref="FB161" si="2747">IF(BV161="","","|n"&amp;FB$2&amp;"+"&amp;BV161&amp;FB$1)</f>
        <v/>
      </c>
      <c r="FC161" s="66" t="str">
        <f t="shared" ref="FC161" si="2748">IF(BW161="","","|n"&amp;FC$2&amp;"+"&amp;BW161&amp;FC$1)</f>
        <v/>
      </c>
      <c r="FD161" s="66" t="str">
        <f t="shared" ref="FD161" si="2749">IF(BX161="","","|n"&amp;FD$2&amp;"+"&amp;BX161&amp;FD$1)</f>
        <v/>
      </c>
      <c r="FE161" s="66" t="str">
        <f t="shared" ref="FE161" si="2750">IF(BY161="","","|n"&amp;FE$2&amp;"+"&amp;BY161&amp;FE$1)</f>
        <v/>
      </c>
      <c r="FF161" s="66" t="str">
        <f t="shared" ref="FF161" si="2751">IF(BZ161="","","|n"&amp;FF$2&amp;"+"&amp;BZ161&amp;FF$1)</f>
        <v/>
      </c>
      <c r="FG161" s="66" t="str">
        <f t="shared" ref="FG161" si="2752">IF(CA161="","","|n"&amp;FG$2&amp;"+"&amp;CA161&amp;FG$1)</f>
        <v/>
      </c>
      <c r="FH161" s="66" t="str">
        <f t="shared" ref="FH161" si="2753">IF(CB161="","","|n"&amp;FH$2&amp;"+"&amp;CB161&amp;FH$1)</f>
        <v/>
      </c>
      <c r="FI161" s="66" t="str">
        <f t="shared" ref="FI161" si="2754">IF(CC161="","","|n"&amp;FI$2&amp;"+"&amp;CC161&amp;FI$1)</f>
        <v/>
      </c>
      <c r="FJ161" s="66" t="str">
        <f t="shared" ref="FJ161" si="2755">IF(CD161="","","|n"&amp;FJ$2&amp;"+"&amp;CD161&amp;FJ$1)</f>
        <v/>
      </c>
      <c r="FK161" s="66" t="str">
        <f t="shared" ref="FK161" si="2756">IF(CE161="","","|n"&amp;FK$2&amp;"+"&amp;CE161&amp;FK$1)</f>
        <v/>
      </c>
      <c r="FL161" s="66" t="str">
        <f t="shared" ref="FL161" si="2757">IF(CF161="","","|n"&amp;FL$2&amp;"+"&amp;CF161&amp;FL$1)</f>
        <v/>
      </c>
      <c r="FM161" s="66" t="str">
        <f t="shared" ref="FM161" si="2758">IF(CG161="","","|n"&amp;FM$2&amp;"+"&amp;CG161&amp;FM$1)</f>
        <v/>
      </c>
      <c r="FN161" s="66" t="str">
        <f t="shared" ref="FN161" si="2759">IF(CH161="","","|n"&amp;FN$2&amp;"+"&amp;CH161&amp;FN$1)</f>
        <v/>
      </c>
      <c r="FO161" s="66" t="str">
        <f t="shared" ref="FO161" si="2760">IF(CI161="","","|n"&amp;FO$2&amp;"+"&amp;CI161&amp;FO$1)</f>
        <v/>
      </c>
      <c r="FP161" s="66" t="str">
        <f t="shared" ref="FP161" si="2761">IF(CJ161="","","|n"&amp;FP$2&amp;"+"&amp;CJ161&amp;FP$1)</f>
        <v/>
      </c>
      <c r="FQ161" s="66" t="str">
        <f t="shared" ref="FQ161" si="2762">IF(CK161="","","|n"&amp;FQ$2&amp;"+"&amp;CK161&amp;FQ$1)</f>
        <v/>
      </c>
      <c r="FR161" s="66" t="str">
        <f t="shared" ref="FR161" si="2763">IF(CL161="","","|n"&amp;FR$2&amp;"+"&amp;CL161&amp;FR$1)</f>
        <v/>
      </c>
      <c r="FS161" s="66" t="str">
        <f t="shared" ref="FS161" si="2764">IF(CM161="","","|n"&amp;FS$2&amp;"+"&amp;CM161&amp;FS$1)</f>
        <v/>
      </c>
    </row>
    <row r="162" spans="1:175" ht="71.25">
      <c r="A162" s="15"/>
      <c r="B162" s="9" t="s">
        <v>615</v>
      </c>
      <c r="C162" s="15" t="s">
        <v>616</v>
      </c>
      <c r="R162" s="60">
        <v>-7991</v>
      </c>
      <c r="S162" s="60">
        <v>-2312</v>
      </c>
      <c r="T162" s="105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2" s="77" t="str">
        <f t="shared" si="2687"/>
        <v>ReplaceableTextures\\CommandButtons\\BTNIT02.blp</v>
      </c>
      <c r="CN162" s="36" t="str">
        <f t="shared" si="2688"/>
        <v>InitUnitState('IT02',,,,,,,,,,)</v>
      </c>
      <c r="CO162" s="36" t="str">
        <f t="shared" si="2689"/>
        <v>InitUnitNormal('IT02',,,,,,,,,,)</v>
      </c>
      <c r="CP162" s="36" t="str">
        <f t="shared" si="2690"/>
        <v>InitUnitMagic('IT02',,,,,,,,,,)</v>
      </c>
      <c r="CQ162" s="36" t="str">
        <f t="shared" si="2691"/>
        <v>InitUnitAdd('IT02',,,,,,,,,,)</v>
      </c>
      <c r="CR162" s="36" t="str">
        <f t="shared" si="2692"/>
        <v>InitEquipData('IT02',,"",,,,,'','','','','','',"ReplaceableTextures\\CommandButtons\\BTNIT03.blp")</v>
      </c>
      <c r="CU162" s="88" t="str">
        <f t="shared" ref="CU162:CU170" si="2765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ref="DB162:DB170" si="2766">IF(V162="","","|n"&amp;DB$2&amp;"+"&amp;V162&amp;DB$1)</f>
        <v/>
      </c>
      <c r="DC162" s="66" t="str">
        <f t="shared" ref="DC162:DC170" si="2767">IF(W162="","","|n"&amp;DC$2&amp;"+"&amp;W162&amp;DC$1)</f>
        <v/>
      </c>
      <c r="DD162" s="66" t="str">
        <f t="shared" ref="DD162:DD170" si="2768">IF(X162="","","|n"&amp;DD$2&amp;"+"&amp;X162&amp;DD$1)</f>
        <v/>
      </c>
      <c r="DE162" s="66" t="str">
        <f t="shared" ref="DE162:DE170" si="2769">IF(Y162="","","|n"&amp;DE$2&amp;"+"&amp;Y162&amp;DE$1)</f>
        <v/>
      </c>
      <c r="DF162" s="66" t="str">
        <f t="shared" ref="DF162:DF170" si="2770">IF(Z162="","","|n"&amp;DF$2&amp;"+"&amp;Z162&amp;DF$1)</f>
        <v/>
      </c>
      <c r="DG162" s="66" t="str">
        <f t="shared" ref="DG162:DG170" si="2771">IF(AA162="","","|n"&amp;DG$2&amp;"+"&amp;AA162&amp;DG$1)</f>
        <v/>
      </c>
      <c r="DH162" s="66" t="str">
        <f t="shared" ref="DH162:DH170" si="2772">IF(AB162="","","|n"&amp;DH$2&amp;"+"&amp;AB162&amp;DH$1)</f>
        <v/>
      </c>
      <c r="DI162" s="66" t="str">
        <f t="shared" ref="DI162:DI170" si="2773">IF(AC162="","","|n"&amp;DI$2&amp;"+"&amp;AC162&amp;DI$1)</f>
        <v/>
      </c>
      <c r="DJ162" s="66" t="str">
        <f t="shared" ref="DJ162:DJ170" si="2774">IF(AD162="","","|n"&amp;DJ$2&amp;"+"&amp;AD162&amp;DJ$1)</f>
        <v/>
      </c>
      <c r="DK162" s="66" t="str">
        <f t="shared" ref="DK162:DK170" si="2775">IF(AE162="","","|n"&amp;DK$2&amp;"+"&amp;AE162&amp;DK$1)</f>
        <v/>
      </c>
      <c r="DL162" s="66" t="str">
        <f t="shared" ref="DL162:DL170" si="2776">IF(AF162="","","|n"&amp;DL$2&amp;"+"&amp;AF162&amp;DL$1)</f>
        <v/>
      </c>
      <c r="DM162" s="66" t="str">
        <f t="shared" ref="DM162:DM170" si="2777">IF(AG162="","","|n"&amp;DM$2&amp;"+"&amp;AG162&amp;DM$1)</f>
        <v/>
      </c>
      <c r="DN162" s="66" t="str">
        <f t="shared" ref="DN162:DN170" si="2778">IF(AH162="","","|n"&amp;DN$2&amp;"+"&amp;AH162&amp;DN$1)</f>
        <v/>
      </c>
      <c r="DO162" s="66" t="str">
        <f t="shared" ref="DO162:DO170" si="2779">IF(AI162="","","|n"&amp;DO$2&amp;"+"&amp;AI162&amp;DO$1)</f>
        <v/>
      </c>
      <c r="DP162" s="66" t="str">
        <f t="shared" ref="DP162:DP170" si="2780">IF(AJ162="","","|n"&amp;DP$2&amp;"+"&amp;AJ162&amp;DP$1)</f>
        <v/>
      </c>
      <c r="DQ162" s="66" t="str">
        <f t="shared" ref="DQ162:DQ170" si="2781">IF(AK162="","","|n"&amp;DQ$2&amp;"+"&amp;AK162&amp;DQ$1)</f>
        <v/>
      </c>
      <c r="DR162" s="66" t="str">
        <f t="shared" ref="DR162:DR170" si="2782">IF(AL162="","","|n"&amp;DR$2&amp;"+"&amp;AL162&amp;DR$1)</f>
        <v/>
      </c>
      <c r="DS162" s="66" t="str">
        <f t="shared" ref="DS162:DS170" si="2783">IF(AM162="","","|n"&amp;DS$2&amp;"+"&amp;AM162&amp;DS$1)</f>
        <v/>
      </c>
      <c r="DT162" s="66" t="str">
        <f t="shared" ref="DT162:DT170" si="2784">IF(AN162="","","|n"&amp;DT$2&amp;"+"&amp;AN162&amp;DT$1)</f>
        <v/>
      </c>
      <c r="DU162" s="66" t="str">
        <f t="shared" ref="DU162:DU170" si="2785">IF(AO162="","","|n"&amp;DU$2&amp;"+"&amp;AO162&amp;DU$1)</f>
        <v/>
      </c>
      <c r="DV162" s="66" t="str">
        <f t="shared" ref="DV162:DV170" si="2786">IF(AP162="","","|n"&amp;DV$2&amp;"+"&amp;AP162&amp;DV$1)</f>
        <v/>
      </c>
      <c r="DW162" s="66" t="str">
        <f t="shared" ref="DW162:DW170" si="2787">IF(AQ162="","","|n"&amp;DW$2&amp;"+"&amp;AQ162&amp;DW$1)</f>
        <v/>
      </c>
      <c r="DX162" s="66" t="str">
        <f t="shared" ref="DX162:DX170" si="2788">IF(AR162="","","|n"&amp;DX$2&amp;"+"&amp;AR162&amp;DX$1)</f>
        <v/>
      </c>
      <c r="DY162" s="66" t="str">
        <f t="shared" ref="DY162:DY170" si="2789">IF(AS162="","","|n"&amp;DY$2&amp;"+"&amp;AS162&amp;DY$1)</f>
        <v/>
      </c>
      <c r="DZ162" s="66" t="str">
        <f t="shared" ref="DZ162:DZ170" si="2790">IF(AT162="","","|n"&amp;DZ$2&amp;"+"&amp;AT162&amp;DZ$1)</f>
        <v/>
      </c>
      <c r="EA162" s="66" t="str">
        <f t="shared" ref="EA162:EA170" si="2791">IF(AU162="","","|n"&amp;EA$2&amp;"+"&amp;AU162&amp;EA$1)</f>
        <v/>
      </c>
      <c r="EB162" s="66" t="str">
        <f t="shared" ref="EB162:EB170" si="2792">IF(AV162="","","|n"&amp;EB$2&amp;"+"&amp;AV162&amp;EB$1)</f>
        <v/>
      </c>
      <c r="EC162" s="66" t="str">
        <f t="shared" ref="EC162:EC170" si="2793">IF(AW162="","","|n"&amp;EC$2&amp;"+"&amp;AW162&amp;EC$1)</f>
        <v/>
      </c>
      <c r="ED162" s="66" t="str">
        <f t="shared" ref="ED162:ED170" si="2794">IF(AX162="","","|n"&amp;ED$2&amp;"+"&amp;AX162&amp;ED$1)</f>
        <v/>
      </c>
      <c r="EE162" s="66" t="str">
        <f t="shared" ref="EE162:EE170" si="2795">IF(AY162="","","|n"&amp;EE$2&amp;"+"&amp;AY162&amp;EE$1)</f>
        <v/>
      </c>
      <c r="EF162" s="66" t="str">
        <f t="shared" ref="EF162:EF170" si="2796">IF(AZ162="","","|n"&amp;EF$2&amp;"+"&amp;AZ162&amp;EF$1)</f>
        <v/>
      </c>
      <c r="EG162" s="66" t="str">
        <f t="shared" ref="EG162:EG170" si="2797">IF(BA162="","","|n"&amp;EG$2&amp;"+"&amp;BA162&amp;EG$1)</f>
        <v/>
      </c>
      <c r="EH162" s="66" t="str">
        <f t="shared" ref="EH162:EH170" si="2798">IF(BB162="","","|n"&amp;EH$2&amp;"+"&amp;BB162&amp;EH$1)</f>
        <v/>
      </c>
      <c r="EI162" s="66" t="str">
        <f t="shared" ref="EI162:EI170" si="2799">IF(BC162="","","|n"&amp;EI$2&amp;"+"&amp;BC162&amp;EI$1)</f>
        <v/>
      </c>
      <c r="EJ162" s="66" t="str">
        <f t="shared" ref="EJ162:EJ170" si="2800">IF(BD162="","","|n"&amp;EJ$2&amp;"+"&amp;BD162&amp;EJ$1)</f>
        <v/>
      </c>
      <c r="EK162" s="66" t="str">
        <f t="shared" ref="EK162:EK170" si="2801">IF(BE162="","","|n"&amp;EK$2&amp;"+"&amp;BE162&amp;EK$1)</f>
        <v/>
      </c>
      <c r="EL162" s="66" t="str">
        <f t="shared" ref="EL162:EL170" si="2802">IF(BF162="","","|n"&amp;EL$2&amp;"+"&amp;BF162&amp;EL$1)</f>
        <v/>
      </c>
      <c r="EM162" s="66" t="str">
        <f t="shared" ref="EM162:EM170" si="2803">IF(BG162="","","|n"&amp;EM$2&amp;"+"&amp;BG162&amp;EM$1)</f>
        <v/>
      </c>
      <c r="EN162" s="66" t="str">
        <f t="shared" ref="EN162:EN170" si="2804">IF(BH162="","","|n"&amp;EN$2&amp;"+"&amp;BH162&amp;EN$1)</f>
        <v/>
      </c>
      <c r="EO162" s="66" t="str">
        <f t="shared" ref="EO162:EO170" si="2805">IF(BI162="","","|n"&amp;EO$2&amp;"+"&amp;BI162&amp;EO$1)</f>
        <v/>
      </c>
      <c r="EP162" s="66" t="str">
        <f t="shared" ref="EP162:EP170" si="2806">IF(BJ162="","","|n"&amp;EP$2&amp;"+"&amp;BJ162&amp;EP$1)</f>
        <v/>
      </c>
      <c r="EQ162" s="66" t="str">
        <f t="shared" ref="EQ162:EQ170" si="2807">IF(BK162="","","|n"&amp;EQ$2&amp;"+"&amp;BK162&amp;EQ$1)</f>
        <v/>
      </c>
      <c r="ER162" s="66" t="str">
        <f t="shared" ref="ER162:ER170" si="2808">IF(BL162="","","|n"&amp;ER$2&amp;"+"&amp;BL162&amp;ER$1)</f>
        <v/>
      </c>
      <c r="ES162" s="66" t="str">
        <f t="shared" ref="ES162:ES170" si="2809">IF(BM162="","","|n"&amp;ES$2&amp;"+"&amp;BM162&amp;ES$1)</f>
        <v/>
      </c>
      <c r="ET162" s="66" t="str">
        <f t="shared" ref="ET162:ET170" si="2810">IF(BN162="","","|n"&amp;ET$2&amp;"+"&amp;BN162&amp;ET$1)</f>
        <v/>
      </c>
      <c r="EU162" s="66" t="str">
        <f t="shared" ref="EU162:EU170" si="2811">IF(BO162="","","|n"&amp;EU$2&amp;"+"&amp;BO162&amp;EU$1)</f>
        <v/>
      </c>
      <c r="EV162" s="66" t="str">
        <f t="shared" ref="EV162:EV170" si="2812">IF(BP162="","","|n"&amp;EV$2&amp;"+"&amp;BP162&amp;EV$1)</f>
        <v/>
      </c>
      <c r="EW162" s="66" t="str">
        <f t="shared" ref="EW162:EW170" si="2813">IF(BQ162="","","|n"&amp;EW$2&amp;"+"&amp;BQ162&amp;EW$1)</f>
        <v/>
      </c>
      <c r="EX162" s="66" t="str">
        <f t="shared" ref="EX162:EX170" si="2814">IF(BR162="","","|n"&amp;EX$2&amp;"+"&amp;BR162&amp;EX$1)</f>
        <v/>
      </c>
      <c r="EY162" s="66" t="str">
        <f t="shared" ref="EY162:EY170" si="2815">IF(BS162="","","|n"&amp;EY$2&amp;"+"&amp;BS162&amp;EY$1)</f>
        <v/>
      </c>
      <c r="EZ162" s="66" t="str">
        <f t="shared" ref="EZ162:EZ170" si="2816">IF(BT162="","","|n"&amp;EZ$2&amp;"+"&amp;BT162&amp;EZ$1)</f>
        <v/>
      </c>
      <c r="FA162" s="66" t="str">
        <f t="shared" ref="FA162:FA170" si="2817">IF(BU162="","","|n"&amp;FA$2&amp;"+"&amp;BU162&amp;FA$1)</f>
        <v/>
      </c>
      <c r="FB162" s="66" t="str">
        <f t="shared" ref="FB162:FB170" si="2818">IF(BV162="","","|n"&amp;FB$2&amp;"+"&amp;BV162&amp;FB$1)</f>
        <v/>
      </c>
      <c r="FC162" s="66" t="str">
        <f t="shared" ref="FC162:FC170" si="2819">IF(BW162="","","|n"&amp;FC$2&amp;"+"&amp;BW162&amp;FC$1)</f>
        <v/>
      </c>
      <c r="FD162" s="66" t="str">
        <f t="shared" ref="FD162:FD170" si="2820">IF(BX162="","","|n"&amp;FD$2&amp;"+"&amp;BX162&amp;FD$1)</f>
        <v/>
      </c>
      <c r="FE162" s="66" t="str">
        <f t="shared" ref="FE162:FE170" si="2821">IF(BY162="","","|n"&amp;FE$2&amp;"+"&amp;BY162&amp;FE$1)</f>
        <v/>
      </c>
      <c r="FF162" s="66" t="str">
        <f t="shared" ref="FF162:FF170" si="2822">IF(BZ162="","","|n"&amp;FF$2&amp;"+"&amp;BZ162&amp;FF$1)</f>
        <v/>
      </c>
      <c r="FG162" s="66" t="str">
        <f t="shared" ref="FG162:FG170" si="2823">IF(CA162="","","|n"&amp;FG$2&amp;"+"&amp;CA162&amp;FG$1)</f>
        <v/>
      </c>
      <c r="FH162" s="66" t="str">
        <f t="shared" ref="FH162:FH170" si="2824">IF(CB162="","","|n"&amp;FH$2&amp;"+"&amp;CB162&amp;FH$1)</f>
        <v/>
      </c>
      <c r="FI162" s="66" t="str">
        <f t="shared" ref="FI162:FI170" si="2825">IF(CC162="","","|n"&amp;FI$2&amp;"+"&amp;CC162&amp;FI$1)</f>
        <v/>
      </c>
      <c r="FJ162" s="66" t="str">
        <f t="shared" ref="FJ162:FJ170" si="2826">IF(CD162="","","|n"&amp;FJ$2&amp;"+"&amp;CD162&amp;FJ$1)</f>
        <v/>
      </c>
      <c r="FK162" s="66" t="str">
        <f t="shared" ref="FK162:FK170" si="2827">IF(CE162="","","|n"&amp;FK$2&amp;"+"&amp;CE162&amp;FK$1)</f>
        <v/>
      </c>
      <c r="FL162" s="66" t="str">
        <f t="shared" ref="FL162:FL170" si="2828">IF(CF162="","","|n"&amp;FL$2&amp;"+"&amp;CF162&amp;FL$1)</f>
        <v/>
      </c>
      <c r="FM162" s="66" t="str">
        <f t="shared" ref="FM162:FM170" si="2829">IF(CG162="","","|n"&amp;FM$2&amp;"+"&amp;CG162&amp;FM$1)</f>
        <v/>
      </c>
      <c r="FN162" s="66" t="str">
        <f t="shared" ref="FN162:FN170" si="2830">IF(CH162="","","|n"&amp;FN$2&amp;"+"&amp;CH162&amp;FN$1)</f>
        <v/>
      </c>
      <c r="FO162" s="66" t="str">
        <f t="shared" ref="FO162:FO170" si="2831">IF(CI162="","","|n"&amp;FO$2&amp;"+"&amp;CI162&amp;FO$1)</f>
        <v/>
      </c>
      <c r="FP162" s="66" t="str">
        <f t="shared" ref="FP162:FP170" si="2832">IF(CJ162="","","|n"&amp;FP$2&amp;"+"&amp;CJ162&amp;FP$1)</f>
        <v/>
      </c>
      <c r="FQ162" s="66" t="str">
        <f t="shared" ref="FQ162:FQ170" si="2833">IF(CK162="","","|n"&amp;FQ$2&amp;"+"&amp;CK162&amp;FQ$1)</f>
        <v/>
      </c>
      <c r="FR162" s="66" t="str">
        <f t="shared" ref="FR162:FR170" si="2834">IF(CL162="","","|n"&amp;FR$2&amp;"+"&amp;CL162&amp;FR$1)</f>
        <v/>
      </c>
      <c r="FS162" s="66" t="str">
        <f t="shared" ref="FS162:FS170" si="2835">IF(CM162="","","|n"&amp;FS$2&amp;"+"&amp;CM162&amp;FS$1)</f>
        <v/>
      </c>
    </row>
    <row r="163" spans="1:175" ht="16.5">
      <c r="A163" s="15"/>
      <c r="B163" s="9" t="s">
        <v>617</v>
      </c>
      <c r="C163" s="15" t="s">
        <v>618</v>
      </c>
      <c r="R163" s="60">
        <v>-8089</v>
      </c>
      <c r="S163" s="60">
        <v>-1230</v>
      </c>
      <c r="T163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3" s="77" t="str">
        <f t="shared" si="2687"/>
        <v>ReplaceableTextures\\CommandButtons\\BTNIT03.blp</v>
      </c>
      <c r="CN163" s="36" t="str">
        <f t="shared" si="2688"/>
        <v>InitUnitState('IT03',,,,,,,,,,)</v>
      </c>
      <c r="CO163" s="36" t="str">
        <f t="shared" si="2689"/>
        <v>InitUnitNormal('IT03',,,,,,,,,,)</v>
      </c>
      <c r="CP163" s="36" t="str">
        <f t="shared" si="2690"/>
        <v>InitUnitMagic('IT03',,,,,,,,,,)</v>
      </c>
      <c r="CQ163" s="36" t="str">
        <f t="shared" si="2691"/>
        <v>InitUnitAdd('IT03',,,,,,,,,,)</v>
      </c>
      <c r="CR163" s="36" t="str">
        <f t="shared" si="2692"/>
        <v>InitEquipData('IT03',,"",,,,,'','','','','','',"ReplaceableTextures\\CommandButtons\\BTNIT04.blp")</v>
      </c>
      <c r="CU163" s="88" t="str">
        <f t="shared" si="2765"/>
        <v>|n</v>
      </c>
      <c r="CV163" s="19" t="str">
        <f t="shared" ref="CV163:CV170" si="2836">T163</f>
        <v>渡过该劫后可结成|Cff00ff7f高级道果|r。|n|n|Cff00ff7f高级道果：|r|n攻击+37500|n生命值+150000|n物理伤害+20%|n法术伤害+20%|n杀敌攻击+8|n杀敌业力+1|n杀敌生命+30|n</v>
      </c>
      <c r="CW163" s="33"/>
      <c r="CX163" s="33"/>
      <c r="CY163" s="33"/>
      <c r="CZ163" s="33"/>
      <c r="DA163" s="33"/>
      <c r="DB163" s="66" t="str">
        <f t="shared" si="2766"/>
        <v/>
      </c>
      <c r="DC163" s="66" t="str">
        <f t="shared" si="2767"/>
        <v/>
      </c>
      <c r="DD163" s="66" t="str">
        <f t="shared" si="2768"/>
        <v/>
      </c>
      <c r="DE163" s="66" t="str">
        <f t="shared" si="2769"/>
        <v/>
      </c>
      <c r="DF163" s="66" t="str">
        <f t="shared" si="2770"/>
        <v/>
      </c>
      <c r="DG163" s="66" t="str">
        <f t="shared" si="2771"/>
        <v/>
      </c>
      <c r="DH163" s="66" t="str">
        <f t="shared" si="2772"/>
        <v/>
      </c>
      <c r="DI163" s="66" t="str">
        <f t="shared" si="2773"/>
        <v/>
      </c>
      <c r="DJ163" s="66" t="str">
        <f t="shared" si="2774"/>
        <v/>
      </c>
      <c r="DK163" s="66" t="str">
        <f t="shared" si="2775"/>
        <v/>
      </c>
      <c r="DL163" s="66" t="str">
        <f t="shared" si="2776"/>
        <v/>
      </c>
      <c r="DM163" s="66" t="str">
        <f t="shared" si="2777"/>
        <v/>
      </c>
      <c r="DN163" s="66" t="str">
        <f t="shared" si="2778"/>
        <v/>
      </c>
      <c r="DO163" s="66" t="str">
        <f t="shared" si="2779"/>
        <v/>
      </c>
      <c r="DP163" s="66" t="str">
        <f t="shared" si="2780"/>
        <v/>
      </c>
      <c r="DQ163" s="66" t="str">
        <f t="shared" si="2781"/>
        <v/>
      </c>
      <c r="DR163" s="66" t="str">
        <f t="shared" si="2782"/>
        <v/>
      </c>
      <c r="DS163" s="66" t="str">
        <f t="shared" si="2783"/>
        <v/>
      </c>
      <c r="DT163" s="66" t="str">
        <f t="shared" si="2784"/>
        <v/>
      </c>
      <c r="DU163" s="66" t="str">
        <f t="shared" si="2785"/>
        <v/>
      </c>
      <c r="DV163" s="66" t="str">
        <f t="shared" si="2786"/>
        <v/>
      </c>
      <c r="DW163" s="66" t="str">
        <f t="shared" si="2787"/>
        <v/>
      </c>
      <c r="DX163" s="66" t="str">
        <f t="shared" si="2788"/>
        <v/>
      </c>
      <c r="DY163" s="66" t="str">
        <f t="shared" si="2789"/>
        <v/>
      </c>
      <c r="DZ163" s="66" t="str">
        <f t="shared" si="2790"/>
        <v/>
      </c>
      <c r="EA163" s="66" t="str">
        <f t="shared" si="2791"/>
        <v/>
      </c>
      <c r="EB163" s="66" t="str">
        <f t="shared" si="2792"/>
        <v/>
      </c>
      <c r="EC163" s="66" t="str">
        <f t="shared" si="2793"/>
        <v/>
      </c>
      <c r="ED163" s="66" t="str">
        <f t="shared" si="2794"/>
        <v/>
      </c>
      <c r="EE163" s="66" t="str">
        <f t="shared" si="2795"/>
        <v/>
      </c>
      <c r="EF163" s="66" t="str">
        <f t="shared" si="2796"/>
        <v/>
      </c>
      <c r="EG163" s="66" t="str">
        <f t="shared" si="2797"/>
        <v/>
      </c>
      <c r="EH163" s="66" t="str">
        <f t="shared" si="2798"/>
        <v/>
      </c>
      <c r="EI163" s="66" t="str">
        <f t="shared" si="2799"/>
        <v/>
      </c>
      <c r="EJ163" s="66" t="str">
        <f t="shared" si="2800"/>
        <v/>
      </c>
      <c r="EK163" s="66" t="str">
        <f t="shared" si="2801"/>
        <v/>
      </c>
      <c r="EL163" s="66" t="str">
        <f t="shared" si="2802"/>
        <v/>
      </c>
      <c r="EM163" s="66" t="str">
        <f t="shared" si="2803"/>
        <v/>
      </c>
      <c r="EN163" s="66" t="str">
        <f t="shared" si="2804"/>
        <v/>
      </c>
      <c r="EO163" s="66" t="str">
        <f t="shared" si="2805"/>
        <v/>
      </c>
      <c r="EP163" s="66" t="str">
        <f t="shared" si="2806"/>
        <v/>
      </c>
      <c r="EQ163" s="66" t="str">
        <f t="shared" si="2807"/>
        <v/>
      </c>
      <c r="ER163" s="66" t="str">
        <f t="shared" si="2808"/>
        <v/>
      </c>
      <c r="ES163" s="66" t="str">
        <f t="shared" si="2809"/>
        <v/>
      </c>
      <c r="ET163" s="66" t="str">
        <f t="shared" si="2810"/>
        <v/>
      </c>
      <c r="EU163" s="66" t="str">
        <f t="shared" si="2811"/>
        <v/>
      </c>
      <c r="EV163" s="66" t="str">
        <f t="shared" si="2812"/>
        <v/>
      </c>
      <c r="EW163" s="66" t="str">
        <f t="shared" si="2813"/>
        <v/>
      </c>
      <c r="EX163" s="66" t="str">
        <f t="shared" si="2814"/>
        <v/>
      </c>
      <c r="EY163" s="66" t="str">
        <f t="shared" si="2815"/>
        <v/>
      </c>
      <c r="EZ163" s="66" t="str">
        <f t="shared" si="2816"/>
        <v/>
      </c>
      <c r="FA163" s="66" t="str">
        <f t="shared" si="2817"/>
        <v/>
      </c>
      <c r="FB163" s="66" t="str">
        <f t="shared" si="2818"/>
        <v/>
      </c>
      <c r="FC163" s="66" t="str">
        <f t="shared" si="2819"/>
        <v/>
      </c>
      <c r="FD163" s="66" t="str">
        <f t="shared" si="2820"/>
        <v/>
      </c>
      <c r="FE163" s="66" t="str">
        <f t="shared" si="2821"/>
        <v/>
      </c>
      <c r="FF163" s="66" t="str">
        <f t="shared" si="2822"/>
        <v/>
      </c>
      <c r="FG163" s="66" t="str">
        <f t="shared" si="2823"/>
        <v/>
      </c>
      <c r="FH163" s="66" t="str">
        <f t="shared" si="2824"/>
        <v/>
      </c>
      <c r="FI163" s="66" t="str">
        <f t="shared" si="2825"/>
        <v/>
      </c>
      <c r="FJ163" s="66" t="str">
        <f t="shared" si="2826"/>
        <v/>
      </c>
      <c r="FK163" s="66" t="str">
        <f t="shared" si="2827"/>
        <v/>
      </c>
      <c r="FL163" s="66" t="str">
        <f t="shared" si="2828"/>
        <v/>
      </c>
      <c r="FM163" s="66" t="str">
        <f t="shared" si="2829"/>
        <v/>
      </c>
      <c r="FN163" s="66" t="str">
        <f t="shared" si="2830"/>
        <v/>
      </c>
      <c r="FO163" s="66" t="str">
        <f t="shared" si="2831"/>
        <v/>
      </c>
      <c r="FP163" s="66" t="str">
        <f t="shared" si="2832"/>
        <v/>
      </c>
      <c r="FQ163" s="66" t="str">
        <f t="shared" si="2833"/>
        <v/>
      </c>
      <c r="FR163" s="66" t="str">
        <f t="shared" si="2834"/>
        <v/>
      </c>
      <c r="FS163" s="66" t="str">
        <f t="shared" si="2835"/>
        <v/>
      </c>
    </row>
    <row r="164" spans="1:175" ht="16.5">
      <c r="A164" s="15"/>
      <c r="B164" s="9" t="s">
        <v>619</v>
      </c>
      <c r="C164" s="15" t="s">
        <v>620</v>
      </c>
      <c r="R164" s="60">
        <v>-7794</v>
      </c>
      <c r="S164" s="60">
        <v>195</v>
      </c>
      <c r="T164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4" s="77" t="str">
        <f t="shared" si="2687"/>
        <v>ReplaceableTextures\\CommandButtons\\BTNIT04.blp</v>
      </c>
      <c r="CN164" s="36" t="str">
        <f t="shared" si="2688"/>
        <v>InitUnitState('IT04',,,,,,,,,,)</v>
      </c>
      <c r="CO164" s="36" t="str">
        <f t="shared" si="2689"/>
        <v>InitUnitNormal('IT04',,,,,,,,,,)</v>
      </c>
      <c r="CP164" s="36" t="str">
        <f t="shared" si="2690"/>
        <v>InitUnitMagic('IT04',,,,,,,,,,)</v>
      </c>
      <c r="CQ164" s="36" t="str">
        <f t="shared" si="2691"/>
        <v>InitUnitAdd('IT04',,,,,,,,,,)</v>
      </c>
      <c r="CR164" s="36" t="str">
        <f t="shared" si="2692"/>
        <v>InitEquipData('IT04',,"",,,,,'','','','','','',"ReplaceableTextures\\CommandButtons\\BTNIT05.blp")</v>
      </c>
      <c r="CU164" s="88" t="str">
        <f t="shared" si="2765"/>
        <v>|n</v>
      </c>
      <c r="CV164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6"/>
        <v/>
      </c>
      <c r="DC164" s="66" t="str">
        <f t="shared" si="2767"/>
        <v/>
      </c>
      <c r="DD164" s="66" t="str">
        <f t="shared" si="2768"/>
        <v/>
      </c>
      <c r="DE164" s="66" t="str">
        <f t="shared" si="2769"/>
        <v/>
      </c>
      <c r="DF164" s="66" t="str">
        <f t="shared" si="2770"/>
        <v/>
      </c>
      <c r="DG164" s="66" t="str">
        <f t="shared" si="2771"/>
        <v/>
      </c>
      <c r="DH164" s="66" t="str">
        <f t="shared" si="2772"/>
        <v/>
      </c>
      <c r="DI164" s="66" t="str">
        <f t="shared" si="2773"/>
        <v/>
      </c>
      <c r="DJ164" s="66" t="str">
        <f t="shared" si="2774"/>
        <v/>
      </c>
      <c r="DK164" s="66" t="str">
        <f t="shared" si="2775"/>
        <v/>
      </c>
      <c r="DL164" s="66" t="str">
        <f t="shared" si="2776"/>
        <v/>
      </c>
      <c r="DM164" s="66" t="str">
        <f t="shared" si="2777"/>
        <v/>
      </c>
      <c r="DN164" s="66" t="str">
        <f t="shared" si="2778"/>
        <v/>
      </c>
      <c r="DO164" s="66" t="str">
        <f t="shared" si="2779"/>
        <v/>
      </c>
      <c r="DP164" s="66" t="str">
        <f t="shared" si="2780"/>
        <v/>
      </c>
      <c r="DQ164" s="66" t="str">
        <f t="shared" si="2781"/>
        <v/>
      </c>
      <c r="DR164" s="66" t="str">
        <f t="shared" si="2782"/>
        <v/>
      </c>
      <c r="DS164" s="66" t="str">
        <f t="shared" si="2783"/>
        <v/>
      </c>
      <c r="DT164" s="66" t="str">
        <f t="shared" si="2784"/>
        <v/>
      </c>
      <c r="DU164" s="66" t="str">
        <f t="shared" si="2785"/>
        <v/>
      </c>
      <c r="DV164" s="66" t="str">
        <f t="shared" si="2786"/>
        <v/>
      </c>
      <c r="DW164" s="66" t="str">
        <f t="shared" si="2787"/>
        <v/>
      </c>
      <c r="DX164" s="66" t="str">
        <f t="shared" si="2788"/>
        <v/>
      </c>
      <c r="DY164" s="66" t="str">
        <f t="shared" si="2789"/>
        <v/>
      </c>
      <c r="DZ164" s="66" t="str">
        <f t="shared" si="2790"/>
        <v/>
      </c>
      <c r="EA164" s="66" t="str">
        <f t="shared" si="2791"/>
        <v/>
      </c>
      <c r="EB164" s="66" t="str">
        <f t="shared" si="2792"/>
        <v/>
      </c>
      <c r="EC164" s="66" t="str">
        <f t="shared" si="2793"/>
        <v/>
      </c>
      <c r="ED164" s="66" t="str">
        <f t="shared" si="2794"/>
        <v/>
      </c>
      <c r="EE164" s="66" t="str">
        <f t="shared" si="2795"/>
        <v/>
      </c>
      <c r="EF164" s="66" t="str">
        <f t="shared" si="2796"/>
        <v/>
      </c>
      <c r="EG164" s="66" t="str">
        <f t="shared" si="2797"/>
        <v/>
      </c>
      <c r="EH164" s="66" t="str">
        <f t="shared" si="2798"/>
        <v/>
      </c>
      <c r="EI164" s="66" t="str">
        <f t="shared" si="2799"/>
        <v/>
      </c>
      <c r="EJ164" s="66" t="str">
        <f t="shared" si="2800"/>
        <v/>
      </c>
      <c r="EK164" s="66" t="str">
        <f t="shared" si="2801"/>
        <v/>
      </c>
      <c r="EL164" s="66" t="str">
        <f t="shared" si="2802"/>
        <v/>
      </c>
      <c r="EM164" s="66" t="str">
        <f t="shared" si="2803"/>
        <v/>
      </c>
      <c r="EN164" s="66" t="str">
        <f t="shared" si="2804"/>
        <v/>
      </c>
      <c r="EO164" s="66" t="str">
        <f t="shared" si="2805"/>
        <v/>
      </c>
      <c r="EP164" s="66" t="str">
        <f t="shared" si="2806"/>
        <v/>
      </c>
      <c r="EQ164" s="66" t="str">
        <f t="shared" si="2807"/>
        <v/>
      </c>
      <c r="ER164" s="66" t="str">
        <f t="shared" si="2808"/>
        <v/>
      </c>
      <c r="ES164" s="66" t="str">
        <f t="shared" si="2809"/>
        <v/>
      </c>
      <c r="ET164" s="66" t="str">
        <f t="shared" si="2810"/>
        <v/>
      </c>
      <c r="EU164" s="66" t="str">
        <f t="shared" si="2811"/>
        <v/>
      </c>
      <c r="EV164" s="66" t="str">
        <f t="shared" si="2812"/>
        <v/>
      </c>
      <c r="EW164" s="66" t="str">
        <f t="shared" si="2813"/>
        <v/>
      </c>
      <c r="EX164" s="66" t="str">
        <f t="shared" si="2814"/>
        <v/>
      </c>
      <c r="EY164" s="66" t="str">
        <f t="shared" si="2815"/>
        <v/>
      </c>
      <c r="EZ164" s="66" t="str">
        <f t="shared" si="2816"/>
        <v/>
      </c>
      <c r="FA164" s="66" t="str">
        <f t="shared" si="2817"/>
        <v/>
      </c>
      <c r="FB164" s="66" t="str">
        <f t="shared" si="2818"/>
        <v/>
      </c>
      <c r="FC164" s="66" t="str">
        <f t="shared" si="2819"/>
        <v/>
      </c>
      <c r="FD164" s="66" t="str">
        <f t="shared" si="2820"/>
        <v/>
      </c>
      <c r="FE164" s="66" t="str">
        <f t="shared" si="2821"/>
        <v/>
      </c>
      <c r="FF164" s="66" t="str">
        <f t="shared" si="2822"/>
        <v/>
      </c>
      <c r="FG164" s="66" t="str">
        <f t="shared" si="2823"/>
        <v/>
      </c>
      <c r="FH164" s="66" t="str">
        <f t="shared" si="2824"/>
        <v/>
      </c>
      <c r="FI164" s="66" t="str">
        <f t="shared" si="2825"/>
        <v/>
      </c>
      <c r="FJ164" s="66" t="str">
        <f t="shared" si="2826"/>
        <v/>
      </c>
      <c r="FK164" s="66" t="str">
        <f t="shared" si="2827"/>
        <v/>
      </c>
      <c r="FL164" s="66" t="str">
        <f t="shared" si="2828"/>
        <v/>
      </c>
      <c r="FM164" s="66" t="str">
        <f t="shared" si="2829"/>
        <v/>
      </c>
      <c r="FN164" s="66" t="str">
        <f t="shared" si="2830"/>
        <v/>
      </c>
      <c r="FO164" s="66" t="str">
        <f t="shared" si="2831"/>
        <v/>
      </c>
      <c r="FP164" s="66" t="str">
        <f t="shared" si="2832"/>
        <v/>
      </c>
      <c r="FQ164" s="66" t="str">
        <f t="shared" si="2833"/>
        <v/>
      </c>
      <c r="FR164" s="66" t="str">
        <f t="shared" si="2834"/>
        <v/>
      </c>
      <c r="FS164" s="66" t="str">
        <f t="shared" si="2835"/>
        <v/>
      </c>
    </row>
    <row r="165" spans="1:175" ht="16.5">
      <c r="A165" s="15"/>
      <c r="B165" s="9" t="s">
        <v>621</v>
      </c>
      <c r="C165" s="15" t="s">
        <v>622</v>
      </c>
      <c r="R165" s="60">
        <v>-8110</v>
      </c>
      <c r="S165" s="60">
        <v>1810</v>
      </c>
      <c r="T165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5" s="77" t="str">
        <f t="shared" si="2687"/>
        <v>ReplaceableTextures\\CommandButtons\\BTNIT05.blp</v>
      </c>
      <c r="CN165" s="36" t="str">
        <f t="shared" si="2688"/>
        <v>InitUnitState('IT05',,,,,,,,,,)</v>
      </c>
      <c r="CO165" s="36" t="str">
        <f t="shared" si="2689"/>
        <v>InitUnitNormal('IT05',,,,,,,,,,)</v>
      </c>
      <c r="CP165" s="36" t="str">
        <f t="shared" si="2690"/>
        <v>InitUnitMagic('IT05',,,,,,,,,,)</v>
      </c>
      <c r="CQ165" s="36" t="str">
        <f t="shared" si="2691"/>
        <v>InitUnitAdd('IT05',,,,,,,,,,)</v>
      </c>
      <c r="CR165" s="36" t="str">
        <f t="shared" si="2692"/>
        <v>InitEquipData('IT05',,"",,,,,'','','','','','',"ReplaceableTextures\\CommandButtons\\BTNIT06.blp")</v>
      </c>
      <c r="CU165" s="88" t="str">
        <f t="shared" si="2765"/>
        <v>|n</v>
      </c>
      <c r="CV165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6"/>
        <v/>
      </c>
      <c r="DC165" s="66" t="str">
        <f t="shared" si="2767"/>
        <v/>
      </c>
      <c r="DD165" s="66" t="str">
        <f t="shared" si="2768"/>
        <v/>
      </c>
      <c r="DE165" s="66" t="str">
        <f t="shared" si="2769"/>
        <v/>
      </c>
      <c r="DF165" s="66" t="str">
        <f t="shared" si="2770"/>
        <v/>
      </c>
      <c r="DG165" s="66" t="str">
        <f t="shared" si="2771"/>
        <v/>
      </c>
      <c r="DH165" s="66" t="str">
        <f t="shared" si="2772"/>
        <v/>
      </c>
      <c r="DI165" s="66" t="str">
        <f t="shared" si="2773"/>
        <v/>
      </c>
      <c r="DJ165" s="66" t="str">
        <f t="shared" si="2774"/>
        <v/>
      </c>
      <c r="DK165" s="66" t="str">
        <f t="shared" si="2775"/>
        <v/>
      </c>
      <c r="DL165" s="66" t="str">
        <f t="shared" si="2776"/>
        <v/>
      </c>
      <c r="DM165" s="66" t="str">
        <f t="shared" si="2777"/>
        <v/>
      </c>
      <c r="DN165" s="66" t="str">
        <f t="shared" si="2778"/>
        <v/>
      </c>
      <c r="DO165" s="66" t="str">
        <f t="shared" si="2779"/>
        <v/>
      </c>
      <c r="DP165" s="66" t="str">
        <f t="shared" si="2780"/>
        <v/>
      </c>
      <c r="DQ165" s="66" t="str">
        <f t="shared" si="2781"/>
        <v/>
      </c>
      <c r="DR165" s="66" t="str">
        <f t="shared" si="2782"/>
        <v/>
      </c>
      <c r="DS165" s="66" t="str">
        <f t="shared" si="2783"/>
        <v/>
      </c>
      <c r="DT165" s="66" t="str">
        <f t="shared" si="2784"/>
        <v/>
      </c>
      <c r="DU165" s="66" t="str">
        <f t="shared" si="2785"/>
        <v/>
      </c>
      <c r="DV165" s="66" t="str">
        <f t="shared" si="2786"/>
        <v/>
      </c>
      <c r="DW165" s="66" t="str">
        <f t="shared" si="2787"/>
        <v/>
      </c>
      <c r="DX165" s="66" t="str">
        <f t="shared" si="2788"/>
        <v/>
      </c>
      <c r="DY165" s="66" t="str">
        <f t="shared" si="2789"/>
        <v/>
      </c>
      <c r="DZ165" s="66" t="str">
        <f t="shared" si="2790"/>
        <v/>
      </c>
      <c r="EA165" s="66" t="str">
        <f t="shared" si="2791"/>
        <v/>
      </c>
      <c r="EB165" s="66" t="str">
        <f t="shared" si="2792"/>
        <v/>
      </c>
      <c r="EC165" s="66" t="str">
        <f t="shared" si="2793"/>
        <v/>
      </c>
      <c r="ED165" s="66" t="str">
        <f t="shared" si="2794"/>
        <v/>
      </c>
      <c r="EE165" s="66" t="str">
        <f t="shared" si="2795"/>
        <v/>
      </c>
      <c r="EF165" s="66" t="str">
        <f t="shared" si="2796"/>
        <v/>
      </c>
      <c r="EG165" s="66" t="str">
        <f t="shared" si="2797"/>
        <v/>
      </c>
      <c r="EH165" s="66" t="str">
        <f t="shared" si="2798"/>
        <v/>
      </c>
      <c r="EI165" s="66" t="str">
        <f t="shared" si="2799"/>
        <v/>
      </c>
      <c r="EJ165" s="66" t="str">
        <f t="shared" si="2800"/>
        <v/>
      </c>
      <c r="EK165" s="66" t="str">
        <f t="shared" si="2801"/>
        <v/>
      </c>
      <c r="EL165" s="66" t="str">
        <f t="shared" si="2802"/>
        <v/>
      </c>
      <c r="EM165" s="66" t="str">
        <f t="shared" si="2803"/>
        <v/>
      </c>
      <c r="EN165" s="66" t="str">
        <f t="shared" si="2804"/>
        <v/>
      </c>
      <c r="EO165" s="66" t="str">
        <f t="shared" si="2805"/>
        <v/>
      </c>
      <c r="EP165" s="66" t="str">
        <f t="shared" si="2806"/>
        <v/>
      </c>
      <c r="EQ165" s="66" t="str">
        <f t="shared" si="2807"/>
        <v/>
      </c>
      <c r="ER165" s="66" t="str">
        <f t="shared" si="2808"/>
        <v/>
      </c>
      <c r="ES165" s="66" t="str">
        <f t="shared" si="2809"/>
        <v/>
      </c>
      <c r="ET165" s="66" t="str">
        <f t="shared" si="2810"/>
        <v/>
      </c>
      <c r="EU165" s="66" t="str">
        <f t="shared" si="2811"/>
        <v/>
      </c>
      <c r="EV165" s="66" t="str">
        <f t="shared" si="2812"/>
        <v/>
      </c>
      <c r="EW165" s="66" t="str">
        <f t="shared" si="2813"/>
        <v/>
      </c>
      <c r="EX165" s="66" t="str">
        <f t="shared" si="2814"/>
        <v/>
      </c>
      <c r="EY165" s="66" t="str">
        <f t="shared" si="2815"/>
        <v/>
      </c>
      <c r="EZ165" s="66" t="str">
        <f t="shared" si="2816"/>
        <v/>
      </c>
      <c r="FA165" s="66" t="str">
        <f t="shared" si="2817"/>
        <v/>
      </c>
      <c r="FB165" s="66" t="str">
        <f t="shared" si="2818"/>
        <v/>
      </c>
      <c r="FC165" s="66" t="str">
        <f t="shared" si="2819"/>
        <v/>
      </c>
      <c r="FD165" s="66" t="str">
        <f t="shared" si="2820"/>
        <v/>
      </c>
      <c r="FE165" s="66" t="str">
        <f t="shared" si="2821"/>
        <v/>
      </c>
      <c r="FF165" s="66" t="str">
        <f t="shared" si="2822"/>
        <v/>
      </c>
      <c r="FG165" s="66" t="str">
        <f t="shared" si="2823"/>
        <v/>
      </c>
      <c r="FH165" s="66" t="str">
        <f t="shared" si="2824"/>
        <v/>
      </c>
      <c r="FI165" s="66" t="str">
        <f t="shared" si="2825"/>
        <v/>
      </c>
      <c r="FJ165" s="66" t="str">
        <f t="shared" si="2826"/>
        <v/>
      </c>
      <c r="FK165" s="66" t="str">
        <f t="shared" si="2827"/>
        <v/>
      </c>
      <c r="FL165" s="66" t="str">
        <f t="shared" si="2828"/>
        <v/>
      </c>
      <c r="FM165" s="66" t="str">
        <f t="shared" si="2829"/>
        <v/>
      </c>
      <c r="FN165" s="66" t="str">
        <f t="shared" si="2830"/>
        <v/>
      </c>
      <c r="FO165" s="66" t="str">
        <f t="shared" si="2831"/>
        <v/>
      </c>
      <c r="FP165" s="66" t="str">
        <f t="shared" si="2832"/>
        <v/>
      </c>
      <c r="FQ165" s="66" t="str">
        <f t="shared" si="2833"/>
        <v/>
      </c>
      <c r="FR165" s="66" t="str">
        <f t="shared" si="2834"/>
        <v/>
      </c>
      <c r="FS165" s="66" t="str">
        <f t="shared" si="2835"/>
        <v/>
      </c>
    </row>
    <row r="166" spans="1:175" ht="16.5">
      <c r="A166" s="15"/>
      <c r="B166" s="9" t="s">
        <v>623</v>
      </c>
      <c r="C166" s="15" t="s">
        <v>624</v>
      </c>
      <c r="R166" s="60">
        <v>-7896</v>
      </c>
      <c r="S166" s="60">
        <v>3839</v>
      </c>
      <c r="T166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6" s="77" t="str">
        <f t="shared" si="2687"/>
        <v>ReplaceableTextures\\CommandButtons\\BTNIT06.blp</v>
      </c>
      <c r="CN166" s="36" t="str">
        <f t="shared" si="2688"/>
        <v>InitUnitState('IT06',,,,,,,,,,)</v>
      </c>
      <c r="CO166" s="36" t="str">
        <f t="shared" si="2689"/>
        <v>InitUnitNormal('IT06',,,,,,,,,,)</v>
      </c>
      <c r="CP166" s="36" t="str">
        <f t="shared" si="2690"/>
        <v>InitUnitMagic('IT06',,,,,,,,,,)</v>
      </c>
      <c r="CQ166" s="36" t="str">
        <f t="shared" si="2691"/>
        <v>InitUnitAdd('IT06',,,,,,,,,,)</v>
      </c>
      <c r="CR166" s="36" t="str">
        <f t="shared" si="2692"/>
        <v>InitEquipData('IT06',,"",,,,,'','','','','','',"ReplaceableTextures\\CommandButtons\\BTNIT07.blp")</v>
      </c>
      <c r="CU166" s="88" t="str">
        <f t="shared" si="2765"/>
        <v>|n</v>
      </c>
      <c r="CV166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66" s="33"/>
      <c r="CX166" s="33"/>
      <c r="CY166" s="33"/>
      <c r="CZ166" s="33"/>
      <c r="DA166" s="33"/>
      <c r="DB166" s="66" t="str">
        <f t="shared" si="2766"/>
        <v/>
      </c>
      <c r="DC166" s="66" t="str">
        <f t="shared" si="2767"/>
        <v/>
      </c>
      <c r="DD166" s="66" t="str">
        <f t="shared" si="2768"/>
        <v/>
      </c>
      <c r="DE166" s="66" t="str">
        <f t="shared" si="2769"/>
        <v/>
      </c>
      <c r="DF166" s="66" t="str">
        <f t="shared" si="2770"/>
        <v/>
      </c>
      <c r="DG166" s="66" t="str">
        <f t="shared" si="2771"/>
        <v/>
      </c>
      <c r="DH166" s="66" t="str">
        <f t="shared" si="2772"/>
        <v/>
      </c>
      <c r="DI166" s="66" t="str">
        <f t="shared" si="2773"/>
        <v/>
      </c>
      <c r="DJ166" s="66" t="str">
        <f t="shared" si="2774"/>
        <v/>
      </c>
      <c r="DK166" s="66" t="str">
        <f t="shared" si="2775"/>
        <v/>
      </c>
      <c r="DL166" s="66" t="str">
        <f t="shared" si="2776"/>
        <v/>
      </c>
      <c r="DM166" s="66" t="str">
        <f t="shared" si="2777"/>
        <v/>
      </c>
      <c r="DN166" s="66" t="str">
        <f t="shared" si="2778"/>
        <v/>
      </c>
      <c r="DO166" s="66" t="str">
        <f t="shared" si="2779"/>
        <v/>
      </c>
      <c r="DP166" s="66" t="str">
        <f t="shared" si="2780"/>
        <v/>
      </c>
      <c r="DQ166" s="66" t="str">
        <f t="shared" si="2781"/>
        <v/>
      </c>
      <c r="DR166" s="66" t="str">
        <f t="shared" si="2782"/>
        <v/>
      </c>
      <c r="DS166" s="66" t="str">
        <f t="shared" si="2783"/>
        <v/>
      </c>
      <c r="DT166" s="66" t="str">
        <f t="shared" si="2784"/>
        <v/>
      </c>
      <c r="DU166" s="66" t="str">
        <f t="shared" si="2785"/>
        <v/>
      </c>
      <c r="DV166" s="66" t="str">
        <f t="shared" si="2786"/>
        <v/>
      </c>
      <c r="DW166" s="66" t="str">
        <f t="shared" si="2787"/>
        <v/>
      </c>
      <c r="DX166" s="66" t="str">
        <f t="shared" si="2788"/>
        <v/>
      </c>
      <c r="DY166" s="66" t="str">
        <f t="shared" si="2789"/>
        <v/>
      </c>
      <c r="DZ166" s="66" t="str">
        <f t="shared" si="2790"/>
        <v/>
      </c>
      <c r="EA166" s="66" t="str">
        <f t="shared" si="2791"/>
        <v/>
      </c>
      <c r="EB166" s="66" t="str">
        <f t="shared" si="2792"/>
        <v/>
      </c>
      <c r="EC166" s="66" t="str">
        <f t="shared" si="2793"/>
        <v/>
      </c>
      <c r="ED166" s="66" t="str">
        <f t="shared" si="2794"/>
        <v/>
      </c>
      <c r="EE166" s="66" t="str">
        <f t="shared" si="2795"/>
        <v/>
      </c>
      <c r="EF166" s="66" t="str">
        <f t="shared" si="2796"/>
        <v/>
      </c>
      <c r="EG166" s="66" t="str">
        <f t="shared" si="2797"/>
        <v/>
      </c>
      <c r="EH166" s="66" t="str">
        <f t="shared" si="2798"/>
        <v/>
      </c>
      <c r="EI166" s="66" t="str">
        <f t="shared" si="2799"/>
        <v/>
      </c>
      <c r="EJ166" s="66" t="str">
        <f t="shared" si="2800"/>
        <v/>
      </c>
      <c r="EK166" s="66" t="str">
        <f t="shared" si="2801"/>
        <v/>
      </c>
      <c r="EL166" s="66" t="str">
        <f t="shared" si="2802"/>
        <v/>
      </c>
      <c r="EM166" s="66" t="str">
        <f t="shared" si="2803"/>
        <v/>
      </c>
      <c r="EN166" s="66" t="str">
        <f t="shared" si="2804"/>
        <v/>
      </c>
      <c r="EO166" s="66" t="str">
        <f t="shared" si="2805"/>
        <v/>
      </c>
      <c r="EP166" s="66" t="str">
        <f t="shared" si="2806"/>
        <v/>
      </c>
      <c r="EQ166" s="66" t="str">
        <f t="shared" si="2807"/>
        <v/>
      </c>
      <c r="ER166" s="66" t="str">
        <f t="shared" si="2808"/>
        <v/>
      </c>
      <c r="ES166" s="66" t="str">
        <f t="shared" si="2809"/>
        <v/>
      </c>
      <c r="ET166" s="66" t="str">
        <f t="shared" si="2810"/>
        <v/>
      </c>
      <c r="EU166" s="66" t="str">
        <f t="shared" si="2811"/>
        <v/>
      </c>
      <c r="EV166" s="66" t="str">
        <f t="shared" si="2812"/>
        <v/>
      </c>
      <c r="EW166" s="66" t="str">
        <f t="shared" si="2813"/>
        <v/>
      </c>
      <c r="EX166" s="66" t="str">
        <f t="shared" si="2814"/>
        <v/>
      </c>
      <c r="EY166" s="66" t="str">
        <f t="shared" si="2815"/>
        <v/>
      </c>
      <c r="EZ166" s="66" t="str">
        <f t="shared" si="2816"/>
        <v/>
      </c>
      <c r="FA166" s="66" t="str">
        <f t="shared" si="2817"/>
        <v/>
      </c>
      <c r="FB166" s="66" t="str">
        <f t="shared" si="2818"/>
        <v/>
      </c>
      <c r="FC166" s="66" t="str">
        <f t="shared" si="2819"/>
        <v/>
      </c>
      <c r="FD166" s="66" t="str">
        <f t="shared" si="2820"/>
        <v/>
      </c>
      <c r="FE166" s="66" t="str">
        <f t="shared" si="2821"/>
        <v/>
      </c>
      <c r="FF166" s="66" t="str">
        <f t="shared" si="2822"/>
        <v/>
      </c>
      <c r="FG166" s="66" t="str">
        <f t="shared" si="2823"/>
        <v/>
      </c>
      <c r="FH166" s="66" t="str">
        <f t="shared" si="2824"/>
        <v/>
      </c>
      <c r="FI166" s="66" t="str">
        <f t="shared" si="2825"/>
        <v/>
      </c>
      <c r="FJ166" s="66" t="str">
        <f t="shared" si="2826"/>
        <v/>
      </c>
      <c r="FK166" s="66" t="str">
        <f t="shared" si="2827"/>
        <v/>
      </c>
      <c r="FL166" s="66" t="str">
        <f t="shared" si="2828"/>
        <v/>
      </c>
      <c r="FM166" s="66" t="str">
        <f t="shared" si="2829"/>
        <v/>
      </c>
      <c r="FN166" s="66" t="str">
        <f t="shared" si="2830"/>
        <v/>
      </c>
      <c r="FO166" s="66" t="str">
        <f t="shared" si="2831"/>
        <v/>
      </c>
      <c r="FP166" s="66" t="str">
        <f t="shared" si="2832"/>
        <v/>
      </c>
      <c r="FQ166" s="66" t="str">
        <f t="shared" si="2833"/>
        <v/>
      </c>
      <c r="FR166" s="66" t="str">
        <f t="shared" si="2834"/>
        <v/>
      </c>
      <c r="FS166" s="66" t="str">
        <f t="shared" si="2835"/>
        <v/>
      </c>
    </row>
    <row r="167" spans="1:175" ht="16.5">
      <c r="A167" s="15"/>
      <c r="B167" s="9" t="s">
        <v>625</v>
      </c>
      <c r="C167" s="15" t="s">
        <v>626</v>
      </c>
      <c r="R167" s="60">
        <v>-7896</v>
      </c>
      <c r="S167" s="60">
        <v>5906</v>
      </c>
      <c r="T167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7" s="77" t="str">
        <f t="shared" si="2687"/>
        <v>ReplaceableTextures\\CommandButtons\\BTNIT07.blp</v>
      </c>
      <c r="CN167" s="36" t="str">
        <f t="shared" si="2688"/>
        <v>InitUnitState('IT07',,,,,,,,,,)</v>
      </c>
      <c r="CO167" s="36" t="str">
        <f t="shared" si="2689"/>
        <v>InitUnitNormal('IT07',,,,,,,,,,)</v>
      </c>
      <c r="CP167" s="36" t="str">
        <f t="shared" si="2690"/>
        <v>InitUnitMagic('IT07',,,,,,,,,,)</v>
      </c>
      <c r="CQ167" s="36" t="str">
        <f t="shared" si="2691"/>
        <v>InitUnitAdd('IT07',,,,,,,,,,)</v>
      </c>
      <c r="CR167" s="36" t="str">
        <f t="shared" si="2692"/>
        <v>InitEquipData('IT07',,"",,,,,'','','','','','',"ReplaceableTextures\\CommandButtons\\BTNIT08.blp")</v>
      </c>
      <c r="CU167" s="88" t="str">
        <f t="shared" si="2765"/>
        <v>|n</v>
      </c>
      <c r="CV167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spans="1:175" ht="16.5">
      <c r="A168" s="15" t="s">
        <v>627</v>
      </c>
      <c r="B168" s="9" t="s">
        <v>628</v>
      </c>
      <c r="C168" s="15" t="s">
        <v>629</v>
      </c>
      <c r="R168" s="60">
        <v>-7970</v>
      </c>
      <c r="S168" s="60">
        <v>7965</v>
      </c>
      <c r="T168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8" s="77" t="str">
        <f t="shared" si="2687"/>
        <v>ReplaceableTextures\\CommandButtons\\BTNIT08.blp</v>
      </c>
      <c r="CN168" s="36" t="str">
        <f t="shared" si="2688"/>
        <v>InitUnitState('IT08',,,,,,,,,,)</v>
      </c>
      <c r="CO168" s="36" t="str">
        <f t="shared" si="2689"/>
        <v>InitUnitNormal('IT08',,,,,,,,,,)</v>
      </c>
      <c r="CP168" s="36" t="str">
        <f t="shared" si="2690"/>
        <v>InitUnitMagic('IT08',,,,,,,,,,)</v>
      </c>
      <c r="CQ168" s="36" t="str">
        <f t="shared" si="2691"/>
        <v>InitUnitAdd('IT08',,,,,,,,,,)</v>
      </c>
      <c r="CR168" s="36" t="str">
        <f t="shared" si="2692"/>
        <v>InitEquipData('IT08',,".",,,,,'','','','','','',"ReplaceableTextures\\CommandButtons\\BTNIT09.blp")</v>
      </c>
      <c r="CU168" s="88" t="str">
        <f t="shared" si="2765"/>
        <v>|n</v>
      </c>
      <c r="CV168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spans="1:175" ht="16.5">
      <c r="A169" s="15"/>
      <c r="B169" s="9" t="s">
        <v>630</v>
      </c>
      <c r="C169" s="15" t="s">
        <v>631</v>
      </c>
      <c r="R169" s="60">
        <v>2100</v>
      </c>
      <c r="S169" s="60">
        <v>-5120</v>
      </c>
      <c r="T169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9" s="77" t="str">
        <f t="shared" si="2687"/>
        <v>ReplaceableTextures\\CommandButtons\\BTNIT09.blp</v>
      </c>
      <c r="CN169" s="36" t="str">
        <f t="shared" si="2688"/>
        <v>InitUnitState('IT09',,,,,,,,,,)</v>
      </c>
      <c r="CO169" s="36" t="str">
        <f t="shared" si="2689"/>
        <v>InitUnitNormal('IT09',,,,,,,,,,)</v>
      </c>
      <c r="CP169" s="36" t="str">
        <f t="shared" si="2690"/>
        <v>InitUnitMagic('IT09',,,,,,,,,,)</v>
      </c>
      <c r="CQ169" s="36" t="str">
        <f t="shared" si="2691"/>
        <v>InitUnitAdd('IT09',,,,,,,,,,)</v>
      </c>
      <c r="CR169" s="36" t="str">
        <f t="shared" si="2692"/>
        <v>InitEquipData('IT09',,"",,,,,'','','','','','',"ReplaceableTextures\\CommandButtons\\BTNIT10.blp")</v>
      </c>
      <c r="CU169" s="88" t="str">
        <f t="shared" si="2765"/>
        <v>|n</v>
      </c>
      <c r="CV169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spans="1:175" ht="16.5">
      <c r="A170" s="15"/>
      <c r="B170" s="9" t="s">
        <v>632</v>
      </c>
      <c r="C170" s="15" t="s">
        <v>633</v>
      </c>
      <c r="R170" s="60">
        <v>2268</v>
      </c>
      <c r="S170" s="60">
        <v>-8065</v>
      </c>
      <c r="T170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0" s="77" t="str">
        <f t="shared" si="2687"/>
        <v>ReplaceableTextures\\CommandButtons\\BTNIT10.blp</v>
      </c>
      <c r="CN170" s="36" t="str">
        <f t="shared" si="2688"/>
        <v>InitUnitState('IT10',,,,,,,,,,)</v>
      </c>
      <c r="CO170" s="36" t="str">
        <f t="shared" si="2689"/>
        <v>InitUnitNormal('IT10',,,,,,,,,,)</v>
      </c>
      <c r="CP170" s="36" t="str">
        <f t="shared" si="2690"/>
        <v>InitUnitMagic('IT10',,,,,,,,,,)</v>
      </c>
      <c r="CQ170" s="36" t="str">
        <f t="shared" si="2691"/>
        <v>InitUnitAdd('IT10',,,,,,,,,,)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179&amp;CR$1&amp;")"</f>
        <v>InitEquipData('IT10',,"",,,,,'','','','','','',"ReplaceableTextures\\CommandButtons\\BTN002.blp")</v>
      </c>
      <c r="CU170" s="88" t="str">
        <f t="shared" si="2765"/>
        <v>|n</v>
      </c>
      <c r="CV170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spans="1:175" ht="16.5">
      <c r="A171" s="15" t="s">
        <v>627</v>
      </c>
      <c r="B171" s="9" t="s">
        <v>634</v>
      </c>
      <c r="C171" s="15" t="s">
        <v>635</v>
      </c>
      <c r="T171" s="15" t="s">
        <v>636</v>
      </c>
      <c r="U171" s="77" t="str">
        <f t="shared" si="2687"/>
        <v>ReplaceableTextures\\CommandButtons\\BTNIT11.blp</v>
      </c>
      <c r="CN171" s="36" t="str">
        <f t="shared" si="2688"/>
        <v>InitUnitState('IT11',,,,,,,,,,)</v>
      </c>
      <c r="CO171" s="36" t="str">
        <f t="shared" si="2689"/>
        <v>InitUnitNormal('IT11',,,,,,,,,,)</v>
      </c>
      <c r="CP171" s="36" t="str">
        <f t="shared" si="2690"/>
        <v>InitUnitMagic('IT11',,,,,,,,,,)</v>
      </c>
      <c r="CQ171" s="36" t="str">
        <f t="shared" si="2691"/>
        <v>InitUnitAdd('IT11',,,,,,,,,,)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InitEquipData('IT11',,".",,,,,'','','','','','',"ReplaceableTextures\\CommandButtons\\BTNIT12.blp")</v>
      </c>
      <c r="CU171" s="88" t="str">
        <f t="shared" ref="CU171:CU182" si="2837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19" t="str">
        <f t="shared" ref="CV171:CV182" si="2838">T171</f>
        <v>境界挑战11</v>
      </c>
      <c r="CW171" s="33"/>
      <c r="CX171" s="33"/>
      <c r="CY171" s="33"/>
      <c r="CZ171" s="33"/>
      <c r="DA171" s="33"/>
      <c r="DB171" s="66" t="str">
        <f t="shared" ref="DB171:DB173" si="2839">IF(V171="","","|n"&amp;DB$2&amp;"+"&amp;V171&amp;DB$1)</f>
        <v/>
      </c>
      <c r="DC171" s="66" t="str">
        <f t="shared" ref="DC171:DC173" si="2840">IF(W171="","","|n"&amp;DC$2&amp;"+"&amp;W171&amp;DC$1)</f>
        <v/>
      </c>
      <c r="DD171" s="66" t="str">
        <f t="shared" ref="DD171:DD173" si="2841">IF(X171="","","|n"&amp;DD$2&amp;"+"&amp;X171&amp;DD$1)</f>
        <v/>
      </c>
      <c r="DE171" s="66" t="str">
        <f t="shared" ref="DE171:DE173" si="2842">IF(Y171="","","|n"&amp;DE$2&amp;"+"&amp;Y171&amp;DE$1)</f>
        <v/>
      </c>
      <c r="DF171" s="66" t="str">
        <f t="shared" ref="DF171:DF173" si="2843">IF(Z171="","","|n"&amp;DF$2&amp;"+"&amp;Z171&amp;DF$1)</f>
        <v/>
      </c>
      <c r="DG171" s="66" t="str">
        <f t="shared" ref="DG171:DG173" si="2844">IF(AA171="","","|n"&amp;DG$2&amp;"+"&amp;AA171&amp;DG$1)</f>
        <v/>
      </c>
      <c r="DH171" s="66" t="str">
        <f t="shared" ref="DH171:DH173" si="2845">IF(AB171="","","|n"&amp;DH$2&amp;"+"&amp;AB171&amp;DH$1)</f>
        <v/>
      </c>
      <c r="DI171" s="66" t="str">
        <f t="shared" ref="DI171:DI173" si="2846">IF(AC171="","","|n"&amp;DI$2&amp;"+"&amp;AC171&amp;DI$1)</f>
        <v/>
      </c>
      <c r="DJ171" s="66" t="str">
        <f t="shared" ref="DJ171:DJ173" si="2847">IF(AD171="","","|n"&amp;DJ$2&amp;"+"&amp;AD171&amp;DJ$1)</f>
        <v/>
      </c>
      <c r="DK171" s="66" t="str">
        <f t="shared" ref="DK171:DK173" si="2848">IF(AE171="","","|n"&amp;DK$2&amp;"+"&amp;AE171&amp;DK$1)</f>
        <v/>
      </c>
      <c r="DL171" s="66" t="str">
        <f t="shared" ref="DL171:DL173" si="2849">IF(AF171="","","|n"&amp;DL$2&amp;"+"&amp;AF171&amp;DL$1)</f>
        <v/>
      </c>
      <c r="DM171" s="66" t="str">
        <f t="shared" ref="DM171:DM173" si="2850">IF(AG171="","","|n"&amp;DM$2&amp;"+"&amp;AG171&amp;DM$1)</f>
        <v/>
      </c>
      <c r="DN171" s="66" t="str">
        <f t="shared" ref="DN171:DN173" si="2851">IF(AH171="","","|n"&amp;DN$2&amp;"+"&amp;AH171&amp;DN$1)</f>
        <v/>
      </c>
      <c r="DO171" s="66" t="str">
        <f t="shared" ref="DO171:DO173" si="2852">IF(AI171="","","|n"&amp;DO$2&amp;"+"&amp;AI171&amp;DO$1)</f>
        <v/>
      </c>
      <c r="DP171" s="66" t="str">
        <f t="shared" ref="DP171:DP173" si="2853">IF(AJ171="","","|n"&amp;DP$2&amp;"+"&amp;AJ171&amp;DP$1)</f>
        <v/>
      </c>
      <c r="DQ171" s="66" t="str">
        <f t="shared" ref="DQ171:DQ173" si="2854">IF(AK171="","","|n"&amp;DQ$2&amp;"+"&amp;AK171&amp;DQ$1)</f>
        <v/>
      </c>
      <c r="DR171" s="66" t="str">
        <f t="shared" ref="DR171:DR173" si="2855">IF(AL171="","","|n"&amp;DR$2&amp;"+"&amp;AL171&amp;DR$1)</f>
        <v/>
      </c>
      <c r="DS171" s="66" t="str">
        <f t="shared" ref="DS171:DS173" si="2856">IF(AM171="","","|n"&amp;DS$2&amp;"+"&amp;AM171&amp;DS$1)</f>
        <v/>
      </c>
      <c r="DT171" s="66" t="str">
        <f t="shared" ref="DT171:DT173" si="2857">IF(AN171="","","|n"&amp;DT$2&amp;"+"&amp;AN171&amp;DT$1)</f>
        <v/>
      </c>
      <c r="DU171" s="66" t="str">
        <f t="shared" ref="DU171:DU173" si="2858">IF(AO171="","","|n"&amp;DU$2&amp;"+"&amp;AO171&amp;DU$1)</f>
        <v/>
      </c>
      <c r="DV171" s="66" t="str">
        <f t="shared" ref="DV171:DV173" si="2859">IF(AP171="","","|n"&amp;DV$2&amp;"+"&amp;AP171&amp;DV$1)</f>
        <v/>
      </c>
      <c r="DW171" s="66" t="str">
        <f t="shared" ref="DW171:DW173" si="2860">IF(AQ171="","","|n"&amp;DW$2&amp;"+"&amp;AQ171&amp;DW$1)</f>
        <v/>
      </c>
      <c r="DX171" s="66" t="str">
        <f t="shared" ref="DX171:DX173" si="2861">IF(AR171="","","|n"&amp;DX$2&amp;"+"&amp;AR171&amp;DX$1)</f>
        <v/>
      </c>
      <c r="DY171" s="66" t="str">
        <f t="shared" ref="DY171:DY173" si="2862">IF(AS171="","","|n"&amp;DY$2&amp;"+"&amp;AS171&amp;DY$1)</f>
        <v/>
      </c>
      <c r="DZ171" s="66" t="str">
        <f t="shared" ref="DZ171:DZ173" si="2863">IF(AT171="","","|n"&amp;DZ$2&amp;"+"&amp;AT171&amp;DZ$1)</f>
        <v/>
      </c>
      <c r="EA171" s="66" t="str">
        <f t="shared" ref="EA171:EA173" si="2864">IF(AU171="","","|n"&amp;EA$2&amp;"+"&amp;AU171&amp;EA$1)</f>
        <v/>
      </c>
      <c r="EB171" s="66" t="str">
        <f t="shared" ref="EB171:EB173" si="2865">IF(AV171="","","|n"&amp;EB$2&amp;"+"&amp;AV171&amp;EB$1)</f>
        <v/>
      </c>
      <c r="EC171" s="66" t="str">
        <f t="shared" ref="EC171:EC173" si="2866">IF(AW171="","","|n"&amp;EC$2&amp;"+"&amp;AW171&amp;EC$1)</f>
        <v/>
      </c>
      <c r="ED171" s="66" t="str">
        <f t="shared" ref="ED171:ED173" si="2867">IF(AX171="","","|n"&amp;ED$2&amp;"+"&amp;AX171&amp;ED$1)</f>
        <v/>
      </c>
      <c r="EE171" s="66" t="str">
        <f t="shared" ref="EE171:EE173" si="2868">IF(AY171="","","|n"&amp;EE$2&amp;"+"&amp;AY171&amp;EE$1)</f>
        <v/>
      </c>
      <c r="EF171" s="66" t="str">
        <f t="shared" ref="EF171:EF173" si="2869">IF(AZ171="","","|n"&amp;EF$2&amp;"+"&amp;AZ171&amp;EF$1)</f>
        <v/>
      </c>
      <c r="EG171" s="66" t="str">
        <f t="shared" ref="EG171:EG173" si="2870">IF(BA171="","","|n"&amp;EG$2&amp;"+"&amp;BA171&amp;EG$1)</f>
        <v/>
      </c>
      <c r="EH171" s="66" t="str">
        <f t="shared" ref="EH171:EH173" si="2871">IF(BB171="","","|n"&amp;EH$2&amp;"+"&amp;BB171&amp;EH$1)</f>
        <v/>
      </c>
      <c r="EI171" s="66" t="str">
        <f t="shared" ref="EI171:EI173" si="2872">IF(BC171="","","|n"&amp;EI$2&amp;"+"&amp;BC171&amp;EI$1)</f>
        <v/>
      </c>
      <c r="EJ171" s="66" t="str">
        <f t="shared" ref="EJ171:EJ173" si="2873">IF(BD171="","","|n"&amp;EJ$2&amp;"+"&amp;BD171&amp;EJ$1)</f>
        <v/>
      </c>
      <c r="EK171" s="66" t="str">
        <f t="shared" ref="EK171:EK173" si="2874">IF(BE171="","","|n"&amp;EK$2&amp;"+"&amp;BE171&amp;EK$1)</f>
        <v/>
      </c>
      <c r="EL171" s="66" t="str">
        <f t="shared" ref="EL171:EL173" si="2875">IF(BF171="","","|n"&amp;EL$2&amp;"+"&amp;BF171&amp;EL$1)</f>
        <v/>
      </c>
      <c r="EM171" s="66" t="str">
        <f t="shared" ref="EM171:EM173" si="2876">IF(BG171="","","|n"&amp;EM$2&amp;"+"&amp;BG171&amp;EM$1)</f>
        <v/>
      </c>
      <c r="EN171" s="66" t="str">
        <f t="shared" ref="EN171:EN173" si="2877">IF(BH171="","","|n"&amp;EN$2&amp;"+"&amp;BH171&amp;EN$1)</f>
        <v/>
      </c>
      <c r="EO171" s="66" t="str">
        <f t="shared" ref="EO171:EO173" si="2878">IF(BI171="","","|n"&amp;EO$2&amp;"+"&amp;BI171&amp;EO$1)</f>
        <v/>
      </c>
      <c r="EP171" s="66" t="str">
        <f t="shared" ref="EP171:EP173" si="2879">IF(BJ171="","","|n"&amp;EP$2&amp;"+"&amp;BJ171&amp;EP$1)</f>
        <v/>
      </c>
      <c r="EQ171" s="66" t="str">
        <f t="shared" ref="EQ171:EQ173" si="2880">IF(BK171="","","|n"&amp;EQ$2&amp;"+"&amp;BK171&amp;EQ$1)</f>
        <v/>
      </c>
      <c r="ER171" s="66" t="str">
        <f t="shared" ref="ER171:ER173" si="2881">IF(BL171="","","|n"&amp;ER$2&amp;"+"&amp;BL171&amp;ER$1)</f>
        <v/>
      </c>
      <c r="ES171" s="66" t="str">
        <f t="shared" ref="ES171:ES173" si="2882">IF(BM171="","","|n"&amp;ES$2&amp;"+"&amp;BM171&amp;ES$1)</f>
        <v/>
      </c>
      <c r="ET171" s="66" t="str">
        <f t="shared" ref="ET171:ET173" si="2883">IF(BN171="","","|n"&amp;ET$2&amp;"+"&amp;BN171&amp;ET$1)</f>
        <v/>
      </c>
      <c r="EU171" s="66" t="str">
        <f t="shared" ref="EU171:EU173" si="2884">IF(BO171="","","|n"&amp;EU$2&amp;"+"&amp;BO171&amp;EU$1)</f>
        <v/>
      </c>
      <c r="EV171" s="66" t="str">
        <f t="shared" ref="EV171:EV173" si="2885">IF(BP171="","","|n"&amp;EV$2&amp;"+"&amp;BP171&amp;EV$1)</f>
        <v/>
      </c>
      <c r="EW171" s="66" t="str">
        <f t="shared" ref="EW171:EW173" si="2886">IF(BQ171="","","|n"&amp;EW$2&amp;"+"&amp;BQ171&amp;EW$1)</f>
        <v/>
      </c>
      <c r="EX171" s="66" t="str">
        <f t="shared" ref="EX171:EX173" si="2887">IF(BR171="","","|n"&amp;EX$2&amp;"+"&amp;BR171&amp;EX$1)</f>
        <v/>
      </c>
      <c r="EY171" s="66" t="str">
        <f t="shared" ref="EY171:EY173" si="2888">IF(BS171="","","|n"&amp;EY$2&amp;"+"&amp;BS171&amp;EY$1)</f>
        <v/>
      </c>
      <c r="EZ171" s="66" t="str">
        <f t="shared" ref="EZ171:EZ173" si="2889">IF(BT171="","","|n"&amp;EZ$2&amp;"+"&amp;BT171&amp;EZ$1)</f>
        <v/>
      </c>
      <c r="FA171" s="66" t="str">
        <f t="shared" ref="FA171:FA173" si="2890">IF(BU171="","","|n"&amp;FA$2&amp;"+"&amp;BU171&amp;FA$1)</f>
        <v/>
      </c>
      <c r="FB171" s="66" t="str">
        <f t="shared" ref="FB171:FB173" si="2891">IF(BV171="","","|n"&amp;FB$2&amp;"+"&amp;BV171&amp;FB$1)</f>
        <v/>
      </c>
      <c r="FC171" s="66" t="str">
        <f t="shared" ref="FC171:FC173" si="2892">IF(BW171="","","|n"&amp;FC$2&amp;"+"&amp;BW171&amp;FC$1)</f>
        <v/>
      </c>
      <c r="FD171" s="66" t="str">
        <f t="shared" ref="FD171:FD173" si="2893">IF(BX171="","","|n"&amp;FD$2&amp;"+"&amp;BX171&amp;FD$1)</f>
        <v/>
      </c>
      <c r="FE171" s="66" t="str">
        <f t="shared" ref="FE171:FE173" si="2894">IF(BY171="","","|n"&amp;FE$2&amp;"+"&amp;BY171&amp;FE$1)</f>
        <v/>
      </c>
      <c r="FF171" s="66" t="str">
        <f t="shared" ref="FF171:FF173" si="2895">IF(BZ171="","","|n"&amp;FF$2&amp;"+"&amp;BZ171&amp;FF$1)</f>
        <v/>
      </c>
      <c r="FG171" s="66" t="str">
        <f t="shared" ref="FG171:FG173" si="2896">IF(CA171="","","|n"&amp;FG$2&amp;"+"&amp;CA171&amp;FG$1)</f>
        <v/>
      </c>
      <c r="FH171" s="66" t="str">
        <f t="shared" ref="FH171:FH173" si="2897">IF(CB171="","","|n"&amp;FH$2&amp;"+"&amp;CB171&amp;FH$1)</f>
        <v/>
      </c>
      <c r="FI171" s="66" t="str">
        <f t="shared" ref="FI171:FI173" si="2898">IF(CC171="","","|n"&amp;FI$2&amp;"+"&amp;CC171&amp;FI$1)</f>
        <v/>
      </c>
      <c r="FJ171" s="66" t="str">
        <f t="shared" ref="FJ171:FJ173" si="2899">IF(CD171="","","|n"&amp;FJ$2&amp;"+"&amp;CD171&amp;FJ$1)</f>
        <v/>
      </c>
      <c r="FK171" s="66" t="str">
        <f t="shared" ref="FK171:FK173" si="2900">IF(CE171="","","|n"&amp;FK$2&amp;"+"&amp;CE171&amp;FK$1)</f>
        <v/>
      </c>
      <c r="FL171" s="66" t="str">
        <f t="shared" ref="FL171:FL173" si="2901">IF(CF171="","","|n"&amp;FL$2&amp;"+"&amp;CF171&amp;FL$1)</f>
        <v/>
      </c>
      <c r="FM171" s="66" t="str">
        <f t="shared" ref="FM171:FM173" si="2902">IF(CG171="","","|n"&amp;FM$2&amp;"+"&amp;CG171&amp;FM$1)</f>
        <v/>
      </c>
      <c r="FN171" s="66" t="str">
        <f t="shared" ref="FN171:FN173" si="2903">IF(CH171="","","|n"&amp;FN$2&amp;"+"&amp;CH171&amp;FN$1)</f>
        <v/>
      </c>
      <c r="FO171" s="66" t="str">
        <f t="shared" ref="FO171:FO173" si="2904">IF(CI171="","","|n"&amp;FO$2&amp;"+"&amp;CI171&amp;FO$1)</f>
        <v/>
      </c>
      <c r="FP171" s="66" t="str">
        <f t="shared" ref="FP171:FP173" si="2905">IF(CJ171="","","|n"&amp;FP$2&amp;"+"&amp;CJ171&amp;FP$1)</f>
        <v/>
      </c>
      <c r="FQ171" s="66" t="str">
        <f t="shared" ref="FQ171:FQ173" si="2906">IF(CK171="","","|n"&amp;FQ$2&amp;"+"&amp;CK171&amp;FQ$1)</f>
        <v/>
      </c>
      <c r="FR171" s="66" t="str">
        <f t="shared" ref="FR171:FR173" si="2907">IF(CL171="","","|n"&amp;FR$2&amp;"+"&amp;CL171&amp;FR$1)</f>
        <v/>
      </c>
      <c r="FS171" s="66" t="str">
        <f t="shared" ref="FS171:FS173" si="2908">IF(CM171="","","|n"&amp;FS$2&amp;"+"&amp;CM171&amp;FS$1)</f>
        <v/>
      </c>
    </row>
    <row r="172" spans="1:175" ht="16.5">
      <c r="A172" s="15"/>
      <c r="B172" s="9" t="s">
        <v>637</v>
      </c>
      <c r="C172" s="15" t="s">
        <v>638</v>
      </c>
      <c r="T172" s="15" t="s">
        <v>639</v>
      </c>
      <c r="U172" s="77" t="str">
        <f t="shared" si="2687"/>
        <v>ReplaceableTextures\\CommandButtons\\BTNIT12.blp</v>
      </c>
      <c r="CN172" s="36" t="str">
        <f t="shared" si="2688"/>
        <v>InitUnitState('IT12',,,,,,,,,,)</v>
      </c>
      <c r="CO172" s="36" t="str">
        <f t="shared" si="2689"/>
        <v>InitUnitNormal('IT12',,,,,,,,,,)</v>
      </c>
      <c r="CP172" s="36" t="str">
        <f t="shared" si="2690"/>
        <v>InitUnitMagic('IT12',,,,,,,,,,)</v>
      </c>
      <c r="CQ172" s="36" t="str">
        <f t="shared" si="2691"/>
        <v>InitUnitAdd('IT12',,,,,,,,,,)</v>
      </c>
      <c r="CR172" s="36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InitEquipData('IT12',,"",,,,,'','','','','','',"ReplaceableTextures\\CommandButtons\\BTNIT13.blp")</v>
      </c>
      <c r="CU172" s="88" t="str">
        <f t="shared" si="2837"/>
        <v>|n</v>
      </c>
      <c r="CV172" s="19" t="str">
        <f t="shared" si="2838"/>
        <v>境界挑战12</v>
      </c>
      <c r="CW172" s="33"/>
      <c r="CX172" s="33"/>
      <c r="CY172" s="33"/>
      <c r="CZ172" s="33"/>
      <c r="DA172" s="33"/>
      <c r="DB172" s="66" t="str">
        <f t="shared" si="2839"/>
        <v/>
      </c>
      <c r="DC172" s="66" t="str">
        <f t="shared" si="2840"/>
        <v/>
      </c>
      <c r="DD172" s="66" t="str">
        <f t="shared" si="2841"/>
        <v/>
      </c>
      <c r="DE172" s="66" t="str">
        <f t="shared" si="2842"/>
        <v/>
      </c>
      <c r="DF172" s="66" t="str">
        <f t="shared" si="2843"/>
        <v/>
      </c>
      <c r="DG172" s="66" t="str">
        <f t="shared" si="2844"/>
        <v/>
      </c>
      <c r="DH172" s="66" t="str">
        <f t="shared" si="2845"/>
        <v/>
      </c>
      <c r="DI172" s="66" t="str">
        <f t="shared" si="2846"/>
        <v/>
      </c>
      <c r="DJ172" s="66" t="str">
        <f t="shared" si="2847"/>
        <v/>
      </c>
      <c r="DK172" s="66" t="str">
        <f t="shared" si="2848"/>
        <v/>
      </c>
      <c r="DL172" s="66" t="str">
        <f t="shared" si="2849"/>
        <v/>
      </c>
      <c r="DM172" s="66" t="str">
        <f t="shared" si="2850"/>
        <v/>
      </c>
      <c r="DN172" s="66" t="str">
        <f t="shared" si="2851"/>
        <v/>
      </c>
      <c r="DO172" s="66" t="str">
        <f t="shared" si="2852"/>
        <v/>
      </c>
      <c r="DP172" s="66" t="str">
        <f t="shared" si="2853"/>
        <v/>
      </c>
      <c r="DQ172" s="66" t="str">
        <f t="shared" si="2854"/>
        <v/>
      </c>
      <c r="DR172" s="66" t="str">
        <f t="shared" si="2855"/>
        <v/>
      </c>
      <c r="DS172" s="66" t="str">
        <f t="shared" si="2856"/>
        <v/>
      </c>
      <c r="DT172" s="66" t="str">
        <f t="shared" si="2857"/>
        <v/>
      </c>
      <c r="DU172" s="66" t="str">
        <f t="shared" si="2858"/>
        <v/>
      </c>
      <c r="DV172" s="66" t="str">
        <f t="shared" si="2859"/>
        <v/>
      </c>
      <c r="DW172" s="66" t="str">
        <f t="shared" si="2860"/>
        <v/>
      </c>
      <c r="DX172" s="66" t="str">
        <f t="shared" si="2861"/>
        <v/>
      </c>
      <c r="DY172" s="66" t="str">
        <f t="shared" si="2862"/>
        <v/>
      </c>
      <c r="DZ172" s="66" t="str">
        <f t="shared" si="2863"/>
        <v/>
      </c>
      <c r="EA172" s="66" t="str">
        <f t="shared" si="2864"/>
        <v/>
      </c>
      <c r="EB172" s="66" t="str">
        <f t="shared" si="2865"/>
        <v/>
      </c>
      <c r="EC172" s="66" t="str">
        <f t="shared" si="2866"/>
        <v/>
      </c>
      <c r="ED172" s="66" t="str">
        <f t="shared" si="2867"/>
        <v/>
      </c>
      <c r="EE172" s="66" t="str">
        <f t="shared" si="2868"/>
        <v/>
      </c>
      <c r="EF172" s="66" t="str">
        <f t="shared" si="2869"/>
        <v/>
      </c>
      <c r="EG172" s="66" t="str">
        <f t="shared" si="2870"/>
        <v/>
      </c>
      <c r="EH172" s="66" t="str">
        <f t="shared" si="2871"/>
        <v/>
      </c>
      <c r="EI172" s="66" t="str">
        <f t="shared" si="2872"/>
        <v/>
      </c>
      <c r="EJ172" s="66" t="str">
        <f t="shared" si="2873"/>
        <v/>
      </c>
      <c r="EK172" s="66" t="str">
        <f t="shared" si="2874"/>
        <v/>
      </c>
      <c r="EL172" s="66" t="str">
        <f t="shared" si="2875"/>
        <v/>
      </c>
      <c r="EM172" s="66" t="str">
        <f t="shared" si="2876"/>
        <v/>
      </c>
      <c r="EN172" s="66" t="str">
        <f t="shared" si="2877"/>
        <v/>
      </c>
      <c r="EO172" s="66" t="str">
        <f t="shared" si="2878"/>
        <v/>
      </c>
      <c r="EP172" s="66" t="str">
        <f t="shared" si="2879"/>
        <v/>
      </c>
      <c r="EQ172" s="66" t="str">
        <f t="shared" si="2880"/>
        <v/>
      </c>
      <c r="ER172" s="66" t="str">
        <f t="shared" si="2881"/>
        <v/>
      </c>
      <c r="ES172" s="66" t="str">
        <f t="shared" si="2882"/>
        <v/>
      </c>
      <c r="ET172" s="66" t="str">
        <f t="shared" si="2883"/>
        <v/>
      </c>
      <c r="EU172" s="66" t="str">
        <f t="shared" si="2884"/>
        <v/>
      </c>
      <c r="EV172" s="66" t="str">
        <f t="shared" si="2885"/>
        <v/>
      </c>
      <c r="EW172" s="66" t="str">
        <f t="shared" si="2886"/>
        <v/>
      </c>
      <c r="EX172" s="66" t="str">
        <f t="shared" si="2887"/>
        <v/>
      </c>
      <c r="EY172" s="66" t="str">
        <f t="shared" si="2888"/>
        <v/>
      </c>
      <c r="EZ172" s="66" t="str">
        <f t="shared" si="2889"/>
        <v/>
      </c>
      <c r="FA172" s="66" t="str">
        <f t="shared" si="2890"/>
        <v/>
      </c>
      <c r="FB172" s="66" t="str">
        <f t="shared" si="2891"/>
        <v/>
      </c>
      <c r="FC172" s="66" t="str">
        <f t="shared" si="2892"/>
        <v/>
      </c>
      <c r="FD172" s="66" t="str">
        <f t="shared" si="2893"/>
        <v/>
      </c>
      <c r="FE172" s="66" t="str">
        <f t="shared" si="2894"/>
        <v/>
      </c>
      <c r="FF172" s="66" t="str">
        <f t="shared" si="2895"/>
        <v/>
      </c>
      <c r="FG172" s="66" t="str">
        <f t="shared" si="2896"/>
        <v/>
      </c>
      <c r="FH172" s="66" t="str">
        <f t="shared" si="2897"/>
        <v/>
      </c>
      <c r="FI172" s="66" t="str">
        <f t="shared" si="2898"/>
        <v/>
      </c>
      <c r="FJ172" s="66" t="str">
        <f t="shared" si="2899"/>
        <v/>
      </c>
      <c r="FK172" s="66" t="str">
        <f t="shared" si="2900"/>
        <v/>
      </c>
      <c r="FL172" s="66" t="str">
        <f t="shared" si="2901"/>
        <v/>
      </c>
      <c r="FM172" s="66" t="str">
        <f t="shared" si="2902"/>
        <v/>
      </c>
      <c r="FN172" s="66" t="str">
        <f t="shared" si="2903"/>
        <v/>
      </c>
      <c r="FO172" s="66" t="str">
        <f t="shared" si="2904"/>
        <v/>
      </c>
      <c r="FP172" s="66" t="str">
        <f t="shared" si="2905"/>
        <v/>
      </c>
      <c r="FQ172" s="66" t="str">
        <f t="shared" si="2906"/>
        <v/>
      </c>
      <c r="FR172" s="66" t="str">
        <f t="shared" si="2907"/>
        <v/>
      </c>
      <c r="FS172" s="66" t="str">
        <f t="shared" si="2908"/>
        <v/>
      </c>
    </row>
    <row r="173" spans="1:175" ht="16.5">
      <c r="A173" s="15"/>
      <c r="B173" s="9" t="s">
        <v>640</v>
      </c>
      <c r="C173" s="15" t="s">
        <v>641</v>
      </c>
      <c r="T173" s="15" t="s">
        <v>642</v>
      </c>
      <c r="U173" s="77" t="str">
        <f t="shared" si="2687"/>
        <v>ReplaceableTextures\\CommandButtons\\BTNIT13.blp</v>
      </c>
      <c r="CN173" s="36" t="str">
        <f t="shared" si="2688"/>
        <v>InitUnitState('IT13',,,,,,,,,,)</v>
      </c>
      <c r="CO173" s="36" t="str">
        <f t="shared" si="2689"/>
        <v>InitUnitNormal('IT13',,,,,,,,,,)</v>
      </c>
      <c r="CP173" s="36" t="str">
        <f t="shared" si="2690"/>
        <v>InitUnitMagic('IT13',,,,,,,,,,)</v>
      </c>
      <c r="CQ173" s="36" t="str">
        <f t="shared" si="2691"/>
        <v>InitUnitAdd('IT13',,,,,,,,,,)</v>
      </c>
      <c r="CR173" s="36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88" t="str">
        <f t="shared" si="2837"/>
        <v>|n</v>
      </c>
      <c r="CV173" s="19" t="str">
        <f t="shared" si="2838"/>
        <v>境界挑战13</v>
      </c>
      <c r="CW173" s="33"/>
      <c r="CX173" s="33"/>
      <c r="CY173" s="33"/>
      <c r="CZ173" s="33"/>
      <c r="DA173" s="33"/>
      <c r="DB173" s="66" t="str">
        <f t="shared" si="2839"/>
        <v/>
      </c>
      <c r="DC173" s="66" t="str">
        <f t="shared" si="2840"/>
        <v/>
      </c>
      <c r="DD173" s="66" t="str">
        <f t="shared" si="2841"/>
        <v/>
      </c>
      <c r="DE173" s="66" t="str">
        <f t="shared" si="2842"/>
        <v/>
      </c>
      <c r="DF173" s="66" t="str">
        <f t="shared" si="2843"/>
        <v/>
      </c>
      <c r="DG173" s="66" t="str">
        <f t="shared" si="2844"/>
        <v/>
      </c>
      <c r="DH173" s="66" t="str">
        <f t="shared" si="2845"/>
        <v/>
      </c>
      <c r="DI173" s="66" t="str">
        <f t="shared" si="2846"/>
        <v/>
      </c>
      <c r="DJ173" s="66" t="str">
        <f t="shared" si="2847"/>
        <v/>
      </c>
      <c r="DK173" s="66" t="str">
        <f t="shared" si="2848"/>
        <v/>
      </c>
      <c r="DL173" s="66" t="str">
        <f t="shared" si="2849"/>
        <v/>
      </c>
      <c r="DM173" s="66" t="str">
        <f t="shared" si="2850"/>
        <v/>
      </c>
      <c r="DN173" s="66" t="str">
        <f t="shared" si="2851"/>
        <v/>
      </c>
      <c r="DO173" s="66" t="str">
        <f t="shared" si="2852"/>
        <v/>
      </c>
      <c r="DP173" s="66" t="str">
        <f t="shared" si="2853"/>
        <v/>
      </c>
      <c r="DQ173" s="66" t="str">
        <f t="shared" si="2854"/>
        <v/>
      </c>
      <c r="DR173" s="66" t="str">
        <f t="shared" si="2855"/>
        <v/>
      </c>
      <c r="DS173" s="66" t="str">
        <f t="shared" si="2856"/>
        <v/>
      </c>
      <c r="DT173" s="66" t="str">
        <f t="shared" si="2857"/>
        <v/>
      </c>
      <c r="DU173" s="66" t="str">
        <f t="shared" si="2858"/>
        <v/>
      </c>
      <c r="DV173" s="66" t="str">
        <f t="shared" si="2859"/>
        <v/>
      </c>
      <c r="DW173" s="66" t="str">
        <f t="shared" si="2860"/>
        <v/>
      </c>
      <c r="DX173" s="66" t="str">
        <f t="shared" si="2861"/>
        <v/>
      </c>
      <c r="DY173" s="66" t="str">
        <f t="shared" si="2862"/>
        <v/>
      </c>
      <c r="DZ173" s="66" t="str">
        <f t="shared" si="2863"/>
        <v/>
      </c>
      <c r="EA173" s="66" t="str">
        <f t="shared" si="2864"/>
        <v/>
      </c>
      <c r="EB173" s="66" t="str">
        <f t="shared" si="2865"/>
        <v/>
      </c>
      <c r="EC173" s="66" t="str">
        <f t="shared" si="2866"/>
        <v/>
      </c>
      <c r="ED173" s="66" t="str">
        <f t="shared" si="2867"/>
        <v/>
      </c>
      <c r="EE173" s="66" t="str">
        <f t="shared" si="2868"/>
        <v/>
      </c>
      <c r="EF173" s="66" t="str">
        <f t="shared" si="2869"/>
        <v/>
      </c>
      <c r="EG173" s="66" t="str">
        <f t="shared" si="2870"/>
        <v/>
      </c>
      <c r="EH173" s="66" t="str">
        <f t="shared" si="2871"/>
        <v/>
      </c>
      <c r="EI173" s="66" t="str">
        <f t="shared" si="2872"/>
        <v/>
      </c>
      <c r="EJ173" s="66" t="str">
        <f t="shared" si="2873"/>
        <v/>
      </c>
      <c r="EK173" s="66" t="str">
        <f t="shared" si="2874"/>
        <v/>
      </c>
      <c r="EL173" s="66" t="str">
        <f t="shared" si="2875"/>
        <v/>
      </c>
      <c r="EM173" s="66" t="str">
        <f t="shared" si="2876"/>
        <v/>
      </c>
      <c r="EN173" s="66" t="str">
        <f t="shared" si="2877"/>
        <v/>
      </c>
      <c r="EO173" s="66" t="str">
        <f t="shared" si="2878"/>
        <v/>
      </c>
      <c r="EP173" s="66" t="str">
        <f t="shared" si="2879"/>
        <v/>
      </c>
      <c r="EQ173" s="66" t="str">
        <f t="shared" si="2880"/>
        <v/>
      </c>
      <c r="ER173" s="66" t="str">
        <f t="shared" si="2881"/>
        <v/>
      </c>
      <c r="ES173" s="66" t="str">
        <f t="shared" si="2882"/>
        <v/>
      </c>
      <c r="ET173" s="66" t="str">
        <f t="shared" si="2883"/>
        <v/>
      </c>
      <c r="EU173" s="66" t="str">
        <f t="shared" si="2884"/>
        <v/>
      </c>
      <c r="EV173" s="66" t="str">
        <f t="shared" si="2885"/>
        <v/>
      </c>
      <c r="EW173" s="66" t="str">
        <f t="shared" si="2886"/>
        <v/>
      </c>
      <c r="EX173" s="66" t="str">
        <f t="shared" si="2887"/>
        <v/>
      </c>
      <c r="EY173" s="66" t="str">
        <f t="shared" si="2888"/>
        <v/>
      </c>
      <c r="EZ173" s="66" t="str">
        <f t="shared" si="2889"/>
        <v/>
      </c>
      <c r="FA173" s="66" t="str">
        <f t="shared" si="2890"/>
        <v/>
      </c>
      <c r="FB173" s="66" t="str">
        <f t="shared" si="2891"/>
        <v/>
      </c>
      <c r="FC173" s="66" t="str">
        <f t="shared" si="2892"/>
        <v/>
      </c>
      <c r="FD173" s="66" t="str">
        <f t="shared" si="2893"/>
        <v/>
      </c>
      <c r="FE173" s="66" t="str">
        <f t="shared" si="2894"/>
        <v/>
      </c>
      <c r="FF173" s="66" t="str">
        <f t="shared" si="2895"/>
        <v/>
      </c>
      <c r="FG173" s="66" t="str">
        <f t="shared" si="2896"/>
        <v/>
      </c>
      <c r="FH173" s="66" t="str">
        <f t="shared" si="2897"/>
        <v/>
      </c>
      <c r="FI173" s="66" t="str">
        <f t="shared" si="2898"/>
        <v/>
      </c>
      <c r="FJ173" s="66" t="str">
        <f t="shared" si="2899"/>
        <v/>
      </c>
      <c r="FK173" s="66" t="str">
        <f t="shared" si="2900"/>
        <v/>
      </c>
      <c r="FL173" s="66" t="str">
        <f t="shared" si="2901"/>
        <v/>
      </c>
      <c r="FM173" s="66" t="str">
        <f t="shared" si="2902"/>
        <v/>
      </c>
      <c r="FN173" s="66" t="str">
        <f t="shared" si="2903"/>
        <v/>
      </c>
      <c r="FO173" s="66" t="str">
        <f t="shared" si="2904"/>
        <v/>
      </c>
      <c r="FP173" s="66" t="str">
        <f t="shared" si="2905"/>
        <v/>
      </c>
      <c r="FQ173" s="66" t="str">
        <f t="shared" si="2906"/>
        <v/>
      </c>
      <c r="FR173" s="66" t="str">
        <f t="shared" si="2907"/>
        <v/>
      </c>
      <c r="FS173" s="66" t="str">
        <f t="shared" si="2908"/>
        <v/>
      </c>
    </row>
    <row r="174" spans="1:175" ht="16.5">
      <c r="A174" s="15"/>
      <c r="B174" s="9" t="s">
        <v>643</v>
      </c>
      <c r="C174" s="15" t="s">
        <v>644</v>
      </c>
      <c r="T174" s="15" t="s">
        <v>644</v>
      </c>
      <c r="U174" s="77" t="str">
        <f t="shared" si="2687"/>
        <v>ReplaceableTextures\\CommandButtons\\BTNIT14.blp</v>
      </c>
      <c r="CN174" s="36" t="str">
        <f t="shared" si="2688"/>
        <v>InitUnitState('IT14',,,,,,,,,,)</v>
      </c>
      <c r="CO174" s="36" t="str">
        <f t="shared" si="2689"/>
        <v>InitUnitNormal('IT14',,,,,,,,,,)</v>
      </c>
      <c r="CP174" s="36" t="str">
        <f t="shared" si="2690"/>
        <v>InitUnitMagic('IT14',,,,,,,,,,)</v>
      </c>
      <c r="CQ174" s="36" t="str">
        <f t="shared" si="2691"/>
        <v>InitUnitAdd('IT14',,,,,,,,,,)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188&amp;CR$1&amp;")"</f>
        <v>InitEquipData('IT14',,"",,,,,'','','','','','',"ReplaceableTextures\\CommandButtons\\BTNIH00.blp")</v>
      </c>
      <c r="CU174" s="88" t="str">
        <f t="shared" si="2837"/>
        <v>|n</v>
      </c>
      <c r="CV174" s="19" t="str">
        <f t="shared" si="2838"/>
        <v>境界挑战14</v>
      </c>
      <c r="CW174" s="33"/>
      <c r="CX174" s="33"/>
      <c r="CY174" s="33"/>
      <c r="CZ174" s="33"/>
      <c r="DA174" s="33"/>
      <c r="DB174" s="66" t="str">
        <f t="shared" ref="DB174:EG175" si="2909">IF(V174="","","|n"&amp;DB$2&amp;"+"&amp;V174&amp;DB$1)</f>
        <v/>
      </c>
      <c r="DC174" s="66" t="str">
        <f t="shared" si="2909"/>
        <v/>
      </c>
      <c r="DD174" s="66" t="str">
        <f t="shared" si="2909"/>
        <v/>
      </c>
      <c r="DE174" s="66" t="str">
        <f t="shared" si="2909"/>
        <v/>
      </c>
      <c r="DF174" s="66" t="str">
        <f t="shared" si="2909"/>
        <v/>
      </c>
      <c r="DG174" s="66" t="str">
        <f t="shared" si="2909"/>
        <v/>
      </c>
      <c r="DH174" s="66" t="str">
        <f t="shared" si="2909"/>
        <v/>
      </c>
      <c r="DI174" s="66" t="str">
        <f t="shared" si="2909"/>
        <v/>
      </c>
      <c r="DJ174" s="66" t="str">
        <f t="shared" si="2909"/>
        <v/>
      </c>
      <c r="DK174" s="66" t="str">
        <f t="shared" si="2909"/>
        <v/>
      </c>
      <c r="DL174" s="66" t="str">
        <f t="shared" si="2909"/>
        <v/>
      </c>
      <c r="DM174" s="66" t="str">
        <f t="shared" si="2909"/>
        <v/>
      </c>
      <c r="DN174" s="66" t="str">
        <f t="shared" si="2909"/>
        <v/>
      </c>
      <c r="DO174" s="66" t="str">
        <f t="shared" si="2909"/>
        <v/>
      </c>
      <c r="DP174" s="66" t="str">
        <f t="shared" si="2909"/>
        <v/>
      </c>
      <c r="DQ174" s="66" t="str">
        <f t="shared" si="2909"/>
        <v/>
      </c>
      <c r="DR174" s="66" t="str">
        <f t="shared" si="2909"/>
        <v/>
      </c>
      <c r="DS174" s="66" t="str">
        <f t="shared" si="2909"/>
        <v/>
      </c>
      <c r="DT174" s="66" t="str">
        <f t="shared" si="2909"/>
        <v/>
      </c>
      <c r="DU174" s="66" t="str">
        <f t="shared" si="2909"/>
        <v/>
      </c>
      <c r="DV174" s="66" t="str">
        <f t="shared" si="2909"/>
        <v/>
      </c>
      <c r="DW174" s="66" t="str">
        <f t="shared" si="2909"/>
        <v/>
      </c>
      <c r="DX174" s="66" t="str">
        <f t="shared" si="2909"/>
        <v/>
      </c>
      <c r="DY174" s="66" t="str">
        <f t="shared" si="2909"/>
        <v/>
      </c>
      <c r="DZ174" s="66" t="str">
        <f t="shared" si="2909"/>
        <v/>
      </c>
      <c r="EA174" s="66" t="str">
        <f t="shared" si="2909"/>
        <v/>
      </c>
      <c r="EB174" s="66" t="str">
        <f t="shared" si="2909"/>
        <v/>
      </c>
      <c r="EC174" s="66" t="str">
        <f t="shared" si="2909"/>
        <v/>
      </c>
      <c r="ED174" s="66" t="str">
        <f t="shared" si="2909"/>
        <v/>
      </c>
      <c r="EE174" s="66" t="str">
        <f t="shared" si="2909"/>
        <v/>
      </c>
      <c r="EF174" s="66" t="str">
        <f t="shared" si="2909"/>
        <v/>
      </c>
      <c r="EG174" s="66" t="str">
        <f t="shared" si="2909"/>
        <v/>
      </c>
      <c r="EH174" s="66" t="str">
        <f t="shared" ref="EH174:FM175" si="2910">IF(BB174="","","|n"&amp;EH$2&amp;"+"&amp;BB174&amp;EH$1)</f>
        <v/>
      </c>
      <c r="EI174" s="66" t="str">
        <f t="shared" si="2910"/>
        <v/>
      </c>
      <c r="EJ174" s="66" t="str">
        <f t="shared" si="2910"/>
        <v/>
      </c>
      <c r="EK174" s="66" t="str">
        <f t="shared" si="2910"/>
        <v/>
      </c>
      <c r="EL174" s="66" t="str">
        <f t="shared" si="2910"/>
        <v/>
      </c>
      <c r="EM174" s="66" t="str">
        <f t="shared" si="2910"/>
        <v/>
      </c>
      <c r="EN174" s="66" t="str">
        <f t="shared" si="2910"/>
        <v/>
      </c>
      <c r="EO174" s="66" t="str">
        <f t="shared" si="2910"/>
        <v/>
      </c>
      <c r="EP174" s="66" t="str">
        <f t="shared" si="2910"/>
        <v/>
      </c>
      <c r="EQ174" s="66" t="str">
        <f t="shared" si="2910"/>
        <v/>
      </c>
      <c r="ER174" s="66" t="str">
        <f t="shared" si="2910"/>
        <v/>
      </c>
      <c r="ES174" s="66" t="str">
        <f t="shared" si="2910"/>
        <v/>
      </c>
      <c r="ET174" s="66" t="str">
        <f t="shared" si="2910"/>
        <v/>
      </c>
      <c r="EU174" s="66" t="str">
        <f t="shared" si="2910"/>
        <v/>
      </c>
      <c r="EV174" s="66" t="str">
        <f t="shared" si="2910"/>
        <v/>
      </c>
      <c r="EW174" s="66" t="str">
        <f t="shared" si="2910"/>
        <v/>
      </c>
      <c r="EX174" s="66" t="str">
        <f t="shared" si="2910"/>
        <v/>
      </c>
      <c r="EY174" s="66" t="str">
        <f t="shared" si="2910"/>
        <v/>
      </c>
      <c r="EZ174" s="66" t="str">
        <f t="shared" si="2910"/>
        <v/>
      </c>
      <c r="FA174" s="66" t="str">
        <f t="shared" si="2910"/>
        <v/>
      </c>
      <c r="FB174" s="66" t="str">
        <f t="shared" si="2910"/>
        <v/>
      </c>
      <c r="FC174" s="66" t="str">
        <f t="shared" si="2910"/>
        <v/>
      </c>
      <c r="FD174" s="66" t="str">
        <f t="shared" si="2910"/>
        <v/>
      </c>
      <c r="FE174" s="66" t="str">
        <f t="shared" si="2910"/>
        <v/>
      </c>
      <c r="FF174" s="66" t="str">
        <f t="shared" si="2910"/>
        <v/>
      </c>
      <c r="FG174" s="66" t="str">
        <f t="shared" si="2910"/>
        <v/>
      </c>
      <c r="FH174" s="66" t="str">
        <f t="shared" si="2910"/>
        <v/>
      </c>
      <c r="FI174" s="66" t="str">
        <f t="shared" si="2910"/>
        <v/>
      </c>
      <c r="FJ174" s="66" t="str">
        <f t="shared" si="2910"/>
        <v/>
      </c>
      <c r="FK174" s="66" t="str">
        <f t="shared" si="2910"/>
        <v/>
      </c>
      <c r="FL174" s="66" t="str">
        <f t="shared" si="2910"/>
        <v/>
      </c>
      <c r="FM174" s="66" t="str">
        <f t="shared" si="2910"/>
        <v/>
      </c>
      <c r="FN174" s="66" t="str">
        <f t="shared" ref="FN174:FS175" si="2911">IF(CH174="","","|n"&amp;FN$2&amp;"+"&amp;CH174&amp;FN$1)</f>
        <v/>
      </c>
      <c r="FO174" s="66" t="str">
        <f t="shared" si="2911"/>
        <v/>
      </c>
      <c r="FP174" s="66" t="str">
        <f t="shared" si="2911"/>
        <v/>
      </c>
      <c r="FQ174" s="66" t="str">
        <f t="shared" si="2911"/>
        <v/>
      </c>
      <c r="FR174" s="66" t="str">
        <f t="shared" si="2911"/>
        <v/>
      </c>
      <c r="FS174" s="66" t="str">
        <f t="shared" si="2911"/>
        <v/>
      </c>
    </row>
    <row r="175" spans="1:175" s="29" customFormat="1" ht="16.5">
      <c r="A175" s="15"/>
      <c r="B175" s="9" t="s">
        <v>645</v>
      </c>
      <c r="C175" s="15" t="s">
        <v>646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2"/>
      <c r="Q175" s="92"/>
      <c r="R175" s="92"/>
      <c r="S175" s="92"/>
      <c r="T175" s="15" t="s">
        <v>647</v>
      </c>
      <c r="U175" s="77" t="str">
        <f t="shared" ref="U175:U177" si="2912">"ReplaceableTextures\\CommandButtons\\BTN"&amp;B175&amp;".blp"</f>
        <v>ReplaceableTextures\\CommandButtons\\BTNIZ0A.blp</v>
      </c>
      <c r="V175" s="102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3"/>
      <c r="AN175" s="103"/>
      <c r="AO175" s="103"/>
      <c r="AP175" s="103"/>
      <c r="AQ175" s="103"/>
      <c r="AR175" s="65"/>
      <c r="AS175" s="65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  <c r="CJ175" s="103"/>
      <c r="CK175" s="103"/>
      <c r="CL175" s="103"/>
      <c r="CM175" s="103"/>
      <c r="CN175" s="107" t="str">
        <f t="shared" ref="CN175" si="2913">"InitUnitState('"&amp;B175&amp;"',"&amp;V175&amp;","&amp;W175&amp;","&amp;X175&amp;","&amp;Y175&amp;","&amp;Z175&amp;","&amp;AA175&amp;","&amp;AB175&amp;","&amp;AC175&amp;","&amp;AD175&amp;","&amp;AE175&amp;")"</f>
        <v>InitUnitState('IZ0A',,,,,,,,,,)</v>
      </c>
      <c r="CO175" s="107" t="str">
        <f t="shared" ref="CO175" si="2914">"InitUnitNormal('"&amp;B175&amp;"',"&amp;AF175&amp;","&amp;AG175&amp;","&amp;AH175&amp;","&amp;AI175&amp;","&amp;AJ175&amp;","&amp;AK175&amp;","&amp;AL175&amp;","&amp;AM175&amp;","&amp;AN175&amp;","&amp;AO175&amp;")"</f>
        <v>InitUnitNormal('IZ0A',,,,,,,,,,)</v>
      </c>
      <c r="CP175" s="107" t="str">
        <f t="shared" ref="CP175" si="2915">"InitUnitMagic('"&amp;B175&amp;"',"&amp;AP175&amp;","&amp;AQ175&amp;","&amp;AR175&amp;","&amp;AS175&amp;","&amp;AT175&amp;","&amp;AU175&amp;","&amp;AV175&amp;","&amp;AW175&amp;","&amp;BI175&amp;","&amp;BJ175&amp;")"</f>
        <v>InitUnitMagic('IZ0A',,,,,,,,,,)</v>
      </c>
      <c r="CQ175" s="107" t="str">
        <f t="shared" ref="CQ175" si="2916">"InitUnitAdd('"&amp;B175&amp;"',"&amp;BK175&amp;","&amp;BL175&amp;","&amp;BM175&amp;","&amp;BN175&amp;","&amp;BO175&amp;","&amp;BP175&amp;","&amp;BQ175&amp;","&amp;BR175&amp;","&amp;BS175&amp;","&amp;BT175&amp;")"</f>
        <v>InitUnitAdd('IZ0A',,,,,,,,,,)</v>
      </c>
      <c r="CR175" s="107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InitEquipData('IZ0A',,"",,,,,'','','','','','',"ReplaceableTextures\\CommandButtons\\BTNIZ01.blp")</v>
      </c>
      <c r="CS175" s="107"/>
      <c r="CT175" s="107"/>
      <c r="CU175" s="88" t="str">
        <f t="shared" ref="CU175" si="2917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18">T175</f>
        <v>延缓敌军2分钟进攻时间。|n|n|Cff999999狗策划一直不想做这个功能，你们就省着点用吧~（逃|r</v>
      </c>
      <c r="CW175" s="33"/>
      <c r="CX175" s="33"/>
      <c r="CY175" s="33"/>
      <c r="CZ175" s="33"/>
      <c r="DA175" s="33"/>
      <c r="DB175" s="108" t="str">
        <f t="shared" si="2909"/>
        <v/>
      </c>
      <c r="DC175" s="108" t="str">
        <f t="shared" si="2909"/>
        <v/>
      </c>
      <c r="DD175" s="108" t="str">
        <f t="shared" si="2909"/>
        <v/>
      </c>
      <c r="DE175" s="108" t="str">
        <f t="shared" si="2909"/>
        <v/>
      </c>
      <c r="DF175" s="108" t="str">
        <f t="shared" si="2909"/>
        <v/>
      </c>
      <c r="DG175" s="108" t="str">
        <f t="shared" si="2909"/>
        <v/>
      </c>
      <c r="DH175" s="108" t="str">
        <f t="shared" si="2909"/>
        <v/>
      </c>
      <c r="DI175" s="108" t="str">
        <f t="shared" si="2909"/>
        <v/>
      </c>
      <c r="DJ175" s="108" t="str">
        <f t="shared" si="2909"/>
        <v/>
      </c>
      <c r="DK175" s="108" t="str">
        <f t="shared" si="2909"/>
        <v/>
      </c>
      <c r="DL175" s="108" t="str">
        <f t="shared" si="2909"/>
        <v/>
      </c>
      <c r="DM175" s="108" t="str">
        <f t="shared" si="2909"/>
        <v/>
      </c>
      <c r="DN175" s="108" t="str">
        <f t="shared" si="2909"/>
        <v/>
      </c>
      <c r="DO175" s="108" t="str">
        <f t="shared" si="2909"/>
        <v/>
      </c>
      <c r="DP175" s="108" t="str">
        <f t="shared" si="2909"/>
        <v/>
      </c>
      <c r="DQ175" s="108" t="str">
        <f t="shared" si="2909"/>
        <v/>
      </c>
      <c r="DR175" s="108" t="str">
        <f t="shared" si="2909"/>
        <v/>
      </c>
      <c r="DS175" s="108" t="str">
        <f t="shared" si="2909"/>
        <v/>
      </c>
      <c r="DT175" s="108" t="str">
        <f t="shared" si="2909"/>
        <v/>
      </c>
      <c r="DU175" s="108" t="str">
        <f t="shared" si="2909"/>
        <v/>
      </c>
      <c r="DV175" s="108" t="str">
        <f t="shared" si="2909"/>
        <v/>
      </c>
      <c r="DW175" s="108" t="str">
        <f t="shared" si="2909"/>
        <v/>
      </c>
      <c r="DX175" s="108" t="str">
        <f t="shared" si="2909"/>
        <v/>
      </c>
      <c r="DY175" s="108" t="str">
        <f t="shared" si="2909"/>
        <v/>
      </c>
      <c r="DZ175" s="108" t="str">
        <f t="shared" si="2909"/>
        <v/>
      </c>
      <c r="EA175" s="108" t="str">
        <f t="shared" si="2909"/>
        <v/>
      </c>
      <c r="EB175" s="108" t="str">
        <f t="shared" si="2909"/>
        <v/>
      </c>
      <c r="EC175" s="108" t="str">
        <f t="shared" si="2909"/>
        <v/>
      </c>
      <c r="ED175" s="108" t="str">
        <f t="shared" si="2909"/>
        <v/>
      </c>
      <c r="EE175" s="108" t="str">
        <f t="shared" si="2909"/>
        <v/>
      </c>
      <c r="EF175" s="108" t="str">
        <f t="shared" si="2909"/>
        <v/>
      </c>
      <c r="EG175" s="108" t="str">
        <f t="shared" si="2909"/>
        <v/>
      </c>
      <c r="EH175" s="108" t="str">
        <f t="shared" si="2910"/>
        <v/>
      </c>
      <c r="EI175" s="108" t="str">
        <f t="shared" si="2910"/>
        <v/>
      </c>
      <c r="EJ175" s="108" t="str">
        <f t="shared" si="2910"/>
        <v/>
      </c>
      <c r="EK175" s="108" t="str">
        <f t="shared" si="2910"/>
        <v/>
      </c>
      <c r="EL175" s="108" t="str">
        <f t="shared" si="2910"/>
        <v/>
      </c>
      <c r="EM175" s="108" t="str">
        <f t="shared" si="2910"/>
        <v/>
      </c>
      <c r="EN175" s="108" t="str">
        <f t="shared" si="2910"/>
        <v/>
      </c>
      <c r="EO175" s="108" t="str">
        <f t="shared" si="2910"/>
        <v/>
      </c>
      <c r="EP175" s="108" t="str">
        <f t="shared" si="2910"/>
        <v/>
      </c>
      <c r="EQ175" s="108" t="str">
        <f t="shared" si="2910"/>
        <v/>
      </c>
      <c r="ER175" s="108" t="str">
        <f t="shared" si="2910"/>
        <v/>
      </c>
      <c r="ES175" s="108" t="str">
        <f t="shared" si="2910"/>
        <v/>
      </c>
      <c r="ET175" s="108" t="str">
        <f t="shared" si="2910"/>
        <v/>
      </c>
      <c r="EU175" s="108" t="str">
        <f t="shared" si="2910"/>
        <v/>
      </c>
      <c r="EV175" s="108" t="str">
        <f t="shared" si="2910"/>
        <v/>
      </c>
      <c r="EW175" s="108" t="str">
        <f t="shared" si="2910"/>
        <v/>
      </c>
      <c r="EX175" s="108" t="str">
        <f t="shared" si="2910"/>
        <v/>
      </c>
      <c r="EY175" s="108" t="str">
        <f t="shared" si="2910"/>
        <v/>
      </c>
      <c r="EZ175" s="108" t="str">
        <f t="shared" si="2910"/>
        <v/>
      </c>
      <c r="FA175" s="108" t="str">
        <f t="shared" si="2910"/>
        <v/>
      </c>
      <c r="FB175" s="108" t="str">
        <f t="shared" si="2910"/>
        <v/>
      </c>
      <c r="FC175" s="108" t="str">
        <f t="shared" si="2910"/>
        <v/>
      </c>
      <c r="FD175" s="108" t="str">
        <f t="shared" si="2910"/>
        <v/>
      </c>
      <c r="FE175" s="108" t="str">
        <f t="shared" si="2910"/>
        <v/>
      </c>
      <c r="FF175" s="108" t="str">
        <f t="shared" si="2910"/>
        <v/>
      </c>
      <c r="FG175" s="108" t="str">
        <f t="shared" si="2910"/>
        <v/>
      </c>
      <c r="FH175" s="108" t="str">
        <f t="shared" si="2910"/>
        <v/>
      </c>
      <c r="FI175" s="108" t="str">
        <f t="shared" si="2910"/>
        <v/>
      </c>
      <c r="FJ175" s="108" t="str">
        <f t="shared" si="2910"/>
        <v/>
      </c>
      <c r="FK175" s="108" t="str">
        <f t="shared" si="2910"/>
        <v/>
      </c>
      <c r="FL175" s="108" t="str">
        <f t="shared" si="2910"/>
        <v/>
      </c>
      <c r="FM175" s="108" t="str">
        <f t="shared" si="2910"/>
        <v/>
      </c>
      <c r="FN175" s="108" t="str">
        <f t="shared" si="2911"/>
        <v/>
      </c>
      <c r="FO175" s="108" t="str">
        <f t="shared" si="2911"/>
        <v/>
      </c>
      <c r="FP175" s="108" t="str">
        <f t="shared" si="2911"/>
        <v/>
      </c>
      <c r="FQ175" s="108" t="str">
        <f t="shared" si="2911"/>
        <v/>
      </c>
      <c r="FR175" s="108" t="str">
        <f t="shared" si="2911"/>
        <v/>
      </c>
      <c r="FS175" s="108" t="str">
        <f t="shared" si="2911"/>
        <v/>
      </c>
    </row>
    <row r="176" spans="1:175" s="29" customFormat="1" ht="16.5">
      <c r="A176" s="15"/>
      <c r="B176" s="9" t="s">
        <v>648</v>
      </c>
      <c r="C176" s="15" t="s">
        <v>649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2"/>
      <c r="Q176" s="92"/>
      <c r="R176" s="92"/>
      <c r="S176" s="92"/>
      <c r="T176" s="25" t="s">
        <v>650</v>
      </c>
      <c r="U176" s="77" t="str">
        <f t="shared" ref="U176" si="2919">"ReplaceableTextures\\CommandButtons\\BTN"&amp;B176&amp;".blp"</f>
        <v>ReplaceableTextures\\CommandButtons\\BTNIZ0B.blp</v>
      </c>
      <c r="V176" s="102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  <c r="AP176" s="103"/>
      <c r="AQ176" s="103"/>
      <c r="AR176" s="65"/>
      <c r="AS176" s="65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3"/>
      <c r="CN176" s="107" t="str">
        <f t="shared" ref="CN176" si="2920">"InitUnitState('"&amp;B176&amp;"',"&amp;V176&amp;","&amp;W176&amp;","&amp;X176&amp;","&amp;Y176&amp;","&amp;Z176&amp;","&amp;AA176&amp;","&amp;AB176&amp;","&amp;AC176&amp;","&amp;AD176&amp;","&amp;AE176&amp;")"</f>
        <v>InitUnitState('IZ0B',,,,,,,,,,)</v>
      </c>
      <c r="CO176" s="107" t="str">
        <f t="shared" ref="CO176" si="2921">"InitUnitNormal('"&amp;B176&amp;"',"&amp;AF176&amp;","&amp;AG176&amp;","&amp;AH176&amp;","&amp;AI176&amp;","&amp;AJ176&amp;","&amp;AK176&amp;","&amp;AL176&amp;","&amp;AM176&amp;","&amp;AN176&amp;","&amp;AO176&amp;")"</f>
        <v>InitUnitNormal('IZ0B',,,,,,,,,,)</v>
      </c>
      <c r="CP176" s="107" t="str">
        <f t="shared" ref="CP176" si="2922">"InitUnitMagic('"&amp;B176&amp;"',"&amp;AP176&amp;","&amp;AQ176&amp;","&amp;AR176&amp;","&amp;AS176&amp;","&amp;AT176&amp;","&amp;AU176&amp;","&amp;AV176&amp;","&amp;AW176&amp;","&amp;BI176&amp;","&amp;BJ176&amp;")"</f>
        <v>InitUnitMagic('IZ0B',,,,,,,,,,)</v>
      </c>
      <c r="CQ176" s="107" t="str">
        <f t="shared" ref="CQ176" si="2923">"InitUnitAdd('"&amp;B176&amp;"',"&amp;BK176&amp;","&amp;BL176&amp;","&amp;BM176&amp;","&amp;BN176&amp;","&amp;BO176&amp;","&amp;BP176&amp;","&amp;BQ176&amp;","&amp;BR176&amp;","&amp;BS176&amp;","&amp;BT176&amp;")"</f>
        <v>InitUnitAdd('IZ0B',,,,,,,,,,)</v>
      </c>
      <c r="CR176" s="107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178&amp;CR$1&amp;")"</f>
        <v>InitEquipData('IZ0B',,"",,,,,'','','','','','',"ReplaceableTextures\\CommandButtons\\BTN001.blp")</v>
      </c>
      <c r="CS176" s="107"/>
      <c r="CT176" s="107"/>
      <c r="CU176" s="88" t="str">
        <f t="shared" ref="CU176" si="2924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29" t="str">
        <f t="shared" ref="CV176" si="2925">T176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6" s="33"/>
      <c r="CX176" s="33"/>
      <c r="CY176" s="33"/>
      <c r="CZ176" s="33"/>
      <c r="DA176" s="33"/>
      <c r="DB176" s="108" t="str">
        <f t="shared" ref="DB176" si="2926">IF(V176="","","|n"&amp;DB$2&amp;"+"&amp;V176&amp;DB$1)</f>
        <v/>
      </c>
      <c r="DC176" s="108" t="str">
        <f t="shared" ref="DC176" si="2927">IF(W176="","","|n"&amp;DC$2&amp;"+"&amp;W176&amp;DC$1)</f>
        <v/>
      </c>
      <c r="DD176" s="108" t="str">
        <f t="shared" ref="DD176" si="2928">IF(X176="","","|n"&amp;DD$2&amp;"+"&amp;X176&amp;DD$1)</f>
        <v/>
      </c>
      <c r="DE176" s="108" t="str">
        <f t="shared" ref="DE176" si="2929">IF(Y176="","","|n"&amp;DE$2&amp;"+"&amp;Y176&amp;DE$1)</f>
        <v/>
      </c>
      <c r="DF176" s="108" t="str">
        <f t="shared" ref="DF176" si="2930">IF(Z176="","","|n"&amp;DF$2&amp;"+"&amp;Z176&amp;DF$1)</f>
        <v/>
      </c>
      <c r="DG176" s="108" t="str">
        <f t="shared" ref="DG176" si="2931">IF(AA176="","","|n"&amp;DG$2&amp;"+"&amp;AA176&amp;DG$1)</f>
        <v/>
      </c>
      <c r="DH176" s="108" t="str">
        <f t="shared" ref="DH176" si="2932">IF(AB176="","","|n"&amp;DH$2&amp;"+"&amp;AB176&amp;DH$1)</f>
        <v/>
      </c>
      <c r="DI176" s="108" t="str">
        <f t="shared" ref="DI176" si="2933">IF(AC176="","","|n"&amp;DI$2&amp;"+"&amp;AC176&amp;DI$1)</f>
        <v/>
      </c>
      <c r="DJ176" s="108" t="str">
        <f t="shared" ref="DJ176" si="2934">IF(AD176="","","|n"&amp;DJ$2&amp;"+"&amp;AD176&amp;DJ$1)</f>
        <v/>
      </c>
      <c r="DK176" s="108" t="str">
        <f t="shared" ref="DK176" si="2935">IF(AE176="","","|n"&amp;DK$2&amp;"+"&amp;AE176&amp;DK$1)</f>
        <v/>
      </c>
      <c r="DL176" s="108" t="str">
        <f t="shared" ref="DL176" si="2936">IF(AF176="","","|n"&amp;DL$2&amp;"+"&amp;AF176&amp;DL$1)</f>
        <v/>
      </c>
      <c r="DM176" s="108" t="str">
        <f t="shared" ref="DM176" si="2937">IF(AG176="","","|n"&amp;DM$2&amp;"+"&amp;AG176&amp;DM$1)</f>
        <v/>
      </c>
      <c r="DN176" s="108" t="str">
        <f t="shared" ref="DN176" si="2938">IF(AH176="","","|n"&amp;DN$2&amp;"+"&amp;AH176&amp;DN$1)</f>
        <v/>
      </c>
      <c r="DO176" s="108" t="str">
        <f t="shared" ref="DO176" si="2939">IF(AI176="","","|n"&amp;DO$2&amp;"+"&amp;AI176&amp;DO$1)</f>
        <v/>
      </c>
      <c r="DP176" s="108" t="str">
        <f t="shared" ref="DP176" si="2940">IF(AJ176="","","|n"&amp;DP$2&amp;"+"&amp;AJ176&amp;DP$1)</f>
        <v/>
      </c>
      <c r="DQ176" s="108" t="str">
        <f t="shared" ref="DQ176" si="2941">IF(AK176="","","|n"&amp;DQ$2&amp;"+"&amp;AK176&amp;DQ$1)</f>
        <v/>
      </c>
      <c r="DR176" s="108" t="str">
        <f t="shared" ref="DR176" si="2942">IF(AL176="","","|n"&amp;DR$2&amp;"+"&amp;AL176&amp;DR$1)</f>
        <v/>
      </c>
      <c r="DS176" s="108" t="str">
        <f t="shared" ref="DS176" si="2943">IF(AM176="","","|n"&amp;DS$2&amp;"+"&amp;AM176&amp;DS$1)</f>
        <v/>
      </c>
      <c r="DT176" s="108" t="str">
        <f t="shared" ref="DT176" si="2944">IF(AN176="","","|n"&amp;DT$2&amp;"+"&amp;AN176&amp;DT$1)</f>
        <v/>
      </c>
      <c r="DU176" s="108" t="str">
        <f t="shared" ref="DU176" si="2945">IF(AO176="","","|n"&amp;DU$2&amp;"+"&amp;AO176&amp;DU$1)</f>
        <v/>
      </c>
      <c r="DV176" s="108" t="str">
        <f t="shared" ref="DV176" si="2946">IF(AP176="","","|n"&amp;DV$2&amp;"+"&amp;AP176&amp;DV$1)</f>
        <v/>
      </c>
      <c r="DW176" s="108" t="str">
        <f t="shared" ref="DW176" si="2947">IF(AQ176="","","|n"&amp;DW$2&amp;"+"&amp;AQ176&amp;DW$1)</f>
        <v/>
      </c>
      <c r="DX176" s="108" t="str">
        <f t="shared" ref="DX176" si="2948">IF(AR176="","","|n"&amp;DX$2&amp;"+"&amp;AR176&amp;DX$1)</f>
        <v/>
      </c>
      <c r="DY176" s="108" t="str">
        <f t="shared" ref="DY176" si="2949">IF(AS176="","","|n"&amp;DY$2&amp;"+"&amp;AS176&amp;DY$1)</f>
        <v/>
      </c>
      <c r="DZ176" s="108" t="str">
        <f t="shared" ref="DZ176" si="2950">IF(AT176="","","|n"&amp;DZ$2&amp;"+"&amp;AT176&amp;DZ$1)</f>
        <v/>
      </c>
      <c r="EA176" s="108" t="str">
        <f t="shared" ref="EA176" si="2951">IF(AU176="","","|n"&amp;EA$2&amp;"+"&amp;AU176&amp;EA$1)</f>
        <v/>
      </c>
      <c r="EB176" s="108" t="str">
        <f t="shared" ref="EB176" si="2952">IF(AV176="","","|n"&amp;EB$2&amp;"+"&amp;AV176&amp;EB$1)</f>
        <v/>
      </c>
      <c r="EC176" s="108" t="str">
        <f t="shared" ref="EC176" si="2953">IF(AW176="","","|n"&amp;EC$2&amp;"+"&amp;AW176&amp;EC$1)</f>
        <v/>
      </c>
      <c r="ED176" s="108" t="str">
        <f t="shared" ref="ED176" si="2954">IF(AX176="","","|n"&amp;ED$2&amp;"+"&amp;AX176&amp;ED$1)</f>
        <v/>
      </c>
      <c r="EE176" s="108" t="str">
        <f t="shared" ref="EE176" si="2955">IF(AY176="","","|n"&amp;EE$2&amp;"+"&amp;AY176&amp;EE$1)</f>
        <v/>
      </c>
      <c r="EF176" s="108" t="str">
        <f t="shared" ref="EF176" si="2956">IF(AZ176="","","|n"&amp;EF$2&amp;"+"&amp;AZ176&amp;EF$1)</f>
        <v/>
      </c>
      <c r="EG176" s="108" t="str">
        <f t="shared" ref="EG176" si="2957">IF(BA176="","","|n"&amp;EG$2&amp;"+"&amp;BA176&amp;EG$1)</f>
        <v/>
      </c>
      <c r="EH176" s="108" t="str">
        <f t="shared" ref="EH176" si="2958">IF(BB176="","","|n"&amp;EH$2&amp;"+"&amp;BB176&amp;EH$1)</f>
        <v/>
      </c>
      <c r="EI176" s="108" t="str">
        <f t="shared" ref="EI176" si="2959">IF(BC176="","","|n"&amp;EI$2&amp;"+"&amp;BC176&amp;EI$1)</f>
        <v/>
      </c>
      <c r="EJ176" s="108" t="str">
        <f t="shared" ref="EJ176" si="2960">IF(BD176="","","|n"&amp;EJ$2&amp;"+"&amp;BD176&amp;EJ$1)</f>
        <v/>
      </c>
      <c r="EK176" s="108" t="str">
        <f t="shared" ref="EK176" si="2961">IF(BE176="","","|n"&amp;EK$2&amp;"+"&amp;BE176&amp;EK$1)</f>
        <v/>
      </c>
      <c r="EL176" s="108" t="str">
        <f t="shared" ref="EL176" si="2962">IF(BF176="","","|n"&amp;EL$2&amp;"+"&amp;BF176&amp;EL$1)</f>
        <v/>
      </c>
      <c r="EM176" s="108" t="str">
        <f t="shared" ref="EM176" si="2963">IF(BG176="","","|n"&amp;EM$2&amp;"+"&amp;BG176&amp;EM$1)</f>
        <v/>
      </c>
      <c r="EN176" s="108" t="str">
        <f t="shared" ref="EN176" si="2964">IF(BH176="","","|n"&amp;EN$2&amp;"+"&amp;BH176&amp;EN$1)</f>
        <v/>
      </c>
      <c r="EO176" s="108" t="str">
        <f t="shared" ref="EO176" si="2965">IF(BI176="","","|n"&amp;EO$2&amp;"+"&amp;BI176&amp;EO$1)</f>
        <v/>
      </c>
      <c r="EP176" s="108" t="str">
        <f t="shared" ref="EP176" si="2966">IF(BJ176="","","|n"&amp;EP$2&amp;"+"&amp;BJ176&amp;EP$1)</f>
        <v/>
      </c>
      <c r="EQ176" s="108" t="str">
        <f t="shared" ref="EQ176" si="2967">IF(BK176="","","|n"&amp;EQ$2&amp;"+"&amp;BK176&amp;EQ$1)</f>
        <v/>
      </c>
      <c r="ER176" s="108" t="str">
        <f t="shared" ref="ER176" si="2968">IF(BL176="","","|n"&amp;ER$2&amp;"+"&amp;BL176&amp;ER$1)</f>
        <v/>
      </c>
      <c r="ES176" s="108" t="str">
        <f t="shared" ref="ES176" si="2969">IF(BM176="","","|n"&amp;ES$2&amp;"+"&amp;BM176&amp;ES$1)</f>
        <v/>
      </c>
      <c r="ET176" s="108" t="str">
        <f t="shared" ref="ET176" si="2970">IF(BN176="","","|n"&amp;ET$2&amp;"+"&amp;BN176&amp;ET$1)</f>
        <v/>
      </c>
      <c r="EU176" s="108" t="str">
        <f t="shared" ref="EU176" si="2971">IF(BO176="","","|n"&amp;EU$2&amp;"+"&amp;BO176&amp;EU$1)</f>
        <v/>
      </c>
      <c r="EV176" s="108" t="str">
        <f t="shared" ref="EV176" si="2972">IF(BP176="","","|n"&amp;EV$2&amp;"+"&amp;BP176&amp;EV$1)</f>
        <v/>
      </c>
      <c r="EW176" s="108" t="str">
        <f t="shared" ref="EW176" si="2973">IF(BQ176="","","|n"&amp;EW$2&amp;"+"&amp;BQ176&amp;EW$1)</f>
        <v/>
      </c>
      <c r="EX176" s="108" t="str">
        <f t="shared" ref="EX176" si="2974">IF(BR176="","","|n"&amp;EX$2&amp;"+"&amp;BR176&amp;EX$1)</f>
        <v/>
      </c>
      <c r="EY176" s="108" t="str">
        <f t="shared" ref="EY176" si="2975">IF(BS176="","","|n"&amp;EY$2&amp;"+"&amp;BS176&amp;EY$1)</f>
        <v/>
      </c>
      <c r="EZ176" s="108" t="str">
        <f t="shared" ref="EZ176" si="2976">IF(BT176="","","|n"&amp;EZ$2&amp;"+"&amp;BT176&amp;EZ$1)</f>
        <v/>
      </c>
      <c r="FA176" s="108" t="str">
        <f t="shared" ref="FA176" si="2977">IF(BU176="","","|n"&amp;FA$2&amp;"+"&amp;BU176&amp;FA$1)</f>
        <v/>
      </c>
      <c r="FB176" s="108" t="str">
        <f t="shared" ref="FB176" si="2978">IF(BV176="","","|n"&amp;FB$2&amp;"+"&amp;BV176&amp;FB$1)</f>
        <v/>
      </c>
      <c r="FC176" s="108" t="str">
        <f t="shared" ref="FC176" si="2979">IF(BW176="","","|n"&amp;FC$2&amp;"+"&amp;BW176&amp;FC$1)</f>
        <v/>
      </c>
      <c r="FD176" s="108" t="str">
        <f t="shared" ref="FD176" si="2980">IF(BX176="","","|n"&amp;FD$2&amp;"+"&amp;BX176&amp;FD$1)</f>
        <v/>
      </c>
      <c r="FE176" s="108" t="str">
        <f t="shared" ref="FE176" si="2981">IF(BY176="","","|n"&amp;FE$2&amp;"+"&amp;BY176&amp;FE$1)</f>
        <v/>
      </c>
      <c r="FF176" s="108" t="str">
        <f t="shared" ref="FF176" si="2982">IF(BZ176="","","|n"&amp;FF$2&amp;"+"&amp;BZ176&amp;FF$1)</f>
        <v/>
      </c>
      <c r="FG176" s="108" t="str">
        <f t="shared" ref="FG176" si="2983">IF(CA176="","","|n"&amp;FG$2&amp;"+"&amp;CA176&amp;FG$1)</f>
        <v/>
      </c>
      <c r="FH176" s="108" t="str">
        <f t="shared" ref="FH176" si="2984">IF(CB176="","","|n"&amp;FH$2&amp;"+"&amp;CB176&amp;FH$1)</f>
        <v/>
      </c>
      <c r="FI176" s="108" t="str">
        <f t="shared" ref="FI176" si="2985">IF(CC176="","","|n"&amp;FI$2&amp;"+"&amp;CC176&amp;FI$1)</f>
        <v/>
      </c>
      <c r="FJ176" s="108" t="str">
        <f t="shared" ref="FJ176" si="2986">IF(CD176="","","|n"&amp;FJ$2&amp;"+"&amp;CD176&amp;FJ$1)</f>
        <v/>
      </c>
      <c r="FK176" s="108" t="str">
        <f t="shared" ref="FK176" si="2987">IF(CE176="","","|n"&amp;FK$2&amp;"+"&amp;CE176&amp;FK$1)</f>
        <v/>
      </c>
      <c r="FL176" s="108" t="str">
        <f t="shared" ref="FL176" si="2988">IF(CF176="","","|n"&amp;FL$2&amp;"+"&amp;CF176&amp;FL$1)</f>
        <v/>
      </c>
      <c r="FM176" s="108" t="str">
        <f t="shared" ref="FM176" si="2989">IF(CG176="","","|n"&amp;FM$2&amp;"+"&amp;CG176&amp;FM$1)</f>
        <v/>
      </c>
      <c r="FN176" s="108" t="str">
        <f t="shared" ref="FN176" si="2990">IF(CH176="","","|n"&amp;FN$2&amp;"+"&amp;CH176&amp;FN$1)</f>
        <v/>
      </c>
      <c r="FO176" s="108" t="str">
        <f t="shared" ref="FO176" si="2991">IF(CI176="","","|n"&amp;FO$2&amp;"+"&amp;CI176&amp;FO$1)</f>
        <v/>
      </c>
      <c r="FP176" s="108" t="str">
        <f t="shared" ref="FP176" si="2992">IF(CJ176="","","|n"&amp;FP$2&amp;"+"&amp;CJ176&amp;FP$1)</f>
        <v/>
      </c>
      <c r="FQ176" s="108" t="str">
        <f t="shared" ref="FQ176" si="2993">IF(CK176="","","|n"&amp;FQ$2&amp;"+"&amp;CK176&amp;FQ$1)</f>
        <v/>
      </c>
      <c r="FR176" s="108" t="str">
        <f t="shared" ref="FR176" si="2994">IF(CL176="","","|n"&amp;FR$2&amp;"+"&amp;CL176&amp;FR$1)</f>
        <v/>
      </c>
      <c r="FS176" s="108" t="str">
        <f t="shared" ref="FS176" si="2995">IF(CM176="","","|n"&amp;FS$2&amp;"+"&amp;CM176&amp;FS$1)</f>
        <v/>
      </c>
    </row>
    <row r="177" spans="1:175" s="29" customFormat="1" ht="16.5">
      <c r="A177" s="15"/>
      <c r="B177" s="9" t="s">
        <v>651</v>
      </c>
      <c r="C177" s="15" t="s">
        <v>652</v>
      </c>
      <c r="D177" s="12"/>
      <c r="E177" s="12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92"/>
      <c r="Q177" s="92"/>
      <c r="R177" s="92"/>
      <c r="S177" s="92"/>
      <c r="T177" s="15" t="s">
        <v>653</v>
      </c>
      <c r="U177" s="77" t="str">
        <f t="shared" si="2912"/>
        <v>ReplaceableTextures\\CommandButtons\\BTNIZ01.blp</v>
      </c>
      <c r="V177" s="102"/>
      <c r="W177" s="103"/>
      <c r="X177" s="103"/>
      <c r="Y177" s="103"/>
      <c r="Z177" s="103"/>
      <c r="AA177" s="103"/>
      <c r="AB177" s="103"/>
      <c r="AC177" s="103"/>
      <c r="AD177" s="103"/>
      <c r="AE177" s="103"/>
      <c r="AF177" s="103"/>
      <c r="AG177" s="103"/>
      <c r="AH177" s="103"/>
      <c r="AI177" s="103"/>
      <c r="AJ177" s="103"/>
      <c r="AK177" s="103"/>
      <c r="AL177" s="103"/>
      <c r="AM177" s="103"/>
      <c r="AN177" s="103"/>
      <c r="AO177" s="103"/>
      <c r="AP177" s="103"/>
      <c r="AQ177" s="103"/>
      <c r="AR177" s="65"/>
      <c r="AS177" s="65"/>
      <c r="AT177" s="103"/>
      <c r="AU177" s="103"/>
      <c r="AV177" s="103"/>
      <c r="AW177" s="103"/>
      <c r="AX177" s="103"/>
      <c r="AY177" s="103"/>
      <c r="AZ177" s="103"/>
      <c r="BA177" s="103"/>
      <c r="BB177" s="103"/>
      <c r="BC177" s="103"/>
      <c r="BD177" s="103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103"/>
      <c r="BP177" s="103"/>
      <c r="BQ177" s="103"/>
      <c r="BR177" s="103"/>
      <c r="BS177" s="103"/>
      <c r="BT177" s="103"/>
      <c r="BU177" s="103"/>
      <c r="BV177" s="103"/>
      <c r="BW177" s="103"/>
      <c r="BX177" s="103"/>
      <c r="BY177" s="103"/>
      <c r="BZ177" s="103"/>
      <c r="CA177" s="103"/>
      <c r="CB177" s="103"/>
      <c r="CC177" s="103"/>
      <c r="CD177" s="103"/>
      <c r="CE177" s="103"/>
      <c r="CF177" s="103"/>
      <c r="CG177" s="103"/>
      <c r="CH177" s="103"/>
      <c r="CI177" s="103"/>
      <c r="CJ177" s="103"/>
      <c r="CK177" s="103"/>
      <c r="CL177" s="103"/>
      <c r="CM177" s="103"/>
      <c r="CN177" s="107" t="str">
        <f t="shared" si="2688"/>
        <v>InitUnitState('IZ01',,,,,,,,,,)</v>
      </c>
      <c r="CO177" s="107" t="str">
        <f t="shared" si="2689"/>
        <v>InitUnitNormal('IZ01',,,,,,,,,,)</v>
      </c>
      <c r="CP177" s="107" t="str">
        <f t="shared" si="2690"/>
        <v>InitUnitMagic('IZ01',,,,,,,,,,)</v>
      </c>
      <c r="CQ177" s="107" t="str">
        <f t="shared" si="2691"/>
        <v>InitUnitAdd('IZ01',,,,,,,,,,)</v>
      </c>
      <c r="CR177" s="107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InitEquipData('IZ01',,"",,,,,'','','','','','',"ReplaceableTextures\\CommandButtons\\BTN001.blp")</v>
      </c>
      <c r="CS177" s="107"/>
      <c r="CT177" s="107"/>
      <c r="CU177" s="88" t="str">
        <f t="shared" si="2837"/>
        <v>|n</v>
      </c>
      <c r="CV177" s="29" t="str">
        <f t="shared" si="283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7" s="33"/>
      <c r="CX177" s="33"/>
      <c r="CY177" s="33"/>
      <c r="CZ177" s="33"/>
      <c r="DA177" s="33"/>
      <c r="DB177" s="108" t="str">
        <f t="shared" ref="DB177:FM177" si="2996">IF(V177="","","|n"&amp;DB$2&amp;"+"&amp;V177&amp;DB$1)</f>
        <v/>
      </c>
      <c r="DC177" s="108" t="str">
        <f t="shared" si="2996"/>
        <v/>
      </c>
      <c r="DD177" s="108" t="str">
        <f t="shared" si="2996"/>
        <v/>
      </c>
      <c r="DE177" s="108" t="str">
        <f t="shared" si="2996"/>
        <v/>
      </c>
      <c r="DF177" s="108" t="str">
        <f t="shared" si="2996"/>
        <v/>
      </c>
      <c r="DG177" s="108" t="str">
        <f t="shared" si="2996"/>
        <v/>
      </c>
      <c r="DH177" s="108" t="str">
        <f t="shared" si="2996"/>
        <v/>
      </c>
      <c r="DI177" s="108" t="str">
        <f t="shared" si="2996"/>
        <v/>
      </c>
      <c r="DJ177" s="108" t="str">
        <f t="shared" si="2996"/>
        <v/>
      </c>
      <c r="DK177" s="108" t="str">
        <f t="shared" si="2996"/>
        <v/>
      </c>
      <c r="DL177" s="108" t="str">
        <f t="shared" si="2996"/>
        <v/>
      </c>
      <c r="DM177" s="108" t="str">
        <f t="shared" si="2996"/>
        <v/>
      </c>
      <c r="DN177" s="108" t="str">
        <f t="shared" si="2996"/>
        <v/>
      </c>
      <c r="DO177" s="108" t="str">
        <f t="shared" si="2996"/>
        <v/>
      </c>
      <c r="DP177" s="108" t="str">
        <f t="shared" si="2996"/>
        <v/>
      </c>
      <c r="DQ177" s="108" t="str">
        <f t="shared" si="2996"/>
        <v/>
      </c>
      <c r="DR177" s="108" t="str">
        <f t="shared" si="2996"/>
        <v/>
      </c>
      <c r="DS177" s="108" t="str">
        <f t="shared" si="2996"/>
        <v/>
      </c>
      <c r="DT177" s="108" t="str">
        <f t="shared" si="2996"/>
        <v/>
      </c>
      <c r="DU177" s="108" t="str">
        <f t="shared" si="2996"/>
        <v/>
      </c>
      <c r="DV177" s="108" t="str">
        <f t="shared" si="2996"/>
        <v/>
      </c>
      <c r="DW177" s="108" t="str">
        <f t="shared" si="2996"/>
        <v/>
      </c>
      <c r="DX177" s="108" t="str">
        <f t="shared" si="2996"/>
        <v/>
      </c>
      <c r="DY177" s="108" t="str">
        <f t="shared" si="2996"/>
        <v/>
      </c>
      <c r="DZ177" s="108" t="str">
        <f t="shared" si="2996"/>
        <v/>
      </c>
      <c r="EA177" s="108" t="str">
        <f t="shared" si="2996"/>
        <v/>
      </c>
      <c r="EB177" s="108" t="str">
        <f t="shared" si="2996"/>
        <v/>
      </c>
      <c r="EC177" s="108" t="str">
        <f t="shared" si="2996"/>
        <v/>
      </c>
      <c r="ED177" s="108" t="str">
        <f t="shared" si="2996"/>
        <v/>
      </c>
      <c r="EE177" s="108" t="str">
        <f t="shared" si="2996"/>
        <v/>
      </c>
      <c r="EF177" s="108" t="str">
        <f t="shared" si="2996"/>
        <v/>
      </c>
      <c r="EG177" s="108" t="str">
        <f t="shared" si="2996"/>
        <v/>
      </c>
      <c r="EH177" s="108" t="str">
        <f t="shared" si="2996"/>
        <v/>
      </c>
      <c r="EI177" s="108" t="str">
        <f t="shared" si="2996"/>
        <v/>
      </c>
      <c r="EJ177" s="108" t="str">
        <f t="shared" si="2996"/>
        <v/>
      </c>
      <c r="EK177" s="108" t="str">
        <f t="shared" si="2996"/>
        <v/>
      </c>
      <c r="EL177" s="108" t="str">
        <f t="shared" si="2996"/>
        <v/>
      </c>
      <c r="EM177" s="108" t="str">
        <f t="shared" si="2996"/>
        <v/>
      </c>
      <c r="EN177" s="108" t="str">
        <f t="shared" si="2996"/>
        <v/>
      </c>
      <c r="EO177" s="108" t="str">
        <f t="shared" si="2996"/>
        <v/>
      </c>
      <c r="EP177" s="108" t="str">
        <f t="shared" si="2996"/>
        <v/>
      </c>
      <c r="EQ177" s="108" t="str">
        <f t="shared" si="2996"/>
        <v/>
      </c>
      <c r="ER177" s="108" t="str">
        <f t="shared" si="2996"/>
        <v/>
      </c>
      <c r="ES177" s="108" t="str">
        <f t="shared" si="2996"/>
        <v/>
      </c>
      <c r="ET177" s="108" t="str">
        <f t="shared" si="2996"/>
        <v/>
      </c>
      <c r="EU177" s="108" t="str">
        <f t="shared" si="2996"/>
        <v/>
      </c>
      <c r="EV177" s="108" t="str">
        <f t="shared" si="2996"/>
        <v/>
      </c>
      <c r="EW177" s="108" t="str">
        <f t="shared" si="2996"/>
        <v/>
      </c>
      <c r="EX177" s="108" t="str">
        <f t="shared" si="2996"/>
        <v/>
      </c>
      <c r="EY177" s="108" t="str">
        <f t="shared" si="2996"/>
        <v/>
      </c>
      <c r="EZ177" s="108" t="str">
        <f t="shared" si="2996"/>
        <v/>
      </c>
      <c r="FA177" s="108" t="str">
        <f t="shared" si="2996"/>
        <v/>
      </c>
      <c r="FB177" s="108" t="str">
        <f t="shared" si="2996"/>
        <v/>
      </c>
      <c r="FC177" s="108" t="str">
        <f t="shared" si="2996"/>
        <v/>
      </c>
      <c r="FD177" s="108" t="str">
        <f t="shared" si="2996"/>
        <v/>
      </c>
      <c r="FE177" s="108" t="str">
        <f t="shared" si="2996"/>
        <v/>
      </c>
      <c r="FF177" s="108" t="str">
        <f t="shared" si="2996"/>
        <v/>
      </c>
      <c r="FG177" s="108" t="str">
        <f t="shared" si="2996"/>
        <v/>
      </c>
      <c r="FH177" s="108" t="str">
        <f t="shared" si="2996"/>
        <v/>
      </c>
      <c r="FI177" s="108" t="str">
        <f t="shared" si="2996"/>
        <v/>
      </c>
      <c r="FJ177" s="108" t="str">
        <f t="shared" si="2996"/>
        <v/>
      </c>
      <c r="FK177" s="108" t="str">
        <f t="shared" si="2996"/>
        <v/>
      </c>
      <c r="FL177" s="108" t="str">
        <f t="shared" si="2996"/>
        <v/>
      </c>
      <c r="FM177" s="108" t="str">
        <f t="shared" si="2996"/>
        <v/>
      </c>
      <c r="FN177" s="108" t="str">
        <f t="shared" ref="FN177:FS177" si="2997">IF(CH177="","","|n"&amp;FN$2&amp;"+"&amp;CH177&amp;FN$1)</f>
        <v/>
      </c>
      <c r="FO177" s="108" t="str">
        <f t="shared" si="2997"/>
        <v/>
      </c>
      <c r="FP177" s="108" t="str">
        <f t="shared" si="2997"/>
        <v/>
      </c>
      <c r="FQ177" s="108" t="str">
        <f t="shared" si="2997"/>
        <v/>
      </c>
      <c r="FR177" s="108" t="str">
        <f t="shared" si="2997"/>
        <v/>
      </c>
      <c r="FS177" s="108" t="str">
        <f t="shared" si="2997"/>
        <v/>
      </c>
    </row>
    <row r="178" spans="1:175" ht="16.5">
      <c r="A178" s="15"/>
      <c r="B178" s="9" t="s">
        <v>654</v>
      </c>
      <c r="C178" s="15" t="s">
        <v>655</v>
      </c>
      <c r="T178" s="10" t="s">
        <v>656</v>
      </c>
      <c r="U178" s="77" t="s">
        <v>447</v>
      </c>
      <c r="CN178" s="36" t="str">
        <f t="shared" si="2688"/>
        <v>InitUnitState('IS01',,,,,,,,,,)</v>
      </c>
      <c r="CO178" s="36" t="str">
        <f t="shared" si="2689"/>
        <v>InitUnitNormal('IS01',,,,,,,,,,)</v>
      </c>
      <c r="CP178" s="36" t="str">
        <f t="shared" si="2690"/>
        <v>InitUnitMagic('IS01',,,,,,,,,,)</v>
      </c>
      <c r="CQ178" s="36" t="str">
        <f t="shared" si="2691"/>
        <v>InitUnitAdd('IS01',,,,,,,,,,)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InitEquipData('IS01',,"",,,,,'','','','','','',"ReplaceableTextures\\CommandButtons\\BTN002.blp")</v>
      </c>
      <c r="CU178" s="88" t="str">
        <f t="shared" si="2837"/>
        <v>|n</v>
      </c>
      <c r="CV178" s="19" t="str">
        <f t="shared" si="2838"/>
        <v>学习或重置当前|cffffd24dQ技能|r。|n|cffffcc00抽取消耗：|r1500金币*次数|n|cffffcc00抽取次数：|r0/10|n|n|cff00ff7f单局最多抽取10次|r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ref="DB178:DK179" si="2998">IF(V178="","","|n"&amp;DB$2&amp;"+"&amp;V178&amp;DB$1)</f>
        <v/>
      </c>
      <c r="DC178" s="66" t="str">
        <f t="shared" si="2998"/>
        <v/>
      </c>
      <c r="DD178" s="66" t="str">
        <f t="shared" si="2998"/>
        <v/>
      </c>
      <c r="DE178" s="66" t="str">
        <f t="shared" si="2998"/>
        <v/>
      </c>
      <c r="DF178" s="66" t="str">
        <f t="shared" si="2998"/>
        <v/>
      </c>
      <c r="DG178" s="66" t="str">
        <f t="shared" si="2998"/>
        <v/>
      </c>
      <c r="DH178" s="66" t="str">
        <f t="shared" si="2998"/>
        <v/>
      </c>
      <c r="DI178" s="66" t="str">
        <f t="shared" si="2998"/>
        <v/>
      </c>
      <c r="DJ178" s="66" t="str">
        <f t="shared" si="2998"/>
        <v/>
      </c>
      <c r="DK178" s="66" t="str">
        <f t="shared" si="2998"/>
        <v/>
      </c>
      <c r="DL178" s="66" t="str">
        <f t="shared" ref="DL178:DU179" si="2999">IF(AF178="","","|n"&amp;DL$2&amp;"+"&amp;AF178&amp;DL$1)</f>
        <v/>
      </c>
      <c r="DM178" s="66" t="str">
        <f t="shared" si="2999"/>
        <v/>
      </c>
      <c r="DN178" s="66" t="str">
        <f t="shared" si="2999"/>
        <v/>
      </c>
      <c r="DO178" s="66" t="str">
        <f t="shared" si="2999"/>
        <v/>
      </c>
      <c r="DP178" s="66" t="str">
        <f t="shared" si="2999"/>
        <v/>
      </c>
      <c r="DQ178" s="66" t="str">
        <f t="shared" si="2999"/>
        <v/>
      </c>
      <c r="DR178" s="66" t="str">
        <f t="shared" si="2999"/>
        <v/>
      </c>
      <c r="DS178" s="66" t="str">
        <f t="shared" si="2999"/>
        <v/>
      </c>
      <c r="DT178" s="66" t="str">
        <f t="shared" si="2999"/>
        <v/>
      </c>
      <c r="DU178" s="66" t="str">
        <f t="shared" si="2999"/>
        <v/>
      </c>
      <c r="DV178" s="66" t="str">
        <f t="shared" ref="DV178:EE179" si="3000">IF(AP178="","","|n"&amp;DV$2&amp;"+"&amp;AP178&amp;DV$1)</f>
        <v/>
      </c>
      <c r="DW178" s="66" t="str">
        <f t="shared" si="3000"/>
        <v/>
      </c>
      <c r="DX178" s="66" t="str">
        <f t="shared" si="3000"/>
        <v/>
      </c>
      <c r="DY178" s="66" t="str">
        <f t="shared" si="3000"/>
        <v/>
      </c>
      <c r="DZ178" s="66" t="str">
        <f t="shared" si="3000"/>
        <v/>
      </c>
      <c r="EA178" s="66" t="str">
        <f t="shared" si="3000"/>
        <v/>
      </c>
      <c r="EB178" s="66" t="str">
        <f t="shared" si="3000"/>
        <v/>
      </c>
      <c r="EC178" s="66" t="str">
        <f t="shared" si="3000"/>
        <v/>
      </c>
      <c r="ED178" s="66" t="str">
        <f t="shared" si="3000"/>
        <v/>
      </c>
      <c r="EE178" s="66" t="str">
        <f t="shared" si="3000"/>
        <v/>
      </c>
      <c r="EF178" s="66" t="str">
        <f t="shared" ref="EF178:EO179" si="3001">IF(AZ178="","","|n"&amp;EF$2&amp;"+"&amp;AZ178&amp;EF$1)</f>
        <v/>
      </c>
      <c r="EG178" s="66" t="str">
        <f t="shared" si="3001"/>
        <v/>
      </c>
      <c r="EH178" s="66" t="str">
        <f t="shared" si="3001"/>
        <v/>
      </c>
      <c r="EI178" s="66" t="str">
        <f t="shared" si="3001"/>
        <v/>
      </c>
      <c r="EJ178" s="66" t="str">
        <f t="shared" si="3001"/>
        <v/>
      </c>
      <c r="EK178" s="66" t="str">
        <f t="shared" si="3001"/>
        <v/>
      </c>
      <c r="EL178" s="66" t="str">
        <f t="shared" si="3001"/>
        <v/>
      </c>
      <c r="EM178" s="66" t="str">
        <f t="shared" si="3001"/>
        <v/>
      </c>
      <c r="EN178" s="66" t="str">
        <f t="shared" si="3001"/>
        <v/>
      </c>
      <c r="EO178" s="66" t="str">
        <f t="shared" si="3001"/>
        <v/>
      </c>
      <c r="EP178" s="66" t="str">
        <f t="shared" ref="EP178:EY179" si="3002">IF(BJ178="","","|n"&amp;EP$2&amp;"+"&amp;BJ178&amp;EP$1)</f>
        <v/>
      </c>
      <c r="EQ178" s="66" t="str">
        <f t="shared" si="3002"/>
        <v/>
      </c>
      <c r="ER178" s="66" t="str">
        <f t="shared" si="3002"/>
        <v/>
      </c>
      <c r="ES178" s="66" t="str">
        <f t="shared" si="3002"/>
        <v/>
      </c>
      <c r="ET178" s="66" t="str">
        <f t="shared" si="3002"/>
        <v/>
      </c>
      <c r="EU178" s="66" t="str">
        <f t="shared" si="3002"/>
        <v/>
      </c>
      <c r="EV178" s="66" t="str">
        <f t="shared" si="3002"/>
        <v/>
      </c>
      <c r="EW178" s="66" t="str">
        <f t="shared" si="3002"/>
        <v/>
      </c>
      <c r="EX178" s="66" t="str">
        <f t="shared" si="3002"/>
        <v/>
      </c>
      <c r="EY178" s="66" t="str">
        <f t="shared" si="3002"/>
        <v/>
      </c>
      <c r="EZ178" s="66" t="str">
        <f t="shared" ref="EZ178:FI179" si="3003">IF(BT178="","","|n"&amp;EZ$2&amp;"+"&amp;BT178&amp;EZ$1)</f>
        <v/>
      </c>
      <c r="FA178" s="66" t="str">
        <f t="shared" si="3003"/>
        <v/>
      </c>
      <c r="FB178" s="66" t="str">
        <f t="shared" si="3003"/>
        <v/>
      </c>
      <c r="FC178" s="66" t="str">
        <f t="shared" si="3003"/>
        <v/>
      </c>
      <c r="FD178" s="66" t="str">
        <f t="shared" si="3003"/>
        <v/>
      </c>
      <c r="FE178" s="66" t="str">
        <f t="shared" si="3003"/>
        <v/>
      </c>
      <c r="FF178" s="66" t="str">
        <f t="shared" si="3003"/>
        <v/>
      </c>
      <c r="FG178" s="66" t="str">
        <f t="shared" si="3003"/>
        <v/>
      </c>
      <c r="FH178" s="66" t="str">
        <f t="shared" si="3003"/>
        <v/>
      </c>
      <c r="FI178" s="66" t="str">
        <f t="shared" si="3003"/>
        <v/>
      </c>
      <c r="FJ178" s="66" t="str">
        <f t="shared" ref="FJ178:FS179" si="3004">IF(CD178="","","|n"&amp;FJ$2&amp;"+"&amp;CD178&amp;FJ$1)</f>
        <v/>
      </c>
      <c r="FK178" s="66" t="str">
        <f t="shared" si="3004"/>
        <v/>
      </c>
      <c r="FL178" s="66" t="str">
        <f t="shared" si="3004"/>
        <v/>
      </c>
      <c r="FM178" s="66" t="str">
        <f t="shared" si="3004"/>
        <v/>
      </c>
      <c r="FN178" s="66" t="str">
        <f t="shared" si="3004"/>
        <v/>
      </c>
      <c r="FO178" s="66" t="str">
        <f t="shared" si="3004"/>
        <v/>
      </c>
      <c r="FP178" s="66" t="str">
        <f t="shared" si="3004"/>
        <v/>
      </c>
      <c r="FQ178" s="66" t="str">
        <f t="shared" si="3004"/>
        <v/>
      </c>
      <c r="FR178" s="66" t="str">
        <f t="shared" si="3004"/>
        <v/>
      </c>
      <c r="FS178" s="66" t="str">
        <f t="shared" si="3004"/>
        <v/>
      </c>
    </row>
    <row r="179" spans="1:175" ht="16.5">
      <c r="A179" s="15"/>
      <c r="B179" s="9" t="s">
        <v>657</v>
      </c>
      <c r="C179" s="15" t="s">
        <v>658</v>
      </c>
      <c r="T179" s="10" t="s">
        <v>659</v>
      </c>
      <c r="U179" s="77" t="s">
        <v>660</v>
      </c>
      <c r="CN179" s="36" t="str">
        <f t="shared" si="2688"/>
        <v>InitUnitState('IS02',,,,,,,,,,)</v>
      </c>
      <c r="CO179" s="36" t="str">
        <f t="shared" si="2689"/>
        <v>InitUnitNormal('IS02',,,,,,,,,,)</v>
      </c>
      <c r="CP179" s="36" t="str">
        <f t="shared" si="2690"/>
        <v>InitUnitMagic('IS02',,,,,,,,,,)</v>
      </c>
      <c r="CQ179" s="36" t="str">
        <f t="shared" si="2691"/>
        <v>InitUnitAdd('IS02',,,,,,,,,,)</v>
      </c>
      <c r="CR179" s="36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InitEquipData('IS02',,"",,,,,'','','','','','',"ReplaceableTextures\\CommandButtons\\BTN003.blp")</v>
      </c>
      <c r="CU179" s="88" t="str">
        <f t="shared" si="2837"/>
        <v>|n</v>
      </c>
      <c r="CV179" s="19" t="str">
        <f t="shared" si="2838"/>
        <v>学习或重置当前|cffffd24dW技能|r。|n|cffffcc00抽取消耗：|r5000金币*次数|n|cffffcc00抽取次数：|r0/10|n|n|cff00ff7f单局最多抽取10次|r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si="2998"/>
        <v/>
      </c>
      <c r="DC179" s="66" t="str">
        <f t="shared" si="2998"/>
        <v/>
      </c>
      <c r="DD179" s="66" t="str">
        <f t="shared" si="2998"/>
        <v/>
      </c>
      <c r="DE179" s="66" t="str">
        <f t="shared" si="2998"/>
        <v/>
      </c>
      <c r="DF179" s="66" t="str">
        <f t="shared" si="2998"/>
        <v/>
      </c>
      <c r="DG179" s="66" t="str">
        <f t="shared" si="2998"/>
        <v/>
      </c>
      <c r="DH179" s="66" t="str">
        <f t="shared" si="2998"/>
        <v/>
      </c>
      <c r="DI179" s="66" t="str">
        <f t="shared" si="2998"/>
        <v/>
      </c>
      <c r="DJ179" s="66" t="str">
        <f t="shared" si="2998"/>
        <v/>
      </c>
      <c r="DK179" s="66" t="str">
        <f t="shared" si="2998"/>
        <v/>
      </c>
      <c r="DL179" s="66" t="str">
        <f t="shared" si="2999"/>
        <v/>
      </c>
      <c r="DM179" s="66" t="str">
        <f t="shared" si="2999"/>
        <v/>
      </c>
      <c r="DN179" s="66" t="str">
        <f t="shared" si="2999"/>
        <v/>
      </c>
      <c r="DO179" s="66" t="str">
        <f t="shared" si="2999"/>
        <v/>
      </c>
      <c r="DP179" s="66" t="str">
        <f t="shared" si="2999"/>
        <v/>
      </c>
      <c r="DQ179" s="66" t="str">
        <f t="shared" si="2999"/>
        <v/>
      </c>
      <c r="DR179" s="66" t="str">
        <f t="shared" si="2999"/>
        <v/>
      </c>
      <c r="DS179" s="66" t="str">
        <f t="shared" si="2999"/>
        <v/>
      </c>
      <c r="DT179" s="66" t="str">
        <f t="shared" si="2999"/>
        <v/>
      </c>
      <c r="DU179" s="66" t="str">
        <f t="shared" si="2999"/>
        <v/>
      </c>
      <c r="DV179" s="66" t="str">
        <f t="shared" si="3000"/>
        <v/>
      </c>
      <c r="DW179" s="66" t="str">
        <f t="shared" si="3000"/>
        <v/>
      </c>
      <c r="DX179" s="66" t="str">
        <f t="shared" si="3000"/>
        <v/>
      </c>
      <c r="DY179" s="66" t="str">
        <f t="shared" si="3000"/>
        <v/>
      </c>
      <c r="DZ179" s="66" t="str">
        <f t="shared" si="3000"/>
        <v/>
      </c>
      <c r="EA179" s="66" t="str">
        <f t="shared" si="3000"/>
        <v/>
      </c>
      <c r="EB179" s="66" t="str">
        <f t="shared" si="3000"/>
        <v/>
      </c>
      <c r="EC179" s="66" t="str">
        <f t="shared" si="3000"/>
        <v/>
      </c>
      <c r="ED179" s="66" t="str">
        <f t="shared" si="3000"/>
        <v/>
      </c>
      <c r="EE179" s="66" t="str">
        <f t="shared" si="3000"/>
        <v/>
      </c>
      <c r="EF179" s="66" t="str">
        <f t="shared" si="3001"/>
        <v/>
      </c>
      <c r="EG179" s="66" t="str">
        <f t="shared" si="3001"/>
        <v/>
      </c>
      <c r="EH179" s="66" t="str">
        <f t="shared" si="3001"/>
        <v/>
      </c>
      <c r="EI179" s="66" t="str">
        <f t="shared" si="3001"/>
        <v/>
      </c>
      <c r="EJ179" s="66" t="str">
        <f t="shared" si="3001"/>
        <v/>
      </c>
      <c r="EK179" s="66" t="str">
        <f t="shared" si="3001"/>
        <v/>
      </c>
      <c r="EL179" s="66" t="str">
        <f t="shared" si="3001"/>
        <v/>
      </c>
      <c r="EM179" s="66" t="str">
        <f t="shared" si="3001"/>
        <v/>
      </c>
      <c r="EN179" s="66" t="str">
        <f t="shared" si="3001"/>
        <v/>
      </c>
      <c r="EO179" s="66" t="str">
        <f t="shared" si="3001"/>
        <v/>
      </c>
      <c r="EP179" s="66" t="str">
        <f t="shared" si="3002"/>
        <v/>
      </c>
      <c r="EQ179" s="66" t="str">
        <f t="shared" si="3002"/>
        <v/>
      </c>
      <c r="ER179" s="66" t="str">
        <f t="shared" si="3002"/>
        <v/>
      </c>
      <c r="ES179" s="66" t="str">
        <f t="shared" si="3002"/>
        <v/>
      </c>
      <c r="ET179" s="66" t="str">
        <f t="shared" si="3002"/>
        <v/>
      </c>
      <c r="EU179" s="66" t="str">
        <f t="shared" si="3002"/>
        <v/>
      </c>
      <c r="EV179" s="66" t="str">
        <f t="shared" si="3002"/>
        <v/>
      </c>
      <c r="EW179" s="66" t="str">
        <f t="shared" si="3002"/>
        <v/>
      </c>
      <c r="EX179" s="66" t="str">
        <f t="shared" si="3002"/>
        <v/>
      </c>
      <c r="EY179" s="66" t="str">
        <f t="shared" si="3002"/>
        <v/>
      </c>
      <c r="EZ179" s="66" t="str">
        <f t="shared" si="3003"/>
        <v/>
      </c>
      <c r="FA179" s="66" t="str">
        <f t="shared" si="3003"/>
        <v/>
      </c>
      <c r="FB179" s="66" t="str">
        <f t="shared" si="3003"/>
        <v/>
      </c>
      <c r="FC179" s="66" t="str">
        <f t="shared" si="3003"/>
        <v/>
      </c>
      <c r="FD179" s="66" t="str">
        <f t="shared" si="3003"/>
        <v/>
      </c>
      <c r="FE179" s="66" t="str">
        <f t="shared" si="3003"/>
        <v/>
      </c>
      <c r="FF179" s="66" t="str">
        <f t="shared" si="3003"/>
        <v/>
      </c>
      <c r="FG179" s="66" t="str">
        <f t="shared" si="3003"/>
        <v/>
      </c>
      <c r="FH179" s="66" t="str">
        <f t="shared" si="3003"/>
        <v/>
      </c>
      <c r="FI179" s="66" t="str">
        <f t="shared" si="3003"/>
        <v/>
      </c>
      <c r="FJ179" s="66" t="str">
        <f t="shared" si="3004"/>
        <v/>
      </c>
      <c r="FK179" s="66" t="str">
        <f t="shared" si="3004"/>
        <v/>
      </c>
      <c r="FL179" s="66" t="str">
        <f t="shared" si="3004"/>
        <v/>
      </c>
      <c r="FM179" s="66" t="str">
        <f t="shared" si="3004"/>
        <v/>
      </c>
      <c r="FN179" s="66" t="str">
        <f t="shared" si="3004"/>
        <v/>
      </c>
      <c r="FO179" s="66" t="str">
        <f t="shared" si="3004"/>
        <v/>
      </c>
      <c r="FP179" s="66" t="str">
        <f t="shared" si="3004"/>
        <v/>
      </c>
      <c r="FQ179" s="66" t="str">
        <f t="shared" si="3004"/>
        <v/>
      </c>
      <c r="FR179" s="66" t="str">
        <f t="shared" si="3004"/>
        <v/>
      </c>
      <c r="FS179" s="66" t="str">
        <f t="shared" si="3004"/>
        <v/>
      </c>
    </row>
    <row r="180" spans="1:175" ht="16.5">
      <c r="A180" s="15"/>
      <c r="B180" s="9" t="s">
        <v>661</v>
      </c>
      <c r="C180" s="15" t="s">
        <v>662</v>
      </c>
      <c r="T180" s="10" t="s">
        <v>663</v>
      </c>
      <c r="U180" s="77" t="s">
        <v>664</v>
      </c>
      <c r="CN180" s="36" t="str">
        <f t="shared" si="2688"/>
        <v>InitUnitState('IS03',,,,,,,,,,)</v>
      </c>
      <c r="CO180" s="36" t="str">
        <f t="shared" si="2689"/>
        <v>InitUnitNormal('IS03',,,,,,,,,,)</v>
      </c>
      <c r="CP180" s="36" t="str">
        <f t="shared" si="2690"/>
        <v>InitUnitMagic('IS03',,,,,,,,,,)</v>
      </c>
      <c r="CQ180" s="36" t="str">
        <f t="shared" si="2691"/>
        <v>InitUnitAdd('IS03',,,,,,,,,,)</v>
      </c>
      <c r="CR180" s="36" t="e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#REF!&amp;CR$1&amp;")"</f>
        <v>#REF!</v>
      </c>
      <c r="CU180" s="88" t="str">
        <f t="shared" si="2837"/>
        <v>|n</v>
      </c>
      <c r="CV180" s="19" t="str">
        <f t="shared" si="2838"/>
        <v>学习或重置当前|cffffd24dE技能|r。|n|cffffcc00抽取消耗：|r15000金币*次数|n|cffffcc00抽取次数：|r0/10|n|n|cff00ff7f单局最多抽取10次|r</v>
      </c>
      <c r="CW180" s="33"/>
      <c r="CX180" s="33"/>
      <c r="CY180" s="33"/>
      <c r="CZ180" s="33"/>
      <c r="DA180" s="33"/>
      <c r="DB180" s="66" t="str">
        <f t="shared" ref="DB180:DK182" si="3005">IF(V180="","","|n"&amp;DB$2&amp;"+"&amp;V180&amp;DB$1)</f>
        <v/>
      </c>
      <c r="DC180" s="66" t="str">
        <f t="shared" si="3005"/>
        <v/>
      </c>
      <c r="DD180" s="66" t="str">
        <f t="shared" si="3005"/>
        <v/>
      </c>
      <c r="DE180" s="66" t="str">
        <f t="shared" si="3005"/>
        <v/>
      </c>
      <c r="DF180" s="66" t="str">
        <f t="shared" si="3005"/>
        <v/>
      </c>
      <c r="DG180" s="66" t="str">
        <f t="shared" si="3005"/>
        <v/>
      </c>
      <c r="DH180" s="66" t="str">
        <f t="shared" si="3005"/>
        <v/>
      </c>
      <c r="DI180" s="66" t="str">
        <f t="shared" si="3005"/>
        <v/>
      </c>
      <c r="DJ180" s="66" t="str">
        <f t="shared" si="3005"/>
        <v/>
      </c>
      <c r="DK180" s="66" t="str">
        <f t="shared" si="3005"/>
        <v/>
      </c>
      <c r="DL180" s="66" t="str">
        <f t="shared" ref="DL180:DU182" si="3006">IF(AF180="","","|n"&amp;DL$2&amp;"+"&amp;AF180&amp;DL$1)</f>
        <v/>
      </c>
      <c r="DM180" s="66" t="str">
        <f t="shared" si="3006"/>
        <v/>
      </c>
      <c r="DN180" s="66" t="str">
        <f t="shared" si="3006"/>
        <v/>
      </c>
      <c r="DO180" s="66" t="str">
        <f t="shared" si="3006"/>
        <v/>
      </c>
      <c r="DP180" s="66" t="str">
        <f t="shared" si="3006"/>
        <v/>
      </c>
      <c r="DQ180" s="66" t="str">
        <f t="shared" si="3006"/>
        <v/>
      </c>
      <c r="DR180" s="66" t="str">
        <f t="shared" si="3006"/>
        <v/>
      </c>
      <c r="DS180" s="66" t="str">
        <f t="shared" si="3006"/>
        <v/>
      </c>
      <c r="DT180" s="66" t="str">
        <f t="shared" si="3006"/>
        <v/>
      </c>
      <c r="DU180" s="66" t="str">
        <f t="shared" si="3006"/>
        <v/>
      </c>
      <c r="DV180" s="66" t="str">
        <f t="shared" ref="DV180:EE182" si="3007">IF(AP180="","","|n"&amp;DV$2&amp;"+"&amp;AP180&amp;DV$1)</f>
        <v/>
      </c>
      <c r="DW180" s="66" t="str">
        <f t="shared" si="3007"/>
        <v/>
      </c>
      <c r="DX180" s="66" t="str">
        <f t="shared" si="3007"/>
        <v/>
      </c>
      <c r="DY180" s="66" t="str">
        <f t="shared" si="3007"/>
        <v/>
      </c>
      <c r="DZ180" s="66" t="str">
        <f t="shared" si="3007"/>
        <v/>
      </c>
      <c r="EA180" s="66" t="str">
        <f t="shared" si="3007"/>
        <v/>
      </c>
      <c r="EB180" s="66" t="str">
        <f t="shared" si="3007"/>
        <v/>
      </c>
      <c r="EC180" s="66" t="str">
        <f t="shared" si="3007"/>
        <v/>
      </c>
      <c r="ED180" s="66" t="str">
        <f t="shared" si="3007"/>
        <v/>
      </c>
      <c r="EE180" s="66" t="str">
        <f t="shared" si="3007"/>
        <v/>
      </c>
      <c r="EF180" s="66" t="str">
        <f t="shared" ref="EF180:EO182" si="3008">IF(AZ180="","","|n"&amp;EF$2&amp;"+"&amp;AZ180&amp;EF$1)</f>
        <v/>
      </c>
      <c r="EG180" s="66" t="str">
        <f t="shared" si="3008"/>
        <v/>
      </c>
      <c r="EH180" s="66" t="str">
        <f t="shared" si="3008"/>
        <v/>
      </c>
      <c r="EI180" s="66" t="str">
        <f t="shared" si="3008"/>
        <v/>
      </c>
      <c r="EJ180" s="66" t="str">
        <f t="shared" si="3008"/>
        <v/>
      </c>
      <c r="EK180" s="66" t="str">
        <f t="shared" si="3008"/>
        <v/>
      </c>
      <c r="EL180" s="66" t="str">
        <f t="shared" si="3008"/>
        <v/>
      </c>
      <c r="EM180" s="66" t="str">
        <f t="shared" si="3008"/>
        <v/>
      </c>
      <c r="EN180" s="66" t="str">
        <f t="shared" si="3008"/>
        <v/>
      </c>
      <c r="EO180" s="66" t="str">
        <f t="shared" si="3008"/>
        <v/>
      </c>
      <c r="EP180" s="66" t="str">
        <f t="shared" ref="EP180:EY182" si="3009">IF(BJ180="","","|n"&amp;EP$2&amp;"+"&amp;BJ180&amp;EP$1)</f>
        <v/>
      </c>
      <c r="EQ180" s="66" t="str">
        <f t="shared" si="3009"/>
        <v/>
      </c>
      <c r="ER180" s="66" t="str">
        <f t="shared" si="3009"/>
        <v/>
      </c>
      <c r="ES180" s="66" t="str">
        <f t="shared" si="3009"/>
        <v/>
      </c>
      <c r="ET180" s="66" t="str">
        <f t="shared" si="3009"/>
        <v/>
      </c>
      <c r="EU180" s="66" t="str">
        <f t="shared" si="3009"/>
        <v/>
      </c>
      <c r="EV180" s="66" t="str">
        <f t="shared" si="3009"/>
        <v/>
      </c>
      <c r="EW180" s="66" t="str">
        <f t="shared" si="3009"/>
        <v/>
      </c>
      <c r="EX180" s="66" t="str">
        <f t="shared" si="3009"/>
        <v/>
      </c>
      <c r="EY180" s="66" t="str">
        <f t="shared" si="3009"/>
        <v/>
      </c>
      <c r="EZ180" s="66" t="str">
        <f t="shared" ref="EZ180:FI182" si="3010">IF(BT180="","","|n"&amp;EZ$2&amp;"+"&amp;BT180&amp;EZ$1)</f>
        <v/>
      </c>
      <c r="FA180" s="66" t="str">
        <f t="shared" si="3010"/>
        <v/>
      </c>
      <c r="FB180" s="66" t="str">
        <f t="shared" si="3010"/>
        <v/>
      </c>
      <c r="FC180" s="66" t="str">
        <f t="shared" si="3010"/>
        <v/>
      </c>
      <c r="FD180" s="66" t="str">
        <f t="shared" si="3010"/>
        <v/>
      </c>
      <c r="FE180" s="66" t="str">
        <f t="shared" si="3010"/>
        <v/>
      </c>
      <c r="FF180" s="66" t="str">
        <f t="shared" si="3010"/>
        <v/>
      </c>
      <c r="FG180" s="66" t="str">
        <f t="shared" si="3010"/>
        <v/>
      </c>
      <c r="FH180" s="66" t="str">
        <f t="shared" si="3010"/>
        <v/>
      </c>
      <c r="FI180" s="66" t="str">
        <f t="shared" si="3010"/>
        <v/>
      </c>
      <c r="FJ180" s="66" t="str">
        <f t="shared" ref="FJ180:FS182" si="3011">IF(CD180="","","|n"&amp;FJ$2&amp;"+"&amp;CD180&amp;FJ$1)</f>
        <v/>
      </c>
      <c r="FK180" s="66" t="str">
        <f t="shared" si="3011"/>
        <v/>
      </c>
      <c r="FL180" s="66" t="str">
        <f t="shared" si="3011"/>
        <v/>
      </c>
      <c r="FM180" s="66" t="str">
        <f t="shared" si="3011"/>
        <v/>
      </c>
      <c r="FN180" s="66" t="str">
        <f t="shared" si="3011"/>
        <v/>
      </c>
      <c r="FO180" s="66" t="str">
        <f t="shared" si="3011"/>
        <v/>
      </c>
      <c r="FP180" s="66" t="str">
        <f t="shared" si="3011"/>
        <v/>
      </c>
      <c r="FQ180" s="66" t="str">
        <f t="shared" si="3011"/>
        <v/>
      </c>
      <c r="FR180" s="66" t="str">
        <f t="shared" si="3011"/>
        <v/>
      </c>
      <c r="FS180" s="66" t="str">
        <f t="shared" si="3011"/>
        <v/>
      </c>
    </row>
    <row r="181" spans="1:175" ht="16.5">
      <c r="A181" s="15"/>
      <c r="B181" s="9" t="s">
        <v>665</v>
      </c>
      <c r="C181" s="152" t="s">
        <v>904</v>
      </c>
      <c r="T181" s="15" t="s">
        <v>667</v>
      </c>
      <c r="U181" s="77" t="s">
        <v>668</v>
      </c>
      <c r="CN181" s="36" t="str">
        <f t="shared" si="2688"/>
        <v>InitUnitState('IS21',,,,,,,,,,)</v>
      </c>
      <c r="CO181" s="36" t="str">
        <f t="shared" si="2689"/>
        <v>InitUnitNormal('IS21',,,,,,,,,,)</v>
      </c>
      <c r="CP181" s="36" t="str">
        <f t="shared" si="2690"/>
        <v>InitUnitMagic('IS21',,,,,,,,,,)</v>
      </c>
      <c r="CQ181" s="36" t="str">
        <f t="shared" si="2691"/>
        <v>InitUnitAdd('IS21',,,,,,,,,,)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InitEquipData('IS21',,"",,,,,'','','','','','',"ReplaceableTextures\\CommandButtons\\BTNIN02.blp")</v>
      </c>
      <c r="CU181" s="88" t="str">
        <f t="shared" si="2837"/>
        <v>|n</v>
      </c>
      <c r="CV181" s="19" t="str">
        <f t="shared" si="2838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5"/>
        <v/>
      </c>
      <c r="DC181" s="66" t="str">
        <f t="shared" si="3005"/>
        <v/>
      </c>
      <c r="DD181" s="66" t="str">
        <f t="shared" si="3005"/>
        <v/>
      </c>
      <c r="DE181" s="66" t="str">
        <f t="shared" si="3005"/>
        <v/>
      </c>
      <c r="DF181" s="66" t="str">
        <f t="shared" si="3005"/>
        <v/>
      </c>
      <c r="DG181" s="66" t="str">
        <f t="shared" si="3005"/>
        <v/>
      </c>
      <c r="DH181" s="66" t="str">
        <f t="shared" si="3005"/>
        <v/>
      </c>
      <c r="DI181" s="66" t="str">
        <f t="shared" si="3005"/>
        <v/>
      </c>
      <c r="DJ181" s="66" t="str">
        <f t="shared" si="3005"/>
        <v/>
      </c>
      <c r="DK181" s="66" t="str">
        <f t="shared" si="3005"/>
        <v/>
      </c>
      <c r="DL181" s="66" t="str">
        <f t="shared" si="3006"/>
        <v/>
      </c>
      <c r="DM181" s="66" t="str">
        <f t="shared" si="3006"/>
        <v/>
      </c>
      <c r="DN181" s="66" t="str">
        <f t="shared" si="3006"/>
        <v/>
      </c>
      <c r="DO181" s="66" t="str">
        <f t="shared" si="3006"/>
        <v/>
      </c>
      <c r="DP181" s="66" t="str">
        <f t="shared" si="3006"/>
        <v/>
      </c>
      <c r="DQ181" s="66" t="str">
        <f t="shared" si="3006"/>
        <v/>
      </c>
      <c r="DR181" s="66" t="str">
        <f t="shared" si="3006"/>
        <v/>
      </c>
      <c r="DS181" s="66" t="str">
        <f t="shared" si="3006"/>
        <v/>
      </c>
      <c r="DT181" s="66" t="str">
        <f t="shared" si="3006"/>
        <v/>
      </c>
      <c r="DU181" s="66" t="str">
        <f t="shared" si="3006"/>
        <v/>
      </c>
      <c r="DV181" s="66" t="str">
        <f t="shared" si="3007"/>
        <v/>
      </c>
      <c r="DW181" s="66" t="str">
        <f t="shared" si="3007"/>
        <v/>
      </c>
      <c r="DX181" s="66" t="str">
        <f t="shared" si="3007"/>
        <v/>
      </c>
      <c r="DY181" s="66" t="str">
        <f t="shared" si="3007"/>
        <v/>
      </c>
      <c r="DZ181" s="66" t="str">
        <f t="shared" si="3007"/>
        <v/>
      </c>
      <c r="EA181" s="66" t="str">
        <f t="shared" si="3007"/>
        <v/>
      </c>
      <c r="EB181" s="66" t="str">
        <f t="shared" si="3007"/>
        <v/>
      </c>
      <c r="EC181" s="66" t="str">
        <f t="shared" si="3007"/>
        <v/>
      </c>
      <c r="ED181" s="66" t="str">
        <f t="shared" si="3007"/>
        <v/>
      </c>
      <c r="EE181" s="66" t="str">
        <f t="shared" si="3007"/>
        <v/>
      </c>
      <c r="EF181" s="66" t="str">
        <f t="shared" si="3008"/>
        <v/>
      </c>
      <c r="EG181" s="66" t="str">
        <f t="shared" si="3008"/>
        <v/>
      </c>
      <c r="EH181" s="66" t="str">
        <f t="shared" si="3008"/>
        <v/>
      </c>
      <c r="EI181" s="66" t="str">
        <f t="shared" si="3008"/>
        <v/>
      </c>
      <c r="EJ181" s="66" t="str">
        <f t="shared" si="3008"/>
        <v/>
      </c>
      <c r="EK181" s="66" t="str">
        <f t="shared" si="3008"/>
        <v/>
      </c>
      <c r="EL181" s="66" t="str">
        <f t="shared" si="3008"/>
        <v/>
      </c>
      <c r="EM181" s="66" t="str">
        <f t="shared" si="3008"/>
        <v/>
      </c>
      <c r="EN181" s="66" t="str">
        <f t="shared" si="3008"/>
        <v/>
      </c>
      <c r="EO181" s="66" t="str">
        <f t="shared" si="3008"/>
        <v/>
      </c>
      <c r="EP181" s="66" t="str">
        <f t="shared" si="3009"/>
        <v/>
      </c>
      <c r="EQ181" s="66" t="str">
        <f t="shared" si="3009"/>
        <v/>
      </c>
      <c r="ER181" s="66" t="str">
        <f t="shared" si="3009"/>
        <v/>
      </c>
      <c r="ES181" s="66" t="str">
        <f t="shared" si="3009"/>
        <v/>
      </c>
      <c r="ET181" s="66" t="str">
        <f t="shared" si="3009"/>
        <v/>
      </c>
      <c r="EU181" s="66" t="str">
        <f t="shared" si="3009"/>
        <v/>
      </c>
      <c r="EV181" s="66" t="str">
        <f t="shared" si="3009"/>
        <v/>
      </c>
      <c r="EW181" s="66" t="str">
        <f t="shared" si="3009"/>
        <v/>
      </c>
      <c r="EX181" s="66" t="str">
        <f t="shared" si="3009"/>
        <v/>
      </c>
      <c r="EY181" s="66" t="str">
        <f t="shared" si="3009"/>
        <v/>
      </c>
      <c r="EZ181" s="66" t="str">
        <f t="shared" si="3010"/>
        <v/>
      </c>
      <c r="FA181" s="66" t="str">
        <f t="shared" si="3010"/>
        <v/>
      </c>
      <c r="FB181" s="66" t="str">
        <f t="shared" si="3010"/>
        <v/>
      </c>
      <c r="FC181" s="66" t="str">
        <f t="shared" si="3010"/>
        <v/>
      </c>
      <c r="FD181" s="66" t="str">
        <f t="shared" si="3010"/>
        <v/>
      </c>
      <c r="FE181" s="66" t="str">
        <f t="shared" si="3010"/>
        <v/>
      </c>
      <c r="FF181" s="66" t="str">
        <f t="shared" si="3010"/>
        <v/>
      </c>
      <c r="FG181" s="66" t="str">
        <f t="shared" si="3010"/>
        <v/>
      </c>
      <c r="FH181" s="66" t="str">
        <f t="shared" si="3010"/>
        <v/>
      </c>
      <c r="FI181" s="66" t="str">
        <f t="shared" si="3010"/>
        <v/>
      </c>
      <c r="FJ181" s="66" t="str">
        <f t="shared" si="3011"/>
        <v/>
      </c>
      <c r="FK181" s="66" t="str">
        <f t="shared" si="3011"/>
        <v/>
      </c>
      <c r="FL181" s="66" t="str">
        <f t="shared" si="3011"/>
        <v/>
      </c>
      <c r="FM181" s="66" t="str">
        <f t="shared" si="3011"/>
        <v/>
      </c>
      <c r="FN181" s="66" t="str">
        <f t="shared" si="3011"/>
        <v/>
      </c>
      <c r="FO181" s="66" t="str">
        <f t="shared" si="3011"/>
        <v/>
      </c>
      <c r="FP181" s="66" t="str">
        <f t="shared" si="3011"/>
        <v/>
      </c>
      <c r="FQ181" s="66" t="str">
        <f t="shared" si="3011"/>
        <v/>
      </c>
      <c r="FR181" s="66" t="str">
        <f t="shared" si="3011"/>
        <v/>
      </c>
      <c r="FS181" s="66" t="str">
        <f t="shared" si="3011"/>
        <v/>
      </c>
    </row>
    <row r="182" spans="1:175" ht="16.5">
      <c r="A182" s="15"/>
      <c r="B182" s="9" t="s">
        <v>669</v>
      </c>
      <c r="C182" s="15" t="s">
        <v>905</v>
      </c>
      <c r="T182" s="15" t="s">
        <v>671</v>
      </c>
      <c r="U182" s="77" t="s">
        <v>672</v>
      </c>
      <c r="CN182" s="36" t="str">
        <f t="shared" si="2688"/>
        <v>InitUnitState('IS22',,,,,,,,,,)</v>
      </c>
      <c r="CO182" s="36" t="str">
        <f t="shared" si="2689"/>
        <v>InitUnitNormal('IS22',,,,,,,,,,)</v>
      </c>
      <c r="CP182" s="36" t="str">
        <f t="shared" si="2690"/>
        <v>InitUnitMagic('IS22',,,,,,,,,,)</v>
      </c>
      <c r="CQ182" s="36" t="str">
        <f t="shared" si="2691"/>
        <v>InitUnitAdd('IS22',,,,,,,,,,)</v>
      </c>
      <c r="CR182" s="3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InitEquipData('IS22',,"",,,,,'','','','','','',"ReplaceableTextures\\CommandButtons\\BTNIN03.blp")</v>
      </c>
      <c r="CU182" s="88" t="str">
        <f t="shared" si="2837"/>
        <v>|n</v>
      </c>
      <c r="CV182" s="19" t="str">
        <f t="shared" si="2838"/>
        <v>为|Cffffd24dW技能|r附魔一条|Cffffd24d随机属性|r。</v>
      </c>
      <c r="CW182" s="33"/>
      <c r="CX182" s="33"/>
      <c r="CY182" s="33"/>
      <c r="CZ182" s="33"/>
      <c r="DA182" s="33"/>
      <c r="DB182" s="66" t="str">
        <f t="shared" si="3005"/>
        <v/>
      </c>
      <c r="DC182" s="66" t="str">
        <f t="shared" si="3005"/>
        <v/>
      </c>
      <c r="DD182" s="66" t="str">
        <f t="shared" si="3005"/>
        <v/>
      </c>
      <c r="DE182" s="66" t="str">
        <f t="shared" si="3005"/>
        <v/>
      </c>
      <c r="DF182" s="66" t="str">
        <f t="shared" si="3005"/>
        <v/>
      </c>
      <c r="DG182" s="66" t="str">
        <f t="shared" si="3005"/>
        <v/>
      </c>
      <c r="DH182" s="66" t="str">
        <f t="shared" si="3005"/>
        <v/>
      </c>
      <c r="DI182" s="66" t="str">
        <f t="shared" si="3005"/>
        <v/>
      </c>
      <c r="DJ182" s="66" t="str">
        <f t="shared" si="3005"/>
        <v/>
      </c>
      <c r="DK182" s="66" t="str">
        <f t="shared" si="3005"/>
        <v/>
      </c>
      <c r="DL182" s="66" t="str">
        <f t="shared" si="3006"/>
        <v/>
      </c>
      <c r="DM182" s="66" t="str">
        <f t="shared" si="3006"/>
        <v/>
      </c>
      <c r="DN182" s="66" t="str">
        <f t="shared" si="3006"/>
        <v/>
      </c>
      <c r="DO182" s="66" t="str">
        <f t="shared" si="3006"/>
        <v/>
      </c>
      <c r="DP182" s="66" t="str">
        <f t="shared" si="3006"/>
        <v/>
      </c>
      <c r="DQ182" s="66" t="str">
        <f t="shared" si="3006"/>
        <v/>
      </c>
      <c r="DR182" s="66" t="str">
        <f t="shared" si="3006"/>
        <v/>
      </c>
      <c r="DS182" s="66" t="str">
        <f t="shared" si="3006"/>
        <v/>
      </c>
      <c r="DT182" s="66" t="str">
        <f t="shared" si="3006"/>
        <v/>
      </c>
      <c r="DU182" s="66" t="str">
        <f t="shared" si="3006"/>
        <v/>
      </c>
      <c r="DV182" s="66" t="str">
        <f t="shared" si="3007"/>
        <v/>
      </c>
      <c r="DW182" s="66" t="str">
        <f t="shared" si="3007"/>
        <v/>
      </c>
      <c r="DX182" s="66" t="str">
        <f t="shared" si="3007"/>
        <v/>
      </c>
      <c r="DY182" s="66" t="str">
        <f t="shared" si="3007"/>
        <v/>
      </c>
      <c r="DZ182" s="66" t="str">
        <f t="shared" si="3007"/>
        <v/>
      </c>
      <c r="EA182" s="66" t="str">
        <f t="shared" si="3007"/>
        <v/>
      </c>
      <c r="EB182" s="66" t="str">
        <f t="shared" si="3007"/>
        <v/>
      </c>
      <c r="EC182" s="66" t="str">
        <f t="shared" si="3007"/>
        <v/>
      </c>
      <c r="ED182" s="66" t="str">
        <f t="shared" si="3007"/>
        <v/>
      </c>
      <c r="EE182" s="66" t="str">
        <f t="shared" si="3007"/>
        <v/>
      </c>
      <c r="EF182" s="66" t="str">
        <f t="shared" si="3008"/>
        <v/>
      </c>
      <c r="EG182" s="66" t="str">
        <f t="shared" si="3008"/>
        <v/>
      </c>
      <c r="EH182" s="66" t="str">
        <f t="shared" si="3008"/>
        <v/>
      </c>
      <c r="EI182" s="66" t="str">
        <f t="shared" si="3008"/>
        <v/>
      </c>
      <c r="EJ182" s="66" t="str">
        <f t="shared" si="3008"/>
        <v/>
      </c>
      <c r="EK182" s="66" t="str">
        <f t="shared" si="3008"/>
        <v/>
      </c>
      <c r="EL182" s="66" t="str">
        <f t="shared" si="3008"/>
        <v/>
      </c>
      <c r="EM182" s="66" t="str">
        <f t="shared" si="3008"/>
        <v/>
      </c>
      <c r="EN182" s="66" t="str">
        <f t="shared" si="3008"/>
        <v/>
      </c>
      <c r="EO182" s="66" t="str">
        <f t="shared" si="3008"/>
        <v/>
      </c>
      <c r="EP182" s="66" t="str">
        <f t="shared" si="3009"/>
        <v/>
      </c>
      <c r="EQ182" s="66" t="str">
        <f t="shared" si="3009"/>
        <v/>
      </c>
      <c r="ER182" s="66" t="str">
        <f t="shared" si="3009"/>
        <v/>
      </c>
      <c r="ES182" s="66" t="str">
        <f t="shared" si="3009"/>
        <v/>
      </c>
      <c r="ET182" s="66" t="str">
        <f t="shared" si="3009"/>
        <v/>
      </c>
      <c r="EU182" s="66" t="str">
        <f t="shared" si="3009"/>
        <v/>
      </c>
      <c r="EV182" s="66" t="str">
        <f t="shared" si="3009"/>
        <v/>
      </c>
      <c r="EW182" s="66" t="str">
        <f t="shared" si="3009"/>
        <v/>
      </c>
      <c r="EX182" s="66" t="str">
        <f t="shared" si="3009"/>
        <v/>
      </c>
      <c r="EY182" s="66" t="str">
        <f t="shared" si="3009"/>
        <v/>
      </c>
      <c r="EZ182" s="66" t="str">
        <f t="shared" si="3010"/>
        <v/>
      </c>
      <c r="FA182" s="66" t="str">
        <f t="shared" si="3010"/>
        <v/>
      </c>
      <c r="FB182" s="66" t="str">
        <f t="shared" si="3010"/>
        <v/>
      </c>
      <c r="FC182" s="66" t="str">
        <f t="shared" si="3010"/>
        <v/>
      </c>
      <c r="FD182" s="66" t="str">
        <f t="shared" si="3010"/>
        <v/>
      </c>
      <c r="FE182" s="66" t="str">
        <f t="shared" si="3010"/>
        <v/>
      </c>
      <c r="FF182" s="66" t="str">
        <f t="shared" si="3010"/>
        <v/>
      </c>
      <c r="FG182" s="66" t="str">
        <f t="shared" si="3010"/>
        <v/>
      </c>
      <c r="FH182" s="66" t="str">
        <f t="shared" si="3010"/>
        <v/>
      </c>
      <c r="FI182" s="66" t="str">
        <f t="shared" si="3010"/>
        <v/>
      </c>
      <c r="FJ182" s="66" t="str">
        <f t="shared" si="3011"/>
        <v/>
      </c>
      <c r="FK182" s="66" t="str">
        <f t="shared" si="3011"/>
        <v/>
      </c>
      <c r="FL182" s="66" t="str">
        <f t="shared" si="3011"/>
        <v/>
      </c>
      <c r="FM182" s="66" t="str">
        <f t="shared" si="3011"/>
        <v/>
      </c>
      <c r="FN182" s="66" t="str">
        <f t="shared" si="3011"/>
        <v/>
      </c>
      <c r="FO182" s="66" t="str">
        <f t="shared" si="3011"/>
        <v/>
      </c>
      <c r="FP182" s="66" t="str">
        <f t="shared" si="3011"/>
        <v/>
      </c>
      <c r="FQ182" s="66" t="str">
        <f t="shared" si="3011"/>
        <v/>
      </c>
      <c r="FR182" s="66" t="str">
        <f t="shared" si="3011"/>
        <v/>
      </c>
      <c r="FS182" s="66" t="str">
        <f t="shared" si="3011"/>
        <v/>
      </c>
    </row>
    <row r="183" spans="1:175" ht="16.5">
      <c r="A183" s="15"/>
      <c r="B183" s="9" t="s">
        <v>673</v>
      </c>
      <c r="C183" s="15" t="s">
        <v>906</v>
      </c>
      <c r="T183" s="15" t="s">
        <v>675</v>
      </c>
      <c r="U183" s="77" t="s">
        <v>676</v>
      </c>
      <c r="CN183" s="36" t="str">
        <f t="shared" si="2688"/>
        <v>InitUnitState('IS23',,,,,,,,,,)</v>
      </c>
      <c r="CO183" s="36" t="str">
        <f t="shared" si="2689"/>
        <v>InitUnitNormal('IS23',,,,,,,,,,)</v>
      </c>
      <c r="CP183" s="36" t="str">
        <f t="shared" si="2690"/>
        <v>InitUnitMagic('IS23',,,,,,,,,,)</v>
      </c>
      <c r="CQ183" s="36" t="str">
        <f t="shared" si="2691"/>
        <v>InitUnitAdd('IS23',,,,,,,,,,)</v>
      </c>
      <c r="CR183" s="36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88" t="str">
        <f t="shared" ref="CU183:CU186" si="3012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19" t="str">
        <f t="shared" ref="CV183:CV186" si="3013">T183</f>
        <v>为|Cffffd24dE技能|r附魔一条|Cffffd24d随机属性|r。</v>
      </c>
      <c r="CW183" s="33"/>
      <c r="CX183" s="33"/>
      <c r="CY183" s="33"/>
      <c r="CZ183" s="33"/>
      <c r="DA183" s="33"/>
      <c r="DB183" s="66" t="str">
        <f t="shared" ref="DB183" si="3014">IF(V183="","","|n"&amp;DB$2&amp;"+"&amp;V183&amp;DB$1)</f>
        <v/>
      </c>
      <c r="DC183" s="66" t="str">
        <f t="shared" ref="DC183" si="3015">IF(W183="","","|n"&amp;DC$2&amp;"+"&amp;W183&amp;DC$1)</f>
        <v/>
      </c>
      <c r="DD183" s="66" t="str">
        <f t="shared" ref="DD183" si="3016">IF(X183="","","|n"&amp;DD$2&amp;"+"&amp;X183&amp;DD$1)</f>
        <v/>
      </c>
      <c r="DE183" s="66" t="str">
        <f t="shared" ref="DE183" si="3017">IF(Y183="","","|n"&amp;DE$2&amp;"+"&amp;Y183&amp;DE$1)</f>
        <v/>
      </c>
      <c r="DF183" s="66" t="str">
        <f t="shared" ref="DF183" si="3018">IF(Z183="","","|n"&amp;DF$2&amp;"+"&amp;Z183&amp;DF$1)</f>
        <v/>
      </c>
      <c r="DG183" s="66" t="str">
        <f t="shared" ref="DG183" si="3019">IF(AA183="","","|n"&amp;DG$2&amp;"+"&amp;AA183&amp;DG$1)</f>
        <v/>
      </c>
      <c r="DH183" s="66" t="str">
        <f t="shared" ref="DH183" si="3020">IF(AB183="","","|n"&amp;DH$2&amp;"+"&amp;AB183&amp;DH$1)</f>
        <v/>
      </c>
      <c r="DI183" s="66" t="str">
        <f t="shared" ref="DI183" si="3021">IF(AC183="","","|n"&amp;DI$2&amp;"+"&amp;AC183&amp;DI$1)</f>
        <v/>
      </c>
      <c r="DJ183" s="66" t="str">
        <f t="shared" ref="DJ183" si="3022">IF(AD183="","","|n"&amp;DJ$2&amp;"+"&amp;AD183&amp;DJ$1)</f>
        <v/>
      </c>
      <c r="DK183" s="66" t="str">
        <f t="shared" ref="DK183" si="3023">IF(AE183="","","|n"&amp;DK$2&amp;"+"&amp;AE183&amp;DK$1)</f>
        <v/>
      </c>
      <c r="DL183" s="66" t="str">
        <f t="shared" ref="DL183" si="3024">IF(AF183="","","|n"&amp;DL$2&amp;"+"&amp;AF183&amp;DL$1)</f>
        <v/>
      </c>
      <c r="DM183" s="66" t="str">
        <f t="shared" ref="DM183" si="3025">IF(AG183="","","|n"&amp;DM$2&amp;"+"&amp;AG183&amp;DM$1)</f>
        <v/>
      </c>
      <c r="DN183" s="66" t="str">
        <f t="shared" ref="DN183" si="3026">IF(AH183="","","|n"&amp;DN$2&amp;"+"&amp;AH183&amp;DN$1)</f>
        <v/>
      </c>
      <c r="DO183" s="66" t="str">
        <f t="shared" ref="DO183" si="3027">IF(AI183="","","|n"&amp;DO$2&amp;"+"&amp;AI183&amp;DO$1)</f>
        <v/>
      </c>
      <c r="DP183" s="66" t="str">
        <f t="shared" ref="DP183" si="3028">IF(AJ183="","","|n"&amp;DP$2&amp;"+"&amp;AJ183&amp;DP$1)</f>
        <v/>
      </c>
      <c r="DQ183" s="66" t="str">
        <f t="shared" ref="DQ183" si="3029">IF(AK183="","","|n"&amp;DQ$2&amp;"+"&amp;AK183&amp;DQ$1)</f>
        <v/>
      </c>
      <c r="DR183" s="66" t="str">
        <f t="shared" ref="DR183" si="3030">IF(AL183="","","|n"&amp;DR$2&amp;"+"&amp;AL183&amp;DR$1)</f>
        <v/>
      </c>
      <c r="DS183" s="66" t="str">
        <f t="shared" ref="DS183" si="3031">IF(AM183="","","|n"&amp;DS$2&amp;"+"&amp;AM183&amp;DS$1)</f>
        <v/>
      </c>
      <c r="DT183" s="66" t="str">
        <f t="shared" ref="DT183" si="3032">IF(AN183="","","|n"&amp;DT$2&amp;"+"&amp;AN183&amp;DT$1)</f>
        <v/>
      </c>
      <c r="DU183" s="66" t="str">
        <f t="shared" ref="DU183" si="3033">IF(AO183="","","|n"&amp;DU$2&amp;"+"&amp;AO183&amp;DU$1)</f>
        <v/>
      </c>
      <c r="DV183" s="66" t="str">
        <f t="shared" ref="DV183" si="3034">IF(AP183="","","|n"&amp;DV$2&amp;"+"&amp;AP183&amp;DV$1)</f>
        <v/>
      </c>
      <c r="DW183" s="66" t="str">
        <f t="shared" ref="DW183" si="3035">IF(AQ183="","","|n"&amp;DW$2&amp;"+"&amp;AQ183&amp;DW$1)</f>
        <v/>
      </c>
      <c r="DX183" s="66" t="str">
        <f t="shared" ref="DX183" si="3036">IF(AR183="","","|n"&amp;DX$2&amp;"+"&amp;AR183&amp;DX$1)</f>
        <v/>
      </c>
      <c r="DY183" s="66" t="str">
        <f t="shared" ref="DY183" si="3037">IF(AS183="","","|n"&amp;DY$2&amp;"+"&amp;AS183&amp;DY$1)</f>
        <v/>
      </c>
      <c r="DZ183" s="66" t="str">
        <f t="shared" ref="DZ183" si="3038">IF(AT183="","","|n"&amp;DZ$2&amp;"+"&amp;AT183&amp;DZ$1)</f>
        <v/>
      </c>
      <c r="EA183" s="66" t="str">
        <f t="shared" ref="EA183" si="3039">IF(AU183="","","|n"&amp;EA$2&amp;"+"&amp;AU183&amp;EA$1)</f>
        <v/>
      </c>
      <c r="EB183" s="66" t="str">
        <f t="shared" ref="EB183" si="3040">IF(AV183="","","|n"&amp;EB$2&amp;"+"&amp;AV183&amp;EB$1)</f>
        <v/>
      </c>
      <c r="EC183" s="66" t="str">
        <f t="shared" ref="EC183" si="3041">IF(AW183="","","|n"&amp;EC$2&amp;"+"&amp;AW183&amp;EC$1)</f>
        <v/>
      </c>
      <c r="ED183" s="66" t="str">
        <f t="shared" ref="ED183" si="3042">IF(AX183="","","|n"&amp;ED$2&amp;"+"&amp;AX183&amp;ED$1)</f>
        <v/>
      </c>
      <c r="EE183" s="66" t="str">
        <f t="shared" ref="EE183" si="3043">IF(AY183="","","|n"&amp;EE$2&amp;"+"&amp;AY183&amp;EE$1)</f>
        <v/>
      </c>
      <c r="EF183" s="66" t="str">
        <f t="shared" ref="EF183" si="3044">IF(AZ183="","","|n"&amp;EF$2&amp;"+"&amp;AZ183&amp;EF$1)</f>
        <v/>
      </c>
      <c r="EG183" s="66" t="str">
        <f t="shared" ref="EG183" si="3045">IF(BA183="","","|n"&amp;EG$2&amp;"+"&amp;BA183&amp;EG$1)</f>
        <v/>
      </c>
      <c r="EH183" s="66" t="str">
        <f t="shared" ref="EH183" si="3046">IF(BB183="","","|n"&amp;EH$2&amp;"+"&amp;BB183&amp;EH$1)</f>
        <v/>
      </c>
      <c r="EI183" s="66" t="str">
        <f t="shared" ref="EI183" si="3047">IF(BC183="","","|n"&amp;EI$2&amp;"+"&amp;BC183&amp;EI$1)</f>
        <v/>
      </c>
      <c r="EJ183" s="66" t="str">
        <f t="shared" ref="EJ183" si="3048">IF(BD183="","","|n"&amp;EJ$2&amp;"+"&amp;BD183&amp;EJ$1)</f>
        <v/>
      </c>
      <c r="EK183" s="66" t="str">
        <f t="shared" ref="EK183" si="3049">IF(BE183="","","|n"&amp;EK$2&amp;"+"&amp;BE183&amp;EK$1)</f>
        <v/>
      </c>
      <c r="EL183" s="66" t="str">
        <f t="shared" ref="EL183" si="3050">IF(BF183="","","|n"&amp;EL$2&amp;"+"&amp;BF183&amp;EL$1)</f>
        <v/>
      </c>
      <c r="EM183" s="66" t="str">
        <f t="shared" ref="EM183" si="3051">IF(BG183="","","|n"&amp;EM$2&amp;"+"&amp;BG183&amp;EM$1)</f>
        <v/>
      </c>
      <c r="EN183" s="66" t="str">
        <f t="shared" ref="EN183" si="3052">IF(BH183="","","|n"&amp;EN$2&amp;"+"&amp;BH183&amp;EN$1)</f>
        <v/>
      </c>
      <c r="EO183" s="66" t="str">
        <f t="shared" ref="EO183" si="3053">IF(BI183="","","|n"&amp;EO$2&amp;"+"&amp;BI183&amp;EO$1)</f>
        <v/>
      </c>
      <c r="EP183" s="66" t="str">
        <f t="shared" ref="EP183" si="3054">IF(BJ183="","","|n"&amp;EP$2&amp;"+"&amp;BJ183&amp;EP$1)</f>
        <v/>
      </c>
      <c r="EQ183" s="66" t="str">
        <f t="shared" ref="EQ183" si="3055">IF(BK183="","","|n"&amp;EQ$2&amp;"+"&amp;BK183&amp;EQ$1)</f>
        <v/>
      </c>
      <c r="ER183" s="66" t="str">
        <f t="shared" ref="ER183" si="3056">IF(BL183="","","|n"&amp;ER$2&amp;"+"&amp;BL183&amp;ER$1)</f>
        <v/>
      </c>
      <c r="ES183" s="66" t="str">
        <f t="shared" ref="ES183" si="3057">IF(BM183="","","|n"&amp;ES$2&amp;"+"&amp;BM183&amp;ES$1)</f>
        <v/>
      </c>
      <c r="ET183" s="66" t="str">
        <f t="shared" ref="ET183" si="3058">IF(BN183="","","|n"&amp;ET$2&amp;"+"&amp;BN183&amp;ET$1)</f>
        <v/>
      </c>
      <c r="EU183" s="66" t="str">
        <f t="shared" ref="EU183" si="3059">IF(BO183="","","|n"&amp;EU$2&amp;"+"&amp;BO183&amp;EU$1)</f>
        <v/>
      </c>
      <c r="EV183" s="66" t="str">
        <f t="shared" ref="EV183" si="3060">IF(BP183="","","|n"&amp;EV$2&amp;"+"&amp;BP183&amp;EV$1)</f>
        <v/>
      </c>
      <c r="EW183" s="66" t="str">
        <f t="shared" ref="EW183" si="3061">IF(BQ183="","","|n"&amp;EW$2&amp;"+"&amp;BQ183&amp;EW$1)</f>
        <v/>
      </c>
      <c r="EX183" s="66" t="str">
        <f t="shared" ref="EX183" si="3062">IF(BR183="","","|n"&amp;EX$2&amp;"+"&amp;BR183&amp;EX$1)</f>
        <v/>
      </c>
      <c r="EY183" s="66" t="str">
        <f t="shared" ref="EY183" si="3063">IF(BS183="","","|n"&amp;EY$2&amp;"+"&amp;BS183&amp;EY$1)</f>
        <v/>
      </c>
      <c r="EZ183" s="66" t="str">
        <f t="shared" ref="EZ183" si="3064">IF(BT183="","","|n"&amp;EZ$2&amp;"+"&amp;BT183&amp;EZ$1)</f>
        <v/>
      </c>
      <c r="FA183" s="66" t="str">
        <f t="shared" ref="FA183" si="3065">IF(BU183="","","|n"&amp;FA$2&amp;"+"&amp;BU183&amp;FA$1)</f>
        <v/>
      </c>
      <c r="FB183" s="66" t="str">
        <f t="shared" ref="FB183" si="3066">IF(BV183="","","|n"&amp;FB$2&amp;"+"&amp;BV183&amp;FB$1)</f>
        <v/>
      </c>
      <c r="FC183" s="66" t="str">
        <f t="shared" ref="FC183" si="3067">IF(BW183="","","|n"&amp;FC$2&amp;"+"&amp;BW183&amp;FC$1)</f>
        <v/>
      </c>
      <c r="FD183" s="66" t="str">
        <f t="shared" ref="FD183" si="3068">IF(BX183="","","|n"&amp;FD$2&amp;"+"&amp;BX183&amp;FD$1)</f>
        <v/>
      </c>
      <c r="FE183" s="66" t="str">
        <f t="shared" ref="FE183" si="3069">IF(BY183="","","|n"&amp;FE$2&amp;"+"&amp;BY183&amp;FE$1)</f>
        <v/>
      </c>
      <c r="FF183" s="66" t="str">
        <f t="shared" ref="FF183" si="3070">IF(BZ183="","","|n"&amp;FF$2&amp;"+"&amp;BZ183&amp;FF$1)</f>
        <v/>
      </c>
      <c r="FG183" s="66" t="str">
        <f t="shared" ref="FG183" si="3071">IF(CA183="","","|n"&amp;FG$2&amp;"+"&amp;CA183&amp;FG$1)</f>
        <v/>
      </c>
      <c r="FH183" s="66" t="str">
        <f t="shared" ref="FH183" si="3072">IF(CB183="","","|n"&amp;FH$2&amp;"+"&amp;CB183&amp;FH$1)</f>
        <v/>
      </c>
      <c r="FI183" s="66" t="str">
        <f t="shared" ref="FI183" si="3073">IF(CC183="","","|n"&amp;FI$2&amp;"+"&amp;CC183&amp;FI$1)</f>
        <v/>
      </c>
      <c r="FJ183" s="66" t="str">
        <f t="shared" ref="FJ183" si="3074">IF(CD183="","","|n"&amp;FJ$2&amp;"+"&amp;CD183&amp;FJ$1)</f>
        <v/>
      </c>
      <c r="FK183" s="66" t="str">
        <f t="shared" ref="FK183" si="3075">IF(CE183="","","|n"&amp;FK$2&amp;"+"&amp;CE183&amp;FK$1)</f>
        <v/>
      </c>
      <c r="FL183" s="66" t="str">
        <f t="shared" ref="FL183" si="3076">IF(CF183="","","|n"&amp;FL$2&amp;"+"&amp;CF183&amp;FL$1)</f>
        <v/>
      </c>
      <c r="FM183" s="66" t="str">
        <f t="shared" ref="FM183" si="3077">IF(CG183="","","|n"&amp;FM$2&amp;"+"&amp;CG183&amp;FM$1)</f>
        <v/>
      </c>
      <c r="FN183" s="66" t="str">
        <f t="shared" ref="FN183" si="3078">IF(CH183="","","|n"&amp;FN$2&amp;"+"&amp;CH183&amp;FN$1)</f>
        <v/>
      </c>
      <c r="FO183" s="66" t="str">
        <f t="shared" ref="FO183" si="3079">IF(CI183="","","|n"&amp;FO$2&amp;"+"&amp;CI183&amp;FO$1)</f>
        <v/>
      </c>
      <c r="FP183" s="66" t="str">
        <f t="shared" ref="FP183" si="3080">IF(CJ183="","","|n"&amp;FP$2&amp;"+"&amp;CJ183&amp;FP$1)</f>
        <v/>
      </c>
      <c r="FQ183" s="66" t="str">
        <f t="shared" ref="FQ183" si="3081">IF(CK183="","","|n"&amp;FQ$2&amp;"+"&amp;CK183&amp;FQ$1)</f>
        <v/>
      </c>
      <c r="FR183" s="66" t="str">
        <f t="shared" ref="FR183" si="3082">IF(CL183="","","|n"&amp;FR$2&amp;"+"&amp;CL183&amp;FR$1)</f>
        <v/>
      </c>
      <c r="FS183" s="66" t="str">
        <f t="shared" ref="FS183" si="3083">IF(CM183="","","|n"&amp;FS$2&amp;"+"&amp;CM183&amp;FS$1)</f>
        <v/>
      </c>
    </row>
    <row r="184" spans="1:175" s="29" customFormat="1" ht="16.5">
      <c r="A184" s="15"/>
      <c r="B184" s="9" t="s">
        <v>677</v>
      </c>
      <c r="C184" s="25" t="s">
        <v>907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667</v>
      </c>
      <c r="U184" s="77" t="s">
        <v>679</v>
      </c>
      <c r="V184" s="102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6"/>
      <c r="AS184" s="106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7" t="str">
        <f t="shared" si="2688"/>
        <v>InitUnitState('IS24',,,,,,,,,,)</v>
      </c>
      <c r="CO184" s="107" t="str">
        <f t="shared" si="2689"/>
        <v>InitUnitNormal('IS24',,,,,,,,,,)</v>
      </c>
      <c r="CP184" s="107" t="str">
        <f t="shared" si="2690"/>
        <v>InitUnitMagic('IS24',,,,,,,,,,)</v>
      </c>
      <c r="CQ184" s="107" t="str">
        <f t="shared" si="2691"/>
        <v>InitUnitAdd('IS24',,,,,,,,,,)</v>
      </c>
      <c r="CR184" s="107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InitEquipData('IS24',,"",,,,,'','','','','','',"ReplaceableTextures\\CommandButtons\\BTN010.blp")</v>
      </c>
      <c r="CS184" s="107"/>
      <c r="CT184" s="107"/>
      <c r="CU184" s="88" t="str">
        <f t="shared" si="3012"/>
        <v>|n</v>
      </c>
      <c r="CV184" s="29" t="str">
        <f t="shared" si="3013"/>
        <v>为|Cffffd24dQ技能|r附魔一条|Cffffd24d随机属性|r。</v>
      </c>
      <c r="CW184" s="33"/>
      <c r="CX184" s="33"/>
      <c r="CY184" s="33"/>
      <c r="CZ184" s="33"/>
      <c r="DA184" s="33"/>
      <c r="DB184" s="108" t="str">
        <f t="shared" ref="DB184:FM184" si="3084">IF(V184="","","|n"&amp;DB$2&amp;"+"&amp;V184&amp;DB$1)</f>
        <v/>
      </c>
      <c r="DC184" s="108" t="str">
        <f t="shared" si="3084"/>
        <v/>
      </c>
      <c r="DD184" s="108" t="str">
        <f t="shared" si="3084"/>
        <v/>
      </c>
      <c r="DE184" s="108" t="str">
        <f t="shared" si="3084"/>
        <v/>
      </c>
      <c r="DF184" s="108" t="str">
        <f t="shared" si="3084"/>
        <v/>
      </c>
      <c r="DG184" s="108" t="str">
        <f t="shared" si="3084"/>
        <v/>
      </c>
      <c r="DH184" s="108" t="str">
        <f t="shared" si="3084"/>
        <v/>
      </c>
      <c r="DI184" s="108" t="str">
        <f t="shared" si="3084"/>
        <v/>
      </c>
      <c r="DJ184" s="108" t="str">
        <f t="shared" si="3084"/>
        <v/>
      </c>
      <c r="DK184" s="108" t="str">
        <f t="shared" si="3084"/>
        <v/>
      </c>
      <c r="DL184" s="108" t="str">
        <f t="shared" si="3084"/>
        <v/>
      </c>
      <c r="DM184" s="108" t="str">
        <f t="shared" si="3084"/>
        <v/>
      </c>
      <c r="DN184" s="108" t="str">
        <f t="shared" si="3084"/>
        <v/>
      </c>
      <c r="DO184" s="108" t="str">
        <f t="shared" si="3084"/>
        <v/>
      </c>
      <c r="DP184" s="108" t="str">
        <f t="shared" si="3084"/>
        <v/>
      </c>
      <c r="DQ184" s="108" t="str">
        <f t="shared" si="3084"/>
        <v/>
      </c>
      <c r="DR184" s="108" t="str">
        <f t="shared" si="3084"/>
        <v/>
      </c>
      <c r="DS184" s="108" t="str">
        <f t="shared" si="3084"/>
        <v/>
      </c>
      <c r="DT184" s="108" t="str">
        <f t="shared" si="3084"/>
        <v/>
      </c>
      <c r="DU184" s="108" t="str">
        <f t="shared" si="3084"/>
        <v/>
      </c>
      <c r="DV184" s="108" t="str">
        <f t="shared" si="3084"/>
        <v/>
      </c>
      <c r="DW184" s="108" t="str">
        <f t="shared" si="3084"/>
        <v/>
      </c>
      <c r="DX184" s="108" t="str">
        <f t="shared" si="3084"/>
        <v/>
      </c>
      <c r="DY184" s="108" t="str">
        <f t="shared" si="3084"/>
        <v/>
      </c>
      <c r="DZ184" s="108" t="str">
        <f t="shared" si="3084"/>
        <v/>
      </c>
      <c r="EA184" s="108" t="str">
        <f t="shared" si="3084"/>
        <v/>
      </c>
      <c r="EB184" s="108" t="str">
        <f t="shared" si="3084"/>
        <v/>
      </c>
      <c r="EC184" s="108" t="str">
        <f t="shared" si="3084"/>
        <v/>
      </c>
      <c r="ED184" s="108" t="str">
        <f t="shared" si="3084"/>
        <v/>
      </c>
      <c r="EE184" s="108" t="str">
        <f t="shared" si="3084"/>
        <v/>
      </c>
      <c r="EF184" s="108" t="str">
        <f t="shared" si="3084"/>
        <v/>
      </c>
      <c r="EG184" s="108" t="str">
        <f t="shared" si="3084"/>
        <v/>
      </c>
      <c r="EH184" s="108" t="str">
        <f t="shared" si="3084"/>
        <v/>
      </c>
      <c r="EI184" s="108" t="str">
        <f t="shared" si="3084"/>
        <v/>
      </c>
      <c r="EJ184" s="108" t="str">
        <f t="shared" si="3084"/>
        <v/>
      </c>
      <c r="EK184" s="108" t="str">
        <f t="shared" si="3084"/>
        <v/>
      </c>
      <c r="EL184" s="108" t="str">
        <f t="shared" si="3084"/>
        <v/>
      </c>
      <c r="EM184" s="108" t="str">
        <f t="shared" si="3084"/>
        <v/>
      </c>
      <c r="EN184" s="108" t="str">
        <f t="shared" si="3084"/>
        <v/>
      </c>
      <c r="EO184" s="108" t="str">
        <f t="shared" si="3084"/>
        <v/>
      </c>
      <c r="EP184" s="108" t="str">
        <f t="shared" si="3084"/>
        <v/>
      </c>
      <c r="EQ184" s="108" t="str">
        <f t="shared" si="3084"/>
        <v/>
      </c>
      <c r="ER184" s="108" t="str">
        <f t="shared" si="3084"/>
        <v/>
      </c>
      <c r="ES184" s="108" t="str">
        <f t="shared" si="3084"/>
        <v/>
      </c>
      <c r="ET184" s="108" t="str">
        <f t="shared" si="3084"/>
        <v/>
      </c>
      <c r="EU184" s="108" t="str">
        <f t="shared" si="3084"/>
        <v/>
      </c>
      <c r="EV184" s="108" t="str">
        <f t="shared" si="3084"/>
        <v/>
      </c>
      <c r="EW184" s="108" t="str">
        <f t="shared" si="3084"/>
        <v/>
      </c>
      <c r="EX184" s="108" t="str">
        <f t="shared" si="3084"/>
        <v/>
      </c>
      <c r="EY184" s="108" t="str">
        <f t="shared" si="3084"/>
        <v/>
      </c>
      <c r="EZ184" s="108" t="str">
        <f t="shared" si="3084"/>
        <v/>
      </c>
      <c r="FA184" s="108" t="str">
        <f t="shared" si="3084"/>
        <v/>
      </c>
      <c r="FB184" s="108" t="str">
        <f t="shared" si="3084"/>
        <v/>
      </c>
      <c r="FC184" s="108" t="str">
        <f t="shared" si="3084"/>
        <v/>
      </c>
      <c r="FD184" s="108" t="str">
        <f t="shared" si="3084"/>
        <v/>
      </c>
      <c r="FE184" s="108" t="str">
        <f t="shared" si="3084"/>
        <v/>
      </c>
      <c r="FF184" s="108" t="str">
        <f t="shared" si="3084"/>
        <v/>
      </c>
      <c r="FG184" s="108" t="str">
        <f t="shared" si="3084"/>
        <v/>
      </c>
      <c r="FH184" s="108" t="str">
        <f t="shared" si="3084"/>
        <v/>
      </c>
      <c r="FI184" s="108" t="str">
        <f t="shared" si="3084"/>
        <v/>
      </c>
      <c r="FJ184" s="108" t="str">
        <f t="shared" si="3084"/>
        <v/>
      </c>
      <c r="FK184" s="108" t="str">
        <f t="shared" si="3084"/>
        <v/>
      </c>
      <c r="FL184" s="108" t="str">
        <f t="shared" si="3084"/>
        <v/>
      </c>
      <c r="FM184" s="108" t="str">
        <f t="shared" si="3084"/>
        <v/>
      </c>
      <c r="FN184" s="108" t="str">
        <f t="shared" ref="FN184:FS184" si="3085">IF(CH184="","","|n"&amp;FN$2&amp;"+"&amp;CH184&amp;FN$1)</f>
        <v/>
      </c>
      <c r="FO184" s="108" t="str">
        <f t="shared" si="3085"/>
        <v/>
      </c>
      <c r="FP184" s="108" t="str">
        <f t="shared" si="3085"/>
        <v/>
      </c>
      <c r="FQ184" s="108" t="str">
        <f t="shared" si="3085"/>
        <v/>
      </c>
      <c r="FR184" s="108" t="str">
        <f t="shared" si="3085"/>
        <v/>
      </c>
      <c r="FS184" s="108" t="str">
        <f t="shared" si="3085"/>
        <v/>
      </c>
    </row>
    <row r="185" spans="1:175" s="29" customFormat="1" ht="16.5">
      <c r="A185" s="15"/>
      <c r="B185" s="9" t="s">
        <v>680</v>
      </c>
      <c r="C185" s="26" t="s">
        <v>908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2"/>
      <c r="Q185" s="92"/>
      <c r="R185" s="92"/>
      <c r="S185" s="92"/>
      <c r="T185" s="15" t="s">
        <v>671</v>
      </c>
      <c r="U185" s="77" t="s">
        <v>682</v>
      </c>
      <c r="V185" s="102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6"/>
      <c r="AS185" s="106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  <c r="CJ185" s="103"/>
      <c r="CK185" s="103"/>
      <c r="CL185" s="103"/>
      <c r="CM185" s="103"/>
      <c r="CN185" s="107" t="str">
        <f t="shared" si="2688"/>
        <v>InitUnitState('IS25',,,,,,,,,,)</v>
      </c>
      <c r="CO185" s="107" t="str">
        <f t="shared" si="2689"/>
        <v>InitUnitNormal('IS25',,,,,,,,,,)</v>
      </c>
      <c r="CP185" s="107" t="str">
        <f t="shared" si="2690"/>
        <v>InitUnitMagic('IS25',,,,,,,,,,)</v>
      </c>
      <c r="CQ185" s="107" t="str">
        <f t="shared" si="2691"/>
        <v>InitUnitAdd('IS25',,,,,,,,,,)</v>
      </c>
      <c r="CR185" s="107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InitEquipData('IS25',,"",,,,,'','','','','','',"ReplaceableTextures\\CommandButtons\\BTN011.blp")</v>
      </c>
      <c r="CS185" s="107"/>
      <c r="CT185" s="107"/>
      <c r="CU185" s="88" t="str">
        <f t="shared" si="3012"/>
        <v>|n</v>
      </c>
      <c r="CV185" s="29" t="str">
        <f t="shared" si="3013"/>
        <v>为|Cffffd24dW技能|r附魔一条|Cffffd24d随机属性|r。</v>
      </c>
      <c r="CW185" s="33"/>
      <c r="CX185" s="33"/>
      <c r="CY185" s="33"/>
      <c r="CZ185" s="33"/>
      <c r="DA185" s="33"/>
      <c r="DB185" s="108" t="str">
        <f t="shared" ref="DB185:FM185" si="3086">IF(V185="","","|n"&amp;DB$2&amp;"+"&amp;V185&amp;DB$1)</f>
        <v/>
      </c>
      <c r="DC185" s="108" t="str">
        <f t="shared" si="3086"/>
        <v/>
      </c>
      <c r="DD185" s="108" t="str">
        <f t="shared" si="3086"/>
        <v/>
      </c>
      <c r="DE185" s="108" t="str">
        <f t="shared" si="3086"/>
        <v/>
      </c>
      <c r="DF185" s="108" t="str">
        <f t="shared" si="3086"/>
        <v/>
      </c>
      <c r="DG185" s="108" t="str">
        <f t="shared" si="3086"/>
        <v/>
      </c>
      <c r="DH185" s="108" t="str">
        <f t="shared" si="3086"/>
        <v/>
      </c>
      <c r="DI185" s="108" t="str">
        <f t="shared" si="3086"/>
        <v/>
      </c>
      <c r="DJ185" s="108" t="str">
        <f t="shared" si="3086"/>
        <v/>
      </c>
      <c r="DK185" s="108" t="str">
        <f t="shared" si="3086"/>
        <v/>
      </c>
      <c r="DL185" s="108" t="str">
        <f t="shared" si="3086"/>
        <v/>
      </c>
      <c r="DM185" s="108" t="str">
        <f t="shared" si="3086"/>
        <v/>
      </c>
      <c r="DN185" s="108" t="str">
        <f t="shared" si="3086"/>
        <v/>
      </c>
      <c r="DO185" s="108" t="str">
        <f t="shared" si="3086"/>
        <v/>
      </c>
      <c r="DP185" s="108" t="str">
        <f t="shared" si="3086"/>
        <v/>
      </c>
      <c r="DQ185" s="108" t="str">
        <f t="shared" si="3086"/>
        <v/>
      </c>
      <c r="DR185" s="108" t="str">
        <f t="shared" si="3086"/>
        <v/>
      </c>
      <c r="DS185" s="108" t="str">
        <f t="shared" si="3086"/>
        <v/>
      </c>
      <c r="DT185" s="108" t="str">
        <f t="shared" si="3086"/>
        <v/>
      </c>
      <c r="DU185" s="108" t="str">
        <f t="shared" si="3086"/>
        <v/>
      </c>
      <c r="DV185" s="108" t="str">
        <f t="shared" si="3086"/>
        <v/>
      </c>
      <c r="DW185" s="108" t="str">
        <f t="shared" si="3086"/>
        <v/>
      </c>
      <c r="DX185" s="108" t="str">
        <f t="shared" si="3086"/>
        <v/>
      </c>
      <c r="DY185" s="108" t="str">
        <f t="shared" si="3086"/>
        <v/>
      </c>
      <c r="DZ185" s="108" t="str">
        <f t="shared" si="3086"/>
        <v/>
      </c>
      <c r="EA185" s="108" t="str">
        <f t="shared" si="3086"/>
        <v/>
      </c>
      <c r="EB185" s="108" t="str">
        <f t="shared" si="3086"/>
        <v/>
      </c>
      <c r="EC185" s="108" t="str">
        <f t="shared" si="3086"/>
        <v/>
      </c>
      <c r="ED185" s="108" t="str">
        <f t="shared" si="3086"/>
        <v/>
      </c>
      <c r="EE185" s="108" t="str">
        <f t="shared" si="3086"/>
        <v/>
      </c>
      <c r="EF185" s="108" t="str">
        <f t="shared" si="3086"/>
        <v/>
      </c>
      <c r="EG185" s="108" t="str">
        <f t="shared" si="3086"/>
        <v/>
      </c>
      <c r="EH185" s="108" t="str">
        <f t="shared" si="3086"/>
        <v/>
      </c>
      <c r="EI185" s="108" t="str">
        <f t="shared" si="3086"/>
        <v/>
      </c>
      <c r="EJ185" s="108" t="str">
        <f t="shared" si="3086"/>
        <v/>
      </c>
      <c r="EK185" s="108" t="str">
        <f t="shared" si="3086"/>
        <v/>
      </c>
      <c r="EL185" s="108" t="str">
        <f t="shared" si="3086"/>
        <v/>
      </c>
      <c r="EM185" s="108" t="str">
        <f t="shared" si="3086"/>
        <v/>
      </c>
      <c r="EN185" s="108" t="str">
        <f t="shared" si="3086"/>
        <v/>
      </c>
      <c r="EO185" s="108" t="str">
        <f t="shared" si="3086"/>
        <v/>
      </c>
      <c r="EP185" s="108" t="str">
        <f t="shared" si="3086"/>
        <v/>
      </c>
      <c r="EQ185" s="108" t="str">
        <f t="shared" si="3086"/>
        <v/>
      </c>
      <c r="ER185" s="108" t="str">
        <f t="shared" si="3086"/>
        <v/>
      </c>
      <c r="ES185" s="108" t="str">
        <f t="shared" si="3086"/>
        <v/>
      </c>
      <c r="ET185" s="108" t="str">
        <f t="shared" si="3086"/>
        <v/>
      </c>
      <c r="EU185" s="108" t="str">
        <f t="shared" si="3086"/>
        <v/>
      </c>
      <c r="EV185" s="108" t="str">
        <f t="shared" si="3086"/>
        <v/>
      </c>
      <c r="EW185" s="108" t="str">
        <f t="shared" si="3086"/>
        <v/>
      </c>
      <c r="EX185" s="108" t="str">
        <f t="shared" si="3086"/>
        <v/>
      </c>
      <c r="EY185" s="108" t="str">
        <f t="shared" si="3086"/>
        <v/>
      </c>
      <c r="EZ185" s="108" t="str">
        <f t="shared" si="3086"/>
        <v/>
      </c>
      <c r="FA185" s="108" t="str">
        <f t="shared" si="3086"/>
        <v/>
      </c>
      <c r="FB185" s="108" t="str">
        <f t="shared" si="3086"/>
        <v/>
      </c>
      <c r="FC185" s="108" t="str">
        <f t="shared" si="3086"/>
        <v/>
      </c>
      <c r="FD185" s="108" t="str">
        <f t="shared" si="3086"/>
        <v/>
      </c>
      <c r="FE185" s="108" t="str">
        <f t="shared" si="3086"/>
        <v/>
      </c>
      <c r="FF185" s="108" t="str">
        <f t="shared" si="3086"/>
        <v/>
      </c>
      <c r="FG185" s="108" t="str">
        <f t="shared" si="3086"/>
        <v/>
      </c>
      <c r="FH185" s="108" t="str">
        <f t="shared" si="3086"/>
        <v/>
      </c>
      <c r="FI185" s="108" t="str">
        <f t="shared" si="3086"/>
        <v/>
      </c>
      <c r="FJ185" s="108" t="str">
        <f t="shared" si="3086"/>
        <v/>
      </c>
      <c r="FK185" s="108" t="str">
        <f t="shared" si="3086"/>
        <v/>
      </c>
      <c r="FL185" s="108" t="str">
        <f t="shared" si="3086"/>
        <v/>
      </c>
      <c r="FM185" s="108" t="str">
        <f t="shared" si="3086"/>
        <v/>
      </c>
      <c r="FN185" s="108" t="str">
        <f t="shared" ref="FN185:FS185" si="3087">IF(CH185="","","|n"&amp;FN$2&amp;"+"&amp;CH185&amp;FN$1)</f>
        <v/>
      </c>
      <c r="FO185" s="108" t="str">
        <f t="shared" si="3087"/>
        <v/>
      </c>
      <c r="FP185" s="108" t="str">
        <f t="shared" si="3087"/>
        <v/>
      </c>
      <c r="FQ185" s="108" t="str">
        <f t="shared" si="3087"/>
        <v/>
      </c>
      <c r="FR185" s="108" t="str">
        <f t="shared" si="3087"/>
        <v/>
      </c>
      <c r="FS185" s="108" t="str">
        <f t="shared" si="3087"/>
        <v/>
      </c>
    </row>
    <row r="186" spans="1:175" s="29" customFormat="1" ht="16.5">
      <c r="A186" s="15"/>
      <c r="B186" s="9" t="s">
        <v>683</v>
      </c>
      <c r="C186" s="26" t="s">
        <v>909</v>
      </c>
      <c r="D186" s="12"/>
      <c r="E186" s="12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92"/>
      <c r="Q186" s="92"/>
      <c r="R186" s="92"/>
      <c r="S186" s="92"/>
      <c r="T186" s="15" t="s">
        <v>675</v>
      </c>
      <c r="U186" s="77" t="s">
        <v>685</v>
      </c>
      <c r="V186" s="102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6"/>
      <c r="AS186" s="106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  <c r="BU186" s="103"/>
      <c r="BV186" s="103"/>
      <c r="BW186" s="103"/>
      <c r="BX186" s="103"/>
      <c r="BY186" s="103"/>
      <c r="BZ186" s="103"/>
      <c r="CA186" s="103"/>
      <c r="CB186" s="103"/>
      <c r="CC186" s="103"/>
      <c r="CD186" s="103"/>
      <c r="CE186" s="103"/>
      <c r="CF186" s="103"/>
      <c r="CG186" s="103"/>
      <c r="CH186" s="103"/>
      <c r="CI186" s="103"/>
      <c r="CJ186" s="103"/>
      <c r="CK186" s="103"/>
      <c r="CL186" s="103"/>
      <c r="CM186" s="103"/>
      <c r="CN186" s="107" t="str">
        <f t="shared" si="2688"/>
        <v>InitUnitState('IS26',,,,,,,,,,)</v>
      </c>
      <c r="CO186" s="107" t="str">
        <f t="shared" si="2689"/>
        <v>InitUnitNormal('IS26',,,,,,,,,,)</v>
      </c>
      <c r="CP186" s="107" t="str">
        <f t="shared" si="2690"/>
        <v>InitUnitMagic('IS26',,,,,,,,,,)</v>
      </c>
      <c r="CQ186" s="107" t="str">
        <f t="shared" si="2691"/>
        <v>InitUnitAdd('IS26',,,,,,,,,,)</v>
      </c>
      <c r="CR186" s="107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S186" s="107"/>
      <c r="CT186" s="107"/>
      <c r="CU186" s="88" t="str">
        <f t="shared" si="3012"/>
        <v>|n</v>
      </c>
      <c r="CV186" s="29" t="str">
        <f t="shared" si="3013"/>
        <v>为|Cffffd24dE技能|r附魔一条|Cffffd24d随机属性|r。</v>
      </c>
      <c r="CW186" s="33"/>
      <c r="CX186" s="33"/>
      <c r="CY186" s="33"/>
      <c r="CZ186" s="33"/>
      <c r="DA186" s="33"/>
      <c r="DB186" s="108" t="str">
        <f t="shared" ref="DB186:FM186" si="3088">IF(V186="","","|n"&amp;DB$2&amp;"+"&amp;V186&amp;DB$1)</f>
        <v/>
      </c>
      <c r="DC186" s="108" t="str">
        <f t="shared" si="3088"/>
        <v/>
      </c>
      <c r="DD186" s="108" t="str">
        <f t="shared" si="3088"/>
        <v/>
      </c>
      <c r="DE186" s="108" t="str">
        <f t="shared" si="3088"/>
        <v/>
      </c>
      <c r="DF186" s="108" t="str">
        <f t="shared" si="3088"/>
        <v/>
      </c>
      <c r="DG186" s="108" t="str">
        <f t="shared" si="3088"/>
        <v/>
      </c>
      <c r="DH186" s="108" t="str">
        <f t="shared" si="3088"/>
        <v/>
      </c>
      <c r="DI186" s="108" t="str">
        <f t="shared" si="3088"/>
        <v/>
      </c>
      <c r="DJ186" s="108" t="str">
        <f t="shared" si="3088"/>
        <v/>
      </c>
      <c r="DK186" s="108" t="str">
        <f t="shared" si="3088"/>
        <v/>
      </c>
      <c r="DL186" s="108" t="str">
        <f t="shared" si="3088"/>
        <v/>
      </c>
      <c r="DM186" s="108" t="str">
        <f t="shared" si="3088"/>
        <v/>
      </c>
      <c r="DN186" s="108" t="str">
        <f t="shared" si="3088"/>
        <v/>
      </c>
      <c r="DO186" s="108" t="str">
        <f t="shared" si="3088"/>
        <v/>
      </c>
      <c r="DP186" s="108" t="str">
        <f t="shared" si="3088"/>
        <v/>
      </c>
      <c r="DQ186" s="108" t="str">
        <f t="shared" si="3088"/>
        <v/>
      </c>
      <c r="DR186" s="108" t="str">
        <f t="shared" si="3088"/>
        <v/>
      </c>
      <c r="DS186" s="108" t="str">
        <f t="shared" si="3088"/>
        <v/>
      </c>
      <c r="DT186" s="108" t="str">
        <f t="shared" si="3088"/>
        <v/>
      </c>
      <c r="DU186" s="108" t="str">
        <f t="shared" si="3088"/>
        <v/>
      </c>
      <c r="DV186" s="108" t="str">
        <f t="shared" si="3088"/>
        <v/>
      </c>
      <c r="DW186" s="108" t="str">
        <f t="shared" si="3088"/>
        <v/>
      </c>
      <c r="DX186" s="108" t="str">
        <f t="shared" si="3088"/>
        <v/>
      </c>
      <c r="DY186" s="108" t="str">
        <f t="shared" si="3088"/>
        <v/>
      </c>
      <c r="DZ186" s="108" t="str">
        <f t="shared" si="3088"/>
        <v/>
      </c>
      <c r="EA186" s="108" t="str">
        <f t="shared" si="3088"/>
        <v/>
      </c>
      <c r="EB186" s="108" t="str">
        <f t="shared" si="3088"/>
        <v/>
      </c>
      <c r="EC186" s="108" t="str">
        <f t="shared" si="3088"/>
        <v/>
      </c>
      <c r="ED186" s="108" t="str">
        <f t="shared" si="3088"/>
        <v/>
      </c>
      <c r="EE186" s="108" t="str">
        <f t="shared" si="3088"/>
        <v/>
      </c>
      <c r="EF186" s="108" t="str">
        <f t="shared" si="3088"/>
        <v/>
      </c>
      <c r="EG186" s="108" t="str">
        <f t="shared" si="3088"/>
        <v/>
      </c>
      <c r="EH186" s="108" t="str">
        <f t="shared" si="3088"/>
        <v/>
      </c>
      <c r="EI186" s="108" t="str">
        <f t="shared" si="3088"/>
        <v/>
      </c>
      <c r="EJ186" s="108" t="str">
        <f t="shared" si="3088"/>
        <v/>
      </c>
      <c r="EK186" s="108" t="str">
        <f t="shared" si="3088"/>
        <v/>
      </c>
      <c r="EL186" s="108" t="str">
        <f t="shared" si="3088"/>
        <v/>
      </c>
      <c r="EM186" s="108" t="str">
        <f t="shared" si="3088"/>
        <v/>
      </c>
      <c r="EN186" s="108" t="str">
        <f t="shared" si="3088"/>
        <v/>
      </c>
      <c r="EO186" s="108" t="str">
        <f t="shared" si="3088"/>
        <v/>
      </c>
      <c r="EP186" s="108" t="str">
        <f t="shared" si="3088"/>
        <v/>
      </c>
      <c r="EQ186" s="108" t="str">
        <f t="shared" si="3088"/>
        <v/>
      </c>
      <c r="ER186" s="108" t="str">
        <f t="shared" si="3088"/>
        <v/>
      </c>
      <c r="ES186" s="108" t="str">
        <f t="shared" si="3088"/>
        <v/>
      </c>
      <c r="ET186" s="108" t="str">
        <f t="shared" si="3088"/>
        <v/>
      </c>
      <c r="EU186" s="108" t="str">
        <f t="shared" si="3088"/>
        <v/>
      </c>
      <c r="EV186" s="108" t="str">
        <f t="shared" si="3088"/>
        <v/>
      </c>
      <c r="EW186" s="108" t="str">
        <f t="shared" si="3088"/>
        <v/>
      </c>
      <c r="EX186" s="108" t="str">
        <f t="shared" si="3088"/>
        <v/>
      </c>
      <c r="EY186" s="108" t="str">
        <f t="shared" si="3088"/>
        <v/>
      </c>
      <c r="EZ186" s="108" t="str">
        <f t="shared" si="3088"/>
        <v/>
      </c>
      <c r="FA186" s="108" t="str">
        <f t="shared" si="3088"/>
        <v/>
      </c>
      <c r="FB186" s="108" t="str">
        <f t="shared" si="3088"/>
        <v/>
      </c>
      <c r="FC186" s="108" t="str">
        <f t="shared" si="3088"/>
        <v/>
      </c>
      <c r="FD186" s="108" t="str">
        <f t="shared" si="3088"/>
        <v/>
      </c>
      <c r="FE186" s="108" t="str">
        <f t="shared" si="3088"/>
        <v/>
      </c>
      <c r="FF186" s="108" t="str">
        <f t="shared" si="3088"/>
        <v/>
      </c>
      <c r="FG186" s="108" t="str">
        <f t="shared" si="3088"/>
        <v/>
      </c>
      <c r="FH186" s="108" t="str">
        <f t="shared" si="3088"/>
        <v/>
      </c>
      <c r="FI186" s="108" t="str">
        <f t="shared" si="3088"/>
        <v/>
      </c>
      <c r="FJ186" s="108" t="str">
        <f t="shared" si="3088"/>
        <v/>
      </c>
      <c r="FK186" s="108" t="str">
        <f t="shared" si="3088"/>
        <v/>
      </c>
      <c r="FL186" s="108" t="str">
        <f t="shared" si="3088"/>
        <v/>
      </c>
      <c r="FM186" s="108" t="str">
        <f t="shared" si="3088"/>
        <v/>
      </c>
      <c r="FN186" s="108" t="str">
        <f t="shared" ref="FN186:FS186" si="3089">IF(CH186="","","|n"&amp;FN$2&amp;"+"&amp;CH186&amp;FN$1)</f>
        <v/>
      </c>
      <c r="FO186" s="108" t="str">
        <f t="shared" si="3089"/>
        <v/>
      </c>
      <c r="FP186" s="108" t="str">
        <f t="shared" si="3089"/>
        <v/>
      </c>
      <c r="FQ186" s="108" t="str">
        <f t="shared" si="3089"/>
        <v/>
      </c>
      <c r="FR186" s="108" t="str">
        <f t="shared" si="3089"/>
        <v/>
      </c>
      <c r="FS186" s="108" t="str">
        <f t="shared" si="3089"/>
        <v/>
      </c>
    </row>
    <row r="187" spans="1:175" ht="16.5">
      <c r="A187" s="15"/>
      <c r="B187" s="9" t="s">
        <v>686</v>
      </c>
      <c r="C187" s="15" t="s">
        <v>687</v>
      </c>
      <c r="T187" s="15" t="str">
        <f t="shared" ref="T187:T189" si="3090">C187</f>
        <v>|CffFF0000占星|r</v>
      </c>
      <c r="U187" s="77" t="str">
        <f t="shared" ref="U187" si="3091">"ReplaceableTextures\\CommandButtons\\BTN"&amp;B187&amp;".blp"</f>
        <v>ReplaceableTextures\\CommandButtons\\BTNIS11.blp</v>
      </c>
      <c r="CN187" s="36" t="str">
        <f t="shared" si="2688"/>
        <v>InitUnitState('IS11',,,,,,,,,,)</v>
      </c>
      <c r="CO187" s="36" t="str">
        <f t="shared" si="2689"/>
        <v>InitUnitNormal('IS11',,,,,,,,,,)</v>
      </c>
      <c r="CP187" s="36" t="str">
        <f t="shared" si="2690"/>
        <v>InitUnitMagic('IS11',,,,,,,,,,)</v>
      </c>
      <c r="CQ187" s="36" t="str">
        <f t="shared" si="2691"/>
        <v>InitUnitAdd('IS11',,,,,,,,,,)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8" t="str">
        <f t="shared" ref="CU187:CU191" si="3092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19" t="str">
        <f t="shared" ref="CV187:CV191" si="3093">T187</f>
        <v>|CffFF0000占星|r</v>
      </c>
      <c r="CW187" s="33"/>
      <c r="CX187" s="33"/>
      <c r="CY187" s="33"/>
      <c r="CZ187" s="33"/>
      <c r="DA187" s="33"/>
      <c r="DB187" s="66" t="str">
        <f t="shared" ref="DB187" si="3094">IF(V187="","","|n"&amp;DB$2&amp;"+"&amp;V187&amp;DB$1)</f>
        <v/>
      </c>
      <c r="DC187" s="66" t="str">
        <f t="shared" ref="DC187" si="3095">IF(W187="","","|n"&amp;DC$2&amp;"+"&amp;W187&amp;DC$1)</f>
        <v/>
      </c>
      <c r="DD187" s="66" t="str">
        <f t="shared" ref="DD187" si="3096">IF(X187="","","|n"&amp;DD$2&amp;"+"&amp;X187&amp;DD$1)</f>
        <v/>
      </c>
      <c r="DE187" s="66" t="str">
        <f t="shared" ref="DE187" si="3097">IF(Y187="","","|n"&amp;DE$2&amp;"+"&amp;Y187&amp;DE$1)</f>
        <v/>
      </c>
      <c r="DF187" s="66" t="str">
        <f t="shared" ref="DF187" si="3098">IF(Z187="","","|n"&amp;DF$2&amp;"+"&amp;Z187&amp;DF$1)</f>
        <v/>
      </c>
      <c r="DG187" s="66" t="str">
        <f t="shared" ref="DG187" si="3099">IF(AA187="","","|n"&amp;DG$2&amp;"+"&amp;AA187&amp;DG$1)</f>
        <v/>
      </c>
      <c r="DH187" s="66" t="str">
        <f t="shared" ref="DH187" si="3100">IF(AB187="","","|n"&amp;DH$2&amp;"+"&amp;AB187&amp;DH$1)</f>
        <v/>
      </c>
      <c r="DI187" s="66" t="str">
        <f t="shared" ref="DI187" si="3101">IF(AC187="","","|n"&amp;DI$2&amp;"+"&amp;AC187&amp;DI$1)</f>
        <v/>
      </c>
      <c r="DJ187" s="66" t="str">
        <f t="shared" ref="DJ187" si="3102">IF(AD187="","","|n"&amp;DJ$2&amp;"+"&amp;AD187&amp;DJ$1)</f>
        <v/>
      </c>
      <c r="DK187" s="66" t="str">
        <f t="shared" ref="DK187" si="3103">IF(AE187="","","|n"&amp;DK$2&amp;"+"&amp;AE187&amp;DK$1)</f>
        <v/>
      </c>
      <c r="DL187" s="66" t="str">
        <f t="shared" ref="DL187" si="3104">IF(AF187="","","|n"&amp;DL$2&amp;"+"&amp;AF187&amp;DL$1)</f>
        <v/>
      </c>
      <c r="DM187" s="66" t="str">
        <f t="shared" ref="DM187" si="3105">IF(AG187="","","|n"&amp;DM$2&amp;"+"&amp;AG187&amp;DM$1)</f>
        <v/>
      </c>
      <c r="DN187" s="66" t="str">
        <f t="shared" ref="DN187" si="3106">IF(AH187="","","|n"&amp;DN$2&amp;"+"&amp;AH187&amp;DN$1)</f>
        <v/>
      </c>
      <c r="DO187" s="66" t="str">
        <f t="shared" ref="DO187" si="3107">IF(AI187="","","|n"&amp;DO$2&amp;"+"&amp;AI187&amp;DO$1)</f>
        <v/>
      </c>
      <c r="DP187" s="66" t="str">
        <f t="shared" ref="DP187" si="3108">IF(AJ187="","","|n"&amp;DP$2&amp;"+"&amp;AJ187&amp;DP$1)</f>
        <v/>
      </c>
      <c r="DQ187" s="66" t="str">
        <f t="shared" ref="DQ187" si="3109">IF(AK187="","","|n"&amp;DQ$2&amp;"+"&amp;AK187&amp;DQ$1)</f>
        <v/>
      </c>
      <c r="DR187" s="66" t="str">
        <f t="shared" ref="DR187" si="3110">IF(AL187="","","|n"&amp;DR$2&amp;"+"&amp;AL187&amp;DR$1)</f>
        <v/>
      </c>
      <c r="DS187" s="66" t="str">
        <f t="shared" ref="DS187" si="3111">IF(AM187="","","|n"&amp;DS$2&amp;"+"&amp;AM187&amp;DS$1)</f>
        <v/>
      </c>
      <c r="DT187" s="66" t="str">
        <f t="shared" ref="DT187" si="3112">IF(AN187="","","|n"&amp;DT$2&amp;"+"&amp;AN187&amp;DT$1)</f>
        <v/>
      </c>
      <c r="DU187" s="66" t="str">
        <f t="shared" ref="DU187" si="3113">IF(AO187="","","|n"&amp;DU$2&amp;"+"&amp;AO187&amp;DU$1)</f>
        <v/>
      </c>
      <c r="DV187" s="66" t="str">
        <f t="shared" ref="DV187" si="3114">IF(AP187="","","|n"&amp;DV$2&amp;"+"&amp;AP187&amp;DV$1)</f>
        <v/>
      </c>
      <c r="DW187" s="66" t="str">
        <f t="shared" ref="DW187" si="3115">IF(AQ187="","","|n"&amp;DW$2&amp;"+"&amp;AQ187&amp;DW$1)</f>
        <v/>
      </c>
      <c r="DX187" s="66" t="str">
        <f t="shared" ref="DX187" si="3116">IF(AR187="","","|n"&amp;DX$2&amp;"+"&amp;AR187&amp;DX$1)</f>
        <v/>
      </c>
      <c r="DY187" s="66" t="str">
        <f t="shared" ref="DY187" si="3117">IF(AS187="","","|n"&amp;DY$2&amp;"+"&amp;AS187&amp;DY$1)</f>
        <v/>
      </c>
      <c r="DZ187" s="66" t="str">
        <f t="shared" ref="DZ187" si="3118">IF(AT187="","","|n"&amp;DZ$2&amp;"+"&amp;AT187&amp;DZ$1)</f>
        <v/>
      </c>
      <c r="EA187" s="66" t="str">
        <f t="shared" ref="EA187" si="3119">IF(AU187="","","|n"&amp;EA$2&amp;"+"&amp;AU187&amp;EA$1)</f>
        <v/>
      </c>
      <c r="EB187" s="66" t="str">
        <f t="shared" ref="EB187" si="3120">IF(AV187="","","|n"&amp;EB$2&amp;"+"&amp;AV187&amp;EB$1)</f>
        <v/>
      </c>
      <c r="EC187" s="66" t="str">
        <f t="shared" ref="EC187" si="3121">IF(AW187="","","|n"&amp;EC$2&amp;"+"&amp;AW187&amp;EC$1)</f>
        <v/>
      </c>
      <c r="ED187" s="66" t="str">
        <f t="shared" ref="ED187" si="3122">IF(AX187="","","|n"&amp;ED$2&amp;"+"&amp;AX187&amp;ED$1)</f>
        <v/>
      </c>
      <c r="EE187" s="66" t="str">
        <f t="shared" ref="EE187" si="3123">IF(AY187="","","|n"&amp;EE$2&amp;"+"&amp;AY187&amp;EE$1)</f>
        <v/>
      </c>
      <c r="EF187" s="66" t="str">
        <f t="shared" ref="EF187" si="3124">IF(AZ187="","","|n"&amp;EF$2&amp;"+"&amp;AZ187&amp;EF$1)</f>
        <v/>
      </c>
      <c r="EG187" s="66" t="str">
        <f t="shared" ref="EG187" si="3125">IF(BA187="","","|n"&amp;EG$2&amp;"+"&amp;BA187&amp;EG$1)</f>
        <v/>
      </c>
      <c r="EH187" s="66" t="str">
        <f t="shared" ref="EH187" si="3126">IF(BB187="","","|n"&amp;EH$2&amp;"+"&amp;BB187&amp;EH$1)</f>
        <v/>
      </c>
      <c r="EI187" s="66" t="str">
        <f t="shared" ref="EI187" si="3127">IF(BC187="","","|n"&amp;EI$2&amp;"+"&amp;BC187&amp;EI$1)</f>
        <v/>
      </c>
      <c r="EJ187" s="66" t="str">
        <f t="shared" ref="EJ187" si="3128">IF(BD187="","","|n"&amp;EJ$2&amp;"+"&amp;BD187&amp;EJ$1)</f>
        <v/>
      </c>
      <c r="EK187" s="66" t="str">
        <f t="shared" ref="EK187" si="3129">IF(BE187="","","|n"&amp;EK$2&amp;"+"&amp;BE187&amp;EK$1)</f>
        <v/>
      </c>
      <c r="EL187" s="66" t="str">
        <f t="shared" ref="EL187" si="3130">IF(BF187="","","|n"&amp;EL$2&amp;"+"&amp;BF187&amp;EL$1)</f>
        <v/>
      </c>
      <c r="EM187" s="66" t="str">
        <f t="shared" ref="EM187" si="3131">IF(BG187="","","|n"&amp;EM$2&amp;"+"&amp;BG187&amp;EM$1)</f>
        <v/>
      </c>
      <c r="EN187" s="66" t="str">
        <f t="shared" ref="EN187" si="3132">IF(BH187="","","|n"&amp;EN$2&amp;"+"&amp;BH187&amp;EN$1)</f>
        <v/>
      </c>
      <c r="EO187" s="66" t="str">
        <f t="shared" ref="EO187" si="3133">IF(BI187="","","|n"&amp;EO$2&amp;"+"&amp;BI187&amp;EO$1)</f>
        <v/>
      </c>
      <c r="EP187" s="66" t="str">
        <f t="shared" ref="EP187" si="3134">IF(BJ187="","","|n"&amp;EP$2&amp;"+"&amp;BJ187&amp;EP$1)</f>
        <v/>
      </c>
      <c r="EQ187" s="66" t="str">
        <f t="shared" ref="EQ187" si="3135">IF(BK187="","","|n"&amp;EQ$2&amp;"+"&amp;BK187&amp;EQ$1)</f>
        <v/>
      </c>
      <c r="ER187" s="66" t="str">
        <f t="shared" ref="ER187" si="3136">IF(BL187="","","|n"&amp;ER$2&amp;"+"&amp;BL187&amp;ER$1)</f>
        <v/>
      </c>
      <c r="ES187" s="66" t="str">
        <f t="shared" ref="ES187" si="3137">IF(BM187="","","|n"&amp;ES$2&amp;"+"&amp;BM187&amp;ES$1)</f>
        <v/>
      </c>
      <c r="ET187" s="66" t="str">
        <f t="shared" ref="ET187" si="3138">IF(BN187="","","|n"&amp;ET$2&amp;"+"&amp;BN187&amp;ET$1)</f>
        <v/>
      </c>
      <c r="EU187" s="66" t="str">
        <f t="shared" ref="EU187" si="3139">IF(BO187="","","|n"&amp;EU$2&amp;"+"&amp;BO187&amp;EU$1)</f>
        <v/>
      </c>
      <c r="EV187" s="66" t="str">
        <f t="shared" ref="EV187" si="3140">IF(BP187="","","|n"&amp;EV$2&amp;"+"&amp;BP187&amp;EV$1)</f>
        <v/>
      </c>
      <c r="EW187" s="66" t="str">
        <f t="shared" ref="EW187" si="3141">IF(BQ187="","","|n"&amp;EW$2&amp;"+"&amp;BQ187&amp;EW$1)</f>
        <v/>
      </c>
      <c r="EX187" s="66" t="str">
        <f t="shared" ref="EX187" si="3142">IF(BR187="","","|n"&amp;EX$2&amp;"+"&amp;BR187&amp;EX$1)</f>
        <v/>
      </c>
      <c r="EY187" s="66" t="str">
        <f t="shared" ref="EY187" si="3143">IF(BS187="","","|n"&amp;EY$2&amp;"+"&amp;BS187&amp;EY$1)</f>
        <v/>
      </c>
      <c r="EZ187" s="66" t="str">
        <f t="shared" ref="EZ187" si="3144">IF(BT187="","","|n"&amp;EZ$2&amp;"+"&amp;BT187&amp;EZ$1)</f>
        <v/>
      </c>
      <c r="FA187" s="66" t="str">
        <f t="shared" ref="FA187" si="3145">IF(BU187="","","|n"&amp;FA$2&amp;"+"&amp;BU187&amp;FA$1)</f>
        <v/>
      </c>
      <c r="FB187" s="66" t="str">
        <f t="shared" ref="FB187" si="3146">IF(BV187="","","|n"&amp;FB$2&amp;"+"&amp;BV187&amp;FB$1)</f>
        <v/>
      </c>
      <c r="FC187" s="66" t="str">
        <f t="shared" ref="FC187" si="3147">IF(BW187="","","|n"&amp;FC$2&amp;"+"&amp;BW187&amp;FC$1)</f>
        <v/>
      </c>
      <c r="FD187" s="66" t="str">
        <f t="shared" ref="FD187" si="3148">IF(BX187="","","|n"&amp;FD$2&amp;"+"&amp;BX187&amp;FD$1)</f>
        <v/>
      </c>
      <c r="FE187" s="66" t="str">
        <f t="shared" ref="FE187" si="3149">IF(BY187="","","|n"&amp;FE$2&amp;"+"&amp;BY187&amp;FE$1)</f>
        <v/>
      </c>
      <c r="FF187" s="66" t="str">
        <f t="shared" ref="FF187" si="3150">IF(BZ187="","","|n"&amp;FF$2&amp;"+"&amp;BZ187&amp;FF$1)</f>
        <v/>
      </c>
      <c r="FG187" s="66" t="str">
        <f t="shared" ref="FG187" si="3151">IF(CA187="","","|n"&amp;FG$2&amp;"+"&amp;CA187&amp;FG$1)</f>
        <v/>
      </c>
      <c r="FH187" s="66" t="str">
        <f t="shared" ref="FH187" si="3152">IF(CB187="","","|n"&amp;FH$2&amp;"+"&amp;CB187&amp;FH$1)</f>
        <v/>
      </c>
      <c r="FI187" s="66" t="str">
        <f t="shared" ref="FI187" si="3153">IF(CC187="","","|n"&amp;FI$2&amp;"+"&amp;CC187&amp;FI$1)</f>
        <v/>
      </c>
      <c r="FJ187" s="66" t="str">
        <f t="shared" ref="FJ187" si="3154">IF(CD187="","","|n"&amp;FJ$2&amp;"+"&amp;CD187&amp;FJ$1)</f>
        <v/>
      </c>
      <c r="FK187" s="66" t="str">
        <f t="shared" ref="FK187" si="3155">IF(CE187="","","|n"&amp;FK$2&amp;"+"&amp;CE187&amp;FK$1)</f>
        <v/>
      </c>
      <c r="FL187" s="66" t="str">
        <f t="shared" ref="FL187" si="3156">IF(CF187="","","|n"&amp;FL$2&amp;"+"&amp;CF187&amp;FL$1)</f>
        <v/>
      </c>
      <c r="FM187" s="66" t="str">
        <f t="shared" ref="FM187" si="3157">IF(CG187="","","|n"&amp;FM$2&amp;"+"&amp;CG187&amp;FM$1)</f>
        <v/>
      </c>
      <c r="FN187" s="66" t="str">
        <f t="shared" ref="FN187" si="3158">IF(CH187="","","|n"&amp;FN$2&amp;"+"&amp;CH187&amp;FN$1)</f>
        <v/>
      </c>
      <c r="FO187" s="66" t="str">
        <f t="shared" ref="FO187" si="3159">IF(CI187="","","|n"&amp;FO$2&amp;"+"&amp;CI187&amp;FO$1)</f>
        <v/>
      </c>
      <c r="FP187" s="66" t="str">
        <f t="shared" ref="FP187" si="3160">IF(CJ187="","","|n"&amp;FP$2&amp;"+"&amp;CJ187&amp;FP$1)</f>
        <v/>
      </c>
      <c r="FQ187" s="66" t="str">
        <f t="shared" ref="FQ187" si="3161">IF(CK187="","","|n"&amp;FQ$2&amp;"+"&amp;CK187&amp;FQ$1)</f>
        <v/>
      </c>
      <c r="FR187" s="66" t="str">
        <f t="shared" ref="FR187" si="3162">IF(CL187="","","|n"&amp;FR$2&amp;"+"&amp;CL187&amp;FR$1)</f>
        <v/>
      </c>
      <c r="FS187" s="66" t="str">
        <f t="shared" ref="FS187" si="3163">IF(CM187="","","|n"&amp;FS$2&amp;"+"&amp;CM187&amp;FS$1)</f>
        <v/>
      </c>
    </row>
    <row r="188" spans="1:175" ht="16.5">
      <c r="A188" s="15"/>
      <c r="B188" s="9" t="s">
        <v>688</v>
      </c>
      <c r="C188" s="15" t="s">
        <v>689</v>
      </c>
      <c r="T188" s="25" t="str">
        <f t="shared" si="3090"/>
        <v>|CffFFD24D兽魂抽奖|r</v>
      </c>
      <c r="U188" s="77" t="s">
        <v>690</v>
      </c>
      <c r="CN188" s="36" t="str">
        <f t="shared" si="2688"/>
        <v>InitUnitState('IS12',,,,,,,,,,)</v>
      </c>
      <c r="CO188" s="36" t="str">
        <f t="shared" si="2689"/>
        <v>InitUnitNormal('IS12',,,,,,,,,,)</v>
      </c>
      <c r="CP188" s="36" t="str">
        <f t="shared" si="2690"/>
        <v>InitUnitMagic('IS12',,,,,,,,,,)</v>
      </c>
      <c r="CQ188" s="36" t="str">
        <f t="shared" si="2691"/>
        <v>InitUnitAdd('IS12',,,,,,,,,,)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88" t="str">
        <f t="shared" si="3092"/>
        <v>|n</v>
      </c>
      <c r="CV188" s="19" t="str">
        <f t="shared" si="3093"/>
        <v>|CffFFD24D兽魂抽奖|r</v>
      </c>
      <c r="CW188" s="33"/>
      <c r="CX188" s="33"/>
      <c r="CY188" s="33"/>
      <c r="CZ188" s="33"/>
      <c r="DA188" s="33"/>
      <c r="DB188" s="66" t="str">
        <f t="shared" ref="DB188:EG188" si="3164">IF(V188="","","|n"&amp;DB$2&amp;"+"&amp;V188&amp;DB$1)</f>
        <v/>
      </c>
      <c r="DC188" s="66" t="str">
        <f t="shared" si="3164"/>
        <v/>
      </c>
      <c r="DD188" s="66" t="str">
        <f t="shared" si="3164"/>
        <v/>
      </c>
      <c r="DE188" s="66" t="str">
        <f t="shared" si="3164"/>
        <v/>
      </c>
      <c r="DF188" s="66" t="str">
        <f t="shared" si="3164"/>
        <v/>
      </c>
      <c r="DG188" s="66" t="str">
        <f t="shared" si="3164"/>
        <v/>
      </c>
      <c r="DH188" s="66" t="str">
        <f t="shared" si="3164"/>
        <v/>
      </c>
      <c r="DI188" s="66" t="str">
        <f t="shared" si="3164"/>
        <v/>
      </c>
      <c r="DJ188" s="66" t="str">
        <f t="shared" si="3164"/>
        <v/>
      </c>
      <c r="DK188" s="66" t="str">
        <f t="shared" si="3164"/>
        <v/>
      </c>
      <c r="DL188" s="66" t="str">
        <f t="shared" si="3164"/>
        <v/>
      </c>
      <c r="DM188" s="66" t="str">
        <f t="shared" si="3164"/>
        <v/>
      </c>
      <c r="DN188" s="66" t="str">
        <f t="shared" si="3164"/>
        <v/>
      </c>
      <c r="DO188" s="66" t="str">
        <f t="shared" si="3164"/>
        <v/>
      </c>
      <c r="DP188" s="66" t="str">
        <f t="shared" si="3164"/>
        <v/>
      </c>
      <c r="DQ188" s="66" t="str">
        <f t="shared" si="3164"/>
        <v/>
      </c>
      <c r="DR188" s="66" t="str">
        <f t="shared" si="3164"/>
        <v/>
      </c>
      <c r="DS188" s="66" t="str">
        <f t="shared" si="3164"/>
        <v/>
      </c>
      <c r="DT188" s="66" t="str">
        <f t="shared" si="3164"/>
        <v/>
      </c>
      <c r="DU188" s="66" t="str">
        <f t="shared" si="3164"/>
        <v/>
      </c>
      <c r="DV188" s="66" t="str">
        <f t="shared" si="3164"/>
        <v/>
      </c>
      <c r="DW188" s="66" t="str">
        <f t="shared" si="3164"/>
        <v/>
      </c>
      <c r="DX188" s="66" t="str">
        <f t="shared" si="3164"/>
        <v/>
      </c>
      <c r="DY188" s="66" t="str">
        <f t="shared" si="3164"/>
        <v/>
      </c>
      <c r="DZ188" s="66" t="str">
        <f t="shared" si="3164"/>
        <v/>
      </c>
      <c r="EA188" s="66" t="str">
        <f t="shared" si="3164"/>
        <v/>
      </c>
      <c r="EB188" s="66" t="str">
        <f t="shared" si="3164"/>
        <v/>
      </c>
      <c r="EC188" s="66" t="str">
        <f t="shared" si="3164"/>
        <v/>
      </c>
      <c r="ED188" s="66" t="str">
        <f t="shared" si="3164"/>
        <v/>
      </c>
      <c r="EE188" s="66" t="str">
        <f t="shared" si="3164"/>
        <v/>
      </c>
      <c r="EF188" s="66" t="str">
        <f t="shared" si="3164"/>
        <v/>
      </c>
      <c r="EG188" s="66" t="str">
        <f t="shared" si="3164"/>
        <v/>
      </c>
      <c r="EH188" s="66" t="str">
        <f t="shared" ref="EH188:FM188" si="3165">IF(BB188="","","|n"&amp;EH$2&amp;"+"&amp;BB188&amp;EH$1)</f>
        <v/>
      </c>
      <c r="EI188" s="66" t="str">
        <f t="shared" si="3165"/>
        <v/>
      </c>
      <c r="EJ188" s="66" t="str">
        <f t="shared" si="3165"/>
        <v/>
      </c>
      <c r="EK188" s="66" t="str">
        <f t="shared" si="3165"/>
        <v/>
      </c>
      <c r="EL188" s="66" t="str">
        <f t="shared" si="3165"/>
        <v/>
      </c>
      <c r="EM188" s="66" t="str">
        <f t="shared" si="3165"/>
        <v/>
      </c>
      <c r="EN188" s="66" t="str">
        <f t="shared" si="3165"/>
        <v/>
      </c>
      <c r="EO188" s="66" t="str">
        <f t="shared" si="3165"/>
        <v/>
      </c>
      <c r="EP188" s="66" t="str">
        <f t="shared" si="3165"/>
        <v/>
      </c>
      <c r="EQ188" s="66" t="str">
        <f t="shared" si="3165"/>
        <v/>
      </c>
      <c r="ER188" s="66" t="str">
        <f t="shared" si="3165"/>
        <v/>
      </c>
      <c r="ES188" s="66" t="str">
        <f t="shared" si="3165"/>
        <v/>
      </c>
      <c r="ET188" s="66" t="str">
        <f t="shared" si="3165"/>
        <v/>
      </c>
      <c r="EU188" s="66" t="str">
        <f t="shared" si="3165"/>
        <v/>
      </c>
      <c r="EV188" s="66" t="str">
        <f t="shared" si="3165"/>
        <v/>
      </c>
      <c r="EW188" s="66" t="str">
        <f t="shared" si="3165"/>
        <v/>
      </c>
      <c r="EX188" s="66" t="str">
        <f t="shared" si="3165"/>
        <v/>
      </c>
      <c r="EY188" s="66" t="str">
        <f t="shared" si="3165"/>
        <v/>
      </c>
      <c r="EZ188" s="66" t="str">
        <f t="shared" si="3165"/>
        <v/>
      </c>
      <c r="FA188" s="66" t="str">
        <f t="shared" si="3165"/>
        <v/>
      </c>
      <c r="FB188" s="66" t="str">
        <f t="shared" si="3165"/>
        <v/>
      </c>
      <c r="FC188" s="66" t="str">
        <f t="shared" si="3165"/>
        <v/>
      </c>
      <c r="FD188" s="66" t="str">
        <f t="shared" si="3165"/>
        <v/>
      </c>
      <c r="FE188" s="66" t="str">
        <f t="shared" si="3165"/>
        <v/>
      </c>
      <c r="FF188" s="66" t="str">
        <f t="shared" si="3165"/>
        <v/>
      </c>
      <c r="FG188" s="66" t="str">
        <f t="shared" si="3165"/>
        <v/>
      </c>
      <c r="FH188" s="66" t="str">
        <f t="shared" si="3165"/>
        <v/>
      </c>
      <c r="FI188" s="66" t="str">
        <f t="shared" si="3165"/>
        <v/>
      </c>
      <c r="FJ188" s="66" t="str">
        <f t="shared" si="3165"/>
        <v/>
      </c>
      <c r="FK188" s="66" t="str">
        <f t="shared" si="3165"/>
        <v/>
      </c>
      <c r="FL188" s="66" t="str">
        <f t="shared" si="3165"/>
        <v/>
      </c>
      <c r="FM188" s="66" t="str">
        <f t="shared" si="3165"/>
        <v/>
      </c>
      <c r="FN188" s="66" t="str">
        <f t="shared" ref="FN188:FS188" si="3166">IF(CH188="","","|n"&amp;FN$2&amp;"+"&amp;CH188&amp;FN$1)</f>
        <v/>
      </c>
      <c r="FO188" s="66" t="str">
        <f t="shared" si="3166"/>
        <v/>
      </c>
      <c r="FP188" s="66" t="str">
        <f t="shared" si="3166"/>
        <v/>
      </c>
      <c r="FQ188" s="66" t="str">
        <f t="shared" si="3166"/>
        <v/>
      </c>
      <c r="FR188" s="66" t="str">
        <f t="shared" si="3166"/>
        <v/>
      </c>
      <c r="FS188" s="66" t="str">
        <f t="shared" si="3166"/>
        <v/>
      </c>
    </row>
    <row r="189" spans="1:175" ht="16.5">
      <c r="A189" s="15"/>
      <c r="B189" s="9" t="s">
        <v>691</v>
      </c>
      <c r="C189" s="15" t="s">
        <v>689</v>
      </c>
      <c r="T189" s="25" t="str">
        <f t="shared" si="3090"/>
        <v>|CffFFD24D兽魂抽奖|r</v>
      </c>
      <c r="U189" s="77" t="s">
        <v>690</v>
      </c>
      <c r="CN189" s="36" t="str">
        <f t="shared" si="2688"/>
        <v>InitUnitState('IZ0C',,,,,,,,,,)</v>
      </c>
      <c r="CO189" s="36" t="str">
        <f t="shared" si="2689"/>
        <v>InitUnitNormal('IZ0C',,,,,,,,,,)</v>
      </c>
      <c r="CP189" s="36" t="str">
        <f t="shared" si="2690"/>
        <v>InitUnitMagic('IZ0C',,,,,,,,,,)</v>
      </c>
      <c r="CQ189" s="36" t="str">
        <f t="shared" si="2691"/>
        <v>InitUnitAdd('IZ0C',,,,,,,,,,)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88" t="str">
        <f t="shared" si="3092"/>
        <v>|n</v>
      </c>
      <c r="CV189" s="19" t="str">
        <f t="shared" si="3093"/>
        <v>|CffFFD24D兽魂抽奖|r</v>
      </c>
      <c r="CW189" s="33"/>
      <c r="CX189" s="33"/>
      <c r="CY189" s="33"/>
      <c r="CZ189" s="33"/>
      <c r="DA189" s="33"/>
      <c r="DB189" s="66" t="str">
        <f t="shared" ref="DB189:FM189" si="3167">IF(V189="","","|n"&amp;DB$2&amp;"+"&amp;V189&amp;DB$1)</f>
        <v/>
      </c>
      <c r="DC189" s="66" t="str">
        <f t="shared" si="3167"/>
        <v/>
      </c>
      <c r="DD189" s="66" t="str">
        <f t="shared" si="3167"/>
        <v/>
      </c>
      <c r="DE189" s="66" t="str">
        <f t="shared" si="3167"/>
        <v/>
      </c>
      <c r="DF189" s="66" t="str">
        <f t="shared" si="3167"/>
        <v/>
      </c>
      <c r="DG189" s="66" t="str">
        <f t="shared" si="3167"/>
        <v/>
      </c>
      <c r="DH189" s="66" t="str">
        <f t="shared" si="3167"/>
        <v/>
      </c>
      <c r="DI189" s="66" t="str">
        <f t="shared" si="3167"/>
        <v/>
      </c>
      <c r="DJ189" s="66" t="str">
        <f t="shared" si="3167"/>
        <v/>
      </c>
      <c r="DK189" s="66" t="str">
        <f t="shared" si="3167"/>
        <v/>
      </c>
      <c r="DL189" s="66" t="str">
        <f t="shared" si="3167"/>
        <v/>
      </c>
      <c r="DM189" s="66" t="str">
        <f t="shared" si="3167"/>
        <v/>
      </c>
      <c r="DN189" s="66" t="str">
        <f t="shared" si="3167"/>
        <v/>
      </c>
      <c r="DO189" s="66" t="str">
        <f t="shared" si="3167"/>
        <v/>
      </c>
      <c r="DP189" s="66" t="str">
        <f t="shared" si="3167"/>
        <v/>
      </c>
      <c r="DQ189" s="66" t="str">
        <f t="shared" si="3167"/>
        <v/>
      </c>
      <c r="DR189" s="66" t="str">
        <f t="shared" si="3167"/>
        <v/>
      </c>
      <c r="DS189" s="66" t="str">
        <f t="shared" si="3167"/>
        <v/>
      </c>
      <c r="DT189" s="66" t="str">
        <f t="shared" si="3167"/>
        <v/>
      </c>
      <c r="DU189" s="66" t="str">
        <f t="shared" si="3167"/>
        <v/>
      </c>
      <c r="DV189" s="66" t="str">
        <f t="shared" si="3167"/>
        <v/>
      </c>
      <c r="DW189" s="66" t="str">
        <f t="shared" si="3167"/>
        <v/>
      </c>
      <c r="DX189" s="66" t="str">
        <f t="shared" si="3167"/>
        <v/>
      </c>
      <c r="DY189" s="66" t="str">
        <f t="shared" si="3167"/>
        <v/>
      </c>
      <c r="DZ189" s="66" t="str">
        <f t="shared" si="3167"/>
        <v/>
      </c>
      <c r="EA189" s="66" t="str">
        <f t="shared" si="3167"/>
        <v/>
      </c>
      <c r="EB189" s="66" t="str">
        <f t="shared" si="3167"/>
        <v/>
      </c>
      <c r="EC189" s="66" t="str">
        <f t="shared" si="3167"/>
        <v/>
      </c>
      <c r="ED189" s="66" t="str">
        <f t="shared" si="3167"/>
        <v/>
      </c>
      <c r="EE189" s="66" t="str">
        <f t="shared" si="3167"/>
        <v/>
      </c>
      <c r="EF189" s="66" t="str">
        <f t="shared" si="3167"/>
        <v/>
      </c>
      <c r="EG189" s="66" t="str">
        <f t="shared" si="3167"/>
        <v/>
      </c>
      <c r="EH189" s="66" t="str">
        <f t="shared" si="3167"/>
        <v/>
      </c>
      <c r="EI189" s="66" t="str">
        <f t="shared" si="3167"/>
        <v/>
      </c>
      <c r="EJ189" s="66" t="str">
        <f t="shared" si="3167"/>
        <v/>
      </c>
      <c r="EK189" s="66" t="str">
        <f t="shared" si="3167"/>
        <v/>
      </c>
      <c r="EL189" s="66" t="str">
        <f t="shared" si="3167"/>
        <v/>
      </c>
      <c r="EM189" s="66" t="str">
        <f t="shared" si="3167"/>
        <v/>
      </c>
      <c r="EN189" s="66" t="str">
        <f t="shared" si="3167"/>
        <v/>
      </c>
      <c r="EO189" s="66" t="str">
        <f t="shared" si="3167"/>
        <v/>
      </c>
      <c r="EP189" s="66" t="str">
        <f t="shared" si="3167"/>
        <v/>
      </c>
      <c r="EQ189" s="66" t="str">
        <f t="shared" si="3167"/>
        <v/>
      </c>
      <c r="ER189" s="66" t="str">
        <f t="shared" si="3167"/>
        <v/>
      </c>
      <c r="ES189" s="66" t="str">
        <f t="shared" si="3167"/>
        <v/>
      </c>
      <c r="ET189" s="66" t="str">
        <f t="shared" si="3167"/>
        <v/>
      </c>
      <c r="EU189" s="66" t="str">
        <f t="shared" si="3167"/>
        <v/>
      </c>
      <c r="EV189" s="66" t="str">
        <f t="shared" si="3167"/>
        <v/>
      </c>
      <c r="EW189" s="66" t="str">
        <f t="shared" si="3167"/>
        <v/>
      </c>
      <c r="EX189" s="66" t="str">
        <f t="shared" si="3167"/>
        <v/>
      </c>
      <c r="EY189" s="66" t="str">
        <f t="shared" si="3167"/>
        <v/>
      </c>
      <c r="EZ189" s="66" t="str">
        <f t="shared" si="3167"/>
        <v/>
      </c>
      <c r="FA189" s="66" t="str">
        <f t="shared" si="3167"/>
        <v/>
      </c>
      <c r="FB189" s="66" t="str">
        <f t="shared" si="3167"/>
        <v/>
      </c>
      <c r="FC189" s="66" t="str">
        <f t="shared" si="3167"/>
        <v/>
      </c>
      <c r="FD189" s="66" t="str">
        <f t="shared" si="3167"/>
        <v/>
      </c>
      <c r="FE189" s="66" t="str">
        <f t="shared" si="3167"/>
        <v/>
      </c>
      <c r="FF189" s="66" t="str">
        <f t="shared" si="3167"/>
        <v/>
      </c>
      <c r="FG189" s="66" t="str">
        <f t="shared" si="3167"/>
        <v/>
      </c>
      <c r="FH189" s="66" t="str">
        <f t="shared" si="3167"/>
        <v/>
      </c>
      <c r="FI189" s="66" t="str">
        <f t="shared" si="3167"/>
        <v/>
      </c>
      <c r="FJ189" s="66" t="str">
        <f t="shared" si="3167"/>
        <v/>
      </c>
      <c r="FK189" s="66" t="str">
        <f t="shared" si="3167"/>
        <v/>
      </c>
      <c r="FL189" s="66" t="str">
        <f t="shared" si="3167"/>
        <v/>
      </c>
      <c r="FM189" s="66" t="str">
        <f t="shared" si="3167"/>
        <v/>
      </c>
      <c r="FN189" s="66" t="str">
        <f t="shared" ref="FN189:FS189" si="3168">IF(CH189="","","|n"&amp;FN$2&amp;"+"&amp;CH189&amp;FN$1)</f>
        <v/>
      </c>
      <c r="FO189" s="66" t="str">
        <f t="shared" si="3168"/>
        <v/>
      </c>
      <c r="FP189" s="66" t="str">
        <f t="shared" si="3168"/>
        <v/>
      </c>
      <c r="FQ189" s="66" t="str">
        <f t="shared" si="3168"/>
        <v/>
      </c>
      <c r="FR189" s="66" t="str">
        <f t="shared" si="3168"/>
        <v/>
      </c>
      <c r="FS189" s="66" t="str">
        <f t="shared" si="3168"/>
        <v/>
      </c>
    </row>
    <row r="190" spans="1:175" ht="16.5">
      <c r="A190" s="15"/>
      <c r="B190" s="9" t="s">
        <v>692</v>
      </c>
      <c r="C190" s="15" t="s">
        <v>693</v>
      </c>
      <c r="T190" s="25" t="s">
        <v>694</v>
      </c>
      <c r="U190" s="77" t="s">
        <v>690</v>
      </c>
      <c r="CN190" s="36" t="str">
        <f t="shared" si="2688"/>
        <v>InitUnitState('IZ10',,,,,,,,,,)</v>
      </c>
      <c r="CO190" s="36" t="str">
        <f t="shared" si="2689"/>
        <v>InitUnitNormal('IZ10',,,,,,,,,,)</v>
      </c>
      <c r="CP190" s="36" t="str">
        <f t="shared" si="2690"/>
        <v>InitUnitMagic('IZ10',,,,,,,,,,)</v>
      </c>
      <c r="CQ190" s="36" t="str">
        <f t="shared" si="2691"/>
        <v>InitUnitAdd('IZ10',,,,,,,,,,)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8" t="str">
        <f t="shared" si="3092"/>
        <v>|n</v>
      </c>
      <c r="CV190" s="19" t="str">
        <f t="shared" si="3093"/>
        <v>|CffF0F0F0有几率获得|r|Cffffd24d好东西|r|Cfff0f0f0，也有可能|r|Cffcccccc打水漂|r|Cfff0f0f0。|n|n|r|Cff00ff7f观今夜星象，抽就完事了...|r</v>
      </c>
      <c r="CW190" s="33"/>
      <c r="CX190" s="33"/>
      <c r="CY190" s="33"/>
      <c r="CZ190" s="33"/>
      <c r="DA190" s="33"/>
      <c r="DB190" s="66" t="str">
        <f t="shared" ref="DB190:FM190" si="3169">IF(V190="","","|n"&amp;DB$2&amp;"+"&amp;V190&amp;DB$1)</f>
        <v/>
      </c>
      <c r="DC190" s="66" t="str">
        <f t="shared" si="3169"/>
        <v/>
      </c>
      <c r="DD190" s="66" t="str">
        <f t="shared" si="3169"/>
        <v/>
      </c>
      <c r="DE190" s="66" t="str">
        <f t="shared" si="3169"/>
        <v/>
      </c>
      <c r="DF190" s="66" t="str">
        <f t="shared" si="3169"/>
        <v/>
      </c>
      <c r="DG190" s="66" t="str">
        <f t="shared" si="3169"/>
        <v/>
      </c>
      <c r="DH190" s="66" t="str">
        <f t="shared" si="3169"/>
        <v/>
      </c>
      <c r="DI190" s="66" t="str">
        <f t="shared" si="3169"/>
        <v/>
      </c>
      <c r="DJ190" s="66" t="str">
        <f t="shared" si="3169"/>
        <v/>
      </c>
      <c r="DK190" s="66" t="str">
        <f t="shared" si="3169"/>
        <v/>
      </c>
      <c r="DL190" s="66" t="str">
        <f t="shared" si="3169"/>
        <v/>
      </c>
      <c r="DM190" s="66" t="str">
        <f t="shared" si="3169"/>
        <v/>
      </c>
      <c r="DN190" s="66" t="str">
        <f t="shared" si="3169"/>
        <v/>
      </c>
      <c r="DO190" s="66" t="str">
        <f t="shared" si="3169"/>
        <v/>
      </c>
      <c r="DP190" s="66" t="str">
        <f t="shared" si="3169"/>
        <v/>
      </c>
      <c r="DQ190" s="66" t="str">
        <f t="shared" si="3169"/>
        <v/>
      </c>
      <c r="DR190" s="66" t="str">
        <f t="shared" si="3169"/>
        <v/>
      </c>
      <c r="DS190" s="66" t="str">
        <f t="shared" si="3169"/>
        <v/>
      </c>
      <c r="DT190" s="66" t="str">
        <f t="shared" si="3169"/>
        <v/>
      </c>
      <c r="DU190" s="66" t="str">
        <f t="shared" si="3169"/>
        <v/>
      </c>
      <c r="DV190" s="66" t="str">
        <f t="shared" si="3169"/>
        <v/>
      </c>
      <c r="DW190" s="66" t="str">
        <f t="shared" si="3169"/>
        <v/>
      </c>
      <c r="DX190" s="66" t="str">
        <f t="shared" si="3169"/>
        <v/>
      </c>
      <c r="DY190" s="66" t="str">
        <f t="shared" si="3169"/>
        <v/>
      </c>
      <c r="DZ190" s="66" t="str">
        <f t="shared" si="3169"/>
        <v/>
      </c>
      <c r="EA190" s="66" t="str">
        <f t="shared" si="3169"/>
        <v/>
      </c>
      <c r="EB190" s="66" t="str">
        <f t="shared" si="3169"/>
        <v/>
      </c>
      <c r="EC190" s="66" t="str">
        <f t="shared" si="3169"/>
        <v/>
      </c>
      <c r="ED190" s="66" t="str">
        <f t="shared" si="3169"/>
        <v/>
      </c>
      <c r="EE190" s="66" t="str">
        <f t="shared" si="3169"/>
        <v/>
      </c>
      <c r="EF190" s="66" t="str">
        <f t="shared" si="3169"/>
        <v/>
      </c>
      <c r="EG190" s="66" t="str">
        <f t="shared" si="3169"/>
        <v/>
      </c>
      <c r="EH190" s="66" t="str">
        <f t="shared" si="3169"/>
        <v/>
      </c>
      <c r="EI190" s="66" t="str">
        <f t="shared" si="3169"/>
        <v/>
      </c>
      <c r="EJ190" s="66" t="str">
        <f t="shared" si="3169"/>
        <v/>
      </c>
      <c r="EK190" s="66" t="str">
        <f t="shared" si="3169"/>
        <v/>
      </c>
      <c r="EL190" s="66" t="str">
        <f t="shared" si="3169"/>
        <v/>
      </c>
      <c r="EM190" s="66" t="str">
        <f t="shared" si="3169"/>
        <v/>
      </c>
      <c r="EN190" s="66" t="str">
        <f t="shared" si="3169"/>
        <v/>
      </c>
      <c r="EO190" s="66" t="str">
        <f t="shared" si="3169"/>
        <v/>
      </c>
      <c r="EP190" s="66" t="str">
        <f t="shared" si="3169"/>
        <v/>
      </c>
      <c r="EQ190" s="66" t="str">
        <f t="shared" si="3169"/>
        <v/>
      </c>
      <c r="ER190" s="66" t="str">
        <f t="shared" si="3169"/>
        <v/>
      </c>
      <c r="ES190" s="66" t="str">
        <f t="shared" si="3169"/>
        <v/>
      </c>
      <c r="ET190" s="66" t="str">
        <f t="shared" si="3169"/>
        <v/>
      </c>
      <c r="EU190" s="66" t="str">
        <f t="shared" si="3169"/>
        <v/>
      </c>
      <c r="EV190" s="66" t="str">
        <f t="shared" si="3169"/>
        <v/>
      </c>
      <c r="EW190" s="66" t="str">
        <f t="shared" si="3169"/>
        <v/>
      </c>
      <c r="EX190" s="66" t="str">
        <f t="shared" si="3169"/>
        <v/>
      </c>
      <c r="EY190" s="66" t="str">
        <f t="shared" si="3169"/>
        <v/>
      </c>
      <c r="EZ190" s="66" t="str">
        <f t="shared" si="3169"/>
        <v/>
      </c>
      <c r="FA190" s="66" t="str">
        <f t="shared" si="3169"/>
        <v/>
      </c>
      <c r="FB190" s="66" t="str">
        <f t="shared" si="3169"/>
        <v/>
      </c>
      <c r="FC190" s="66" t="str">
        <f t="shared" si="3169"/>
        <v/>
      </c>
      <c r="FD190" s="66" t="str">
        <f t="shared" si="3169"/>
        <v/>
      </c>
      <c r="FE190" s="66" t="str">
        <f t="shared" si="3169"/>
        <v/>
      </c>
      <c r="FF190" s="66" t="str">
        <f t="shared" si="3169"/>
        <v/>
      </c>
      <c r="FG190" s="66" t="str">
        <f t="shared" si="3169"/>
        <v/>
      </c>
      <c r="FH190" s="66" t="str">
        <f t="shared" si="3169"/>
        <v/>
      </c>
      <c r="FI190" s="66" t="str">
        <f t="shared" si="3169"/>
        <v/>
      </c>
      <c r="FJ190" s="66" t="str">
        <f t="shared" si="3169"/>
        <v/>
      </c>
      <c r="FK190" s="66" t="str">
        <f t="shared" si="3169"/>
        <v/>
      </c>
      <c r="FL190" s="66" t="str">
        <f t="shared" si="3169"/>
        <v/>
      </c>
      <c r="FM190" s="66" t="str">
        <f t="shared" si="3169"/>
        <v/>
      </c>
      <c r="FN190" s="66" t="str">
        <f t="shared" ref="FN190:FS190" si="3170">IF(CH190="","","|n"&amp;FN$2&amp;"+"&amp;CH190&amp;FN$1)</f>
        <v/>
      </c>
      <c r="FO190" s="66" t="str">
        <f t="shared" si="3170"/>
        <v/>
      </c>
      <c r="FP190" s="66" t="str">
        <f t="shared" si="3170"/>
        <v/>
      </c>
      <c r="FQ190" s="66" t="str">
        <f t="shared" si="3170"/>
        <v/>
      </c>
      <c r="FR190" s="66" t="str">
        <f t="shared" si="3170"/>
        <v/>
      </c>
      <c r="FS190" s="66" t="str">
        <f t="shared" si="3170"/>
        <v/>
      </c>
    </row>
    <row r="191" spans="1:175" ht="16.5">
      <c r="A191" s="15"/>
      <c r="B191" s="9" t="s">
        <v>695</v>
      </c>
      <c r="C191" s="15" t="s">
        <v>696</v>
      </c>
      <c r="T191" s="25" t="s">
        <v>697</v>
      </c>
      <c r="U191" s="77" t="s">
        <v>690</v>
      </c>
      <c r="CN191" s="36" t="str">
        <f t="shared" si="2688"/>
        <v>InitUnitState('IZ11',,,,,,,,,,)</v>
      </c>
      <c r="CO191" s="36" t="str">
        <f t="shared" si="2689"/>
        <v>InitUnitNormal('IZ11',,,,,,,,,,)</v>
      </c>
      <c r="CP191" s="36" t="str">
        <f t="shared" si="2690"/>
        <v>InitUnitMagic('IZ11',,,,,,,,,,)</v>
      </c>
      <c r="CQ191" s="36" t="str">
        <f t="shared" si="2691"/>
        <v>InitUnitAdd('IZ11',,,,,,,,,,)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88" t="str">
        <f t="shared" si="3092"/>
        <v>|n</v>
      </c>
      <c r="CV191" s="19" t="str">
        <f t="shared" si="3093"/>
        <v>|CffF0F0F0有几率获得|r|Cffffd24d很多好东西|r|Cfff0f0f0，也有可能|r|Cffcccccc打很多水漂|r|Cfff0f0f0。|n|n|r|Cff00ff7f观今夜星象，使劲抽就完事了...|r</v>
      </c>
      <c r="CW191" s="33"/>
      <c r="CX191" s="33"/>
      <c r="CY191" s="33"/>
      <c r="CZ191" s="33"/>
      <c r="DA191" s="33"/>
      <c r="DB191" s="66" t="str">
        <f t="shared" ref="DB191:FM191" si="3171">IF(V191="","","|n"&amp;DB$2&amp;"+"&amp;V191&amp;DB$1)</f>
        <v/>
      </c>
      <c r="DC191" s="66" t="str">
        <f t="shared" si="3171"/>
        <v/>
      </c>
      <c r="DD191" s="66" t="str">
        <f t="shared" si="3171"/>
        <v/>
      </c>
      <c r="DE191" s="66" t="str">
        <f t="shared" si="3171"/>
        <v/>
      </c>
      <c r="DF191" s="66" t="str">
        <f t="shared" si="3171"/>
        <v/>
      </c>
      <c r="DG191" s="66" t="str">
        <f t="shared" si="3171"/>
        <v/>
      </c>
      <c r="DH191" s="66" t="str">
        <f t="shared" si="3171"/>
        <v/>
      </c>
      <c r="DI191" s="66" t="str">
        <f t="shared" si="3171"/>
        <v/>
      </c>
      <c r="DJ191" s="66" t="str">
        <f t="shared" si="3171"/>
        <v/>
      </c>
      <c r="DK191" s="66" t="str">
        <f t="shared" si="3171"/>
        <v/>
      </c>
      <c r="DL191" s="66" t="str">
        <f t="shared" si="3171"/>
        <v/>
      </c>
      <c r="DM191" s="66" t="str">
        <f t="shared" si="3171"/>
        <v/>
      </c>
      <c r="DN191" s="66" t="str">
        <f t="shared" si="3171"/>
        <v/>
      </c>
      <c r="DO191" s="66" t="str">
        <f t="shared" si="3171"/>
        <v/>
      </c>
      <c r="DP191" s="66" t="str">
        <f t="shared" si="3171"/>
        <v/>
      </c>
      <c r="DQ191" s="66" t="str">
        <f t="shared" si="3171"/>
        <v/>
      </c>
      <c r="DR191" s="66" t="str">
        <f t="shared" si="3171"/>
        <v/>
      </c>
      <c r="DS191" s="66" t="str">
        <f t="shared" si="3171"/>
        <v/>
      </c>
      <c r="DT191" s="66" t="str">
        <f t="shared" si="3171"/>
        <v/>
      </c>
      <c r="DU191" s="66" t="str">
        <f t="shared" si="3171"/>
        <v/>
      </c>
      <c r="DV191" s="66" t="str">
        <f t="shared" si="3171"/>
        <v/>
      </c>
      <c r="DW191" s="66" t="str">
        <f t="shared" si="3171"/>
        <v/>
      </c>
      <c r="DX191" s="66" t="str">
        <f t="shared" si="3171"/>
        <v/>
      </c>
      <c r="DY191" s="66" t="str">
        <f t="shared" si="3171"/>
        <v/>
      </c>
      <c r="DZ191" s="66" t="str">
        <f t="shared" si="3171"/>
        <v/>
      </c>
      <c r="EA191" s="66" t="str">
        <f t="shared" si="3171"/>
        <v/>
      </c>
      <c r="EB191" s="66" t="str">
        <f t="shared" si="3171"/>
        <v/>
      </c>
      <c r="EC191" s="66" t="str">
        <f t="shared" si="3171"/>
        <v/>
      </c>
      <c r="ED191" s="66" t="str">
        <f t="shared" si="3171"/>
        <v/>
      </c>
      <c r="EE191" s="66" t="str">
        <f t="shared" si="3171"/>
        <v/>
      </c>
      <c r="EF191" s="66" t="str">
        <f t="shared" si="3171"/>
        <v/>
      </c>
      <c r="EG191" s="66" t="str">
        <f t="shared" si="3171"/>
        <v/>
      </c>
      <c r="EH191" s="66" t="str">
        <f t="shared" si="3171"/>
        <v/>
      </c>
      <c r="EI191" s="66" t="str">
        <f t="shared" si="3171"/>
        <v/>
      </c>
      <c r="EJ191" s="66" t="str">
        <f t="shared" si="3171"/>
        <v/>
      </c>
      <c r="EK191" s="66" t="str">
        <f t="shared" si="3171"/>
        <v/>
      </c>
      <c r="EL191" s="66" t="str">
        <f t="shared" si="3171"/>
        <v/>
      </c>
      <c r="EM191" s="66" t="str">
        <f t="shared" si="3171"/>
        <v/>
      </c>
      <c r="EN191" s="66" t="str">
        <f t="shared" si="3171"/>
        <v/>
      </c>
      <c r="EO191" s="66" t="str">
        <f t="shared" si="3171"/>
        <v/>
      </c>
      <c r="EP191" s="66" t="str">
        <f t="shared" si="3171"/>
        <v/>
      </c>
      <c r="EQ191" s="66" t="str">
        <f t="shared" si="3171"/>
        <v/>
      </c>
      <c r="ER191" s="66" t="str">
        <f t="shared" si="3171"/>
        <v/>
      </c>
      <c r="ES191" s="66" t="str">
        <f t="shared" si="3171"/>
        <v/>
      </c>
      <c r="ET191" s="66" t="str">
        <f t="shared" si="3171"/>
        <v/>
      </c>
      <c r="EU191" s="66" t="str">
        <f t="shared" si="3171"/>
        <v/>
      </c>
      <c r="EV191" s="66" t="str">
        <f t="shared" si="3171"/>
        <v/>
      </c>
      <c r="EW191" s="66" t="str">
        <f t="shared" si="3171"/>
        <v/>
      </c>
      <c r="EX191" s="66" t="str">
        <f t="shared" si="3171"/>
        <v/>
      </c>
      <c r="EY191" s="66" t="str">
        <f t="shared" si="3171"/>
        <v/>
      </c>
      <c r="EZ191" s="66" t="str">
        <f t="shared" si="3171"/>
        <v/>
      </c>
      <c r="FA191" s="66" t="str">
        <f t="shared" si="3171"/>
        <v/>
      </c>
      <c r="FB191" s="66" t="str">
        <f t="shared" si="3171"/>
        <v/>
      </c>
      <c r="FC191" s="66" t="str">
        <f t="shared" si="3171"/>
        <v/>
      </c>
      <c r="FD191" s="66" t="str">
        <f t="shared" si="3171"/>
        <v/>
      </c>
      <c r="FE191" s="66" t="str">
        <f t="shared" si="3171"/>
        <v/>
      </c>
      <c r="FF191" s="66" t="str">
        <f t="shared" si="3171"/>
        <v/>
      </c>
      <c r="FG191" s="66" t="str">
        <f t="shared" si="3171"/>
        <v/>
      </c>
      <c r="FH191" s="66" t="str">
        <f t="shared" si="3171"/>
        <v/>
      </c>
      <c r="FI191" s="66" t="str">
        <f t="shared" si="3171"/>
        <v/>
      </c>
      <c r="FJ191" s="66" t="str">
        <f t="shared" si="3171"/>
        <v/>
      </c>
      <c r="FK191" s="66" t="str">
        <f t="shared" si="3171"/>
        <v/>
      </c>
      <c r="FL191" s="66" t="str">
        <f t="shared" si="3171"/>
        <v/>
      </c>
      <c r="FM191" s="66" t="str">
        <f t="shared" si="3171"/>
        <v/>
      </c>
      <c r="FN191" s="66" t="str">
        <f t="shared" ref="FN191:FS191" si="3172">IF(CH191="","","|n"&amp;FN$2&amp;"+"&amp;CH191&amp;FN$1)</f>
        <v/>
      </c>
      <c r="FO191" s="66" t="str">
        <f t="shared" si="3172"/>
        <v/>
      </c>
      <c r="FP191" s="66" t="str">
        <f t="shared" si="3172"/>
        <v/>
      </c>
      <c r="FQ191" s="66" t="str">
        <f t="shared" si="3172"/>
        <v/>
      </c>
      <c r="FR191" s="66" t="str">
        <f t="shared" si="3172"/>
        <v/>
      </c>
      <c r="FS191" s="66" t="str">
        <f t="shared" si="3172"/>
        <v/>
      </c>
    </row>
    <row r="192" spans="1:175" ht="16.5">
      <c r="A192" s="15"/>
      <c r="B192" s="9" t="s">
        <v>698</v>
      </c>
      <c r="C192" s="15" t="s">
        <v>699</v>
      </c>
      <c r="T192" s="9" t="s">
        <v>700</v>
      </c>
      <c r="U192" s="77" t="s">
        <v>285</v>
      </c>
      <c r="CN192" s="36" t="str">
        <f t="shared" ref="CN192" si="3173">"InitUnitState('"&amp;B192&amp;"',"&amp;V192&amp;","&amp;W192&amp;","&amp;X192&amp;","&amp;Y192&amp;","&amp;Z192&amp;","&amp;AA192&amp;","&amp;AB192&amp;","&amp;AC192&amp;","&amp;AD192&amp;","&amp;AE192&amp;")"</f>
        <v>InitUnitState('IS13',,,,,,,,,,)</v>
      </c>
      <c r="CO192" s="36" t="str">
        <f t="shared" ref="CO192" si="3174">"InitUnitNormal('"&amp;B192&amp;"',"&amp;AF192&amp;","&amp;AG192&amp;","&amp;AH192&amp;","&amp;AI192&amp;","&amp;AJ192&amp;","&amp;AK192&amp;","&amp;AL192&amp;","&amp;AM192&amp;","&amp;AN192&amp;","&amp;AO192&amp;")"</f>
        <v>InitUnitNormal('IS13',,,,,,,,,,)</v>
      </c>
      <c r="CP192" s="36" t="str">
        <f t="shared" ref="CP192" si="3175">"InitUnitMagic('"&amp;B192&amp;"',"&amp;AP192&amp;","&amp;AQ192&amp;","&amp;AR192&amp;","&amp;AS192&amp;","&amp;AT192&amp;","&amp;AU192&amp;","&amp;AV192&amp;","&amp;AW192&amp;","&amp;BI192&amp;","&amp;BJ192&amp;")"</f>
        <v>InitUnitMagic('IS13',,,,,,,,,,)</v>
      </c>
      <c r="CQ192" s="36" t="str">
        <f t="shared" ref="CQ192" si="3176">"InitUnitAdd('"&amp;B192&amp;"',"&amp;BK192&amp;","&amp;BL192&amp;","&amp;BM192&amp;","&amp;BN192&amp;","&amp;BO192&amp;","&amp;BP192&amp;","&amp;BQ192&amp;","&amp;BR192&amp;","&amp;BS192&amp;","&amp;BT192&amp;")"</f>
        <v>InitUnitAdd('IS13',,,,,,,,,,)</v>
      </c>
      <c r="CR192" s="36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88" t="str">
        <f t="shared" ref="CU192:CU193" si="3177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19" t="str">
        <f t="shared" ref="CV192:CV193" si="3178">T192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2" s="33"/>
      <c r="CX192" s="33"/>
      <c r="CY192" s="33"/>
      <c r="CZ192" s="33"/>
      <c r="DA192" s="33"/>
      <c r="DB192" s="66" t="str">
        <f t="shared" ref="DB192" si="3179">IF(V192="","","|n"&amp;DB$2&amp;"+"&amp;V192&amp;DB$1)</f>
        <v/>
      </c>
      <c r="DC192" s="66" t="str">
        <f t="shared" ref="DC192" si="3180">IF(W192="","","|n"&amp;DC$2&amp;"+"&amp;W192&amp;DC$1)</f>
        <v/>
      </c>
      <c r="DD192" s="66" t="str">
        <f t="shared" ref="DD192" si="3181">IF(X192="","","|n"&amp;DD$2&amp;"+"&amp;X192&amp;DD$1)</f>
        <v/>
      </c>
      <c r="DE192" s="66" t="str">
        <f t="shared" ref="DE192" si="3182">IF(Y192="","","|n"&amp;DE$2&amp;"+"&amp;Y192&amp;DE$1)</f>
        <v/>
      </c>
      <c r="DF192" s="66" t="str">
        <f t="shared" ref="DF192" si="3183">IF(Z192="","","|n"&amp;DF$2&amp;"+"&amp;Z192&amp;DF$1)</f>
        <v/>
      </c>
      <c r="DG192" s="66" t="str">
        <f t="shared" ref="DG192" si="3184">IF(AA192="","","|n"&amp;DG$2&amp;"+"&amp;AA192&amp;DG$1)</f>
        <v/>
      </c>
      <c r="DH192" s="66" t="str">
        <f t="shared" ref="DH192" si="3185">IF(AB192="","","|n"&amp;DH$2&amp;"+"&amp;AB192&amp;DH$1)</f>
        <v/>
      </c>
      <c r="DI192" s="66" t="str">
        <f t="shared" ref="DI192" si="3186">IF(AC192="","","|n"&amp;DI$2&amp;"+"&amp;AC192&amp;DI$1)</f>
        <v/>
      </c>
      <c r="DJ192" s="66" t="str">
        <f t="shared" ref="DJ192" si="3187">IF(AD192="","","|n"&amp;DJ$2&amp;"+"&amp;AD192&amp;DJ$1)</f>
        <v/>
      </c>
      <c r="DK192" s="66" t="str">
        <f t="shared" ref="DK192" si="3188">IF(AE192="","","|n"&amp;DK$2&amp;"+"&amp;AE192&amp;DK$1)</f>
        <v/>
      </c>
      <c r="DL192" s="66" t="str">
        <f t="shared" ref="DL192" si="3189">IF(AF192="","","|n"&amp;DL$2&amp;"+"&amp;AF192&amp;DL$1)</f>
        <v/>
      </c>
      <c r="DM192" s="66" t="str">
        <f t="shared" ref="DM192" si="3190">IF(AG192="","","|n"&amp;DM$2&amp;"+"&amp;AG192&amp;DM$1)</f>
        <v/>
      </c>
      <c r="DN192" s="66" t="str">
        <f t="shared" ref="DN192" si="3191">IF(AH192="","","|n"&amp;DN$2&amp;"+"&amp;AH192&amp;DN$1)</f>
        <v/>
      </c>
      <c r="DO192" s="66" t="str">
        <f t="shared" ref="DO192" si="3192">IF(AI192="","","|n"&amp;DO$2&amp;"+"&amp;AI192&amp;DO$1)</f>
        <v/>
      </c>
      <c r="DP192" s="66" t="str">
        <f t="shared" ref="DP192" si="3193">IF(AJ192="","","|n"&amp;DP$2&amp;"+"&amp;AJ192&amp;DP$1)</f>
        <v/>
      </c>
      <c r="DQ192" s="66" t="str">
        <f t="shared" ref="DQ192" si="3194">IF(AK192="","","|n"&amp;DQ$2&amp;"+"&amp;AK192&amp;DQ$1)</f>
        <v/>
      </c>
      <c r="DR192" s="66" t="str">
        <f t="shared" ref="DR192" si="3195">IF(AL192="","","|n"&amp;DR$2&amp;"+"&amp;AL192&amp;DR$1)</f>
        <v/>
      </c>
      <c r="DS192" s="66" t="str">
        <f t="shared" ref="DS192" si="3196">IF(AM192="","","|n"&amp;DS$2&amp;"+"&amp;AM192&amp;DS$1)</f>
        <v/>
      </c>
      <c r="DT192" s="66" t="str">
        <f t="shared" ref="DT192" si="3197">IF(AN192="","","|n"&amp;DT$2&amp;"+"&amp;AN192&amp;DT$1)</f>
        <v/>
      </c>
      <c r="DU192" s="66" t="str">
        <f t="shared" ref="DU192" si="3198">IF(AO192="","","|n"&amp;DU$2&amp;"+"&amp;AO192&amp;DU$1)</f>
        <v/>
      </c>
      <c r="DV192" s="66" t="str">
        <f t="shared" ref="DV192" si="3199">IF(AP192="","","|n"&amp;DV$2&amp;"+"&amp;AP192&amp;DV$1)</f>
        <v/>
      </c>
      <c r="DW192" s="66" t="str">
        <f t="shared" ref="DW192" si="3200">IF(AQ192="","","|n"&amp;DW$2&amp;"+"&amp;AQ192&amp;DW$1)</f>
        <v/>
      </c>
      <c r="DX192" s="66" t="str">
        <f t="shared" ref="DX192" si="3201">IF(AR192="","","|n"&amp;DX$2&amp;"+"&amp;AR192&amp;DX$1)</f>
        <v/>
      </c>
      <c r="DY192" s="66" t="str">
        <f t="shared" ref="DY192" si="3202">IF(AS192="","","|n"&amp;DY$2&amp;"+"&amp;AS192&amp;DY$1)</f>
        <v/>
      </c>
      <c r="DZ192" s="66" t="str">
        <f t="shared" ref="DZ192" si="3203">IF(AT192="","","|n"&amp;DZ$2&amp;"+"&amp;AT192&amp;DZ$1)</f>
        <v/>
      </c>
      <c r="EA192" s="66" t="str">
        <f t="shared" ref="EA192" si="3204">IF(AU192="","","|n"&amp;EA$2&amp;"+"&amp;AU192&amp;EA$1)</f>
        <v/>
      </c>
      <c r="EB192" s="66" t="str">
        <f t="shared" ref="EB192" si="3205">IF(AV192="","","|n"&amp;EB$2&amp;"+"&amp;AV192&amp;EB$1)</f>
        <v/>
      </c>
      <c r="EC192" s="66" t="str">
        <f t="shared" ref="EC192" si="3206">IF(AW192="","","|n"&amp;EC$2&amp;"+"&amp;AW192&amp;EC$1)</f>
        <v/>
      </c>
      <c r="ED192" s="66" t="str">
        <f t="shared" ref="ED192" si="3207">IF(AX192="","","|n"&amp;ED$2&amp;"+"&amp;AX192&amp;ED$1)</f>
        <v/>
      </c>
      <c r="EE192" s="66" t="str">
        <f t="shared" ref="EE192" si="3208">IF(AY192="","","|n"&amp;EE$2&amp;"+"&amp;AY192&amp;EE$1)</f>
        <v/>
      </c>
      <c r="EF192" s="66" t="str">
        <f t="shared" ref="EF192" si="3209">IF(AZ192="","","|n"&amp;EF$2&amp;"+"&amp;AZ192&amp;EF$1)</f>
        <v/>
      </c>
      <c r="EG192" s="66" t="str">
        <f t="shared" ref="EG192" si="3210">IF(BA192="","","|n"&amp;EG$2&amp;"+"&amp;BA192&amp;EG$1)</f>
        <v/>
      </c>
      <c r="EH192" s="66" t="str">
        <f t="shared" ref="EH192" si="3211">IF(BB192="","","|n"&amp;EH$2&amp;"+"&amp;BB192&amp;EH$1)</f>
        <v/>
      </c>
      <c r="EI192" s="66" t="str">
        <f t="shared" ref="EI192" si="3212">IF(BC192="","","|n"&amp;EI$2&amp;"+"&amp;BC192&amp;EI$1)</f>
        <v/>
      </c>
      <c r="EJ192" s="66" t="str">
        <f t="shared" ref="EJ192" si="3213">IF(BD192="","","|n"&amp;EJ$2&amp;"+"&amp;BD192&amp;EJ$1)</f>
        <v/>
      </c>
      <c r="EK192" s="66" t="str">
        <f t="shared" ref="EK192" si="3214">IF(BE192="","","|n"&amp;EK$2&amp;"+"&amp;BE192&amp;EK$1)</f>
        <v/>
      </c>
      <c r="EL192" s="66" t="str">
        <f t="shared" ref="EL192" si="3215">IF(BF192="","","|n"&amp;EL$2&amp;"+"&amp;BF192&amp;EL$1)</f>
        <v/>
      </c>
      <c r="EM192" s="66" t="str">
        <f t="shared" ref="EM192" si="3216">IF(BG192="","","|n"&amp;EM$2&amp;"+"&amp;BG192&amp;EM$1)</f>
        <v/>
      </c>
      <c r="EN192" s="66" t="str">
        <f t="shared" ref="EN192" si="3217">IF(BH192="","","|n"&amp;EN$2&amp;"+"&amp;BH192&amp;EN$1)</f>
        <v/>
      </c>
      <c r="EO192" s="66" t="str">
        <f t="shared" ref="EO192" si="3218">IF(BI192="","","|n"&amp;EO$2&amp;"+"&amp;BI192&amp;EO$1)</f>
        <v/>
      </c>
      <c r="EP192" s="66" t="str">
        <f t="shared" ref="EP192" si="3219">IF(BJ192="","","|n"&amp;EP$2&amp;"+"&amp;BJ192&amp;EP$1)</f>
        <v/>
      </c>
      <c r="EQ192" s="66" t="str">
        <f t="shared" ref="EQ192" si="3220">IF(BK192="","","|n"&amp;EQ$2&amp;"+"&amp;BK192&amp;EQ$1)</f>
        <v/>
      </c>
      <c r="ER192" s="66" t="str">
        <f t="shared" ref="ER192" si="3221">IF(BL192="","","|n"&amp;ER$2&amp;"+"&amp;BL192&amp;ER$1)</f>
        <v/>
      </c>
      <c r="ES192" s="66" t="str">
        <f t="shared" ref="ES192" si="3222">IF(BM192="","","|n"&amp;ES$2&amp;"+"&amp;BM192&amp;ES$1)</f>
        <v/>
      </c>
      <c r="ET192" s="66" t="str">
        <f t="shared" ref="ET192" si="3223">IF(BN192="","","|n"&amp;ET$2&amp;"+"&amp;BN192&amp;ET$1)</f>
        <v/>
      </c>
      <c r="EU192" s="66" t="str">
        <f t="shared" ref="EU192" si="3224">IF(BO192="","","|n"&amp;EU$2&amp;"+"&amp;BO192&amp;EU$1)</f>
        <v/>
      </c>
      <c r="EV192" s="66" t="str">
        <f t="shared" ref="EV192" si="3225">IF(BP192="","","|n"&amp;EV$2&amp;"+"&amp;BP192&amp;EV$1)</f>
        <v/>
      </c>
      <c r="EW192" s="66" t="str">
        <f t="shared" ref="EW192" si="3226">IF(BQ192="","","|n"&amp;EW$2&amp;"+"&amp;BQ192&amp;EW$1)</f>
        <v/>
      </c>
      <c r="EX192" s="66" t="str">
        <f t="shared" ref="EX192" si="3227">IF(BR192="","","|n"&amp;EX$2&amp;"+"&amp;BR192&amp;EX$1)</f>
        <v/>
      </c>
      <c r="EY192" s="66" t="str">
        <f t="shared" ref="EY192" si="3228">IF(BS192="","","|n"&amp;EY$2&amp;"+"&amp;BS192&amp;EY$1)</f>
        <v/>
      </c>
      <c r="EZ192" s="66" t="str">
        <f t="shared" ref="EZ192" si="3229">IF(BT192="","","|n"&amp;EZ$2&amp;"+"&amp;BT192&amp;EZ$1)</f>
        <v/>
      </c>
      <c r="FA192" s="66" t="str">
        <f t="shared" ref="FA192" si="3230">IF(BU192="","","|n"&amp;FA$2&amp;"+"&amp;BU192&amp;FA$1)</f>
        <v/>
      </c>
      <c r="FB192" s="66" t="str">
        <f t="shared" ref="FB192" si="3231">IF(BV192="","","|n"&amp;FB$2&amp;"+"&amp;BV192&amp;FB$1)</f>
        <v/>
      </c>
      <c r="FC192" s="66" t="str">
        <f t="shared" ref="FC192" si="3232">IF(BW192="","","|n"&amp;FC$2&amp;"+"&amp;BW192&amp;FC$1)</f>
        <v/>
      </c>
      <c r="FD192" s="66" t="str">
        <f t="shared" ref="FD192" si="3233">IF(BX192="","","|n"&amp;FD$2&amp;"+"&amp;BX192&amp;FD$1)</f>
        <v/>
      </c>
      <c r="FE192" s="66" t="str">
        <f t="shared" ref="FE192" si="3234">IF(BY192="","","|n"&amp;FE$2&amp;"+"&amp;BY192&amp;FE$1)</f>
        <v/>
      </c>
      <c r="FF192" s="66" t="str">
        <f t="shared" ref="FF192" si="3235">IF(BZ192="","","|n"&amp;FF$2&amp;"+"&amp;BZ192&amp;FF$1)</f>
        <v/>
      </c>
      <c r="FG192" s="66" t="str">
        <f t="shared" ref="FG192" si="3236">IF(CA192="","","|n"&amp;FG$2&amp;"+"&amp;CA192&amp;FG$1)</f>
        <v/>
      </c>
      <c r="FH192" s="66" t="str">
        <f t="shared" ref="FH192" si="3237">IF(CB192="","","|n"&amp;FH$2&amp;"+"&amp;CB192&amp;FH$1)</f>
        <v/>
      </c>
      <c r="FI192" s="66" t="str">
        <f t="shared" ref="FI192" si="3238">IF(CC192="","","|n"&amp;FI$2&amp;"+"&amp;CC192&amp;FI$1)</f>
        <v/>
      </c>
      <c r="FJ192" s="66" t="str">
        <f t="shared" ref="FJ192" si="3239">IF(CD192="","","|n"&amp;FJ$2&amp;"+"&amp;CD192&amp;FJ$1)</f>
        <v/>
      </c>
      <c r="FK192" s="66" t="str">
        <f t="shared" ref="FK192" si="3240">IF(CE192="","","|n"&amp;FK$2&amp;"+"&amp;CE192&amp;FK$1)</f>
        <v/>
      </c>
      <c r="FL192" s="66" t="str">
        <f t="shared" ref="FL192" si="3241">IF(CF192="","","|n"&amp;FL$2&amp;"+"&amp;CF192&amp;FL$1)</f>
        <v/>
      </c>
      <c r="FM192" s="66" t="str">
        <f t="shared" ref="FM192" si="3242">IF(CG192="","","|n"&amp;FM$2&amp;"+"&amp;CG192&amp;FM$1)</f>
        <v/>
      </c>
      <c r="FN192" s="66" t="str">
        <f t="shared" ref="FN192" si="3243">IF(CH192="","","|n"&amp;FN$2&amp;"+"&amp;CH192&amp;FN$1)</f>
        <v/>
      </c>
      <c r="FO192" s="66" t="str">
        <f t="shared" ref="FO192" si="3244">IF(CI192="","","|n"&amp;FO$2&amp;"+"&amp;CI192&amp;FO$1)</f>
        <v/>
      </c>
      <c r="FP192" s="66" t="str">
        <f t="shared" ref="FP192" si="3245">IF(CJ192="","","|n"&amp;FP$2&amp;"+"&amp;CJ192&amp;FP$1)</f>
        <v/>
      </c>
      <c r="FQ192" s="66" t="str">
        <f t="shared" ref="FQ192" si="3246">IF(CK192="","","|n"&amp;FQ$2&amp;"+"&amp;CK192&amp;FQ$1)</f>
        <v/>
      </c>
      <c r="FR192" s="66" t="str">
        <f t="shared" ref="FR192" si="3247">IF(CL192="","","|n"&amp;FR$2&amp;"+"&amp;CL192&amp;FR$1)</f>
        <v/>
      </c>
      <c r="FS192" s="66" t="str">
        <f t="shared" ref="FS192" si="3248">IF(CM192="","","|n"&amp;FS$2&amp;"+"&amp;CM192&amp;FS$1)</f>
        <v/>
      </c>
    </row>
    <row r="193" spans="1:175" ht="16.5">
      <c r="A193" s="15"/>
      <c r="B193" s="9" t="s">
        <v>701</v>
      </c>
      <c r="C193" s="15" t="s">
        <v>702</v>
      </c>
      <c r="T193" s="15" t="s">
        <v>703</v>
      </c>
      <c r="U193" s="77" t="s">
        <v>704</v>
      </c>
      <c r="CN193" s="36" t="str">
        <f t="shared" ref="CN193:CN196" si="3249">"InitUnitState('"&amp;B193&amp;"',"&amp;V193&amp;","&amp;W193&amp;","&amp;X193&amp;","&amp;Y193&amp;","&amp;Z193&amp;","&amp;AA193&amp;","&amp;AB193&amp;","&amp;AC193&amp;","&amp;AD193&amp;","&amp;AE193&amp;")"</f>
        <v>InitUnitState('IS14',,,,,,,,,,)</v>
      </c>
      <c r="CO193" s="36" t="str">
        <f t="shared" ref="CO193:CO196" si="3250">"InitUnitNormal('"&amp;B193&amp;"',"&amp;AF193&amp;","&amp;AG193&amp;","&amp;AH193&amp;","&amp;AI193&amp;","&amp;AJ193&amp;","&amp;AK193&amp;","&amp;AL193&amp;","&amp;AM193&amp;","&amp;AN193&amp;","&amp;AO193&amp;")"</f>
        <v>InitUnitNormal('IS14',,,,,,,,,,)</v>
      </c>
      <c r="CP193" s="36" t="str">
        <f t="shared" ref="CP193:CP196" si="3251">"InitUnitMagic('"&amp;B193&amp;"',"&amp;AP193&amp;","&amp;AQ193&amp;","&amp;AR193&amp;","&amp;AS193&amp;","&amp;AT193&amp;","&amp;AU193&amp;","&amp;AV193&amp;","&amp;AW193&amp;","&amp;BI193&amp;","&amp;BJ193&amp;")"</f>
        <v>InitUnitMagic('IS14',,,,,,,,,,)</v>
      </c>
      <c r="CQ193" s="36" t="str">
        <f t="shared" ref="CQ193:CQ196" si="3252">"InitUnitAdd('"&amp;B193&amp;"',"&amp;BK193&amp;","&amp;BL193&amp;","&amp;BM193&amp;","&amp;BN193&amp;","&amp;BO193&amp;","&amp;BP193&amp;","&amp;BQ193&amp;","&amp;BR193&amp;","&amp;BS193&amp;","&amp;BT193&amp;")"</f>
        <v>InitUnitAdd('IS14',,,,,,,,,,)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181&amp;CR$1&amp;")"</f>
        <v>InitEquipData('IS14',,"",,,,,'','','','','','',"ReplaceableTextures\\CommandButtons\\BTNIN01.blp")</v>
      </c>
      <c r="CU193" s="88" t="str">
        <f t="shared" si="3177"/>
        <v>|n</v>
      </c>
      <c r="CV193" s="19" t="str">
        <f t="shared" si="3178"/>
        <v>|cffffcc00升级消耗：|r150+等级*150杀敌数|n|n|cff00ff7f最高升至10级|r</v>
      </c>
      <c r="CW193" s="33"/>
      <c r="CX193" s="33"/>
      <c r="CY193" s="33"/>
      <c r="CZ193" s="33"/>
      <c r="DA193" s="33"/>
      <c r="DB193" s="66" t="str">
        <f t="shared" ref="DB193:EG193" si="3253">IF(V193="","","|n"&amp;DB$2&amp;"+"&amp;V193&amp;DB$1)</f>
        <v/>
      </c>
      <c r="DC193" s="66" t="str">
        <f t="shared" si="3253"/>
        <v/>
      </c>
      <c r="DD193" s="66" t="str">
        <f t="shared" si="3253"/>
        <v/>
      </c>
      <c r="DE193" s="66" t="str">
        <f t="shared" si="3253"/>
        <v/>
      </c>
      <c r="DF193" s="66" t="str">
        <f t="shared" si="3253"/>
        <v/>
      </c>
      <c r="DG193" s="66" t="str">
        <f t="shared" si="3253"/>
        <v/>
      </c>
      <c r="DH193" s="66" t="str">
        <f t="shared" si="3253"/>
        <v/>
      </c>
      <c r="DI193" s="66" t="str">
        <f t="shared" si="3253"/>
        <v/>
      </c>
      <c r="DJ193" s="66" t="str">
        <f t="shared" si="3253"/>
        <v/>
      </c>
      <c r="DK193" s="66" t="str">
        <f t="shared" si="3253"/>
        <v/>
      </c>
      <c r="DL193" s="66" t="str">
        <f t="shared" si="3253"/>
        <v/>
      </c>
      <c r="DM193" s="66" t="str">
        <f t="shared" si="3253"/>
        <v/>
      </c>
      <c r="DN193" s="66" t="str">
        <f t="shared" si="3253"/>
        <v/>
      </c>
      <c r="DO193" s="66" t="str">
        <f t="shared" si="3253"/>
        <v/>
      </c>
      <c r="DP193" s="66" t="str">
        <f t="shared" si="3253"/>
        <v/>
      </c>
      <c r="DQ193" s="66" t="str">
        <f t="shared" si="3253"/>
        <v/>
      </c>
      <c r="DR193" s="66" t="str">
        <f t="shared" si="3253"/>
        <v/>
      </c>
      <c r="DS193" s="66" t="str">
        <f t="shared" si="3253"/>
        <v/>
      </c>
      <c r="DT193" s="66" t="str">
        <f t="shared" si="3253"/>
        <v/>
      </c>
      <c r="DU193" s="66" t="str">
        <f t="shared" si="3253"/>
        <v/>
      </c>
      <c r="DV193" s="66" t="str">
        <f t="shared" si="3253"/>
        <v/>
      </c>
      <c r="DW193" s="66" t="str">
        <f t="shared" si="3253"/>
        <v/>
      </c>
      <c r="DX193" s="66" t="str">
        <f t="shared" si="3253"/>
        <v/>
      </c>
      <c r="DY193" s="66" t="str">
        <f t="shared" si="3253"/>
        <v/>
      </c>
      <c r="DZ193" s="66" t="str">
        <f t="shared" si="3253"/>
        <v/>
      </c>
      <c r="EA193" s="66" t="str">
        <f t="shared" si="3253"/>
        <v/>
      </c>
      <c r="EB193" s="66" t="str">
        <f t="shared" si="3253"/>
        <v/>
      </c>
      <c r="EC193" s="66" t="str">
        <f t="shared" si="3253"/>
        <v/>
      </c>
      <c r="ED193" s="66" t="str">
        <f t="shared" si="3253"/>
        <v/>
      </c>
      <c r="EE193" s="66" t="str">
        <f t="shared" si="3253"/>
        <v/>
      </c>
      <c r="EF193" s="66" t="str">
        <f t="shared" si="3253"/>
        <v/>
      </c>
      <c r="EG193" s="66" t="str">
        <f t="shared" si="3253"/>
        <v/>
      </c>
      <c r="EH193" s="66" t="str">
        <f t="shared" ref="EH193:FM193" si="3254">IF(BB193="","","|n"&amp;EH$2&amp;"+"&amp;BB193&amp;EH$1)</f>
        <v/>
      </c>
      <c r="EI193" s="66" t="str">
        <f t="shared" si="3254"/>
        <v/>
      </c>
      <c r="EJ193" s="66" t="str">
        <f t="shared" si="3254"/>
        <v/>
      </c>
      <c r="EK193" s="66" t="str">
        <f t="shared" si="3254"/>
        <v/>
      </c>
      <c r="EL193" s="66" t="str">
        <f t="shared" si="3254"/>
        <v/>
      </c>
      <c r="EM193" s="66" t="str">
        <f t="shared" si="3254"/>
        <v/>
      </c>
      <c r="EN193" s="66" t="str">
        <f t="shared" si="3254"/>
        <v/>
      </c>
      <c r="EO193" s="66" t="str">
        <f t="shared" si="3254"/>
        <v/>
      </c>
      <c r="EP193" s="66" t="str">
        <f t="shared" si="3254"/>
        <v/>
      </c>
      <c r="EQ193" s="66" t="str">
        <f t="shared" si="3254"/>
        <v/>
      </c>
      <c r="ER193" s="66" t="str">
        <f t="shared" si="3254"/>
        <v/>
      </c>
      <c r="ES193" s="66" t="str">
        <f t="shared" si="3254"/>
        <v/>
      </c>
      <c r="ET193" s="66" t="str">
        <f t="shared" si="3254"/>
        <v/>
      </c>
      <c r="EU193" s="66" t="str">
        <f t="shared" si="3254"/>
        <v/>
      </c>
      <c r="EV193" s="66" t="str">
        <f t="shared" si="3254"/>
        <v/>
      </c>
      <c r="EW193" s="66" t="str">
        <f t="shared" si="3254"/>
        <v/>
      </c>
      <c r="EX193" s="66" t="str">
        <f t="shared" si="3254"/>
        <v/>
      </c>
      <c r="EY193" s="66" t="str">
        <f t="shared" si="3254"/>
        <v/>
      </c>
      <c r="EZ193" s="66" t="str">
        <f t="shared" si="3254"/>
        <v/>
      </c>
      <c r="FA193" s="66" t="str">
        <f t="shared" si="3254"/>
        <v/>
      </c>
      <c r="FB193" s="66" t="str">
        <f t="shared" si="3254"/>
        <v/>
      </c>
      <c r="FC193" s="66" t="str">
        <f t="shared" si="3254"/>
        <v/>
      </c>
      <c r="FD193" s="66" t="str">
        <f t="shared" si="3254"/>
        <v/>
      </c>
      <c r="FE193" s="66" t="str">
        <f t="shared" si="3254"/>
        <v/>
      </c>
      <c r="FF193" s="66" t="str">
        <f t="shared" si="3254"/>
        <v/>
      </c>
      <c r="FG193" s="66" t="str">
        <f t="shared" si="3254"/>
        <v/>
      </c>
      <c r="FH193" s="66" t="str">
        <f t="shared" si="3254"/>
        <v/>
      </c>
      <c r="FI193" s="66" t="str">
        <f t="shared" si="3254"/>
        <v/>
      </c>
      <c r="FJ193" s="66" t="str">
        <f t="shared" si="3254"/>
        <v/>
      </c>
      <c r="FK193" s="66" t="str">
        <f t="shared" si="3254"/>
        <v/>
      </c>
      <c r="FL193" s="66" t="str">
        <f t="shared" si="3254"/>
        <v/>
      </c>
      <c r="FM193" s="66" t="str">
        <f t="shared" si="3254"/>
        <v/>
      </c>
      <c r="FN193" s="66" t="str">
        <f t="shared" ref="FN193:FS193" si="3255">IF(CH193="","","|n"&amp;FN$2&amp;"+"&amp;CH193&amp;FN$1)</f>
        <v/>
      </c>
      <c r="FO193" s="66" t="str">
        <f t="shared" si="3255"/>
        <v/>
      </c>
      <c r="FP193" s="66" t="str">
        <f t="shared" si="3255"/>
        <v/>
      </c>
      <c r="FQ193" s="66" t="str">
        <f t="shared" si="3255"/>
        <v/>
      </c>
      <c r="FR193" s="66" t="str">
        <f t="shared" si="3255"/>
        <v/>
      </c>
      <c r="FS193" s="66" t="str">
        <f t="shared" si="3255"/>
        <v/>
      </c>
    </row>
    <row r="194" spans="1:175">
      <c r="A194" s="15"/>
      <c r="B194" s="27" t="s">
        <v>705</v>
      </c>
      <c r="C194" s="28" t="s">
        <v>706</v>
      </c>
      <c r="T194" s="29" t="s">
        <v>707</v>
      </c>
      <c r="U194" s="77" t="str">
        <f t="shared" ref="U194:U202" si="3256">"ReplaceableTextures\\CommandButtons\\BTN"&amp;B194&amp;".blp"</f>
        <v>ReplaceableTextures\\CommandButtons\\BTNIB01.blp</v>
      </c>
      <c r="CN194" s="36" t="str">
        <f t="shared" si="3249"/>
        <v>InitUnitState('IB01',,,,,,,,,,)</v>
      </c>
      <c r="CO194" s="36" t="str">
        <f t="shared" si="3250"/>
        <v>InitUnitNormal('IB01',,,,,,,,,,)</v>
      </c>
      <c r="CP194" s="36" t="str">
        <f t="shared" si="3251"/>
        <v>InitUnitMagic('IB01',,,,,,,,,,)</v>
      </c>
      <c r="CQ194" s="36" t="str">
        <f t="shared" si="3252"/>
        <v>InitUnitAdd('IB01',,,,,,,,,,)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InitEquipData('IB01',,"",,,,,'','','','','','',"ReplaceableTextures\\CommandButtons\\BTNIB02.blp")</v>
      </c>
      <c r="CU194" s="88" t="str">
        <f t="shared" ref="CU194:CU202" si="325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19" t="str">
        <f t="shared" ref="CV194:CV202" si="3258">T194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4" s="33"/>
      <c r="CX194" s="33"/>
      <c r="CY194" s="33"/>
      <c r="CZ194" s="33"/>
      <c r="DA194" s="33"/>
      <c r="DB194" s="66" t="str">
        <f t="shared" ref="DB194:DB201" si="3259">IF(V194="","","|n"&amp;DB$2&amp;"+"&amp;V194&amp;DB$1)</f>
        <v/>
      </c>
      <c r="DC194" s="66" t="str">
        <f t="shared" ref="DC194:DC201" si="3260">IF(W194="","","|n"&amp;DC$2&amp;"+"&amp;W194&amp;DC$1)</f>
        <v/>
      </c>
      <c r="DD194" s="66" t="str">
        <f t="shared" ref="DD194:DD201" si="3261">IF(X194="","","|n"&amp;DD$2&amp;"+"&amp;X194&amp;DD$1)</f>
        <v/>
      </c>
      <c r="DE194" s="66" t="str">
        <f t="shared" ref="DE194:DE201" si="3262">IF(Y194="","","|n"&amp;DE$2&amp;"+"&amp;Y194&amp;DE$1)</f>
        <v/>
      </c>
      <c r="DF194" s="66" t="str">
        <f t="shared" ref="DF194:DF201" si="3263">IF(Z194="","","|n"&amp;DF$2&amp;"+"&amp;Z194&amp;DF$1)</f>
        <v/>
      </c>
      <c r="DG194" s="66" t="str">
        <f t="shared" ref="DG194:DG201" si="3264">IF(AA194="","","|n"&amp;DG$2&amp;"+"&amp;AA194&amp;DG$1)</f>
        <v/>
      </c>
      <c r="DH194" s="66" t="str">
        <f t="shared" ref="DH194:DH201" si="3265">IF(AB194="","","|n"&amp;DH$2&amp;"+"&amp;AB194&amp;DH$1)</f>
        <v/>
      </c>
      <c r="DI194" s="66" t="str">
        <f t="shared" ref="DI194:DI201" si="3266">IF(AC194="","","|n"&amp;DI$2&amp;"+"&amp;AC194&amp;DI$1)</f>
        <v/>
      </c>
      <c r="DJ194" s="66" t="str">
        <f t="shared" ref="DJ194:DJ201" si="3267">IF(AD194="","","|n"&amp;DJ$2&amp;"+"&amp;AD194&amp;DJ$1)</f>
        <v/>
      </c>
      <c r="DK194" s="66" t="str">
        <f t="shared" ref="DK194:DK201" si="3268">IF(AE194="","","|n"&amp;DK$2&amp;"+"&amp;AE194&amp;DK$1)</f>
        <v/>
      </c>
      <c r="DL194" s="66" t="str">
        <f t="shared" ref="DL194:DL201" si="3269">IF(AF194="","","|n"&amp;DL$2&amp;"+"&amp;AF194&amp;DL$1)</f>
        <v/>
      </c>
      <c r="DM194" s="66" t="str">
        <f t="shared" ref="DM194:DM201" si="3270">IF(AG194="","","|n"&amp;DM$2&amp;"+"&amp;AG194&amp;DM$1)</f>
        <v/>
      </c>
      <c r="DN194" s="66" t="str">
        <f t="shared" ref="DN194:DN201" si="3271">IF(AH194="","","|n"&amp;DN$2&amp;"+"&amp;AH194&amp;DN$1)</f>
        <v/>
      </c>
      <c r="DO194" s="66" t="str">
        <f t="shared" ref="DO194:DO201" si="3272">IF(AI194="","","|n"&amp;DO$2&amp;"+"&amp;AI194&amp;DO$1)</f>
        <v/>
      </c>
      <c r="DP194" s="66" t="str">
        <f t="shared" ref="DP194:DP201" si="3273">IF(AJ194="","","|n"&amp;DP$2&amp;"+"&amp;AJ194&amp;DP$1)</f>
        <v/>
      </c>
      <c r="DQ194" s="66" t="str">
        <f t="shared" ref="DQ194:DQ201" si="3274">IF(AK194="","","|n"&amp;DQ$2&amp;"+"&amp;AK194&amp;DQ$1)</f>
        <v/>
      </c>
      <c r="DR194" s="66" t="str">
        <f t="shared" ref="DR194:DR201" si="3275">IF(AL194="","","|n"&amp;DR$2&amp;"+"&amp;AL194&amp;DR$1)</f>
        <v/>
      </c>
      <c r="DS194" s="66" t="str">
        <f t="shared" ref="DS194:DS201" si="3276">IF(AM194="","","|n"&amp;DS$2&amp;"+"&amp;AM194&amp;DS$1)</f>
        <v/>
      </c>
      <c r="DT194" s="66" t="str">
        <f t="shared" ref="DT194:DT201" si="3277">IF(AN194="","","|n"&amp;DT$2&amp;"+"&amp;AN194&amp;DT$1)</f>
        <v/>
      </c>
      <c r="DU194" s="66" t="str">
        <f t="shared" ref="DU194:DU201" si="3278">IF(AO194="","","|n"&amp;DU$2&amp;"+"&amp;AO194&amp;DU$1)</f>
        <v/>
      </c>
      <c r="DV194" s="66" t="str">
        <f t="shared" ref="DV194:DV201" si="3279">IF(AP194="","","|n"&amp;DV$2&amp;"+"&amp;AP194&amp;DV$1)</f>
        <v/>
      </c>
      <c r="DW194" s="66" t="str">
        <f t="shared" ref="DW194:DW201" si="3280">IF(AQ194="","","|n"&amp;DW$2&amp;"+"&amp;AQ194&amp;DW$1)</f>
        <v/>
      </c>
      <c r="DX194" s="66" t="str">
        <f t="shared" ref="DX194:DX201" si="3281">IF(AR194="","","|n"&amp;DX$2&amp;"+"&amp;AR194&amp;DX$1)</f>
        <v/>
      </c>
      <c r="DY194" s="66" t="str">
        <f t="shared" ref="DY194:DY201" si="3282">IF(AS194="","","|n"&amp;DY$2&amp;"+"&amp;AS194&amp;DY$1)</f>
        <v/>
      </c>
      <c r="DZ194" s="66" t="str">
        <f t="shared" ref="DZ194:DZ201" si="3283">IF(AT194="","","|n"&amp;DZ$2&amp;"+"&amp;AT194&amp;DZ$1)</f>
        <v/>
      </c>
      <c r="EA194" s="66" t="str">
        <f t="shared" ref="EA194:EA201" si="3284">IF(AU194="","","|n"&amp;EA$2&amp;"+"&amp;AU194&amp;EA$1)</f>
        <v/>
      </c>
      <c r="EB194" s="66" t="str">
        <f t="shared" ref="EB194:EB201" si="3285">IF(AV194="","","|n"&amp;EB$2&amp;"+"&amp;AV194&amp;EB$1)</f>
        <v/>
      </c>
      <c r="EC194" s="66" t="str">
        <f t="shared" ref="EC194:EC201" si="3286">IF(AW194="","","|n"&amp;EC$2&amp;"+"&amp;AW194&amp;EC$1)</f>
        <v/>
      </c>
      <c r="ED194" s="66" t="str">
        <f t="shared" ref="ED194:ED201" si="3287">IF(AX194="","","|n"&amp;ED$2&amp;"+"&amp;AX194&amp;ED$1)</f>
        <v/>
      </c>
      <c r="EE194" s="66" t="str">
        <f t="shared" ref="EE194:EE201" si="3288">IF(AY194="","","|n"&amp;EE$2&amp;"+"&amp;AY194&amp;EE$1)</f>
        <v/>
      </c>
      <c r="EF194" s="66" t="str">
        <f t="shared" ref="EF194:EF201" si="3289">IF(AZ194="","","|n"&amp;EF$2&amp;"+"&amp;AZ194&amp;EF$1)</f>
        <v/>
      </c>
      <c r="EG194" s="66" t="str">
        <f t="shared" ref="EG194:EG201" si="3290">IF(BA194="","","|n"&amp;EG$2&amp;"+"&amp;BA194&amp;EG$1)</f>
        <v/>
      </c>
      <c r="EH194" s="66" t="str">
        <f t="shared" ref="EH194:EH201" si="3291">IF(BB194="","","|n"&amp;EH$2&amp;"+"&amp;BB194&amp;EH$1)</f>
        <v/>
      </c>
      <c r="EI194" s="66" t="str">
        <f t="shared" ref="EI194:EI201" si="3292">IF(BC194="","","|n"&amp;EI$2&amp;"+"&amp;BC194&amp;EI$1)</f>
        <v/>
      </c>
      <c r="EJ194" s="66" t="str">
        <f t="shared" ref="EJ194:EJ201" si="3293">IF(BD194="","","|n"&amp;EJ$2&amp;"+"&amp;BD194&amp;EJ$1)</f>
        <v/>
      </c>
      <c r="EK194" s="66" t="str">
        <f t="shared" ref="EK194:EK201" si="3294">IF(BE194="","","|n"&amp;EK$2&amp;"+"&amp;BE194&amp;EK$1)</f>
        <v/>
      </c>
      <c r="EL194" s="66" t="str">
        <f t="shared" ref="EL194:EL201" si="3295">IF(BF194="","","|n"&amp;EL$2&amp;"+"&amp;BF194&amp;EL$1)</f>
        <v/>
      </c>
      <c r="EM194" s="66" t="str">
        <f t="shared" ref="EM194:EM201" si="3296">IF(BG194="","","|n"&amp;EM$2&amp;"+"&amp;BG194&amp;EM$1)</f>
        <v/>
      </c>
      <c r="EN194" s="66" t="str">
        <f t="shared" ref="EN194:EN201" si="3297">IF(BH194="","","|n"&amp;EN$2&amp;"+"&amp;BH194&amp;EN$1)</f>
        <v/>
      </c>
      <c r="EO194" s="66" t="str">
        <f t="shared" ref="EO194:EO201" si="3298">IF(BI194="","","|n"&amp;EO$2&amp;"+"&amp;BI194&amp;EO$1)</f>
        <v/>
      </c>
      <c r="EP194" s="66" t="str">
        <f t="shared" ref="EP194:EP201" si="3299">IF(BJ194="","","|n"&amp;EP$2&amp;"+"&amp;BJ194&amp;EP$1)</f>
        <v/>
      </c>
      <c r="EQ194" s="66" t="str">
        <f t="shared" ref="EQ194:EQ201" si="3300">IF(BK194="","","|n"&amp;EQ$2&amp;"+"&amp;BK194&amp;EQ$1)</f>
        <v/>
      </c>
      <c r="ER194" s="66" t="str">
        <f t="shared" ref="ER194:ER201" si="3301">IF(BL194="","","|n"&amp;ER$2&amp;"+"&amp;BL194&amp;ER$1)</f>
        <v/>
      </c>
      <c r="ES194" s="66" t="str">
        <f t="shared" ref="ES194:ES201" si="3302">IF(BM194="","","|n"&amp;ES$2&amp;"+"&amp;BM194&amp;ES$1)</f>
        <v/>
      </c>
      <c r="ET194" s="66" t="str">
        <f t="shared" ref="ET194:ET201" si="3303">IF(BN194="","","|n"&amp;ET$2&amp;"+"&amp;BN194&amp;ET$1)</f>
        <v/>
      </c>
      <c r="EU194" s="66" t="str">
        <f t="shared" ref="EU194:EU201" si="3304">IF(BO194="","","|n"&amp;EU$2&amp;"+"&amp;BO194&amp;EU$1)</f>
        <v/>
      </c>
      <c r="EV194" s="66" t="str">
        <f t="shared" ref="EV194:EV201" si="3305">IF(BP194="","","|n"&amp;EV$2&amp;"+"&amp;BP194&amp;EV$1)</f>
        <v/>
      </c>
      <c r="EW194" s="66" t="str">
        <f t="shared" ref="EW194:EW201" si="3306">IF(BQ194="","","|n"&amp;EW$2&amp;"+"&amp;BQ194&amp;EW$1)</f>
        <v/>
      </c>
      <c r="EX194" s="66" t="str">
        <f t="shared" ref="EX194:EX201" si="3307">IF(BR194="","","|n"&amp;EX$2&amp;"+"&amp;BR194&amp;EX$1)</f>
        <v/>
      </c>
      <c r="EY194" s="66" t="str">
        <f t="shared" ref="EY194:EY201" si="3308">IF(BS194="","","|n"&amp;EY$2&amp;"+"&amp;BS194&amp;EY$1)</f>
        <v/>
      </c>
      <c r="EZ194" s="66" t="str">
        <f t="shared" ref="EZ194:EZ201" si="3309">IF(BT194="","","|n"&amp;EZ$2&amp;"+"&amp;BT194&amp;EZ$1)</f>
        <v/>
      </c>
      <c r="FA194" s="66" t="str">
        <f t="shared" ref="FA194:FA201" si="3310">IF(BU194="","","|n"&amp;FA$2&amp;"+"&amp;BU194&amp;FA$1)</f>
        <v/>
      </c>
      <c r="FB194" s="66" t="str">
        <f t="shared" ref="FB194:FB201" si="3311">IF(BV194="","","|n"&amp;FB$2&amp;"+"&amp;BV194&amp;FB$1)</f>
        <v/>
      </c>
      <c r="FC194" s="66" t="str">
        <f t="shared" ref="FC194:FC201" si="3312">IF(BW194="","","|n"&amp;FC$2&amp;"+"&amp;BW194&amp;FC$1)</f>
        <v/>
      </c>
      <c r="FD194" s="66" t="str">
        <f t="shared" ref="FD194:FD201" si="3313">IF(BX194="","","|n"&amp;FD$2&amp;"+"&amp;BX194&amp;FD$1)</f>
        <v/>
      </c>
      <c r="FE194" s="66" t="str">
        <f t="shared" ref="FE194:FE201" si="3314">IF(BY194="","","|n"&amp;FE$2&amp;"+"&amp;BY194&amp;FE$1)</f>
        <v/>
      </c>
      <c r="FF194" s="66" t="str">
        <f t="shared" ref="FF194:FF201" si="3315">IF(BZ194="","","|n"&amp;FF$2&amp;"+"&amp;BZ194&amp;FF$1)</f>
        <v/>
      </c>
      <c r="FG194" s="66" t="str">
        <f t="shared" ref="FG194:FG201" si="3316">IF(CA194="","","|n"&amp;FG$2&amp;"+"&amp;CA194&amp;FG$1)</f>
        <v/>
      </c>
      <c r="FH194" s="66" t="str">
        <f t="shared" ref="FH194:FH201" si="3317">IF(CB194="","","|n"&amp;FH$2&amp;"+"&amp;CB194&amp;FH$1)</f>
        <v/>
      </c>
      <c r="FI194" s="66" t="str">
        <f t="shared" ref="FI194:FI201" si="3318">IF(CC194="","","|n"&amp;FI$2&amp;"+"&amp;CC194&amp;FI$1)</f>
        <v/>
      </c>
      <c r="FJ194" s="66" t="str">
        <f t="shared" ref="FJ194:FJ201" si="3319">IF(CD194="","","|n"&amp;FJ$2&amp;"+"&amp;CD194&amp;FJ$1)</f>
        <v/>
      </c>
      <c r="FK194" s="66" t="str">
        <f t="shared" ref="FK194:FK201" si="3320">IF(CE194="","","|n"&amp;FK$2&amp;"+"&amp;CE194&amp;FK$1)</f>
        <v/>
      </c>
      <c r="FL194" s="66" t="str">
        <f t="shared" ref="FL194:FL201" si="3321">IF(CF194="","","|n"&amp;FL$2&amp;"+"&amp;CF194&amp;FL$1)</f>
        <v/>
      </c>
      <c r="FM194" s="66" t="str">
        <f t="shared" ref="FM194:FM201" si="3322">IF(CG194="","","|n"&amp;FM$2&amp;"+"&amp;CG194&amp;FM$1)</f>
        <v/>
      </c>
      <c r="FN194" s="66" t="str">
        <f t="shared" ref="FN194:FN201" si="3323">IF(CH194="","","|n"&amp;FN$2&amp;"+"&amp;CH194&amp;FN$1)</f>
        <v/>
      </c>
      <c r="FO194" s="66" t="str">
        <f t="shared" ref="FO194:FO201" si="3324">IF(CI194="","","|n"&amp;FO$2&amp;"+"&amp;CI194&amp;FO$1)</f>
        <v/>
      </c>
      <c r="FP194" s="66" t="str">
        <f t="shared" ref="FP194:FP201" si="3325">IF(CJ194="","","|n"&amp;FP$2&amp;"+"&amp;CJ194&amp;FP$1)</f>
        <v/>
      </c>
      <c r="FQ194" s="66" t="str">
        <f t="shared" ref="FQ194:FQ201" si="3326">IF(CK194="","","|n"&amp;FQ$2&amp;"+"&amp;CK194&amp;FQ$1)</f>
        <v/>
      </c>
      <c r="FR194" s="66" t="str">
        <f t="shared" ref="FR194:FR201" si="3327">IF(CL194="","","|n"&amp;FR$2&amp;"+"&amp;CL194&amp;FR$1)</f>
        <v/>
      </c>
      <c r="FS194" s="66" t="str">
        <f t="shared" ref="FS194:FS201" si="3328">IF(CM194="","","|n"&amp;FS$2&amp;"+"&amp;CM194&amp;FS$1)</f>
        <v/>
      </c>
    </row>
    <row r="195" spans="1:175">
      <c r="A195" s="15"/>
      <c r="B195" s="27" t="s">
        <v>708</v>
      </c>
      <c r="C195" s="28" t="s">
        <v>709</v>
      </c>
      <c r="T195" s="29" t="s">
        <v>710</v>
      </c>
      <c r="U195" s="77" t="str">
        <f t="shared" si="3256"/>
        <v>ReplaceableTextures\\CommandButtons\\BTNIB02.blp</v>
      </c>
      <c r="CN195" s="36" t="str">
        <f t="shared" si="3249"/>
        <v>InitUnitState('IB02',,,,,,,,,,)</v>
      </c>
      <c r="CO195" s="36" t="str">
        <f t="shared" si="3250"/>
        <v>InitUnitNormal('IB02',,,,,,,,,,)</v>
      </c>
      <c r="CP195" s="36" t="str">
        <f t="shared" si="3251"/>
        <v>InitUnitMagic('IB02',,,,,,,,,,)</v>
      </c>
      <c r="CQ195" s="36" t="str">
        <f t="shared" si="3252"/>
        <v>InitUnitAdd('IB02',,,,,,,,,,)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InitEquipData('IB02',,"",,,,,'','','','','','',"ReplaceableTextures\\CommandButtons\\BTNIB03.blp")</v>
      </c>
      <c r="CU195" s="88" t="str">
        <f t="shared" si="3257"/>
        <v>|n</v>
      </c>
      <c r="CV195" s="19" t="str">
        <f t="shared" si="3258"/>
        <v>加入《|cff00ffcc全民封神|r》官方QQ群，即可获得入群礼包码！|n|n输入礼包码即可获得：|n|cff00ff7f招魂幡Lv2|r</v>
      </c>
      <c r="CW195" s="33"/>
      <c r="CX195" s="33"/>
      <c r="CY195" s="33"/>
      <c r="CZ195" s="33"/>
      <c r="DA195" s="33"/>
      <c r="DB195" s="66" t="str">
        <f t="shared" si="3259"/>
        <v/>
      </c>
      <c r="DC195" s="66" t="str">
        <f t="shared" si="3260"/>
        <v/>
      </c>
      <c r="DD195" s="66" t="str">
        <f t="shared" si="3261"/>
        <v/>
      </c>
      <c r="DE195" s="66" t="str">
        <f t="shared" si="3262"/>
        <v/>
      </c>
      <c r="DF195" s="66" t="str">
        <f t="shared" si="3263"/>
        <v/>
      </c>
      <c r="DG195" s="66" t="str">
        <f t="shared" si="3264"/>
        <v/>
      </c>
      <c r="DH195" s="66" t="str">
        <f t="shared" si="3265"/>
        <v/>
      </c>
      <c r="DI195" s="66" t="str">
        <f t="shared" si="3266"/>
        <v/>
      </c>
      <c r="DJ195" s="66" t="str">
        <f t="shared" si="3267"/>
        <v/>
      </c>
      <c r="DK195" s="66" t="str">
        <f t="shared" si="3268"/>
        <v/>
      </c>
      <c r="DL195" s="66" t="str">
        <f t="shared" si="3269"/>
        <v/>
      </c>
      <c r="DM195" s="66" t="str">
        <f t="shared" si="3270"/>
        <v/>
      </c>
      <c r="DN195" s="66" t="str">
        <f t="shared" si="3271"/>
        <v/>
      </c>
      <c r="DO195" s="66" t="str">
        <f t="shared" si="3272"/>
        <v/>
      </c>
      <c r="DP195" s="66" t="str">
        <f t="shared" si="3273"/>
        <v/>
      </c>
      <c r="DQ195" s="66" t="str">
        <f t="shared" si="3274"/>
        <v/>
      </c>
      <c r="DR195" s="66" t="str">
        <f t="shared" si="3275"/>
        <v/>
      </c>
      <c r="DS195" s="66" t="str">
        <f t="shared" si="3276"/>
        <v/>
      </c>
      <c r="DT195" s="66" t="str">
        <f t="shared" si="3277"/>
        <v/>
      </c>
      <c r="DU195" s="66" t="str">
        <f t="shared" si="3278"/>
        <v/>
      </c>
      <c r="DV195" s="66" t="str">
        <f t="shared" si="3279"/>
        <v/>
      </c>
      <c r="DW195" s="66" t="str">
        <f t="shared" si="3280"/>
        <v/>
      </c>
      <c r="DX195" s="66" t="str">
        <f t="shared" si="3281"/>
        <v/>
      </c>
      <c r="DY195" s="66" t="str">
        <f t="shared" si="3282"/>
        <v/>
      </c>
      <c r="DZ195" s="66" t="str">
        <f t="shared" si="3283"/>
        <v/>
      </c>
      <c r="EA195" s="66" t="str">
        <f t="shared" si="3284"/>
        <v/>
      </c>
      <c r="EB195" s="66" t="str">
        <f t="shared" si="3285"/>
        <v/>
      </c>
      <c r="EC195" s="66" t="str">
        <f t="shared" si="3286"/>
        <v/>
      </c>
      <c r="ED195" s="66" t="str">
        <f t="shared" si="3287"/>
        <v/>
      </c>
      <c r="EE195" s="66" t="str">
        <f t="shared" si="3288"/>
        <v/>
      </c>
      <c r="EF195" s="66" t="str">
        <f t="shared" si="3289"/>
        <v/>
      </c>
      <c r="EG195" s="66" t="str">
        <f t="shared" si="3290"/>
        <v/>
      </c>
      <c r="EH195" s="66" t="str">
        <f t="shared" si="3291"/>
        <v/>
      </c>
      <c r="EI195" s="66" t="str">
        <f t="shared" si="3292"/>
        <v/>
      </c>
      <c r="EJ195" s="66" t="str">
        <f t="shared" si="3293"/>
        <v/>
      </c>
      <c r="EK195" s="66" t="str">
        <f t="shared" si="3294"/>
        <v/>
      </c>
      <c r="EL195" s="66" t="str">
        <f t="shared" si="3295"/>
        <v/>
      </c>
      <c r="EM195" s="66" t="str">
        <f t="shared" si="3296"/>
        <v/>
      </c>
      <c r="EN195" s="66" t="str">
        <f t="shared" si="3297"/>
        <v/>
      </c>
      <c r="EO195" s="66" t="str">
        <f t="shared" si="3298"/>
        <v/>
      </c>
      <c r="EP195" s="66" t="str">
        <f t="shared" si="3299"/>
        <v/>
      </c>
      <c r="EQ195" s="66" t="str">
        <f t="shared" si="3300"/>
        <v/>
      </c>
      <c r="ER195" s="66" t="str">
        <f t="shared" si="3301"/>
        <v/>
      </c>
      <c r="ES195" s="66" t="str">
        <f t="shared" si="3302"/>
        <v/>
      </c>
      <c r="ET195" s="66" t="str">
        <f t="shared" si="3303"/>
        <v/>
      </c>
      <c r="EU195" s="66" t="str">
        <f t="shared" si="3304"/>
        <v/>
      </c>
      <c r="EV195" s="66" t="str">
        <f t="shared" si="3305"/>
        <v/>
      </c>
      <c r="EW195" s="66" t="str">
        <f t="shared" si="3306"/>
        <v/>
      </c>
      <c r="EX195" s="66" t="str">
        <f t="shared" si="3307"/>
        <v/>
      </c>
      <c r="EY195" s="66" t="str">
        <f t="shared" si="3308"/>
        <v/>
      </c>
      <c r="EZ195" s="66" t="str">
        <f t="shared" si="3309"/>
        <v/>
      </c>
      <c r="FA195" s="66" t="str">
        <f t="shared" si="3310"/>
        <v/>
      </c>
      <c r="FB195" s="66" t="str">
        <f t="shared" si="3311"/>
        <v/>
      </c>
      <c r="FC195" s="66" t="str">
        <f t="shared" si="3312"/>
        <v/>
      </c>
      <c r="FD195" s="66" t="str">
        <f t="shared" si="3313"/>
        <v/>
      </c>
      <c r="FE195" s="66" t="str">
        <f t="shared" si="3314"/>
        <v/>
      </c>
      <c r="FF195" s="66" t="str">
        <f t="shared" si="3315"/>
        <v/>
      </c>
      <c r="FG195" s="66" t="str">
        <f t="shared" si="3316"/>
        <v/>
      </c>
      <c r="FH195" s="66" t="str">
        <f t="shared" si="3317"/>
        <v/>
      </c>
      <c r="FI195" s="66" t="str">
        <f t="shared" si="3318"/>
        <v/>
      </c>
      <c r="FJ195" s="66" t="str">
        <f t="shared" si="3319"/>
        <v/>
      </c>
      <c r="FK195" s="66" t="str">
        <f t="shared" si="3320"/>
        <v/>
      </c>
      <c r="FL195" s="66" t="str">
        <f t="shared" si="3321"/>
        <v/>
      </c>
      <c r="FM195" s="66" t="str">
        <f t="shared" si="3322"/>
        <v/>
      </c>
      <c r="FN195" s="66" t="str">
        <f t="shared" si="3323"/>
        <v/>
      </c>
      <c r="FO195" s="66" t="str">
        <f t="shared" si="3324"/>
        <v/>
      </c>
      <c r="FP195" s="66" t="str">
        <f t="shared" si="3325"/>
        <v/>
      </c>
      <c r="FQ195" s="66" t="str">
        <f t="shared" si="3326"/>
        <v/>
      </c>
      <c r="FR195" s="66" t="str">
        <f t="shared" si="3327"/>
        <v/>
      </c>
      <c r="FS195" s="66" t="str">
        <f t="shared" si="3328"/>
        <v/>
      </c>
    </row>
    <row r="196" spans="1:175">
      <c r="A196" s="15"/>
      <c r="B196" s="27" t="s">
        <v>711</v>
      </c>
      <c r="C196" s="28" t="s">
        <v>712</v>
      </c>
      <c r="T196" s="29" t="s">
        <v>713</v>
      </c>
      <c r="U196" s="77" t="str">
        <f t="shared" si="3256"/>
        <v>ReplaceableTextures\\CommandButtons\\BTNIB03.blp</v>
      </c>
      <c r="CN196" s="36" t="str">
        <f t="shared" si="3249"/>
        <v>InitUnitState('IB03',,,,,,,,,,)</v>
      </c>
      <c r="CO196" s="36" t="str">
        <f t="shared" si="3250"/>
        <v>InitUnitNormal('IB03',,,,,,,,,,)</v>
      </c>
      <c r="CP196" s="36" t="str">
        <f t="shared" si="3251"/>
        <v>InitUnitMagic('IB03',,,,,,,,,,)</v>
      </c>
      <c r="CQ196" s="36" t="str">
        <f t="shared" si="3252"/>
        <v>InitUnitAdd('IB03',,,,,,,,,,)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InitEquipData('IB03',,"",,,,,'','','','','','',"ReplaceableTextures\\CommandButtons\\BTNIB04.blp")</v>
      </c>
      <c r="CU196" s="88" t="str">
        <f t="shared" si="3257"/>
        <v>|n</v>
      </c>
      <c r="CV196" s="19" t="str">
        <f t="shared" si="3258"/>
        <v>|cff99ccff给与地图有效评论建议|r即可领取：|n|cffffff00杀敌生命+5+3*通行证等级|n杀敌业力+1|n|n|r|cff808080地图等级达到3级可领取|r</v>
      </c>
      <c r="CW196" s="33"/>
      <c r="CX196" s="33"/>
      <c r="CY196" s="33"/>
      <c r="CZ196" s="33"/>
      <c r="DA196" s="33"/>
      <c r="DB196" s="66" t="str">
        <f t="shared" si="3259"/>
        <v/>
      </c>
      <c r="DC196" s="66" t="str">
        <f t="shared" si="3260"/>
        <v/>
      </c>
      <c r="DD196" s="66" t="str">
        <f t="shared" si="3261"/>
        <v/>
      </c>
      <c r="DE196" s="66" t="str">
        <f t="shared" si="3262"/>
        <v/>
      </c>
      <c r="DF196" s="66" t="str">
        <f t="shared" si="3263"/>
        <v/>
      </c>
      <c r="DG196" s="66" t="str">
        <f t="shared" si="3264"/>
        <v/>
      </c>
      <c r="DH196" s="66" t="str">
        <f t="shared" si="3265"/>
        <v/>
      </c>
      <c r="DI196" s="66" t="str">
        <f t="shared" si="3266"/>
        <v/>
      </c>
      <c r="DJ196" s="66" t="str">
        <f t="shared" si="3267"/>
        <v/>
      </c>
      <c r="DK196" s="66" t="str">
        <f t="shared" si="3268"/>
        <v/>
      </c>
      <c r="DL196" s="66" t="str">
        <f t="shared" si="3269"/>
        <v/>
      </c>
      <c r="DM196" s="66" t="str">
        <f t="shared" si="3270"/>
        <v/>
      </c>
      <c r="DN196" s="66" t="str">
        <f t="shared" si="3271"/>
        <v/>
      </c>
      <c r="DO196" s="66" t="str">
        <f t="shared" si="3272"/>
        <v/>
      </c>
      <c r="DP196" s="66" t="str">
        <f t="shared" si="3273"/>
        <v/>
      </c>
      <c r="DQ196" s="66" t="str">
        <f t="shared" si="3274"/>
        <v/>
      </c>
      <c r="DR196" s="66" t="str">
        <f t="shared" si="3275"/>
        <v/>
      </c>
      <c r="DS196" s="66" t="str">
        <f t="shared" si="3276"/>
        <v/>
      </c>
      <c r="DT196" s="66" t="str">
        <f t="shared" si="3277"/>
        <v/>
      </c>
      <c r="DU196" s="66" t="str">
        <f t="shared" si="3278"/>
        <v/>
      </c>
      <c r="DV196" s="66" t="str">
        <f t="shared" si="3279"/>
        <v/>
      </c>
      <c r="DW196" s="66" t="str">
        <f t="shared" si="3280"/>
        <v/>
      </c>
      <c r="DX196" s="66" t="str">
        <f t="shared" si="3281"/>
        <v/>
      </c>
      <c r="DY196" s="66" t="str">
        <f t="shared" si="3282"/>
        <v/>
      </c>
      <c r="DZ196" s="66" t="str">
        <f t="shared" si="3283"/>
        <v/>
      </c>
      <c r="EA196" s="66" t="str">
        <f t="shared" si="3284"/>
        <v/>
      </c>
      <c r="EB196" s="66" t="str">
        <f t="shared" si="3285"/>
        <v/>
      </c>
      <c r="EC196" s="66" t="str">
        <f t="shared" si="3286"/>
        <v/>
      </c>
      <c r="ED196" s="66" t="str">
        <f t="shared" si="3287"/>
        <v/>
      </c>
      <c r="EE196" s="66" t="str">
        <f t="shared" si="3288"/>
        <v/>
      </c>
      <c r="EF196" s="66" t="str">
        <f t="shared" si="3289"/>
        <v/>
      </c>
      <c r="EG196" s="66" t="str">
        <f t="shared" si="3290"/>
        <v/>
      </c>
      <c r="EH196" s="66" t="str">
        <f t="shared" si="3291"/>
        <v/>
      </c>
      <c r="EI196" s="66" t="str">
        <f t="shared" si="3292"/>
        <v/>
      </c>
      <c r="EJ196" s="66" t="str">
        <f t="shared" si="3293"/>
        <v/>
      </c>
      <c r="EK196" s="66" t="str">
        <f t="shared" si="3294"/>
        <v/>
      </c>
      <c r="EL196" s="66" t="str">
        <f t="shared" si="3295"/>
        <v/>
      </c>
      <c r="EM196" s="66" t="str">
        <f t="shared" si="3296"/>
        <v/>
      </c>
      <c r="EN196" s="66" t="str">
        <f t="shared" si="3297"/>
        <v/>
      </c>
      <c r="EO196" s="66" t="str">
        <f t="shared" si="3298"/>
        <v/>
      </c>
      <c r="EP196" s="66" t="str">
        <f t="shared" si="3299"/>
        <v/>
      </c>
      <c r="EQ196" s="66" t="str">
        <f t="shared" si="3300"/>
        <v/>
      </c>
      <c r="ER196" s="66" t="str">
        <f t="shared" si="3301"/>
        <v/>
      </c>
      <c r="ES196" s="66" t="str">
        <f t="shared" si="3302"/>
        <v/>
      </c>
      <c r="ET196" s="66" t="str">
        <f t="shared" si="3303"/>
        <v/>
      </c>
      <c r="EU196" s="66" t="str">
        <f t="shared" si="3304"/>
        <v/>
      </c>
      <c r="EV196" s="66" t="str">
        <f t="shared" si="3305"/>
        <v/>
      </c>
      <c r="EW196" s="66" t="str">
        <f t="shared" si="3306"/>
        <v/>
      </c>
      <c r="EX196" s="66" t="str">
        <f t="shared" si="3307"/>
        <v/>
      </c>
      <c r="EY196" s="66" t="str">
        <f t="shared" si="3308"/>
        <v/>
      </c>
      <c r="EZ196" s="66" t="str">
        <f t="shared" si="3309"/>
        <v/>
      </c>
      <c r="FA196" s="66" t="str">
        <f t="shared" si="3310"/>
        <v/>
      </c>
      <c r="FB196" s="66" t="str">
        <f t="shared" si="3311"/>
        <v/>
      </c>
      <c r="FC196" s="66" t="str">
        <f t="shared" si="3312"/>
        <v/>
      </c>
      <c r="FD196" s="66" t="str">
        <f t="shared" si="3313"/>
        <v/>
      </c>
      <c r="FE196" s="66" t="str">
        <f t="shared" si="3314"/>
        <v/>
      </c>
      <c r="FF196" s="66" t="str">
        <f t="shared" si="3315"/>
        <v/>
      </c>
      <c r="FG196" s="66" t="str">
        <f t="shared" si="3316"/>
        <v/>
      </c>
      <c r="FH196" s="66" t="str">
        <f t="shared" si="3317"/>
        <v/>
      </c>
      <c r="FI196" s="66" t="str">
        <f t="shared" si="3318"/>
        <v/>
      </c>
      <c r="FJ196" s="66" t="str">
        <f t="shared" si="3319"/>
        <v/>
      </c>
      <c r="FK196" s="66" t="str">
        <f t="shared" si="3320"/>
        <v/>
      </c>
      <c r="FL196" s="66" t="str">
        <f t="shared" si="3321"/>
        <v/>
      </c>
      <c r="FM196" s="66" t="str">
        <f t="shared" si="3322"/>
        <v/>
      </c>
      <c r="FN196" s="66" t="str">
        <f t="shared" si="3323"/>
        <v/>
      </c>
      <c r="FO196" s="66" t="str">
        <f t="shared" si="3324"/>
        <v/>
      </c>
      <c r="FP196" s="66" t="str">
        <f t="shared" si="3325"/>
        <v/>
      </c>
      <c r="FQ196" s="66" t="str">
        <f t="shared" si="3326"/>
        <v/>
      </c>
      <c r="FR196" s="66" t="str">
        <f t="shared" si="3327"/>
        <v/>
      </c>
      <c r="FS196" s="66" t="str">
        <f t="shared" si="3328"/>
        <v/>
      </c>
    </row>
    <row r="197" spans="1:175">
      <c r="A197" s="15"/>
      <c r="B197" s="27" t="s">
        <v>714</v>
      </c>
      <c r="C197" s="28" t="s">
        <v>715</v>
      </c>
      <c r="T197" s="29" t="s">
        <v>716</v>
      </c>
      <c r="U197" s="77" t="str">
        <f t="shared" si="3256"/>
        <v>ReplaceableTextures\\CommandButtons\\BTNIB04.blp</v>
      </c>
      <c r="CN197" s="36" t="str">
        <f t="shared" ref="CN197:CN203" si="3329">"InitUnitState('"&amp;B197&amp;"',"&amp;V197&amp;","&amp;W197&amp;","&amp;X197&amp;","&amp;Y197&amp;","&amp;Z197&amp;","&amp;AA197&amp;","&amp;AB197&amp;","&amp;AC197&amp;","&amp;AD197&amp;","&amp;AE197&amp;")"</f>
        <v>InitUnitState('IB04',,,,,,,,,,)</v>
      </c>
      <c r="CO197" s="36" t="str">
        <f t="shared" ref="CO197:CO203" si="3330">"InitUnitNormal('"&amp;B197&amp;"',"&amp;AF197&amp;","&amp;AG197&amp;","&amp;AH197&amp;","&amp;AI197&amp;","&amp;AJ197&amp;","&amp;AK197&amp;","&amp;AL197&amp;","&amp;AM197&amp;","&amp;AN197&amp;","&amp;AO197&amp;")"</f>
        <v>InitUnitNormal('IB04',,,,,,,,,,)</v>
      </c>
      <c r="CP197" s="36" t="str">
        <f t="shared" ref="CP197:CP203" si="3331">"InitUnitMagic('"&amp;B197&amp;"',"&amp;AP197&amp;","&amp;AQ197&amp;","&amp;AR197&amp;","&amp;AS197&amp;","&amp;AT197&amp;","&amp;AU197&amp;","&amp;AV197&amp;","&amp;AW197&amp;","&amp;BI197&amp;","&amp;BJ197&amp;")"</f>
        <v>InitUnitMagic('IB04',,,,,,,,,,)</v>
      </c>
      <c r="CQ197" s="36" t="str">
        <f t="shared" ref="CQ197:CQ203" si="3332">"InitUnitAdd('"&amp;B197&amp;"',"&amp;BK197&amp;","&amp;BL197&amp;","&amp;BM197&amp;","&amp;BN197&amp;","&amp;BO197&amp;","&amp;BP197&amp;","&amp;BQ197&amp;","&amp;BR197&amp;","&amp;BS197&amp;","&amp;BT197&amp;")"</f>
        <v>InitUnitAdd('IB04',,,,,,,,,,)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InitEquipData('IB04',,"",,,,,'','','','','','',"ReplaceableTextures\\CommandButtons\\BTNIB05.blp")</v>
      </c>
      <c r="CU197" s="88" t="str">
        <f t="shared" si="3257"/>
        <v>|n</v>
      </c>
      <c r="CV197" s="19" t="str">
        <f t="shared" si="3258"/>
        <v>|cff99ccff房间大厅界面点击右上角《|r|cffcc99ff收藏|r|cff99ccff》后可领取该礼包。|n|n|r属性：|n|cffffcc33物理伤害+5%|n法术伤害+5%|r</v>
      </c>
      <c r="CW197" s="33"/>
      <c r="CX197" s="33"/>
      <c r="CY197" s="33"/>
      <c r="CZ197" s="33"/>
      <c r="DA197" s="33"/>
      <c r="DB197" s="66" t="str">
        <f t="shared" si="3259"/>
        <v/>
      </c>
      <c r="DC197" s="66" t="str">
        <f t="shared" si="3260"/>
        <v/>
      </c>
      <c r="DD197" s="66" t="str">
        <f t="shared" si="3261"/>
        <v/>
      </c>
      <c r="DE197" s="66" t="str">
        <f t="shared" si="3262"/>
        <v/>
      </c>
      <c r="DF197" s="66" t="str">
        <f t="shared" si="3263"/>
        <v/>
      </c>
      <c r="DG197" s="66" t="str">
        <f t="shared" si="3264"/>
        <v/>
      </c>
      <c r="DH197" s="66" t="str">
        <f t="shared" si="3265"/>
        <v/>
      </c>
      <c r="DI197" s="66" t="str">
        <f t="shared" si="3266"/>
        <v/>
      </c>
      <c r="DJ197" s="66" t="str">
        <f t="shared" si="3267"/>
        <v/>
      </c>
      <c r="DK197" s="66" t="str">
        <f t="shared" si="3268"/>
        <v/>
      </c>
      <c r="DL197" s="66" t="str">
        <f t="shared" si="3269"/>
        <v/>
      </c>
      <c r="DM197" s="66" t="str">
        <f t="shared" si="3270"/>
        <v/>
      </c>
      <c r="DN197" s="66" t="str">
        <f t="shared" si="3271"/>
        <v/>
      </c>
      <c r="DO197" s="66" t="str">
        <f t="shared" si="3272"/>
        <v/>
      </c>
      <c r="DP197" s="66" t="str">
        <f t="shared" si="3273"/>
        <v/>
      </c>
      <c r="DQ197" s="66" t="str">
        <f t="shared" si="3274"/>
        <v/>
      </c>
      <c r="DR197" s="66" t="str">
        <f t="shared" si="3275"/>
        <v/>
      </c>
      <c r="DS197" s="66" t="str">
        <f t="shared" si="3276"/>
        <v/>
      </c>
      <c r="DT197" s="66" t="str">
        <f t="shared" si="3277"/>
        <v/>
      </c>
      <c r="DU197" s="66" t="str">
        <f t="shared" si="3278"/>
        <v/>
      </c>
      <c r="DV197" s="66" t="str">
        <f t="shared" si="3279"/>
        <v/>
      </c>
      <c r="DW197" s="66" t="str">
        <f t="shared" si="3280"/>
        <v/>
      </c>
      <c r="DX197" s="66" t="str">
        <f t="shared" si="3281"/>
        <v/>
      </c>
      <c r="DY197" s="66" t="str">
        <f t="shared" si="3282"/>
        <v/>
      </c>
      <c r="DZ197" s="66" t="str">
        <f t="shared" si="3283"/>
        <v/>
      </c>
      <c r="EA197" s="66" t="str">
        <f t="shared" si="3284"/>
        <v/>
      </c>
      <c r="EB197" s="66" t="str">
        <f t="shared" si="3285"/>
        <v/>
      </c>
      <c r="EC197" s="66" t="str">
        <f t="shared" si="3286"/>
        <v/>
      </c>
      <c r="ED197" s="66" t="str">
        <f t="shared" si="3287"/>
        <v/>
      </c>
      <c r="EE197" s="66" t="str">
        <f t="shared" si="3288"/>
        <v/>
      </c>
      <c r="EF197" s="66" t="str">
        <f t="shared" si="3289"/>
        <v/>
      </c>
      <c r="EG197" s="66" t="str">
        <f t="shared" si="3290"/>
        <v/>
      </c>
      <c r="EH197" s="66" t="str">
        <f t="shared" si="3291"/>
        <v/>
      </c>
      <c r="EI197" s="66" t="str">
        <f t="shared" si="3292"/>
        <v/>
      </c>
      <c r="EJ197" s="66" t="str">
        <f t="shared" si="3293"/>
        <v/>
      </c>
      <c r="EK197" s="66" t="str">
        <f t="shared" si="3294"/>
        <v/>
      </c>
      <c r="EL197" s="66" t="str">
        <f t="shared" si="3295"/>
        <v/>
      </c>
      <c r="EM197" s="66" t="str">
        <f t="shared" si="3296"/>
        <v/>
      </c>
      <c r="EN197" s="66" t="str">
        <f t="shared" si="3297"/>
        <v/>
      </c>
      <c r="EO197" s="66" t="str">
        <f t="shared" si="3298"/>
        <v/>
      </c>
      <c r="EP197" s="66" t="str">
        <f t="shared" si="3299"/>
        <v/>
      </c>
      <c r="EQ197" s="66" t="str">
        <f t="shared" si="3300"/>
        <v/>
      </c>
      <c r="ER197" s="66" t="str">
        <f t="shared" si="3301"/>
        <v/>
      </c>
      <c r="ES197" s="66" t="str">
        <f t="shared" si="3302"/>
        <v/>
      </c>
      <c r="ET197" s="66" t="str">
        <f t="shared" si="3303"/>
        <v/>
      </c>
      <c r="EU197" s="66" t="str">
        <f t="shared" si="3304"/>
        <v/>
      </c>
      <c r="EV197" s="66" t="str">
        <f t="shared" si="3305"/>
        <v/>
      </c>
      <c r="EW197" s="66" t="str">
        <f t="shared" si="3306"/>
        <v/>
      </c>
      <c r="EX197" s="66" t="str">
        <f t="shared" si="3307"/>
        <v/>
      </c>
      <c r="EY197" s="66" t="str">
        <f t="shared" si="3308"/>
        <v/>
      </c>
      <c r="EZ197" s="66" t="str">
        <f t="shared" si="3309"/>
        <v/>
      </c>
      <c r="FA197" s="66" t="str">
        <f t="shared" si="3310"/>
        <v/>
      </c>
      <c r="FB197" s="66" t="str">
        <f t="shared" si="3311"/>
        <v/>
      </c>
      <c r="FC197" s="66" t="str">
        <f t="shared" si="3312"/>
        <v/>
      </c>
      <c r="FD197" s="66" t="str">
        <f t="shared" si="3313"/>
        <v/>
      </c>
      <c r="FE197" s="66" t="str">
        <f t="shared" si="3314"/>
        <v/>
      </c>
      <c r="FF197" s="66" t="str">
        <f t="shared" si="3315"/>
        <v/>
      </c>
      <c r="FG197" s="66" t="str">
        <f t="shared" si="3316"/>
        <v/>
      </c>
      <c r="FH197" s="66" t="str">
        <f t="shared" si="3317"/>
        <v/>
      </c>
      <c r="FI197" s="66" t="str">
        <f t="shared" si="3318"/>
        <v/>
      </c>
      <c r="FJ197" s="66" t="str">
        <f t="shared" si="3319"/>
        <v/>
      </c>
      <c r="FK197" s="66" t="str">
        <f t="shared" si="3320"/>
        <v/>
      </c>
      <c r="FL197" s="66" t="str">
        <f t="shared" si="3321"/>
        <v/>
      </c>
      <c r="FM197" s="66" t="str">
        <f t="shared" si="3322"/>
        <v/>
      </c>
      <c r="FN197" s="66" t="str">
        <f t="shared" si="3323"/>
        <v/>
      </c>
      <c r="FO197" s="66" t="str">
        <f t="shared" si="3324"/>
        <v/>
      </c>
      <c r="FP197" s="66" t="str">
        <f t="shared" si="3325"/>
        <v/>
      </c>
      <c r="FQ197" s="66" t="str">
        <f t="shared" si="3326"/>
        <v/>
      </c>
      <c r="FR197" s="66" t="str">
        <f t="shared" si="3327"/>
        <v/>
      </c>
      <c r="FS197" s="66" t="str">
        <f t="shared" si="3328"/>
        <v/>
      </c>
    </row>
    <row r="198" spans="1:175">
      <c r="A198" s="15"/>
      <c r="B198" s="27" t="s">
        <v>717</v>
      </c>
      <c r="C198" s="28" t="s">
        <v>718</v>
      </c>
      <c r="T198" s="150" t="s">
        <v>898</v>
      </c>
      <c r="U198" s="77" t="str">
        <f t="shared" si="3256"/>
        <v>ReplaceableTextures\\CommandButtons\\BTNIB05.blp</v>
      </c>
      <c r="CN198" s="36" t="str">
        <f t="shared" si="3329"/>
        <v>InitUnitState('IB05',,,,,,,,,,)</v>
      </c>
      <c r="CO198" s="36" t="str">
        <f t="shared" si="3330"/>
        <v>InitUnitNormal('IB05',,,,,,,,,,)</v>
      </c>
      <c r="CP198" s="36" t="str">
        <f t="shared" si="3331"/>
        <v>InitUnitMagic('IB05',,,,,,,,,,)</v>
      </c>
      <c r="CQ198" s="36" t="str">
        <f t="shared" si="3332"/>
        <v>InitUnitAdd('IB05',,,,,,,,,,)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221&amp;CR$1&amp;")"</f>
        <v>InitEquipData('IB05',,"",,,,,'','','','','','',"")</v>
      </c>
      <c r="CU198" s="88" t="str">
        <f t="shared" si="3257"/>
        <v>|n</v>
      </c>
      <c r="CV198" s="19" t="str">
        <f t="shared" si="3258"/>
        <v>|cff33ff00购买魔兽重制版可领取该礼包！|n|n|r属性：|n|cffffcc33金币+1000|n每秒攻击+2|n每秒业力+1|r</v>
      </c>
      <c r="CW198" s="33"/>
      <c r="CX198" s="33"/>
      <c r="CY198" s="33"/>
      <c r="CZ198" s="33"/>
      <c r="DA198" s="33"/>
      <c r="DB198" s="66" t="str">
        <f t="shared" si="3259"/>
        <v/>
      </c>
      <c r="DC198" s="66" t="str">
        <f t="shared" si="3260"/>
        <v/>
      </c>
      <c r="DD198" s="66" t="str">
        <f t="shared" si="3261"/>
        <v/>
      </c>
      <c r="DE198" s="66" t="str">
        <f t="shared" si="3262"/>
        <v/>
      </c>
      <c r="DF198" s="66" t="str">
        <f t="shared" si="3263"/>
        <v/>
      </c>
      <c r="DG198" s="66" t="str">
        <f t="shared" si="3264"/>
        <v/>
      </c>
      <c r="DH198" s="66" t="str">
        <f t="shared" si="3265"/>
        <v/>
      </c>
      <c r="DI198" s="66" t="str">
        <f t="shared" si="3266"/>
        <v/>
      </c>
      <c r="DJ198" s="66" t="str">
        <f t="shared" si="3267"/>
        <v/>
      </c>
      <c r="DK198" s="66" t="str">
        <f t="shared" si="3268"/>
        <v/>
      </c>
      <c r="DL198" s="66" t="str">
        <f t="shared" si="3269"/>
        <v/>
      </c>
      <c r="DM198" s="66" t="str">
        <f t="shared" si="3270"/>
        <v/>
      </c>
      <c r="DN198" s="66" t="str">
        <f t="shared" si="3271"/>
        <v/>
      </c>
      <c r="DO198" s="66" t="str">
        <f t="shared" si="3272"/>
        <v/>
      </c>
      <c r="DP198" s="66" t="str">
        <f t="shared" si="3273"/>
        <v/>
      </c>
      <c r="DQ198" s="66" t="str">
        <f t="shared" si="3274"/>
        <v/>
      </c>
      <c r="DR198" s="66" t="str">
        <f t="shared" si="3275"/>
        <v/>
      </c>
      <c r="DS198" s="66" t="str">
        <f t="shared" si="3276"/>
        <v/>
      </c>
      <c r="DT198" s="66" t="str">
        <f t="shared" si="3277"/>
        <v/>
      </c>
      <c r="DU198" s="66" t="str">
        <f t="shared" si="3278"/>
        <v/>
      </c>
      <c r="DV198" s="66" t="str">
        <f t="shared" si="3279"/>
        <v/>
      </c>
      <c r="DW198" s="66" t="str">
        <f t="shared" si="3280"/>
        <v/>
      </c>
      <c r="DX198" s="66" t="str">
        <f t="shared" si="3281"/>
        <v/>
      </c>
      <c r="DY198" s="66" t="str">
        <f t="shared" si="3282"/>
        <v/>
      </c>
      <c r="DZ198" s="66" t="str">
        <f t="shared" si="3283"/>
        <v/>
      </c>
      <c r="EA198" s="66" t="str">
        <f t="shared" si="3284"/>
        <v/>
      </c>
      <c r="EB198" s="66" t="str">
        <f t="shared" si="3285"/>
        <v/>
      </c>
      <c r="EC198" s="66" t="str">
        <f t="shared" si="3286"/>
        <v/>
      </c>
      <c r="ED198" s="66" t="str">
        <f t="shared" si="3287"/>
        <v/>
      </c>
      <c r="EE198" s="66" t="str">
        <f t="shared" si="3288"/>
        <v/>
      </c>
      <c r="EF198" s="66" t="str">
        <f t="shared" si="3289"/>
        <v/>
      </c>
      <c r="EG198" s="66" t="str">
        <f t="shared" si="3290"/>
        <v/>
      </c>
      <c r="EH198" s="66" t="str">
        <f t="shared" si="3291"/>
        <v/>
      </c>
      <c r="EI198" s="66" t="str">
        <f t="shared" si="3292"/>
        <v/>
      </c>
      <c r="EJ198" s="66" t="str">
        <f t="shared" si="3293"/>
        <v/>
      </c>
      <c r="EK198" s="66" t="str">
        <f t="shared" si="3294"/>
        <v/>
      </c>
      <c r="EL198" s="66" t="str">
        <f t="shared" si="3295"/>
        <v/>
      </c>
      <c r="EM198" s="66" t="str">
        <f t="shared" si="3296"/>
        <v/>
      </c>
      <c r="EN198" s="66" t="str">
        <f t="shared" si="3297"/>
        <v/>
      </c>
      <c r="EO198" s="66" t="str">
        <f t="shared" si="3298"/>
        <v/>
      </c>
      <c r="EP198" s="66" t="str">
        <f t="shared" si="3299"/>
        <v/>
      </c>
      <c r="EQ198" s="66" t="str">
        <f t="shared" si="3300"/>
        <v/>
      </c>
      <c r="ER198" s="66" t="str">
        <f t="shared" si="3301"/>
        <v/>
      </c>
      <c r="ES198" s="66" t="str">
        <f t="shared" si="3302"/>
        <v/>
      </c>
      <c r="ET198" s="66" t="str">
        <f t="shared" si="3303"/>
        <v/>
      </c>
      <c r="EU198" s="66" t="str">
        <f t="shared" si="3304"/>
        <v/>
      </c>
      <c r="EV198" s="66" t="str">
        <f t="shared" si="3305"/>
        <v/>
      </c>
      <c r="EW198" s="66" t="str">
        <f t="shared" si="3306"/>
        <v/>
      </c>
      <c r="EX198" s="66" t="str">
        <f t="shared" si="3307"/>
        <v/>
      </c>
      <c r="EY198" s="66" t="str">
        <f t="shared" si="3308"/>
        <v/>
      </c>
      <c r="EZ198" s="66" t="str">
        <f t="shared" si="3309"/>
        <v/>
      </c>
      <c r="FA198" s="66" t="str">
        <f t="shared" si="3310"/>
        <v/>
      </c>
      <c r="FB198" s="66" t="str">
        <f t="shared" si="3311"/>
        <v/>
      </c>
      <c r="FC198" s="66" t="str">
        <f t="shared" si="3312"/>
        <v/>
      </c>
      <c r="FD198" s="66" t="str">
        <f t="shared" si="3313"/>
        <v/>
      </c>
      <c r="FE198" s="66" t="str">
        <f t="shared" si="3314"/>
        <v/>
      </c>
      <c r="FF198" s="66" t="str">
        <f t="shared" si="3315"/>
        <v/>
      </c>
      <c r="FG198" s="66" t="str">
        <f t="shared" si="3316"/>
        <v/>
      </c>
      <c r="FH198" s="66" t="str">
        <f t="shared" si="3317"/>
        <v/>
      </c>
      <c r="FI198" s="66" t="str">
        <f t="shared" si="3318"/>
        <v/>
      </c>
      <c r="FJ198" s="66" t="str">
        <f t="shared" si="3319"/>
        <v/>
      </c>
      <c r="FK198" s="66" t="str">
        <f t="shared" si="3320"/>
        <v/>
      </c>
      <c r="FL198" s="66" t="str">
        <f t="shared" si="3321"/>
        <v/>
      </c>
      <c r="FM198" s="66" t="str">
        <f t="shared" si="3322"/>
        <v/>
      </c>
      <c r="FN198" s="66" t="str">
        <f t="shared" si="3323"/>
        <v/>
      </c>
      <c r="FO198" s="66" t="str">
        <f t="shared" si="3324"/>
        <v/>
      </c>
      <c r="FP198" s="66" t="str">
        <f t="shared" si="3325"/>
        <v/>
      </c>
      <c r="FQ198" s="66" t="str">
        <f t="shared" si="3326"/>
        <v/>
      </c>
      <c r="FR198" s="66" t="str">
        <f t="shared" si="3327"/>
        <v/>
      </c>
      <c r="FS198" s="66" t="str">
        <f t="shared" si="3328"/>
        <v/>
      </c>
    </row>
    <row r="199" spans="1:175">
      <c r="A199" s="15"/>
      <c r="B199" s="27" t="s">
        <v>719</v>
      </c>
      <c r="C199" s="28" t="s">
        <v>720</v>
      </c>
      <c r="T199" s="29" t="s">
        <v>721</v>
      </c>
      <c r="U199" s="77" t="str">
        <f t="shared" si="3256"/>
        <v>ReplaceableTextures\\CommandButtons\\BTNIB06.blp</v>
      </c>
      <c r="CN199" s="36" t="str">
        <f t="shared" si="3329"/>
        <v>InitUnitState('IB06',,,,,,,,,,)</v>
      </c>
      <c r="CO199" s="36" t="str">
        <f t="shared" si="3330"/>
        <v>InitUnitNormal('IB06',,,,,,,,,,)</v>
      </c>
      <c r="CP199" s="36" t="str">
        <f t="shared" si="3331"/>
        <v>InitUnitMagic('IB06',,,,,,,,,,)</v>
      </c>
      <c r="CQ199" s="36" t="str">
        <f t="shared" si="3332"/>
        <v>InitUnitAdd('IB06',,,,,,,,,,)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InitEquipData('IB06',,"",,,,,'','','','','','',"ReplaceableTextures\\CommandButtons\\BTNIB07.blp")</v>
      </c>
      <c r="CU199" s="88" t="str">
        <f t="shared" si="3257"/>
        <v>|n</v>
      </c>
      <c r="CV199" s="19" t="str">
        <f t="shared" si="325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9" s="33"/>
      <c r="CX199" s="33"/>
      <c r="CY199" s="33"/>
      <c r="CZ199" s="33"/>
      <c r="DA199" s="33"/>
      <c r="DB199" s="66" t="str">
        <f t="shared" si="3259"/>
        <v/>
      </c>
      <c r="DC199" s="66" t="str">
        <f t="shared" si="3260"/>
        <v/>
      </c>
      <c r="DD199" s="66" t="str">
        <f t="shared" si="3261"/>
        <v/>
      </c>
      <c r="DE199" s="66" t="str">
        <f t="shared" si="3262"/>
        <v/>
      </c>
      <c r="DF199" s="66" t="str">
        <f t="shared" si="3263"/>
        <v/>
      </c>
      <c r="DG199" s="66" t="str">
        <f t="shared" si="3264"/>
        <v/>
      </c>
      <c r="DH199" s="66" t="str">
        <f t="shared" si="3265"/>
        <v/>
      </c>
      <c r="DI199" s="66" t="str">
        <f t="shared" si="3266"/>
        <v/>
      </c>
      <c r="DJ199" s="66" t="str">
        <f t="shared" si="3267"/>
        <v/>
      </c>
      <c r="DK199" s="66" t="str">
        <f t="shared" si="3268"/>
        <v/>
      </c>
      <c r="DL199" s="66" t="str">
        <f t="shared" si="3269"/>
        <v/>
      </c>
      <c r="DM199" s="66" t="str">
        <f t="shared" si="3270"/>
        <v/>
      </c>
      <c r="DN199" s="66" t="str">
        <f t="shared" si="3271"/>
        <v/>
      </c>
      <c r="DO199" s="66" t="str">
        <f t="shared" si="3272"/>
        <v/>
      </c>
      <c r="DP199" s="66" t="str">
        <f t="shared" si="3273"/>
        <v/>
      </c>
      <c r="DQ199" s="66" t="str">
        <f t="shared" si="3274"/>
        <v/>
      </c>
      <c r="DR199" s="66" t="str">
        <f t="shared" si="3275"/>
        <v/>
      </c>
      <c r="DS199" s="66" t="str">
        <f t="shared" si="3276"/>
        <v/>
      </c>
      <c r="DT199" s="66" t="str">
        <f t="shared" si="3277"/>
        <v/>
      </c>
      <c r="DU199" s="66" t="str">
        <f t="shared" si="3278"/>
        <v/>
      </c>
      <c r="DV199" s="66" t="str">
        <f t="shared" si="3279"/>
        <v/>
      </c>
      <c r="DW199" s="66" t="str">
        <f t="shared" si="3280"/>
        <v/>
      </c>
      <c r="DX199" s="66" t="str">
        <f t="shared" si="3281"/>
        <v/>
      </c>
      <c r="DY199" s="66" t="str">
        <f t="shared" si="3282"/>
        <v/>
      </c>
      <c r="DZ199" s="66" t="str">
        <f t="shared" si="3283"/>
        <v/>
      </c>
      <c r="EA199" s="66" t="str">
        <f t="shared" si="3284"/>
        <v/>
      </c>
      <c r="EB199" s="66" t="str">
        <f t="shared" si="3285"/>
        <v/>
      </c>
      <c r="EC199" s="66" t="str">
        <f t="shared" si="3286"/>
        <v/>
      </c>
      <c r="ED199" s="66" t="str">
        <f t="shared" si="3287"/>
        <v/>
      </c>
      <c r="EE199" s="66" t="str">
        <f t="shared" si="3288"/>
        <v/>
      </c>
      <c r="EF199" s="66" t="str">
        <f t="shared" si="3289"/>
        <v/>
      </c>
      <c r="EG199" s="66" t="str">
        <f t="shared" si="3290"/>
        <v/>
      </c>
      <c r="EH199" s="66" t="str">
        <f t="shared" si="3291"/>
        <v/>
      </c>
      <c r="EI199" s="66" t="str">
        <f t="shared" si="3292"/>
        <v/>
      </c>
      <c r="EJ199" s="66" t="str">
        <f t="shared" si="3293"/>
        <v/>
      </c>
      <c r="EK199" s="66" t="str">
        <f t="shared" si="3294"/>
        <v/>
      </c>
      <c r="EL199" s="66" t="str">
        <f t="shared" si="3295"/>
        <v/>
      </c>
      <c r="EM199" s="66" t="str">
        <f t="shared" si="3296"/>
        <v/>
      </c>
      <c r="EN199" s="66" t="str">
        <f t="shared" si="3297"/>
        <v/>
      </c>
      <c r="EO199" s="66" t="str">
        <f t="shared" si="3298"/>
        <v/>
      </c>
      <c r="EP199" s="66" t="str">
        <f t="shared" si="3299"/>
        <v/>
      </c>
      <c r="EQ199" s="66" t="str">
        <f t="shared" si="3300"/>
        <v/>
      </c>
      <c r="ER199" s="66" t="str">
        <f t="shared" si="3301"/>
        <v/>
      </c>
      <c r="ES199" s="66" t="str">
        <f t="shared" si="3302"/>
        <v/>
      </c>
      <c r="ET199" s="66" t="str">
        <f t="shared" si="3303"/>
        <v/>
      </c>
      <c r="EU199" s="66" t="str">
        <f t="shared" si="3304"/>
        <v/>
      </c>
      <c r="EV199" s="66" t="str">
        <f t="shared" si="3305"/>
        <v/>
      </c>
      <c r="EW199" s="66" t="str">
        <f t="shared" si="3306"/>
        <v/>
      </c>
      <c r="EX199" s="66" t="str">
        <f t="shared" si="3307"/>
        <v/>
      </c>
      <c r="EY199" s="66" t="str">
        <f t="shared" si="3308"/>
        <v/>
      </c>
      <c r="EZ199" s="66" t="str">
        <f t="shared" si="3309"/>
        <v/>
      </c>
      <c r="FA199" s="66" t="str">
        <f t="shared" si="3310"/>
        <v/>
      </c>
      <c r="FB199" s="66" t="str">
        <f t="shared" si="3311"/>
        <v/>
      </c>
      <c r="FC199" s="66" t="str">
        <f t="shared" si="3312"/>
        <v/>
      </c>
      <c r="FD199" s="66" t="str">
        <f t="shared" si="3313"/>
        <v/>
      </c>
      <c r="FE199" s="66" t="str">
        <f t="shared" si="3314"/>
        <v/>
      </c>
      <c r="FF199" s="66" t="str">
        <f t="shared" si="3315"/>
        <v/>
      </c>
      <c r="FG199" s="66" t="str">
        <f t="shared" si="3316"/>
        <v/>
      </c>
      <c r="FH199" s="66" t="str">
        <f t="shared" si="3317"/>
        <v/>
      </c>
      <c r="FI199" s="66" t="str">
        <f t="shared" si="3318"/>
        <v/>
      </c>
      <c r="FJ199" s="66" t="str">
        <f t="shared" si="3319"/>
        <v/>
      </c>
      <c r="FK199" s="66" t="str">
        <f t="shared" si="3320"/>
        <v/>
      </c>
      <c r="FL199" s="66" t="str">
        <f t="shared" si="3321"/>
        <v/>
      </c>
      <c r="FM199" s="66" t="str">
        <f t="shared" si="3322"/>
        <v/>
      </c>
      <c r="FN199" s="66" t="str">
        <f t="shared" si="3323"/>
        <v/>
      </c>
      <c r="FO199" s="66" t="str">
        <f t="shared" si="3324"/>
        <v/>
      </c>
      <c r="FP199" s="66" t="str">
        <f t="shared" si="3325"/>
        <v/>
      </c>
      <c r="FQ199" s="66" t="str">
        <f t="shared" si="3326"/>
        <v/>
      </c>
      <c r="FR199" s="66" t="str">
        <f t="shared" si="3327"/>
        <v/>
      </c>
      <c r="FS199" s="66" t="str">
        <f t="shared" si="3328"/>
        <v/>
      </c>
    </row>
    <row r="200" spans="1:175">
      <c r="A200" s="15"/>
      <c r="B200" s="27" t="s">
        <v>722</v>
      </c>
      <c r="C200" s="28" t="s">
        <v>723</v>
      </c>
      <c r="T200" s="29" t="s">
        <v>724</v>
      </c>
      <c r="U200" s="77" t="str">
        <f t="shared" si="3256"/>
        <v>ReplaceableTextures\\CommandButtons\\BTNIB07.blp</v>
      </c>
      <c r="CN200" s="36" t="str">
        <f t="shared" si="3329"/>
        <v>InitUnitState('IB07',,,,,,,,,,)</v>
      </c>
      <c r="CO200" s="36" t="str">
        <f t="shared" si="3330"/>
        <v>InitUnitNormal('IB07',,,,,,,,,,)</v>
      </c>
      <c r="CP200" s="36" t="str">
        <f t="shared" si="3331"/>
        <v>InitUnitMagic('IB07',,,,,,,,,,)</v>
      </c>
      <c r="CQ200" s="36" t="str">
        <f t="shared" si="3332"/>
        <v>InitUnitAdd('IB07',,,,,,,,,,)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InitEquipData('IB07',,"",,,,,'','','','','','',"ReplaceableTextures\\CommandButtons\\BTNIB08.blp")</v>
      </c>
      <c r="CU200" s="88" t="str">
        <f t="shared" si="3257"/>
        <v>|n</v>
      </c>
      <c r="CV200" s="19" t="str">
        <f t="shared" si="325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0" s="33"/>
      <c r="CX200" s="33"/>
      <c r="CY200" s="33"/>
      <c r="CZ200" s="33"/>
      <c r="DA200" s="33"/>
      <c r="DB200" s="66" t="str">
        <f t="shared" si="3259"/>
        <v/>
      </c>
      <c r="DC200" s="66" t="str">
        <f t="shared" si="3260"/>
        <v/>
      </c>
      <c r="DD200" s="66" t="str">
        <f t="shared" si="3261"/>
        <v/>
      </c>
      <c r="DE200" s="66" t="str">
        <f t="shared" si="3262"/>
        <v/>
      </c>
      <c r="DF200" s="66" t="str">
        <f t="shared" si="3263"/>
        <v/>
      </c>
      <c r="DG200" s="66" t="str">
        <f t="shared" si="3264"/>
        <v/>
      </c>
      <c r="DH200" s="66" t="str">
        <f t="shared" si="3265"/>
        <v/>
      </c>
      <c r="DI200" s="66" t="str">
        <f t="shared" si="3266"/>
        <v/>
      </c>
      <c r="DJ200" s="66" t="str">
        <f t="shared" si="3267"/>
        <v/>
      </c>
      <c r="DK200" s="66" t="str">
        <f t="shared" si="3268"/>
        <v/>
      </c>
      <c r="DL200" s="66" t="str">
        <f t="shared" si="3269"/>
        <v/>
      </c>
      <c r="DM200" s="66" t="str">
        <f t="shared" si="3270"/>
        <v/>
      </c>
      <c r="DN200" s="66" t="str">
        <f t="shared" si="3271"/>
        <v/>
      </c>
      <c r="DO200" s="66" t="str">
        <f t="shared" si="3272"/>
        <v/>
      </c>
      <c r="DP200" s="66" t="str">
        <f t="shared" si="3273"/>
        <v/>
      </c>
      <c r="DQ200" s="66" t="str">
        <f t="shared" si="3274"/>
        <v/>
      </c>
      <c r="DR200" s="66" t="str">
        <f t="shared" si="3275"/>
        <v/>
      </c>
      <c r="DS200" s="66" t="str">
        <f t="shared" si="3276"/>
        <v/>
      </c>
      <c r="DT200" s="66" t="str">
        <f t="shared" si="3277"/>
        <v/>
      </c>
      <c r="DU200" s="66" t="str">
        <f t="shared" si="3278"/>
        <v/>
      </c>
      <c r="DV200" s="66" t="str">
        <f t="shared" si="3279"/>
        <v/>
      </c>
      <c r="DW200" s="66" t="str">
        <f t="shared" si="3280"/>
        <v/>
      </c>
      <c r="DX200" s="66" t="str">
        <f t="shared" si="3281"/>
        <v/>
      </c>
      <c r="DY200" s="66" t="str">
        <f t="shared" si="3282"/>
        <v/>
      </c>
      <c r="DZ200" s="66" t="str">
        <f t="shared" si="3283"/>
        <v/>
      </c>
      <c r="EA200" s="66" t="str">
        <f t="shared" si="3284"/>
        <v/>
      </c>
      <c r="EB200" s="66" t="str">
        <f t="shared" si="3285"/>
        <v/>
      </c>
      <c r="EC200" s="66" t="str">
        <f t="shared" si="3286"/>
        <v/>
      </c>
      <c r="ED200" s="66" t="str">
        <f t="shared" si="3287"/>
        <v/>
      </c>
      <c r="EE200" s="66" t="str">
        <f t="shared" si="3288"/>
        <v/>
      </c>
      <c r="EF200" s="66" t="str">
        <f t="shared" si="3289"/>
        <v/>
      </c>
      <c r="EG200" s="66" t="str">
        <f t="shared" si="3290"/>
        <v/>
      </c>
      <c r="EH200" s="66" t="str">
        <f t="shared" si="3291"/>
        <v/>
      </c>
      <c r="EI200" s="66" t="str">
        <f t="shared" si="3292"/>
        <v/>
      </c>
      <c r="EJ200" s="66" t="str">
        <f t="shared" si="3293"/>
        <v/>
      </c>
      <c r="EK200" s="66" t="str">
        <f t="shared" si="3294"/>
        <v/>
      </c>
      <c r="EL200" s="66" t="str">
        <f t="shared" si="3295"/>
        <v/>
      </c>
      <c r="EM200" s="66" t="str">
        <f t="shared" si="3296"/>
        <v/>
      </c>
      <c r="EN200" s="66" t="str">
        <f t="shared" si="3297"/>
        <v/>
      </c>
      <c r="EO200" s="66" t="str">
        <f t="shared" si="3298"/>
        <v/>
      </c>
      <c r="EP200" s="66" t="str">
        <f t="shared" si="3299"/>
        <v/>
      </c>
      <c r="EQ200" s="66" t="str">
        <f t="shared" si="3300"/>
        <v/>
      </c>
      <c r="ER200" s="66" t="str">
        <f t="shared" si="3301"/>
        <v/>
      </c>
      <c r="ES200" s="66" t="str">
        <f t="shared" si="3302"/>
        <v/>
      </c>
      <c r="ET200" s="66" t="str">
        <f t="shared" si="3303"/>
        <v/>
      </c>
      <c r="EU200" s="66" t="str">
        <f t="shared" si="3304"/>
        <v/>
      </c>
      <c r="EV200" s="66" t="str">
        <f t="shared" si="3305"/>
        <v/>
      </c>
      <c r="EW200" s="66" t="str">
        <f t="shared" si="3306"/>
        <v/>
      </c>
      <c r="EX200" s="66" t="str">
        <f t="shared" si="3307"/>
        <v/>
      </c>
      <c r="EY200" s="66" t="str">
        <f t="shared" si="3308"/>
        <v/>
      </c>
      <c r="EZ200" s="66" t="str">
        <f t="shared" si="3309"/>
        <v/>
      </c>
      <c r="FA200" s="66" t="str">
        <f t="shared" si="3310"/>
        <v/>
      </c>
      <c r="FB200" s="66" t="str">
        <f t="shared" si="3311"/>
        <v/>
      </c>
      <c r="FC200" s="66" t="str">
        <f t="shared" si="3312"/>
        <v/>
      </c>
      <c r="FD200" s="66" t="str">
        <f t="shared" si="3313"/>
        <v/>
      </c>
      <c r="FE200" s="66" t="str">
        <f t="shared" si="3314"/>
        <v/>
      </c>
      <c r="FF200" s="66" t="str">
        <f t="shared" si="3315"/>
        <v/>
      </c>
      <c r="FG200" s="66" t="str">
        <f t="shared" si="3316"/>
        <v/>
      </c>
      <c r="FH200" s="66" t="str">
        <f t="shared" si="3317"/>
        <v/>
      </c>
      <c r="FI200" s="66" t="str">
        <f t="shared" si="3318"/>
        <v/>
      </c>
      <c r="FJ200" s="66" t="str">
        <f t="shared" si="3319"/>
        <v/>
      </c>
      <c r="FK200" s="66" t="str">
        <f t="shared" si="3320"/>
        <v/>
      </c>
      <c r="FL200" s="66" t="str">
        <f t="shared" si="3321"/>
        <v/>
      </c>
      <c r="FM200" s="66" t="str">
        <f t="shared" si="3322"/>
        <v/>
      </c>
      <c r="FN200" s="66" t="str">
        <f t="shared" si="3323"/>
        <v/>
      </c>
      <c r="FO200" s="66" t="str">
        <f t="shared" si="3324"/>
        <v/>
      </c>
      <c r="FP200" s="66" t="str">
        <f t="shared" si="3325"/>
        <v/>
      </c>
      <c r="FQ200" s="66" t="str">
        <f t="shared" si="3326"/>
        <v/>
      </c>
      <c r="FR200" s="66" t="str">
        <f t="shared" si="3327"/>
        <v/>
      </c>
      <c r="FS200" s="66" t="str">
        <f t="shared" si="3328"/>
        <v/>
      </c>
    </row>
    <row r="201" spans="1:175">
      <c r="A201" s="15"/>
      <c r="B201" s="27" t="s">
        <v>725</v>
      </c>
      <c r="C201" s="28" t="s">
        <v>726</v>
      </c>
      <c r="T201" s="29" t="s">
        <v>727</v>
      </c>
      <c r="U201" s="77" t="str">
        <f t="shared" si="3256"/>
        <v>ReplaceableTextures\\CommandButtons\\BTNIB08.blp</v>
      </c>
      <c r="CN201" s="36" t="str">
        <f t="shared" si="3329"/>
        <v>InitUnitState('IB08',,,,,,,,,,)</v>
      </c>
      <c r="CO201" s="36" t="str">
        <f t="shared" si="3330"/>
        <v>InitUnitNormal('IB08',,,,,,,,,,)</v>
      </c>
      <c r="CP201" s="36" t="str">
        <f t="shared" si="3331"/>
        <v>InitUnitMagic('IB08',,,,,,,,,,)</v>
      </c>
      <c r="CQ201" s="36" t="str">
        <f t="shared" si="3332"/>
        <v>InitUnitAdd('IB08',,,,,,,,,,)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224&amp;CR$1&amp;")"</f>
        <v>InitEquipData('IB08',,"",,,,,'','','','','','',"")</v>
      </c>
      <c r="CU201" s="88" t="str">
        <f t="shared" si="3257"/>
        <v>|n</v>
      </c>
      <c r="CV201" s="19" t="str">
        <f t="shared" si="325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1" s="33"/>
      <c r="CX201" s="33"/>
      <c r="CY201" s="33"/>
      <c r="CZ201" s="33"/>
      <c r="DA201" s="33"/>
      <c r="DB201" s="66" t="str">
        <f t="shared" si="3259"/>
        <v/>
      </c>
      <c r="DC201" s="66" t="str">
        <f t="shared" si="3260"/>
        <v/>
      </c>
      <c r="DD201" s="66" t="str">
        <f t="shared" si="3261"/>
        <v/>
      </c>
      <c r="DE201" s="66" t="str">
        <f t="shared" si="3262"/>
        <v/>
      </c>
      <c r="DF201" s="66" t="str">
        <f t="shared" si="3263"/>
        <v/>
      </c>
      <c r="DG201" s="66" t="str">
        <f t="shared" si="3264"/>
        <v/>
      </c>
      <c r="DH201" s="66" t="str">
        <f t="shared" si="3265"/>
        <v/>
      </c>
      <c r="DI201" s="66" t="str">
        <f t="shared" si="3266"/>
        <v/>
      </c>
      <c r="DJ201" s="66" t="str">
        <f t="shared" si="3267"/>
        <v/>
      </c>
      <c r="DK201" s="66" t="str">
        <f t="shared" si="3268"/>
        <v/>
      </c>
      <c r="DL201" s="66" t="str">
        <f t="shared" si="3269"/>
        <v/>
      </c>
      <c r="DM201" s="66" t="str">
        <f t="shared" si="3270"/>
        <v/>
      </c>
      <c r="DN201" s="66" t="str">
        <f t="shared" si="3271"/>
        <v/>
      </c>
      <c r="DO201" s="66" t="str">
        <f t="shared" si="3272"/>
        <v/>
      </c>
      <c r="DP201" s="66" t="str">
        <f t="shared" si="3273"/>
        <v/>
      </c>
      <c r="DQ201" s="66" t="str">
        <f t="shared" si="3274"/>
        <v/>
      </c>
      <c r="DR201" s="66" t="str">
        <f t="shared" si="3275"/>
        <v/>
      </c>
      <c r="DS201" s="66" t="str">
        <f t="shared" si="3276"/>
        <v/>
      </c>
      <c r="DT201" s="66" t="str">
        <f t="shared" si="3277"/>
        <v/>
      </c>
      <c r="DU201" s="66" t="str">
        <f t="shared" si="3278"/>
        <v/>
      </c>
      <c r="DV201" s="66" t="str">
        <f t="shared" si="3279"/>
        <v/>
      </c>
      <c r="DW201" s="66" t="str">
        <f t="shared" si="3280"/>
        <v/>
      </c>
      <c r="DX201" s="66" t="str">
        <f t="shared" si="3281"/>
        <v/>
      </c>
      <c r="DY201" s="66" t="str">
        <f t="shared" si="3282"/>
        <v/>
      </c>
      <c r="DZ201" s="66" t="str">
        <f t="shared" si="3283"/>
        <v/>
      </c>
      <c r="EA201" s="66" t="str">
        <f t="shared" si="3284"/>
        <v/>
      </c>
      <c r="EB201" s="66" t="str">
        <f t="shared" si="3285"/>
        <v/>
      </c>
      <c r="EC201" s="66" t="str">
        <f t="shared" si="3286"/>
        <v/>
      </c>
      <c r="ED201" s="66" t="str">
        <f t="shared" si="3287"/>
        <v/>
      </c>
      <c r="EE201" s="66" t="str">
        <f t="shared" si="3288"/>
        <v/>
      </c>
      <c r="EF201" s="66" t="str">
        <f t="shared" si="3289"/>
        <v/>
      </c>
      <c r="EG201" s="66" t="str">
        <f t="shared" si="3290"/>
        <v/>
      </c>
      <c r="EH201" s="66" t="str">
        <f t="shared" si="3291"/>
        <v/>
      </c>
      <c r="EI201" s="66" t="str">
        <f t="shared" si="3292"/>
        <v/>
      </c>
      <c r="EJ201" s="66" t="str">
        <f t="shared" si="3293"/>
        <v/>
      </c>
      <c r="EK201" s="66" t="str">
        <f t="shared" si="3294"/>
        <v/>
      </c>
      <c r="EL201" s="66" t="str">
        <f t="shared" si="3295"/>
        <v/>
      </c>
      <c r="EM201" s="66" t="str">
        <f t="shared" si="3296"/>
        <v/>
      </c>
      <c r="EN201" s="66" t="str">
        <f t="shared" si="3297"/>
        <v/>
      </c>
      <c r="EO201" s="66" t="str">
        <f t="shared" si="3298"/>
        <v/>
      </c>
      <c r="EP201" s="66" t="str">
        <f t="shared" si="3299"/>
        <v/>
      </c>
      <c r="EQ201" s="66" t="str">
        <f t="shared" si="3300"/>
        <v/>
      </c>
      <c r="ER201" s="66" t="str">
        <f t="shared" si="3301"/>
        <v/>
      </c>
      <c r="ES201" s="66" t="str">
        <f t="shared" si="3302"/>
        <v/>
      </c>
      <c r="ET201" s="66" t="str">
        <f t="shared" si="3303"/>
        <v/>
      </c>
      <c r="EU201" s="66" t="str">
        <f t="shared" si="3304"/>
        <v/>
      </c>
      <c r="EV201" s="66" t="str">
        <f t="shared" si="3305"/>
        <v/>
      </c>
      <c r="EW201" s="66" t="str">
        <f t="shared" si="3306"/>
        <v/>
      </c>
      <c r="EX201" s="66" t="str">
        <f t="shared" si="3307"/>
        <v/>
      </c>
      <c r="EY201" s="66" t="str">
        <f t="shared" si="3308"/>
        <v/>
      </c>
      <c r="EZ201" s="66" t="str">
        <f t="shared" si="3309"/>
        <v/>
      </c>
      <c r="FA201" s="66" t="str">
        <f t="shared" si="3310"/>
        <v/>
      </c>
      <c r="FB201" s="66" t="str">
        <f t="shared" si="3311"/>
        <v/>
      </c>
      <c r="FC201" s="66" t="str">
        <f t="shared" si="3312"/>
        <v/>
      </c>
      <c r="FD201" s="66" t="str">
        <f t="shared" si="3313"/>
        <v/>
      </c>
      <c r="FE201" s="66" t="str">
        <f t="shared" si="3314"/>
        <v/>
      </c>
      <c r="FF201" s="66" t="str">
        <f t="shared" si="3315"/>
        <v/>
      </c>
      <c r="FG201" s="66" t="str">
        <f t="shared" si="3316"/>
        <v/>
      </c>
      <c r="FH201" s="66" t="str">
        <f t="shared" si="3317"/>
        <v/>
      </c>
      <c r="FI201" s="66" t="str">
        <f t="shared" si="3318"/>
        <v/>
      </c>
      <c r="FJ201" s="66" t="str">
        <f t="shared" si="3319"/>
        <v/>
      </c>
      <c r="FK201" s="66" t="str">
        <f t="shared" si="3320"/>
        <v/>
      </c>
      <c r="FL201" s="66" t="str">
        <f t="shared" si="3321"/>
        <v/>
      </c>
      <c r="FM201" s="66" t="str">
        <f t="shared" si="3322"/>
        <v/>
      </c>
      <c r="FN201" s="66" t="str">
        <f t="shared" si="3323"/>
        <v/>
      </c>
      <c r="FO201" s="66" t="str">
        <f t="shared" si="3324"/>
        <v/>
      </c>
      <c r="FP201" s="66" t="str">
        <f t="shared" si="3325"/>
        <v/>
      </c>
      <c r="FQ201" s="66" t="str">
        <f t="shared" si="3326"/>
        <v/>
      </c>
      <c r="FR201" s="66" t="str">
        <f t="shared" si="3327"/>
        <v/>
      </c>
      <c r="FS201" s="66" t="str">
        <f t="shared" si="3328"/>
        <v/>
      </c>
    </row>
    <row r="202" spans="1:175">
      <c r="A202" s="15"/>
      <c r="B202" s="27" t="s">
        <v>728</v>
      </c>
      <c r="C202" s="28" t="s">
        <v>729</v>
      </c>
      <c r="T202" s="28"/>
      <c r="U202" s="77" t="str">
        <f t="shared" si="3256"/>
        <v>ReplaceableTextures\\CommandButtons\\BTNIB09.blp</v>
      </c>
      <c r="CN202" s="36" t="str">
        <f t="shared" si="3329"/>
        <v>InitUnitState('IB09',,,,,,,,,,)</v>
      </c>
      <c r="CO202" s="36" t="str">
        <f t="shared" si="3330"/>
        <v>InitUnitNormal('IB09',,,,,,,,,,)</v>
      </c>
      <c r="CP202" s="36" t="str">
        <f t="shared" si="3331"/>
        <v>InitUnitMagic('IB09',,,,,,,,,,)</v>
      </c>
      <c r="CQ202" s="36" t="str">
        <f t="shared" si="3332"/>
        <v>InitUnitAdd('IB09',,,,,,,,,,)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225&amp;CR$1&amp;")"</f>
        <v>InitEquipData('IB09',,"",,,,,'','','','','','',"")</v>
      </c>
      <c r="CU202" s="88" t="str">
        <f t="shared" si="3257"/>
        <v>|n</v>
      </c>
      <c r="CV202" s="19">
        <f t="shared" si="3258"/>
        <v>0</v>
      </c>
      <c r="CW202" s="33"/>
      <c r="CX202" s="33"/>
      <c r="CY202" s="33"/>
      <c r="CZ202" s="33"/>
      <c r="DA202" s="33"/>
      <c r="DB202" s="66" t="str">
        <f t="shared" ref="DB202:FM202" si="3333">IF(V202="","","|n"&amp;DB$2&amp;"+"&amp;V202&amp;DB$1)</f>
        <v/>
      </c>
      <c r="DC202" s="66" t="str">
        <f t="shared" si="3333"/>
        <v/>
      </c>
      <c r="DD202" s="66" t="str">
        <f t="shared" si="3333"/>
        <v/>
      </c>
      <c r="DE202" s="66" t="str">
        <f t="shared" si="3333"/>
        <v/>
      </c>
      <c r="DF202" s="66" t="str">
        <f t="shared" si="3333"/>
        <v/>
      </c>
      <c r="DG202" s="66" t="str">
        <f t="shared" si="3333"/>
        <v/>
      </c>
      <c r="DH202" s="66" t="str">
        <f t="shared" si="3333"/>
        <v/>
      </c>
      <c r="DI202" s="66" t="str">
        <f t="shared" si="3333"/>
        <v/>
      </c>
      <c r="DJ202" s="66" t="str">
        <f t="shared" si="3333"/>
        <v/>
      </c>
      <c r="DK202" s="66" t="str">
        <f t="shared" si="3333"/>
        <v/>
      </c>
      <c r="DL202" s="66" t="str">
        <f t="shared" si="3333"/>
        <v/>
      </c>
      <c r="DM202" s="66" t="str">
        <f t="shared" si="3333"/>
        <v/>
      </c>
      <c r="DN202" s="66" t="str">
        <f t="shared" si="3333"/>
        <v/>
      </c>
      <c r="DO202" s="66" t="str">
        <f t="shared" si="3333"/>
        <v/>
      </c>
      <c r="DP202" s="66" t="str">
        <f t="shared" si="3333"/>
        <v/>
      </c>
      <c r="DQ202" s="66" t="str">
        <f t="shared" si="3333"/>
        <v/>
      </c>
      <c r="DR202" s="66" t="str">
        <f t="shared" si="3333"/>
        <v/>
      </c>
      <c r="DS202" s="66" t="str">
        <f t="shared" si="3333"/>
        <v/>
      </c>
      <c r="DT202" s="66" t="str">
        <f t="shared" si="3333"/>
        <v/>
      </c>
      <c r="DU202" s="66" t="str">
        <f t="shared" si="3333"/>
        <v/>
      </c>
      <c r="DV202" s="66" t="str">
        <f t="shared" si="3333"/>
        <v/>
      </c>
      <c r="DW202" s="66" t="str">
        <f t="shared" si="3333"/>
        <v/>
      </c>
      <c r="DX202" s="66" t="str">
        <f t="shared" si="3333"/>
        <v/>
      </c>
      <c r="DY202" s="66" t="str">
        <f t="shared" si="3333"/>
        <v/>
      </c>
      <c r="DZ202" s="66" t="str">
        <f t="shared" si="3333"/>
        <v/>
      </c>
      <c r="EA202" s="66" t="str">
        <f t="shared" si="3333"/>
        <v/>
      </c>
      <c r="EB202" s="66" t="str">
        <f t="shared" si="3333"/>
        <v/>
      </c>
      <c r="EC202" s="66" t="str">
        <f t="shared" si="3333"/>
        <v/>
      </c>
      <c r="ED202" s="66" t="str">
        <f t="shared" si="3333"/>
        <v/>
      </c>
      <c r="EE202" s="66" t="str">
        <f t="shared" si="3333"/>
        <v/>
      </c>
      <c r="EF202" s="66" t="str">
        <f t="shared" si="3333"/>
        <v/>
      </c>
      <c r="EG202" s="66" t="str">
        <f t="shared" si="3333"/>
        <v/>
      </c>
      <c r="EH202" s="66" t="str">
        <f t="shared" si="3333"/>
        <v/>
      </c>
      <c r="EI202" s="66" t="str">
        <f t="shared" si="3333"/>
        <v/>
      </c>
      <c r="EJ202" s="66" t="str">
        <f t="shared" si="3333"/>
        <v/>
      </c>
      <c r="EK202" s="66" t="str">
        <f t="shared" si="3333"/>
        <v/>
      </c>
      <c r="EL202" s="66" t="str">
        <f t="shared" si="3333"/>
        <v/>
      </c>
      <c r="EM202" s="66" t="str">
        <f t="shared" si="3333"/>
        <v/>
      </c>
      <c r="EN202" s="66" t="str">
        <f t="shared" si="3333"/>
        <v/>
      </c>
      <c r="EO202" s="66" t="str">
        <f t="shared" si="3333"/>
        <v/>
      </c>
      <c r="EP202" s="66" t="str">
        <f t="shared" si="3333"/>
        <v/>
      </c>
      <c r="EQ202" s="66" t="str">
        <f t="shared" si="3333"/>
        <v/>
      </c>
      <c r="ER202" s="66" t="str">
        <f t="shared" si="3333"/>
        <v/>
      </c>
      <c r="ES202" s="66" t="str">
        <f t="shared" si="3333"/>
        <v/>
      </c>
      <c r="ET202" s="66" t="str">
        <f t="shared" si="3333"/>
        <v/>
      </c>
      <c r="EU202" s="66" t="str">
        <f t="shared" si="3333"/>
        <v/>
      </c>
      <c r="EV202" s="66" t="str">
        <f t="shared" si="3333"/>
        <v/>
      </c>
      <c r="EW202" s="66" t="str">
        <f t="shared" si="3333"/>
        <v/>
      </c>
      <c r="EX202" s="66" t="str">
        <f t="shared" si="3333"/>
        <v/>
      </c>
      <c r="EY202" s="66" t="str">
        <f t="shared" si="3333"/>
        <v/>
      </c>
      <c r="EZ202" s="66" t="str">
        <f t="shared" si="3333"/>
        <v/>
      </c>
      <c r="FA202" s="66" t="str">
        <f t="shared" si="3333"/>
        <v/>
      </c>
      <c r="FB202" s="66" t="str">
        <f t="shared" si="3333"/>
        <v/>
      </c>
      <c r="FC202" s="66" t="str">
        <f t="shared" si="3333"/>
        <v/>
      </c>
      <c r="FD202" s="66" t="str">
        <f t="shared" si="3333"/>
        <v/>
      </c>
      <c r="FE202" s="66" t="str">
        <f t="shared" si="3333"/>
        <v/>
      </c>
      <c r="FF202" s="66" t="str">
        <f t="shared" si="3333"/>
        <v/>
      </c>
      <c r="FG202" s="66" t="str">
        <f t="shared" si="3333"/>
        <v/>
      </c>
      <c r="FH202" s="66" t="str">
        <f t="shared" si="3333"/>
        <v/>
      </c>
      <c r="FI202" s="66" t="str">
        <f t="shared" si="3333"/>
        <v/>
      </c>
      <c r="FJ202" s="66" t="str">
        <f t="shared" si="3333"/>
        <v/>
      </c>
      <c r="FK202" s="66" t="str">
        <f t="shared" si="3333"/>
        <v/>
      </c>
      <c r="FL202" s="66" t="str">
        <f t="shared" si="3333"/>
        <v/>
      </c>
      <c r="FM202" s="66" t="str">
        <f t="shared" si="3333"/>
        <v/>
      </c>
      <c r="FN202" s="66" t="str">
        <f t="shared" ref="FN202:FS202" si="3334">IF(CH202="","","|n"&amp;FN$2&amp;"+"&amp;CH202&amp;FN$1)</f>
        <v/>
      </c>
      <c r="FO202" s="66" t="str">
        <f t="shared" si="3334"/>
        <v/>
      </c>
      <c r="FP202" s="66" t="str">
        <f t="shared" si="3334"/>
        <v/>
      </c>
      <c r="FQ202" s="66" t="str">
        <f t="shared" si="3334"/>
        <v/>
      </c>
      <c r="FR202" s="66" t="str">
        <f t="shared" si="3334"/>
        <v/>
      </c>
      <c r="FS202" s="66" t="str">
        <f t="shared" si="3334"/>
        <v/>
      </c>
    </row>
    <row r="203" spans="1:175">
      <c r="A203" s="15"/>
      <c r="B203" s="27" t="s">
        <v>730</v>
      </c>
      <c r="C203" s="28" t="str">
        <f>"已领取"&amp;C194</f>
        <v>已领取公众号礼包</v>
      </c>
      <c r="T203" s="28" t="s">
        <v>731</v>
      </c>
      <c r="U203" s="10" t="s">
        <v>732</v>
      </c>
      <c r="CN203" s="36" t="str">
        <f t="shared" si="3329"/>
        <v>InitUnitState('IB51',,,,,,,,,,)</v>
      </c>
      <c r="CO203" s="36" t="str">
        <f t="shared" si="3330"/>
        <v>InitUnitNormal('IB51',,,,,,,,,,)</v>
      </c>
      <c r="CP203" s="36" t="str">
        <f t="shared" si="3331"/>
        <v>InitUnitMagic('IB51',,,,,,,,,,)</v>
      </c>
      <c r="CQ203" s="36" t="str">
        <f t="shared" si="3332"/>
        <v>InitUnitAdd('IB51',,,,,,,,,,)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InitEquipData('IB51',,"",,,,,'','','','','','',"ReplaceableTextures\\commandButtons\\BTNLBUI01.blp")</v>
      </c>
      <c r="CU203" s="88" t="str">
        <f t="shared" ref="CU203:CU211" si="3335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19" t="str">
        <f t="shared" ref="CV203:CV215" si="3336">T203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3" s="33"/>
      <c r="CX203" s="33"/>
      <c r="CY203" s="33"/>
      <c r="CZ203" s="33"/>
      <c r="DA203" s="33"/>
      <c r="DB203" s="66" t="str">
        <f t="shared" ref="DB203:DB209" si="3337">IF(V203="","","|n"&amp;DB$2&amp;"+"&amp;V203&amp;DB$1)</f>
        <v/>
      </c>
      <c r="DC203" s="66" t="str">
        <f t="shared" ref="DC203:DC209" si="3338">IF(W203="","","|n"&amp;DC$2&amp;"+"&amp;W203&amp;DC$1)</f>
        <v/>
      </c>
      <c r="DD203" s="66" t="str">
        <f t="shared" ref="DD203:DD209" si="3339">IF(X203="","","|n"&amp;DD$2&amp;"+"&amp;X203&amp;DD$1)</f>
        <v/>
      </c>
      <c r="DE203" s="66" t="str">
        <f t="shared" ref="DE203:DE209" si="3340">IF(Y203="","","|n"&amp;DE$2&amp;"+"&amp;Y203&amp;DE$1)</f>
        <v/>
      </c>
      <c r="DF203" s="66" t="str">
        <f t="shared" ref="DF203:DF209" si="3341">IF(Z203="","","|n"&amp;DF$2&amp;"+"&amp;Z203&amp;DF$1)</f>
        <v/>
      </c>
      <c r="DG203" s="66" t="str">
        <f t="shared" ref="DG203:DG209" si="3342">IF(AA203="","","|n"&amp;DG$2&amp;"+"&amp;AA203&amp;DG$1)</f>
        <v/>
      </c>
      <c r="DH203" s="66" t="str">
        <f t="shared" ref="DH203:DH209" si="3343">IF(AB203="","","|n"&amp;DH$2&amp;"+"&amp;AB203&amp;DH$1)</f>
        <v/>
      </c>
      <c r="DI203" s="66" t="str">
        <f t="shared" ref="DI203:DI209" si="3344">IF(AC203="","","|n"&amp;DI$2&amp;"+"&amp;AC203&amp;DI$1)</f>
        <v/>
      </c>
      <c r="DJ203" s="66" t="str">
        <f t="shared" ref="DJ203:DJ209" si="3345">IF(AD203="","","|n"&amp;DJ$2&amp;"+"&amp;AD203&amp;DJ$1)</f>
        <v/>
      </c>
      <c r="DK203" s="66" t="str">
        <f t="shared" ref="DK203:DK209" si="3346">IF(AE203="","","|n"&amp;DK$2&amp;"+"&amp;AE203&amp;DK$1)</f>
        <v/>
      </c>
      <c r="DL203" s="66" t="str">
        <f t="shared" ref="DL203:DL209" si="3347">IF(AF203="","","|n"&amp;DL$2&amp;"+"&amp;AF203&amp;DL$1)</f>
        <v/>
      </c>
      <c r="DM203" s="66" t="str">
        <f t="shared" ref="DM203:DM209" si="3348">IF(AG203="","","|n"&amp;DM$2&amp;"+"&amp;AG203&amp;DM$1)</f>
        <v/>
      </c>
      <c r="DN203" s="66" t="str">
        <f t="shared" ref="DN203:DN209" si="3349">IF(AH203="","","|n"&amp;DN$2&amp;"+"&amp;AH203&amp;DN$1)</f>
        <v/>
      </c>
      <c r="DO203" s="66" t="str">
        <f t="shared" ref="DO203:DO209" si="3350">IF(AI203="","","|n"&amp;DO$2&amp;"+"&amp;AI203&amp;DO$1)</f>
        <v/>
      </c>
      <c r="DP203" s="66" t="str">
        <f t="shared" ref="DP203:DP209" si="3351">IF(AJ203="","","|n"&amp;DP$2&amp;"+"&amp;AJ203&amp;DP$1)</f>
        <v/>
      </c>
      <c r="DQ203" s="66" t="str">
        <f t="shared" ref="DQ203:DQ209" si="3352">IF(AK203="","","|n"&amp;DQ$2&amp;"+"&amp;AK203&amp;DQ$1)</f>
        <v/>
      </c>
      <c r="DR203" s="66" t="str">
        <f t="shared" ref="DR203:DR209" si="3353">IF(AL203="","","|n"&amp;DR$2&amp;"+"&amp;AL203&amp;DR$1)</f>
        <v/>
      </c>
      <c r="DS203" s="66" t="str">
        <f t="shared" ref="DS203:DS209" si="3354">IF(AM203="","","|n"&amp;DS$2&amp;"+"&amp;AM203&amp;DS$1)</f>
        <v/>
      </c>
      <c r="DT203" s="66" t="str">
        <f t="shared" ref="DT203:DT209" si="3355">IF(AN203="","","|n"&amp;DT$2&amp;"+"&amp;AN203&amp;DT$1)</f>
        <v/>
      </c>
      <c r="DU203" s="66" t="str">
        <f t="shared" ref="DU203:DU209" si="3356">IF(AO203="","","|n"&amp;DU$2&amp;"+"&amp;AO203&amp;DU$1)</f>
        <v/>
      </c>
      <c r="DV203" s="66" t="str">
        <f t="shared" ref="DV203:DV209" si="3357">IF(AP203="","","|n"&amp;DV$2&amp;"+"&amp;AP203&amp;DV$1)</f>
        <v/>
      </c>
      <c r="DW203" s="66" t="str">
        <f t="shared" ref="DW203:DW209" si="3358">IF(AQ203="","","|n"&amp;DW$2&amp;"+"&amp;AQ203&amp;DW$1)</f>
        <v/>
      </c>
      <c r="DX203" s="66" t="str">
        <f t="shared" ref="DX203:DX209" si="3359">IF(AR203="","","|n"&amp;DX$2&amp;"+"&amp;AR203&amp;DX$1)</f>
        <v/>
      </c>
      <c r="DY203" s="66" t="str">
        <f t="shared" ref="DY203:DY209" si="3360">IF(AS203="","","|n"&amp;DY$2&amp;"+"&amp;AS203&amp;DY$1)</f>
        <v/>
      </c>
      <c r="DZ203" s="66" t="str">
        <f t="shared" ref="DZ203:DZ209" si="3361">IF(AT203="","","|n"&amp;DZ$2&amp;"+"&amp;AT203&amp;DZ$1)</f>
        <v/>
      </c>
      <c r="EA203" s="66" t="str">
        <f t="shared" ref="EA203:EA209" si="3362">IF(AU203="","","|n"&amp;EA$2&amp;"+"&amp;AU203&amp;EA$1)</f>
        <v/>
      </c>
      <c r="EB203" s="66" t="str">
        <f t="shared" ref="EB203:EB209" si="3363">IF(AV203="","","|n"&amp;EB$2&amp;"+"&amp;AV203&amp;EB$1)</f>
        <v/>
      </c>
      <c r="EC203" s="66" t="str">
        <f t="shared" ref="EC203:EC209" si="3364">IF(AW203="","","|n"&amp;EC$2&amp;"+"&amp;AW203&amp;EC$1)</f>
        <v/>
      </c>
      <c r="ED203" s="66" t="str">
        <f t="shared" ref="ED203:ED209" si="3365">IF(AX203="","","|n"&amp;ED$2&amp;"+"&amp;AX203&amp;ED$1)</f>
        <v/>
      </c>
      <c r="EE203" s="66" t="str">
        <f t="shared" ref="EE203:EE209" si="3366">IF(AY203="","","|n"&amp;EE$2&amp;"+"&amp;AY203&amp;EE$1)</f>
        <v/>
      </c>
      <c r="EF203" s="66" t="str">
        <f t="shared" ref="EF203:EF209" si="3367">IF(AZ203="","","|n"&amp;EF$2&amp;"+"&amp;AZ203&amp;EF$1)</f>
        <v/>
      </c>
      <c r="EG203" s="66" t="str">
        <f t="shared" ref="EG203:EG209" si="3368">IF(BA203="","","|n"&amp;EG$2&amp;"+"&amp;BA203&amp;EG$1)</f>
        <v/>
      </c>
      <c r="EH203" s="66" t="str">
        <f t="shared" ref="EH203:EH209" si="3369">IF(BB203="","","|n"&amp;EH$2&amp;"+"&amp;BB203&amp;EH$1)</f>
        <v/>
      </c>
      <c r="EI203" s="66" t="str">
        <f t="shared" ref="EI203:EI209" si="3370">IF(BC203="","","|n"&amp;EI$2&amp;"+"&amp;BC203&amp;EI$1)</f>
        <v/>
      </c>
      <c r="EJ203" s="66" t="str">
        <f t="shared" ref="EJ203:EJ209" si="3371">IF(BD203="","","|n"&amp;EJ$2&amp;"+"&amp;BD203&amp;EJ$1)</f>
        <v/>
      </c>
      <c r="EK203" s="66" t="str">
        <f t="shared" ref="EK203:EK209" si="3372">IF(BE203="","","|n"&amp;EK$2&amp;"+"&amp;BE203&amp;EK$1)</f>
        <v/>
      </c>
      <c r="EL203" s="66" t="str">
        <f t="shared" ref="EL203:EL209" si="3373">IF(BF203="","","|n"&amp;EL$2&amp;"+"&amp;BF203&amp;EL$1)</f>
        <v/>
      </c>
      <c r="EM203" s="66" t="str">
        <f t="shared" ref="EM203:EM209" si="3374">IF(BG203="","","|n"&amp;EM$2&amp;"+"&amp;BG203&amp;EM$1)</f>
        <v/>
      </c>
      <c r="EN203" s="66" t="str">
        <f t="shared" ref="EN203:EN209" si="3375">IF(BH203="","","|n"&amp;EN$2&amp;"+"&amp;BH203&amp;EN$1)</f>
        <v/>
      </c>
      <c r="EO203" s="66" t="str">
        <f t="shared" ref="EO203:EO209" si="3376">IF(BI203="","","|n"&amp;EO$2&amp;"+"&amp;BI203&amp;EO$1)</f>
        <v/>
      </c>
      <c r="EP203" s="66" t="str">
        <f t="shared" ref="EP203:EP209" si="3377">IF(BJ203="","","|n"&amp;EP$2&amp;"+"&amp;BJ203&amp;EP$1)</f>
        <v/>
      </c>
      <c r="EQ203" s="66" t="str">
        <f t="shared" ref="EQ203:EQ209" si="3378">IF(BK203="","","|n"&amp;EQ$2&amp;"+"&amp;BK203&amp;EQ$1)</f>
        <v/>
      </c>
      <c r="ER203" s="66" t="str">
        <f t="shared" ref="ER203:ER209" si="3379">IF(BL203="","","|n"&amp;ER$2&amp;"+"&amp;BL203&amp;ER$1)</f>
        <v/>
      </c>
      <c r="ES203" s="66" t="str">
        <f t="shared" ref="ES203:ES209" si="3380">IF(BM203="","","|n"&amp;ES$2&amp;"+"&amp;BM203&amp;ES$1)</f>
        <v/>
      </c>
      <c r="ET203" s="66" t="str">
        <f t="shared" ref="ET203:ET209" si="3381">IF(BN203="","","|n"&amp;ET$2&amp;"+"&amp;BN203&amp;ET$1)</f>
        <v/>
      </c>
      <c r="EU203" s="66" t="str">
        <f t="shared" ref="EU203:EU209" si="3382">IF(BO203="","","|n"&amp;EU$2&amp;"+"&amp;BO203&amp;EU$1)</f>
        <v/>
      </c>
      <c r="EV203" s="66" t="str">
        <f t="shared" ref="EV203:EV209" si="3383">IF(BP203="","","|n"&amp;EV$2&amp;"+"&amp;BP203&amp;EV$1)</f>
        <v/>
      </c>
      <c r="EW203" s="66" t="str">
        <f t="shared" ref="EW203:EW209" si="3384">IF(BQ203="","","|n"&amp;EW$2&amp;"+"&amp;BQ203&amp;EW$1)</f>
        <v/>
      </c>
      <c r="EX203" s="66" t="str">
        <f t="shared" ref="EX203:EX209" si="3385">IF(BR203="","","|n"&amp;EX$2&amp;"+"&amp;BR203&amp;EX$1)</f>
        <v/>
      </c>
      <c r="EY203" s="66" t="str">
        <f t="shared" ref="EY203:EY209" si="3386">IF(BS203="","","|n"&amp;EY$2&amp;"+"&amp;BS203&amp;EY$1)</f>
        <v/>
      </c>
      <c r="EZ203" s="66" t="str">
        <f t="shared" ref="EZ203:EZ209" si="3387">IF(BT203="","","|n"&amp;EZ$2&amp;"+"&amp;BT203&amp;EZ$1)</f>
        <v/>
      </c>
      <c r="FA203" s="66" t="str">
        <f t="shared" ref="FA203:FA209" si="3388">IF(BU203="","","|n"&amp;FA$2&amp;"+"&amp;BU203&amp;FA$1)</f>
        <v/>
      </c>
      <c r="FB203" s="66" t="str">
        <f t="shared" ref="FB203:FB209" si="3389">IF(BV203="","","|n"&amp;FB$2&amp;"+"&amp;BV203&amp;FB$1)</f>
        <v/>
      </c>
      <c r="FC203" s="66" t="str">
        <f t="shared" ref="FC203:FC209" si="3390">IF(BW203="","","|n"&amp;FC$2&amp;"+"&amp;BW203&amp;FC$1)</f>
        <v/>
      </c>
      <c r="FD203" s="66" t="str">
        <f t="shared" ref="FD203:FD209" si="3391">IF(BX203="","","|n"&amp;FD$2&amp;"+"&amp;BX203&amp;FD$1)</f>
        <v/>
      </c>
      <c r="FE203" s="66" t="str">
        <f t="shared" ref="FE203:FE209" si="3392">IF(BY203="","","|n"&amp;FE$2&amp;"+"&amp;BY203&amp;FE$1)</f>
        <v/>
      </c>
      <c r="FF203" s="66" t="str">
        <f t="shared" ref="FF203:FF209" si="3393">IF(BZ203="","","|n"&amp;FF$2&amp;"+"&amp;BZ203&amp;FF$1)</f>
        <v/>
      </c>
      <c r="FG203" s="66" t="str">
        <f t="shared" ref="FG203:FG209" si="3394">IF(CA203="","","|n"&amp;FG$2&amp;"+"&amp;CA203&amp;FG$1)</f>
        <v/>
      </c>
      <c r="FH203" s="66" t="str">
        <f t="shared" ref="FH203:FH209" si="3395">IF(CB203="","","|n"&amp;FH$2&amp;"+"&amp;CB203&amp;FH$1)</f>
        <v/>
      </c>
      <c r="FI203" s="66" t="str">
        <f t="shared" ref="FI203:FI209" si="3396">IF(CC203="","","|n"&amp;FI$2&amp;"+"&amp;CC203&amp;FI$1)</f>
        <v/>
      </c>
      <c r="FJ203" s="66" t="str">
        <f t="shared" ref="FJ203:FJ209" si="3397">IF(CD203="","","|n"&amp;FJ$2&amp;"+"&amp;CD203&amp;FJ$1)</f>
        <v/>
      </c>
      <c r="FK203" s="66" t="str">
        <f t="shared" ref="FK203:FK209" si="3398">IF(CE203="","","|n"&amp;FK$2&amp;"+"&amp;CE203&amp;FK$1)</f>
        <v/>
      </c>
      <c r="FL203" s="66" t="str">
        <f t="shared" ref="FL203:FL209" si="3399">IF(CF203="","","|n"&amp;FL$2&amp;"+"&amp;CF203&amp;FL$1)</f>
        <v/>
      </c>
      <c r="FM203" s="66" t="str">
        <f t="shared" ref="FM203:FM209" si="3400">IF(CG203="","","|n"&amp;FM$2&amp;"+"&amp;CG203&amp;FM$1)</f>
        <v/>
      </c>
      <c r="FN203" s="66" t="str">
        <f t="shared" ref="FN203:FN209" si="3401">IF(CH203="","","|n"&amp;FN$2&amp;"+"&amp;CH203&amp;FN$1)</f>
        <v/>
      </c>
      <c r="FO203" s="66" t="str">
        <f t="shared" ref="FO203:FO209" si="3402">IF(CI203="","","|n"&amp;FO$2&amp;"+"&amp;CI203&amp;FO$1)</f>
        <v/>
      </c>
      <c r="FP203" s="66" t="str">
        <f t="shared" ref="FP203:FP209" si="3403">IF(CJ203="","","|n"&amp;FP$2&amp;"+"&amp;CJ203&amp;FP$1)</f>
        <v/>
      </c>
      <c r="FQ203" s="66" t="str">
        <f t="shared" ref="FQ203:FQ209" si="3404">IF(CK203="","","|n"&amp;FQ$2&amp;"+"&amp;CK203&amp;FQ$1)</f>
        <v/>
      </c>
      <c r="FR203" s="66" t="str">
        <f t="shared" ref="FR203:FR209" si="3405">IF(CL203="","","|n"&amp;FR$2&amp;"+"&amp;CL203&amp;FR$1)</f>
        <v/>
      </c>
      <c r="FS203" s="66" t="str">
        <f t="shared" ref="FS203:FS209" si="3406">IF(CM203="","","|n"&amp;FS$2&amp;"+"&amp;CM203&amp;FS$1)</f>
        <v/>
      </c>
    </row>
    <row r="204" spans="1:175">
      <c r="A204" s="15"/>
      <c r="B204" s="27" t="s">
        <v>733</v>
      </c>
      <c r="C204" s="28" t="str">
        <f t="shared" ref="C204:C211" si="3407">"已领取"&amp;C195</f>
        <v>已领取入群礼包</v>
      </c>
      <c r="T204" s="28" t="s">
        <v>734</v>
      </c>
      <c r="U204" s="10" t="s">
        <v>732</v>
      </c>
      <c r="CN204" s="36" t="str">
        <f t="shared" ref="CN204:CN211" si="3408">"InitUnitState('"&amp;B204&amp;"',"&amp;V204&amp;","&amp;W204&amp;","&amp;X204&amp;","&amp;Y204&amp;","&amp;Z204&amp;","&amp;AA204&amp;","&amp;AB204&amp;","&amp;AC204&amp;","&amp;AD204&amp;","&amp;AE204&amp;")"</f>
        <v>InitUnitState('IB52',,,,,,,,,,)</v>
      </c>
      <c r="CO204" s="36" t="str">
        <f t="shared" ref="CO204:CO211" si="3409">"InitUnitNormal('"&amp;B204&amp;"',"&amp;AF204&amp;","&amp;AG204&amp;","&amp;AH204&amp;","&amp;AI204&amp;","&amp;AJ204&amp;","&amp;AK204&amp;","&amp;AL204&amp;","&amp;AM204&amp;","&amp;AN204&amp;","&amp;AO204&amp;")"</f>
        <v>InitUnitNormal('IB52',,,,,,,,,,)</v>
      </c>
      <c r="CP204" s="36" t="str">
        <f t="shared" ref="CP204:CP211" si="3410">"InitUnitMagic('"&amp;B204&amp;"',"&amp;AP204&amp;","&amp;AQ204&amp;","&amp;AR204&amp;","&amp;AS204&amp;","&amp;AT204&amp;","&amp;AU204&amp;","&amp;AV204&amp;","&amp;AW204&amp;","&amp;BI204&amp;","&amp;BJ204&amp;")"</f>
        <v>InitUnitMagic('IB52',,,,,,,,,,)</v>
      </c>
      <c r="CQ204" s="36" t="str">
        <f t="shared" ref="CQ204:CQ211" si="3411">"InitUnitAdd('"&amp;B204&amp;"',"&amp;BK204&amp;","&amp;BL204&amp;","&amp;BM204&amp;","&amp;BN204&amp;","&amp;BO204&amp;","&amp;BP204&amp;","&amp;BQ204&amp;","&amp;BR204&amp;","&amp;BS204&amp;","&amp;BT204&amp;")"</f>
        <v>InitUnitAdd('IB52',,,,,,,,,,)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InitEquipData('IB52',,"",,,,,'','','','','','',"ReplaceableTextures\\commandButtons\\BTNLBUI01.blp")</v>
      </c>
      <c r="CU204" s="88" t="str">
        <f t="shared" si="3335"/>
        <v>|n</v>
      </c>
      <c r="CV204" s="19" t="str">
        <f t="shared" si="3336"/>
        <v>加入《|cff00ffcc全民封神|r》官方QQ群，即可获得入群礼包码！|n|n输入礼包码即可获得：|n|cff00ff7f招魂幡Lv2|r</v>
      </c>
      <c r="CW204" s="33"/>
      <c r="CX204" s="33"/>
      <c r="CY204" s="33"/>
      <c r="CZ204" s="33"/>
      <c r="DA204" s="33"/>
      <c r="DB204" s="66" t="str">
        <f t="shared" si="3337"/>
        <v/>
      </c>
      <c r="DC204" s="66" t="str">
        <f t="shared" si="3338"/>
        <v/>
      </c>
      <c r="DD204" s="66" t="str">
        <f t="shared" si="3339"/>
        <v/>
      </c>
      <c r="DE204" s="66" t="str">
        <f t="shared" si="3340"/>
        <v/>
      </c>
      <c r="DF204" s="66" t="str">
        <f t="shared" si="3341"/>
        <v/>
      </c>
      <c r="DG204" s="66" t="str">
        <f t="shared" si="3342"/>
        <v/>
      </c>
      <c r="DH204" s="66" t="str">
        <f t="shared" si="3343"/>
        <v/>
      </c>
      <c r="DI204" s="66" t="str">
        <f t="shared" si="3344"/>
        <v/>
      </c>
      <c r="DJ204" s="66" t="str">
        <f t="shared" si="3345"/>
        <v/>
      </c>
      <c r="DK204" s="66" t="str">
        <f t="shared" si="3346"/>
        <v/>
      </c>
      <c r="DL204" s="66" t="str">
        <f t="shared" si="3347"/>
        <v/>
      </c>
      <c r="DM204" s="66" t="str">
        <f t="shared" si="3348"/>
        <v/>
      </c>
      <c r="DN204" s="66" t="str">
        <f t="shared" si="3349"/>
        <v/>
      </c>
      <c r="DO204" s="66" t="str">
        <f t="shared" si="3350"/>
        <v/>
      </c>
      <c r="DP204" s="66" t="str">
        <f t="shared" si="3351"/>
        <v/>
      </c>
      <c r="DQ204" s="66" t="str">
        <f t="shared" si="3352"/>
        <v/>
      </c>
      <c r="DR204" s="66" t="str">
        <f t="shared" si="3353"/>
        <v/>
      </c>
      <c r="DS204" s="66" t="str">
        <f t="shared" si="3354"/>
        <v/>
      </c>
      <c r="DT204" s="66" t="str">
        <f t="shared" si="3355"/>
        <v/>
      </c>
      <c r="DU204" s="66" t="str">
        <f t="shared" si="3356"/>
        <v/>
      </c>
      <c r="DV204" s="66" t="str">
        <f t="shared" si="3357"/>
        <v/>
      </c>
      <c r="DW204" s="66" t="str">
        <f t="shared" si="3358"/>
        <v/>
      </c>
      <c r="DX204" s="66" t="str">
        <f t="shared" si="3359"/>
        <v/>
      </c>
      <c r="DY204" s="66" t="str">
        <f t="shared" si="3360"/>
        <v/>
      </c>
      <c r="DZ204" s="66" t="str">
        <f t="shared" si="3361"/>
        <v/>
      </c>
      <c r="EA204" s="66" t="str">
        <f t="shared" si="3362"/>
        <v/>
      </c>
      <c r="EB204" s="66" t="str">
        <f t="shared" si="3363"/>
        <v/>
      </c>
      <c r="EC204" s="66" t="str">
        <f t="shared" si="3364"/>
        <v/>
      </c>
      <c r="ED204" s="66" t="str">
        <f t="shared" si="3365"/>
        <v/>
      </c>
      <c r="EE204" s="66" t="str">
        <f t="shared" si="3366"/>
        <v/>
      </c>
      <c r="EF204" s="66" t="str">
        <f t="shared" si="3367"/>
        <v/>
      </c>
      <c r="EG204" s="66" t="str">
        <f t="shared" si="3368"/>
        <v/>
      </c>
      <c r="EH204" s="66" t="str">
        <f t="shared" si="3369"/>
        <v/>
      </c>
      <c r="EI204" s="66" t="str">
        <f t="shared" si="3370"/>
        <v/>
      </c>
      <c r="EJ204" s="66" t="str">
        <f t="shared" si="3371"/>
        <v/>
      </c>
      <c r="EK204" s="66" t="str">
        <f t="shared" si="3372"/>
        <v/>
      </c>
      <c r="EL204" s="66" t="str">
        <f t="shared" si="3373"/>
        <v/>
      </c>
      <c r="EM204" s="66" t="str">
        <f t="shared" si="3374"/>
        <v/>
      </c>
      <c r="EN204" s="66" t="str">
        <f t="shared" si="3375"/>
        <v/>
      </c>
      <c r="EO204" s="66" t="str">
        <f t="shared" si="3376"/>
        <v/>
      </c>
      <c r="EP204" s="66" t="str">
        <f t="shared" si="3377"/>
        <v/>
      </c>
      <c r="EQ204" s="66" t="str">
        <f t="shared" si="3378"/>
        <v/>
      </c>
      <c r="ER204" s="66" t="str">
        <f t="shared" si="3379"/>
        <v/>
      </c>
      <c r="ES204" s="66" t="str">
        <f t="shared" si="3380"/>
        <v/>
      </c>
      <c r="ET204" s="66" t="str">
        <f t="shared" si="3381"/>
        <v/>
      </c>
      <c r="EU204" s="66" t="str">
        <f t="shared" si="3382"/>
        <v/>
      </c>
      <c r="EV204" s="66" t="str">
        <f t="shared" si="3383"/>
        <v/>
      </c>
      <c r="EW204" s="66" t="str">
        <f t="shared" si="3384"/>
        <v/>
      </c>
      <c r="EX204" s="66" t="str">
        <f t="shared" si="3385"/>
        <v/>
      </c>
      <c r="EY204" s="66" t="str">
        <f t="shared" si="3386"/>
        <v/>
      </c>
      <c r="EZ204" s="66" t="str">
        <f t="shared" si="3387"/>
        <v/>
      </c>
      <c r="FA204" s="66" t="str">
        <f t="shared" si="3388"/>
        <v/>
      </c>
      <c r="FB204" s="66" t="str">
        <f t="shared" si="3389"/>
        <v/>
      </c>
      <c r="FC204" s="66" t="str">
        <f t="shared" si="3390"/>
        <v/>
      </c>
      <c r="FD204" s="66" t="str">
        <f t="shared" si="3391"/>
        <v/>
      </c>
      <c r="FE204" s="66" t="str">
        <f t="shared" si="3392"/>
        <v/>
      </c>
      <c r="FF204" s="66" t="str">
        <f t="shared" si="3393"/>
        <v/>
      </c>
      <c r="FG204" s="66" t="str">
        <f t="shared" si="3394"/>
        <v/>
      </c>
      <c r="FH204" s="66" t="str">
        <f t="shared" si="3395"/>
        <v/>
      </c>
      <c r="FI204" s="66" t="str">
        <f t="shared" si="3396"/>
        <v/>
      </c>
      <c r="FJ204" s="66" t="str">
        <f t="shared" si="3397"/>
        <v/>
      </c>
      <c r="FK204" s="66" t="str">
        <f t="shared" si="3398"/>
        <v/>
      </c>
      <c r="FL204" s="66" t="str">
        <f t="shared" si="3399"/>
        <v/>
      </c>
      <c r="FM204" s="66" t="str">
        <f t="shared" si="3400"/>
        <v/>
      </c>
      <c r="FN204" s="66" t="str">
        <f t="shared" si="3401"/>
        <v/>
      </c>
      <c r="FO204" s="66" t="str">
        <f t="shared" si="3402"/>
        <v/>
      </c>
      <c r="FP204" s="66" t="str">
        <f t="shared" si="3403"/>
        <v/>
      </c>
      <c r="FQ204" s="66" t="str">
        <f t="shared" si="3404"/>
        <v/>
      </c>
      <c r="FR204" s="66" t="str">
        <f t="shared" si="3405"/>
        <v/>
      </c>
      <c r="FS204" s="66" t="str">
        <f t="shared" si="3406"/>
        <v/>
      </c>
    </row>
    <row r="205" spans="1:175">
      <c r="A205" s="15"/>
      <c r="B205" s="27" t="s">
        <v>735</v>
      </c>
      <c r="C205" s="28" t="str">
        <f t="shared" si="3407"/>
        <v>已领取拜年礼包</v>
      </c>
      <c r="T205" s="28" t="s">
        <v>736</v>
      </c>
      <c r="U205" s="10" t="s">
        <v>732</v>
      </c>
      <c r="CN205" s="36" t="str">
        <f t="shared" si="3408"/>
        <v>InitUnitState('IB53',,,,,,,,,,)</v>
      </c>
      <c r="CO205" s="36" t="str">
        <f t="shared" si="3409"/>
        <v>InitUnitNormal('IB53',,,,,,,,,,)</v>
      </c>
      <c r="CP205" s="36" t="str">
        <f t="shared" si="3410"/>
        <v>InitUnitMagic('IB53',,,,,,,,,,)</v>
      </c>
      <c r="CQ205" s="36" t="str">
        <f t="shared" si="3411"/>
        <v>InitUnitAdd('IB53',,,,,,,,,,)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InitEquipData('IB53',,"",,,,,'','','','','','',"ReplaceableTextures\\commandButtons\\BTNLBUI01.blp")</v>
      </c>
      <c r="CU205" s="88" t="str">
        <f t="shared" si="3335"/>
        <v>|n</v>
      </c>
      <c r="CV205" s="19" t="str">
        <f t="shared" si="3336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5" s="33"/>
      <c r="CX205" s="33"/>
      <c r="CY205" s="33"/>
      <c r="CZ205" s="33"/>
      <c r="DA205" s="33"/>
      <c r="DB205" s="66" t="str">
        <f t="shared" si="3337"/>
        <v/>
      </c>
      <c r="DC205" s="66" t="str">
        <f t="shared" si="3338"/>
        <v/>
      </c>
      <c r="DD205" s="66" t="str">
        <f t="shared" si="3339"/>
        <v/>
      </c>
      <c r="DE205" s="66" t="str">
        <f t="shared" si="3340"/>
        <v/>
      </c>
      <c r="DF205" s="66" t="str">
        <f t="shared" si="3341"/>
        <v/>
      </c>
      <c r="DG205" s="66" t="str">
        <f t="shared" si="3342"/>
        <v/>
      </c>
      <c r="DH205" s="66" t="str">
        <f t="shared" si="3343"/>
        <v/>
      </c>
      <c r="DI205" s="66" t="str">
        <f t="shared" si="3344"/>
        <v/>
      </c>
      <c r="DJ205" s="66" t="str">
        <f t="shared" si="3345"/>
        <v/>
      </c>
      <c r="DK205" s="66" t="str">
        <f t="shared" si="3346"/>
        <v/>
      </c>
      <c r="DL205" s="66" t="str">
        <f t="shared" si="3347"/>
        <v/>
      </c>
      <c r="DM205" s="66" t="str">
        <f t="shared" si="3348"/>
        <v/>
      </c>
      <c r="DN205" s="66" t="str">
        <f t="shared" si="3349"/>
        <v/>
      </c>
      <c r="DO205" s="66" t="str">
        <f t="shared" si="3350"/>
        <v/>
      </c>
      <c r="DP205" s="66" t="str">
        <f t="shared" si="3351"/>
        <v/>
      </c>
      <c r="DQ205" s="66" t="str">
        <f t="shared" si="3352"/>
        <v/>
      </c>
      <c r="DR205" s="66" t="str">
        <f t="shared" si="3353"/>
        <v/>
      </c>
      <c r="DS205" s="66" t="str">
        <f t="shared" si="3354"/>
        <v/>
      </c>
      <c r="DT205" s="66" t="str">
        <f t="shared" si="3355"/>
        <v/>
      </c>
      <c r="DU205" s="66" t="str">
        <f t="shared" si="3356"/>
        <v/>
      </c>
      <c r="DV205" s="66" t="str">
        <f t="shared" si="3357"/>
        <v/>
      </c>
      <c r="DW205" s="66" t="str">
        <f t="shared" si="3358"/>
        <v/>
      </c>
      <c r="DX205" s="66" t="str">
        <f t="shared" si="3359"/>
        <v/>
      </c>
      <c r="DY205" s="66" t="str">
        <f t="shared" si="3360"/>
        <v/>
      </c>
      <c r="DZ205" s="66" t="str">
        <f t="shared" si="3361"/>
        <v/>
      </c>
      <c r="EA205" s="66" t="str">
        <f t="shared" si="3362"/>
        <v/>
      </c>
      <c r="EB205" s="66" t="str">
        <f t="shared" si="3363"/>
        <v/>
      </c>
      <c r="EC205" s="66" t="str">
        <f t="shared" si="3364"/>
        <v/>
      </c>
      <c r="ED205" s="66" t="str">
        <f t="shared" si="3365"/>
        <v/>
      </c>
      <c r="EE205" s="66" t="str">
        <f t="shared" si="3366"/>
        <v/>
      </c>
      <c r="EF205" s="66" t="str">
        <f t="shared" si="3367"/>
        <v/>
      </c>
      <c r="EG205" s="66" t="str">
        <f t="shared" si="3368"/>
        <v/>
      </c>
      <c r="EH205" s="66" t="str">
        <f t="shared" si="3369"/>
        <v/>
      </c>
      <c r="EI205" s="66" t="str">
        <f t="shared" si="3370"/>
        <v/>
      </c>
      <c r="EJ205" s="66" t="str">
        <f t="shared" si="3371"/>
        <v/>
      </c>
      <c r="EK205" s="66" t="str">
        <f t="shared" si="3372"/>
        <v/>
      </c>
      <c r="EL205" s="66" t="str">
        <f t="shared" si="3373"/>
        <v/>
      </c>
      <c r="EM205" s="66" t="str">
        <f t="shared" si="3374"/>
        <v/>
      </c>
      <c r="EN205" s="66" t="str">
        <f t="shared" si="3375"/>
        <v/>
      </c>
      <c r="EO205" s="66" t="str">
        <f t="shared" si="3376"/>
        <v/>
      </c>
      <c r="EP205" s="66" t="str">
        <f t="shared" si="3377"/>
        <v/>
      </c>
      <c r="EQ205" s="66" t="str">
        <f t="shared" si="3378"/>
        <v/>
      </c>
      <c r="ER205" s="66" t="str">
        <f t="shared" si="3379"/>
        <v/>
      </c>
      <c r="ES205" s="66" t="str">
        <f t="shared" si="3380"/>
        <v/>
      </c>
      <c r="ET205" s="66" t="str">
        <f t="shared" si="3381"/>
        <v/>
      </c>
      <c r="EU205" s="66" t="str">
        <f t="shared" si="3382"/>
        <v/>
      </c>
      <c r="EV205" s="66" t="str">
        <f t="shared" si="3383"/>
        <v/>
      </c>
      <c r="EW205" s="66" t="str">
        <f t="shared" si="3384"/>
        <v/>
      </c>
      <c r="EX205" s="66" t="str">
        <f t="shared" si="3385"/>
        <v/>
      </c>
      <c r="EY205" s="66" t="str">
        <f t="shared" si="3386"/>
        <v/>
      </c>
      <c r="EZ205" s="66" t="str">
        <f t="shared" si="3387"/>
        <v/>
      </c>
      <c r="FA205" s="66" t="str">
        <f t="shared" si="3388"/>
        <v/>
      </c>
      <c r="FB205" s="66" t="str">
        <f t="shared" si="3389"/>
        <v/>
      </c>
      <c r="FC205" s="66" t="str">
        <f t="shared" si="3390"/>
        <v/>
      </c>
      <c r="FD205" s="66" t="str">
        <f t="shared" si="3391"/>
        <v/>
      </c>
      <c r="FE205" s="66" t="str">
        <f t="shared" si="3392"/>
        <v/>
      </c>
      <c r="FF205" s="66" t="str">
        <f t="shared" si="3393"/>
        <v/>
      </c>
      <c r="FG205" s="66" t="str">
        <f t="shared" si="3394"/>
        <v/>
      </c>
      <c r="FH205" s="66" t="str">
        <f t="shared" si="3395"/>
        <v/>
      </c>
      <c r="FI205" s="66" t="str">
        <f t="shared" si="3396"/>
        <v/>
      </c>
      <c r="FJ205" s="66" t="str">
        <f t="shared" si="3397"/>
        <v/>
      </c>
      <c r="FK205" s="66" t="str">
        <f t="shared" si="3398"/>
        <v/>
      </c>
      <c r="FL205" s="66" t="str">
        <f t="shared" si="3399"/>
        <v/>
      </c>
      <c r="FM205" s="66" t="str">
        <f t="shared" si="3400"/>
        <v/>
      </c>
      <c r="FN205" s="66" t="str">
        <f t="shared" si="3401"/>
        <v/>
      </c>
      <c r="FO205" s="66" t="str">
        <f t="shared" si="3402"/>
        <v/>
      </c>
      <c r="FP205" s="66" t="str">
        <f t="shared" si="3403"/>
        <v/>
      </c>
      <c r="FQ205" s="66" t="str">
        <f t="shared" si="3404"/>
        <v/>
      </c>
      <c r="FR205" s="66" t="str">
        <f t="shared" si="3405"/>
        <v/>
      </c>
      <c r="FS205" s="66" t="str">
        <f t="shared" si="3406"/>
        <v/>
      </c>
    </row>
    <row r="206" spans="1:175">
      <c r="A206" s="15"/>
      <c r="B206" s="27" t="s">
        <v>737</v>
      </c>
      <c r="C206" s="28" t="str">
        <f t="shared" si="3407"/>
        <v>已领取收藏礼包</v>
      </c>
      <c r="T206" s="28" t="s">
        <v>738</v>
      </c>
      <c r="U206" s="10" t="s">
        <v>732</v>
      </c>
      <c r="CN206" s="36" t="str">
        <f t="shared" si="3408"/>
        <v>InitUnitState('IB54',,,,,,,,,,)</v>
      </c>
      <c r="CO206" s="36" t="str">
        <f t="shared" si="3409"/>
        <v>InitUnitNormal('IB54',,,,,,,,,,)</v>
      </c>
      <c r="CP206" s="36" t="str">
        <f t="shared" si="3410"/>
        <v>InitUnitMagic('IB54',,,,,,,,,,)</v>
      </c>
      <c r="CQ206" s="36" t="str">
        <f t="shared" si="3411"/>
        <v>InitUnitAdd('IB54',,,,,,,,,,)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InitEquipData('IB54',,"",,,,,'','','','','','',"ReplaceableTextures\\commandButtons\\BTNLBUI01.blp")</v>
      </c>
      <c r="CU206" s="88" t="str">
        <f t="shared" si="3335"/>
        <v>|n</v>
      </c>
      <c r="CV206" s="19" t="str">
        <f t="shared" si="3336"/>
        <v>|cff99ccff房间大厅界面点击右上角《|r|cffcc99ff收藏|r|cff99ccff》后可领取该礼包。|n|n|r属性：|n|cffffcc33物理伤害+5%|n法术伤害+5%|r</v>
      </c>
      <c r="CW206" s="33"/>
      <c r="CX206" s="33"/>
      <c r="CY206" s="33"/>
      <c r="CZ206" s="33"/>
      <c r="DA206" s="33"/>
      <c r="DB206" s="66" t="str">
        <f t="shared" si="3337"/>
        <v/>
      </c>
      <c r="DC206" s="66" t="str">
        <f t="shared" si="3338"/>
        <v/>
      </c>
      <c r="DD206" s="66" t="str">
        <f t="shared" si="3339"/>
        <v/>
      </c>
      <c r="DE206" s="66" t="str">
        <f t="shared" si="3340"/>
        <v/>
      </c>
      <c r="DF206" s="66" t="str">
        <f t="shared" si="3341"/>
        <v/>
      </c>
      <c r="DG206" s="66" t="str">
        <f t="shared" si="3342"/>
        <v/>
      </c>
      <c r="DH206" s="66" t="str">
        <f t="shared" si="3343"/>
        <v/>
      </c>
      <c r="DI206" s="66" t="str">
        <f t="shared" si="3344"/>
        <v/>
      </c>
      <c r="DJ206" s="66" t="str">
        <f t="shared" si="3345"/>
        <v/>
      </c>
      <c r="DK206" s="66" t="str">
        <f t="shared" si="3346"/>
        <v/>
      </c>
      <c r="DL206" s="66" t="str">
        <f t="shared" si="3347"/>
        <v/>
      </c>
      <c r="DM206" s="66" t="str">
        <f t="shared" si="3348"/>
        <v/>
      </c>
      <c r="DN206" s="66" t="str">
        <f t="shared" si="3349"/>
        <v/>
      </c>
      <c r="DO206" s="66" t="str">
        <f t="shared" si="3350"/>
        <v/>
      </c>
      <c r="DP206" s="66" t="str">
        <f t="shared" si="3351"/>
        <v/>
      </c>
      <c r="DQ206" s="66" t="str">
        <f t="shared" si="3352"/>
        <v/>
      </c>
      <c r="DR206" s="66" t="str">
        <f t="shared" si="3353"/>
        <v/>
      </c>
      <c r="DS206" s="66" t="str">
        <f t="shared" si="3354"/>
        <v/>
      </c>
      <c r="DT206" s="66" t="str">
        <f t="shared" si="3355"/>
        <v/>
      </c>
      <c r="DU206" s="66" t="str">
        <f t="shared" si="3356"/>
        <v/>
      </c>
      <c r="DV206" s="66" t="str">
        <f t="shared" si="3357"/>
        <v/>
      </c>
      <c r="DW206" s="66" t="str">
        <f t="shared" si="3358"/>
        <v/>
      </c>
      <c r="DX206" s="66" t="str">
        <f t="shared" si="3359"/>
        <v/>
      </c>
      <c r="DY206" s="66" t="str">
        <f t="shared" si="3360"/>
        <v/>
      </c>
      <c r="DZ206" s="66" t="str">
        <f t="shared" si="3361"/>
        <v/>
      </c>
      <c r="EA206" s="66" t="str">
        <f t="shared" si="3362"/>
        <v/>
      </c>
      <c r="EB206" s="66" t="str">
        <f t="shared" si="3363"/>
        <v/>
      </c>
      <c r="EC206" s="66" t="str">
        <f t="shared" si="3364"/>
        <v/>
      </c>
      <c r="ED206" s="66" t="str">
        <f t="shared" si="3365"/>
        <v/>
      </c>
      <c r="EE206" s="66" t="str">
        <f t="shared" si="3366"/>
        <v/>
      </c>
      <c r="EF206" s="66" t="str">
        <f t="shared" si="3367"/>
        <v/>
      </c>
      <c r="EG206" s="66" t="str">
        <f t="shared" si="3368"/>
        <v/>
      </c>
      <c r="EH206" s="66" t="str">
        <f t="shared" si="3369"/>
        <v/>
      </c>
      <c r="EI206" s="66" t="str">
        <f t="shared" si="3370"/>
        <v/>
      </c>
      <c r="EJ206" s="66" t="str">
        <f t="shared" si="3371"/>
        <v/>
      </c>
      <c r="EK206" s="66" t="str">
        <f t="shared" si="3372"/>
        <v/>
      </c>
      <c r="EL206" s="66" t="str">
        <f t="shared" si="3373"/>
        <v/>
      </c>
      <c r="EM206" s="66" t="str">
        <f t="shared" si="3374"/>
        <v/>
      </c>
      <c r="EN206" s="66" t="str">
        <f t="shared" si="3375"/>
        <v/>
      </c>
      <c r="EO206" s="66" t="str">
        <f t="shared" si="3376"/>
        <v/>
      </c>
      <c r="EP206" s="66" t="str">
        <f t="shared" si="3377"/>
        <v/>
      </c>
      <c r="EQ206" s="66" t="str">
        <f t="shared" si="3378"/>
        <v/>
      </c>
      <c r="ER206" s="66" t="str">
        <f t="shared" si="3379"/>
        <v/>
      </c>
      <c r="ES206" s="66" t="str">
        <f t="shared" si="3380"/>
        <v/>
      </c>
      <c r="ET206" s="66" t="str">
        <f t="shared" si="3381"/>
        <v/>
      </c>
      <c r="EU206" s="66" t="str">
        <f t="shared" si="3382"/>
        <v/>
      </c>
      <c r="EV206" s="66" t="str">
        <f t="shared" si="3383"/>
        <v/>
      </c>
      <c r="EW206" s="66" t="str">
        <f t="shared" si="3384"/>
        <v/>
      </c>
      <c r="EX206" s="66" t="str">
        <f t="shared" si="3385"/>
        <v/>
      </c>
      <c r="EY206" s="66" t="str">
        <f t="shared" si="3386"/>
        <v/>
      </c>
      <c r="EZ206" s="66" t="str">
        <f t="shared" si="3387"/>
        <v/>
      </c>
      <c r="FA206" s="66" t="str">
        <f t="shared" si="3388"/>
        <v/>
      </c>
      <c r="FB206" s="66" t="str">
        <f t="shared" si="3389"/>
        <v/>
      </c>
      <c r="FC206" s="66" t="str">
        <f t="shared" si="3390"/>
        <v/>
      </c>
      <c r="FD206" s="66" t="str">
        <f t="shared" si="3391"/>
        <v/>
      </c>
      <c r="FE206" s="66" t="str">
        <f t="shared" si="3392"/>
        <v/>
      </c>
      <c r="FF206" s="66" t="str">
        <f t="shared" si="3393"/>
        <v/>
      </c>
      <c r="FG206" s="66" t="str">
        <f t="shared" si="3394"/>
        <v/>
      </c>
      <c r="FH206" s="66" t="str">
        <f t="shared" si="3395"/>
        <v/>
      </c>
      <c r="FI206" s="66" t="str">
        <f t="shared" si="3396"/>
        <v/>
      </c>
      <c r="FJ206" s="66" t="str">
        <f t="shared" si="3397"/>
        <v/>
      </c>
      <c r="FK206" s="66" t="str">
        <f t="shared" si="3398"/>
        <v/>
      </c>
      <c r="FL206" s="66" t="str">
        <f t="shared" si="3399"/>
        <v/>
      </c>
      <c r="FM206" s="66" t="str">
        <f t="shared" si="3400"/>
        <v/>
      </c>
      <c r="FN206" s="66" t="str">
        <f t="shared" si="3401"/>
        <v/>
      </c>
      <c r="FO206" s="66" t="str">
        <f t="shared" si="3402"/>
        <v/>
      </c>
      <c r="FP206" s="66" t="str">
        <f t="shared" si="3403"/>
        <v/>
      </c>
      <c r="FQ206" s="66" t="str">
        <f t="shared" si="3404"/>
        <v/>
      </c>
      <c r="FR206" s="66" t="str">
        <f t="shared" si="3405"/>
        <v/>
      </c>
      <c r="FS206" s="66" t="str">
        <f t="shared" si="3406"/>
        <v/>
      </c>
    </row>
    <row r="207" spans="1:175">
      <c r="A207" s="15"/>
      <c r="B207" s="27" t="s">
        <v>739</v>
      </c>
      <c r="C207" s="28" t="str">
        <f t="shared" si="3407"/>
        <v>已领取重置版礼包</v>
      </c>
      <c r="T207" s="151" t="s">
        <v>899</v>
      </c>
      <c r="U207" s="10" t="s">
        <v>732</v>
      </c>
      <c r="CN207" s="36" t="str">
        <f t="shared" si="3408"/>
        <v>InitUnitState('IB55',,,,,,,,,,)</v>
      </c>
      <c r="CO207" s="36" t="str">
        <f t="shared" si="3409"/>
        <v>InitUnitNormal('IB55',,,,,,,,,,)</v>
      </c>
      <c r="CP207" s="36" t="str">
        <f t="shared" si="3410"/>
        <v>InitUnitMagic('IB55',,,,,,,,,,)</v>
      </c>
      <c r="CQ207" s="36" t="str">
        <f t="shared" si="3411"/>
        <v>InitUnitAdd('IB55',,,,,,,,,,)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229&amp;CR$1&amp;")"</f>
        <v>InitEquipData('IB55',,"",,,,,'','','','','','',"")</v>
      </c>
      <c r="CU207" s="88" t="str">
        <f t="shared" si="3335"/>
        <v>|n</v>
      </c>
      <c r="CV207" s="19" t="str">
        <f t="shared" si="3336"/>
        <v>|cff33ff00购买魔兽重制版可领取该礼包！|n|n|r属性：|n|cffffcc33金币+1000|n每秒攻击+2|n每秒业力+1|r</v>
      </c>
      <c r="CW207" s="33"/>
      <c r="CX207" s="33"/>
      <c r="CY207" s="33"/>
      <c r="CZ207" s="33"/>
      <c r="DA207" s="33"/>
      <c r="DB207" s="66" t="str">
        <f t="shared" si="3337"/>
        <v/>
      </c>
      <c r="DC207" s="66" t="str">
        <f t="shared" si="3338"/>
        <v/>
      </c>
      <c r="DD207" s="66" t="str">
        <f t="shared" si="3339"/>
        <v/>
      </c>
      <c r="DE207" s="66" t="str">
        <f t="shared" si="3340"/>
        <v/>
      </c>
      <c r="DF207" s="66" t="str">
        <f t="shared" si="3341"/>
        <v/>
      </c>
      <c r="DG207" s="66" t="str">
        <f t="shared" si="3342"/>
        <v/>
      </c>
      <c r="DH207" s="66" t="str">
        <f t="shared" si="3343"/>
        <v/>
      </c>
      <c r="DI207" s="66" t="str">
        <f t="shared" si="3344"/>
        <v/>
      </c>
      <c r="DJ207" s="66" t="str">
        <f t="shared" si="3345"/>
        <v/>
      </c>
      <c r="DK207" s="66" t="str">
        <f t="shared" si="3346"/>
        <v/>
      </c>
      <c r="DL207" s="66" t="str">
        <f t="shared" si="3347"/>
        <v/>
      </c>
      <c r="DM207" s="66" t="str">
        <f t="shared" si="3348"/>
        <v/>
      </c>
      <c r="DN207" s="66" t="str">
        <f t="shared" si="3349"/>
        <v/>
      </c>
      <c r="DO207" s="66" t="str">
        <f t="shared" si="3350"/>
        <v/>
      </c>
      <c r="DP207" s="66" t="str">
        <f t="shared" si="3351"/>
        <v/>
      </c>
      <c r="DQ207" s="66" t="str">
        <f t="shared" si="3352"/>
        <v/>
      </c>
      <c r="DR207" s="66" t="str">
        <f t="shared" si="3353"/>
        <v/>
      </c>
      <c r="DS207" s="66" t="str">
        <f t="shared" si="3354"/>
        <v/>
      </c>
      <c r="DT207" s="66" t="str">
        <f t="shared" si="3355"/>
        <v/>
      </c>
      <c r="DU207" s="66" t="str">
        <f t="shared" si="3356"/>
        <v/>
      </c>
      <c r="DV207" s="66" t="str">
        <f t="shared" si="3357"/>
        <v/>
      </c>
      <c r="DW207" s="66" t="str">
        <f t="shared" si="3358"/>
        <v/>
      </c>
      <c r="DX207" s="66" t="str">
        <f t="shared" si="3359"/>
        <v/>
      </c>
      <c r="DY207" s="66" t="str">
        <f t="shared" si="3360"/>
        <v/>
      </c>
      <c r="DZ207" s="66" t="str">
        <f t="shared" si="3361"/>
        <v/>
      </c>
      <c r="EA207" s="66" t="str">
        <f t="shared" si="3362"/>
        <v/>
      </c>
      <c r="EB207" s="66" t="str">
        <f t="shared" si="3363"/>
        <v/>
      </c>
      <c r="EC207" s="66" t="str">
        <f t="shared" si="3364"/>
        <v/>
      </c>
      <c r="ED207" s="66" t="str">
        <f t="shared" si="3365"/>
        <v/>
      </c>
      <c r="EE207" s="66" t="str">
        <f t="shared" si="3366"/>
        <v/>
      </c>
      <c r="EF207" s="66" t="str">
        <f t="shared" si="3367"/>
        <v/>
      </c>
      <c r="EG207" s="66" t="str">
        <f t="shared" si="3368"/>
        <v/>
      </c>
      <c r="EH207" s="66" t="str">
        <f t="shared" si="3369"/>
        <v/>
      </c>
      <c r="EI207" s="66" t="str">
        <f t="shared" si="3370"/>
        <v/>
      </c>
      <c r="EJ207" s="66" t="str">
        <f t="shared" si="3371"/>
        <v/>
      </c>
      <c r="EK207" s="66" t="str">
        <f t="shared" si="3372"/>
        <v/>
      </c>
      <c r="EL207" s="66" t="str">
        <f t="shared" si="3373"/>
        <v/>
      </c>
      <c r="EM207" s="66" t="str">
        <f t="shared" si="3374"/>
        <v/>
      </c>
      <c r="EN207" s="66" t="str">
        <f t="shared" si="3375"/>
        <v/>
      </c>
      <c r="EO207" s="66" t="str">
        <f t="shared" si="3376"/>
        <v/>
      </c>
      <c r="EP207" s="66" t="str">
        <f t="shared" si="3377"/>
        <v/>
      </c>
      <c r="EQ207" s="66" t="str">
        <f t="shared" si="3378"/>
        <v/>
      </c>
      <c r="ER207" s="66" t="str">
        <f t="shared" si="3379"/>
        <v/>
      </c>
      <c r="ES207" s="66" t="str">
        <f t="shared" si="3380"/>
        <v/>
      </c>
      <c r="ET207" s="66" t="str">
        <f t="shared" si="3381"/>
        <v/>
      </c>
      <c r="EU207" s="66" t="str">
        <f t="shared" si="3382"/>
        <v/>
      </c>
      <c r="EV207" s="66" t="str">
        <f t="shared" si="3383"/>
        <v/>
      </c>
      <c r="EW207" s="66" t="str">
        <f t="shared" si="3384"/>
        <v/>
      </c>
      <c r="EX207" s="66" t="str">
        <f t="shared" si="3385"/>
        <v/>
      </c>
      <c r="EY207" s="66" t="str">
        <f t="shared" si="3386"/>
        <v/>
      </c>
      <c r="EZ207" s="66" t="str">
        <f t="shared" si="3387"/>
        <v/>
      </c>
      <c r="FA207" s="66" t="str">
        <f t="shared" si="3388"/>
        <v/>
      </c>
      <c r="FB207" s="66" t="str">
        <f t="shared" si="3389"/>
        <v/>
      </c>
      <c r="FC207" s="66" t="str">
        <f t="shared" si="3390"/>
        <v/>
      </c>
      <c r="FD207" s="66" t="str">
        <f t="shared" si="3391"/>
        <v/>
      </c>
      <c r="FE207" s="66" t="str">
        <f t="shared" si="3392"/>
        <v/>
      </c>
      <c r="FF207" s="66" t="str">
        <f t="shared" si="3393"/>
        <v/>
      </c>
      <c r="FG207" s="66" t="str">
        <f t="shared" si="3394"/>
        <v/>
      </c>
      <c r="FH207" s="66" t="str">
        <f t="shared" si="3395"/>
        <v/>
      </c>
      <c r="FI207" s="66" t="str">
        <f t="shared" si="3396"/>
        <v/>
      </c>
      <c r="FJ207" s="66" t="str">
        <f t="shared" si="3397"/>
        <v/>
      </c>
      <c r="FK207" s="66" t="str">
        <f t="shared" si="3398"/>
        <v/>
      </c>
      <c r="FL207" s="66" t="str">
        <f t="shared" si="3399"/>
        <v/>
      </c>
      <c r="FM207" s="66" t="str">
        <f t="shared" si="3400"/>
        <v/>
      </c>
      <c r="FN207" s="66" t="str">
        <f t="shared" si="3401"/>
        <v/>
      </c>
      <c r="FO207" s="66" t="str">
        <f t="shared" si="3402"/>
        <v/>
      </c>
      <c r="FP207" s="66" t="str">
        <f t="shared" si="3403"/>
        <v/>
      </c>
      <c r="FQ207" s="66" t="str">
        <f t="shared" si="3404"/>
        <v/>
      </c>
      <c r="FR207" s="66" t="str">
        <f t="shared" si="3405"/>
        <v/>
      </c>
      <c r="FS207" s="66" t="str">
        <f t="shared" si="3406"/>
        <v/>
      </c>
    </row>
    <row r="208" spans="1:175">
      <c r="A208" s="15"/>
      <c r="B208" s="27" t="s">
        <v>740</v>
      </c>
      <c r="C208" s="28" t="str">
        <f t="shared" si="3407"/>
        <v>已领取公会福利</v>
      </c>
      <c r="T208" s="28" t="s">
        <v>721</v>
      </c>
      <c r="U208" s="10" t="s">
        <v>732</v>
      </c>
      <c r="CN208" s="36" t="str">
        <f t="shared" si="3408"/>
        <v>InitUnitState('IB56',,,,,,,,,,)</v>
      </c>
      <c r="CO208" s="36" t="str">
        <f t="shared" si="3409"/>
        <v>InitUnitNormal('IB56',,,,,,,,,,)</v>
      </c>
      <c r="CP208" s="36" t="str">
        <f t="shared" si="3410"/>
        <v>InitUnitMagic('IB56',,,,,,,,,,)</v>
      </c>
      <c r="CQ208" s="36" t="str">
        <f t="shared" si="3411"/>
        <v>InitUnitAdd('IB56',,,,,,,,,,)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InitEquipData('IB56',,"",,,,,'','','','','','',"ReplaceableTextures\\commandButtons\\BTNLBUI01.blp")</v>
      </c>
      <c r="CU208" s="88" t="str">
        <f t="shared" si="3335"/>
        <v>|n</v>
      </c>
      <c r="CV208" s="19" t="str">
        <f t="shared" si="3336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8" s="33"/>
      <c r="CX208" s="33"/>
      <c r="CY208" s="33"/>
      <c r="CZ208" s="33"/>
      <c r="DA208" s="33"/>
      <c r="DB208" s="66" t="str">
        <f t="shared" si="3337"/>
        <v/>
      </c>
      <c r="DC208" s="66" t="str">
        <f t="shared" si="3338"/>
        <v/>
      </c>
      <c r="DD208" s="66" t="str">
        <f t="shared" si="3339"/>
        <v/>
      </c>
      <c r="DE208" s="66" t="str">
        <f t="shared" si="3340"/>
        <v/>
      </c>
      <c r="DF208" s="66" t="str">
        <f t="shared" si="3341"/>
        <v/>
      </c>
      <c r="DG208" s="66" t="str">
        <f t="shared" si="3342"/>
        <v/>
      </c>
      <c r="DH208" s="66" t="str">
        <f t="shared" si="3343"/>
        <v/>
      </c>
      <c r="DI208" s="66" t="str">
        <f t="shared" si="3344"/>
        <v/>
      </c>
      <c r="DJ208" s="66" t="str">
        <f t="shared" si="3345"/>
        <v/>
      </c>
      <c r="DK208" s="66" t="str">
        <f t="shared" si="3346"/>
        <v/>
      </c>
      <c r="DL208" s="66" t="str">
        <f t="shared" si="3347"/>
        <v/>
      </c>
      <c r="DM208" s="66" t="str">
        <f t="shared" si="3348"/>
        <v/>
      </c>
      <c r="DN208" s="66" t="str">
        <f t="shared" si="3349"/>
        <v/>
      </c>
      <c r="DO208" s="66" t="str">
        <f t="shared" si="3350"/>
        <v/>
      </c>
      <c r="DP208" s="66" t="str">
        <f t="shared" si="3351"/>
        <v/>
      </c>
      <c r="DQ208" s="66" t="str">
        <f t="shared" si="3352"/>
        <v/>
      </c>
      <c r="DR208" s="66" t="str">
        <f t="shared" si="3353"/>
        <v/>
      </c>
      <c r="DS208" s="66" t="str">
        <f t="shared" si="3354"/>
        <v/>
      </c>
      <c r="DT208" s="66" t="str">
        <f t="shared" si="3355"/>
        <v/>
      </c>
      <c r="DU208" s="66" t="str">
        <f t="shared" si="3356"/>
        <v/>
      </c>
      <c r="DV208" s="66" t="str">
        <f t="shared" si="3357"/>
        <v/>
      </c>
      <c r="DW208" s="66" t="str">
        <f t="shared" si="3358"/>
        <v/>
      </c>
      <c r="DX208" s="66" t="str">
        <f t="shared" si="3359"/>
        <v/>
      </c>
      <c r="DY208" s="66" t="str">
        <f t="shared" si="3360"/>
        <v/>
      </c>
      <c r="DZ208" s="66" t="str">
        <f t="shared" si="3361"/>
        <v/>
      </c>
      <c r="EA208" s="66" t="str">
        <f t="shared" si="3362"/>
        <v/>
      </c>
      <c r="EB208" s="66" t="str">
        <f t="shared" si="3363"/>
        <v/>
      </c>
      <c r="EC208" s="66" t="str">
        <f t="shared" si="3364"/>
        <v/>
      </c>
      <c r="ED208" s="66" t="str">
        <f t="shared" si="3365"/>
        <v/>
      </c>
      <c r="EE208" s="66" t="str">
        <f t="shared" si="3366"/>
        <v/>
      </c>
      <c r="EF208" s="66" t="str">
        <f t="shared" si="3367"/>
        <v/>
      </c>
      <c r="EG208" s="66" t="str">
        <f t="shared" si="3368"/>
        <v/>
      </c>
      <c r="EH208" s="66" t="str">
        <f t="shared" si="3369"/>
        <v/>
      </c>
      <c r="EI208" s="66" t="str">
        <f t="shared" si="3370"/>
        <v/>
      </c>
      <c r="EJ208" s="66" t="str">
        <f t="shared" si="3371"/>
        <v/>
      </c>
      <c r="EK208" s="66" t="str">
        <f t="shared" si="3372"/>
        <v/>
      </c>
      <c r="EL208" s="66" t="str">
        <f t="shared" si="3373"/>
        <v/>
      </c>
      <c r="EM208" s="66" t="str">
        <f t="shared" si="3374"/>
        <v/>
      </c>
      <c r="EN208" s="66" t="str">
        <f t="shared" si="3375"/>
        <v/>
      </c>
      <c r="EO208" s="66" t="str">
        <f t="shared" si="3376"/>
        <v/>
      </c>
      <c r="EP208" s="66" t="str">
        <f t="shared" si="3377"/>
        <v/>
      </c>
      <c r="EQ208" s="66" t="str">
        <f t="shared" si="3378"/>
        <v/>
      </c>
      <c r="ER208" s="66" t="str">
        <f t="shared" si="3379"/>
        <v/>
      </c>
      <c r="ES208" s="66" t="str">
        <f t="shared" si="3380"/>
        <v/>
      </c>
      <c r="ET208" s="66" t="str">
        <f t="shared" si="3381"/>
        <v/>
      </c>
      <c r="EU208" s="66" t="str">
        <f t="shared" si="3382"/>
        <v/>
      </c>
      <c r="EV208" s="66" t="str">
        <f t="shared" si="3383"/>
        <v/>
      </c>
      <c r="EW208" s="66" t="str">
        <f t="shared" si="3384"/>
        <v/>
      </c>
      <c r="EX208" s="66" t="str">
        <f t="shared" si="3385"/>
        <v/>
      </c>
      <c r="EY208" s="66" t="str">
        <f t="shared" si="3386"/>
        <v/>
      </c>
      <c r="EZ208" s="66" t="str">
        <f t="shared" si="3387"/>
        <v/>
      </c>
      <c r="FA208" s="66" t="str">
        <f t="shared" si="3388"/>
        <v/>
      </c>
      <c r="FB208" s="66" t="str">
        <f t="shared" si="3389"/>
        <v/>
      </c>
      <c r="FC208" s="66" t="str">
        <f t="shared" si="3390"/>
        <v/>
      </c>
      <c r="FD208" s="66" t="str">
        <f t="shared" si="3391"/>
        <v/>
      </c>
      <c r="FE208" s="66" t="str">
        <f t="shared" si="3392"/>
        <v/>
      </c>
      <c r="FF208" s="66" t="str">
        <f t="shared" si="3393"/>
        <v/>
      </c>
      <c r="FG208" s="66" t="str">
        <f t="shared" si="3394"/>
        <v/>
      </c>
      <c r="FH208" s="66" t="str">
        <f t="shared" si="3395"/>
        <v/>
      </c>
      <c r="FI208" s="66" t="str">
        <f t="shared" si="3396"/>
        <v/>
      </c>
      <c r="FJ208" s="66" t="str">
        <f t="shared" si="3397"/>
        <v/>
      </c>
      <c r="FK208" s="66" t="str">
        <f t="shared" si="3398"/>
        <v/>
      </c>
      <c r="FL208" s="66" t="str">
        <f t="shared" si="3399"/>
        <v/>
      </c>
      <c r="FM208" s="66" t="str">
        <f t="shared" si="3400"/>
        <v/>
      </c>
      <c r="FN208" s="66" t="str">
        <f t="shared" si="3401"/>
        <v/>
      </c>
      <c r="FO208" s="66" t="str">
        <f t="shared" si="3402"/>
        <v/>
      </c>
      <c r="FP208" s="66" t="str">
        <f t="shared" si="3403"/>
        <v/>
      </c>
      <c r="FQ208" s="66" t="str">
        <f t="shared" si="3404"/>
        <v/>
      </c>
      <c r="FR208" s="66" t="str">
        <f t="shared" si="3405"/>
        <v/>
      </c>
      <c r="FS208" s="66" t="str">
        <f t="shared" si="3406"/>
        <v/>
      </c>
    </row>
    <row r="209" spans="1:175">
      <c r="A209" s="15"/>
      <c r="B209" s="27" t="s">
        <v>741</v>
      </c>
      <c r="C209" s="28" t="str">
        <f t="shared" si="3407"/>
        <v>已领取星耀礼包</v>
      </c>
      <c r="T209" s="28" t="s">
        <v>742</v>
      </c>
      <c r="U209" s="10" t="s">
        <v>732</v>
      </c>
      <c r="CN209" s="36" t="str">
        <f t="shared" si="3408"/>
        <v>InitUnitState('IB57',,,,,,,,,,)</v>
      </c>
      <c r="CO209" s="36" t="str">
        <f t="shared" si="3409"/>
        <v>InitUnitNormal('IB57',,,,,,,,,,)</v>
      </c>
      <c r="CP209" s="36" t="str">
        <f t="shared" si="3410"/>
        <v>InitUnitMagic('IB57',,,,,,,,,,)</v>
      </c>
      <c r="CQ209" s="36" t="str">
        <f t="shared" si="3411"/>
        <v>InitUnitAdd('IB57',,,,,,,,,,)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InitEquipData('IB57',,"",,,,,'','','','','','',"ReplaceableTextures\\commandButtons\\BTNLBUI01.blp")</v>
      </c>
      <c r="CU209" s="88" t="str">
        <f t="shared" si="3335"/>
        <v>|n</v>
      </c>
      <c r="CV209" s="19" t="str">
        <f t="shared" si="3336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9" s="33"/>
      <c r="CX209" s="33"/>
      <c r="CY209" s="33"/>
      <c r="CZ209" s="33"/>
      <c r="DA209" s="33"/>
      <c r="DB209" s="66" t="str">
        <f t="shared" si="3337"/>
        <v/>
      </c>
      <c r="DC209" s="66" t="str">
        <f t="shared" si="3338"/>
        <v/>
      </c>
      <c r="DD209" s="66" t="str">
        <f t="shared" si="3339"/>
        <v/>
      </c>
      <c r="DE209" s="66" t="str">
        <f t="shared" si="3340"/>
        <v/>
      </c>
      <c r="DF209" s="66" t="str">
        <f t="shared" si="3341"/>
        <v/>
      </c>
      <c r="DG209" s="66" t="str">
        <f t="shared" si="3342"/>
        <v/>
      </c>
      <c r="DH209" s="66" t="str">
        <f t="shared" si="3343"/>
        <v/>
      </c>
      <c r="DI209" s="66" t="str">
        <f t="shared" si="3344"/>
        <v/>
      </c>
      <c r="DJ209" s="66" t="str">
        <f t="shared" si="3345"/>
        <v/>
      </c>
      <c r="DK209" s="66" t="str">
        <f t="shared" si="3346"/>
        <v/>
      </c>
      <c r="DL209" s="66" t="str">
        <f t="shared" si="3347"/>
        <v/>
      </c>
      <c r="DM209" s="66" t="str">
        <f t="shared" si="3348"/>
        <v/>
      </c>
      <c r="DN209" s="66" t="str">
        <f t="shared" si="3349"/>
        <v/>
      </c>
      <c r="DO209" s="66" t="str">
        <f t="shared" si="3350"/>
        <v/>
      </c>
      <c r="DP209" s="66" t="str">
        <f t="shared" si="3351"/>
        <v/>
      </c>
      <c r="DQ209" s="66" t="str">
        <f t="shared" si="3352"/>
        <v/>
      </c>
      <c r="DR209" s="66" t="str">
        <f t="shared" si="3353"/>
        <v/>
      </c>
      <c r="DS209" s="66" t="str">
        <f t="shared" si="3354"/>
        <v/>
      </c>
      <c r="DT209" s="66" t="str">
        <f t="shared" si="3355"/>
        <v/>
      </c>
      <c r="DU209" s="66" t="str">
        <f t="shared" si="3356"/>
        <v/>
      </c>
      <c r="DV209" s="66" t="str">
        <f t="shared" si="3357"/>
        <v/>
      </c>
      <c r="DW209" s="66" t="str">
        <f t="shared" si="3358"/>
        <v/>
      </c>
      <c r="DX209" s="66" t="str">
        <f t="shared" si="3359"/>
        <v/>
      </c>
      <c r="DY209" s="66" t="str">
        <f t="shared" si="3360"/>
        <v/>
      </c>
      <c r="DZ209" s="66" t="str">
        <f t="shared" si="3361"/>
        <v/>
      </c>
      <c r="EA209" s="66" t="str">
        <f t="shared" si="3362"/>
        <v/>
      </c>
      <c r="EB209" s="66" t="str">
        <f t="shared" si="3363"/>
        <v/>
      </c>
      <c r="EC209" s="66" t="str">
        <f t="shared" si="3364"/>
        <v/>
      </c>
      <c r="ED209" s="66" t="str">
        <f t="shared" si="3365"/>
        <v/>
      </c>
      <c r="EE209" s="66" t="str">
        <f t="shared" si="3366"/>
        <v/>
      </c>
      <c r="EF209" s="66" t="str">
        <f t="shared" si="3367"/>
        <v/>
      </c>
      <c r="EG209" s="66" t="str">
        <f t="shared" si="3368"/>
        <v/>
      </c>
      <c r="EH209" s="66" t="str">
        <f t="shared" si="3369"/>
        <v/>
      </c>
      <c r="EI209" s="66" t="str">
        <f t="shared" si="3370"/>
        <v/>
      </c>
      <c r="EJ209" s="66" t="str">
        <f t="shared" si="3371"/>
        <v/>
      </c>
      <c r="EK209" s="66" t="str">
        <f t="shared" si="3372"/>
        <v/>
      </c>
      <c r="EL209" s="66" t="str">
        <f t="shared" si="3373"/>
        <v/>
      </c>
      <c r="EM209" s="66" t="str">
        <f t="shared" si="3374"/>
        <v/>
      </c>
      <c r="EN209" s="66" t="str">
        <f t="shared" si="3375"/>
        <v/>
      </c>
      <c r="EO209" s="66" t="str">
        <f t="shared" si="3376"/>
        <v/>
      </c>
      <c r="EP209" s="66" t="str">
        <f t="shared" si="3377"/>
        <v/>
      </c>
      <c r="EQ209" s="66" t="str">
        <f t="shared" si="3378"/>
        <v/>
      </c>
      <c r="ER209" s="66" t="str">
        <f t="shared" si="3379"/>
        <v/>
      </c>
      <c r="ES209" s="66" t="str">
        <f t="shared" si="3380"/>
        <v/>
      </c>
      <c r="ET209" s="66" t="str">
        <f t="shared" si="3381"/>
        <v/>
      </c>
      <c r="EU209" s="66" t="str">
        <f t="shared" si="3382"/>
        <v/>
      </c>
      <c r="EV209" s="66" t="str">
        <f t="shared" si="3383"/>
        <v/>
      </c>
      <c r="EW209" s="66" t="str">
        <f t="shared" si="3384"/>
        <v/>
      </c>
      <c r="EX209" s="66" t="str">
        <f t="shared" si="3385"/>
        <v/>
      </c>
      <c r="EY209" s="66" t="str">
        <f t="shared" si="3386"/>
        <v/>
      </c>
      <c r="EZ209" s="66" t="str">
        <f t="shared" si="3387"/>
        <v/>
      </c>
      <c r="FA209" s="66" t="str">
        <f t="shared" si="3388"/>
        <v/>
      </c>
      <c r="FB209" s="66" t="str">
        <f t="shared" si="3389"/>
        <v/>
      </c>
      <c r="FC209" s="66" t="str">
        <f t="shared" si="3390"/>
        <v/>
      </c>
      <c r="FD209" s="66" t="str">
        <f t="shared" si="3391"/>
        <v/>
      </c>
      <c r="FE209" s="66" t="str">
        <f t="shared" si="3392"/>
        <v/>
      </c>
      <c r="FF209" s="66" t="str">
        <f t="shared" si="3393"/>
        <v/>
      </c>
      <c r="FG209" s="66" t="str">
        <f t="shared" si="3394"/>
        <v/>
      </c>
      <c r="FH209" s="66" t="str">
        <f t="shared" si="3395"/>
        <v/>
      </c>
      <c r="FI209" s="66" t="str">
        <f t="shared" si="3396"/>
        <v/>
      </c>
      <c r="FJ209" s="66" t="str">
        <f t="shared" si="3397"/>
        <v/>
      </c>
      <c r="FK209" s="66" t="str">
        <f t="shared" si="3398"/>
        <v/>
      </c>
      <c r="FL209" s="66" t="str">
        <f t="shared" si="3399"/>
        <v/>
      </c>
      <c r="FM209" s="66" t="str">
        <f t="shared" si="3400"/>
        <v/>
      </c>
      <c r="FN209" s="66" t="str">
        <f t="shared" si="3401"/>
        <v/>
      </c>
      <c r="FO209" s="66" t="str">
        <f t="shared" si="3402"/>
        <v/>
      </c>
      <c r="FP209" s="66" t="str">
        <f t="shared" si="3403"/>
        <v/>
      </c>
      <c r="FQ209" s="66" t="str">
        <f t="shared" si="3404"/>
        <v/>
      </c>
      <c r="FR209" s="66" t="str">
        <f t="shared" si="3405"/>
        <v/>
      </c>
      <c r="FS209" s="66" t="str">
        <f t="shared" si="3406"/>
        <v/>
      </c>
    </row>
    <row r="210" spans="1:175">
      <c r="A210" s="15"/>
      <c r="B210" s="27" t="s">
        <v>743</v>
      </c>
      <c r="C210" s="28" t="str">
        <f t="shared" si="3407"/>
        <v>已领取魔芝RPG礼包</v>
      </c>
      <c r="T210" s="28" t="s">
        <v>744</v>
      </c>
      <c r="U210" s="10" t="s">
        <v>732</v>
      </c>
      <c r="CN210" s="36" t="str">
        <f t="shared" si="3408"/>
        <v>InitUnitState('IB58',,,,,,,,,,)</v>
      </c>
      <c r="CO210" s="36" t="str">
        <f t="shared" si="3409"/>
        <v>InitUnitNormal('IB58',,,,,,,,,,)</v>
      </c>
      <c r="CP210" s="36" t="str">
        <f t="shared" si="3410"/>
        <v>InitUnitMagic('IB58',,,,,,,,,,)</v>
      </c>
      <c r="CQ210" s="36" t="str">
        <f t="shared" si="3411"/>
        <v>InitUnitAdd('IB58',,,,,,,,,,)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231&amp;CR$1&amp;")"</f>
        <v>InitEquipData('IB58',,"",,,,,'','','','','','',"")</v>
      </c>
      <c r="CU210" s="88" t="str">
        <f t="shared" si="3335"/>
        <v>|n</v>
      </c>
      <c r="CV210" s="19" t="str">
        <f t="shared" si="3336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0" s="33"/>
      <c r="CX210" s="33"/>
      <c r="CY210" s="33"/>
      <c r="CZ210" s="33"/>
      <c r="DA210" s="33"/>
      <c r="DB210" s="66" t="str">
        <f t="shared" ref="DB210:FM210" si="3412">IF(V210="","","|n"&amp;DB$2&amp;"+"&amp;V210&amp;DB$1)</f>
        <v/>
      </c>
      <c r="DC210" s="66" t="str">
        <f t="shared" si="3412"/>
        <v/>
      </c>
      <c r="DD210" s="66" t="str">
        <f t="shared" si="3412"/>
        <v/>
      </c>
      <c r="DE210" s="66" t="str">
        <f t="shared" si="3412"/>
        <v/>
      </c>
      <c r="DF210" s="66" t="str">
        <f t="shared" si="3412"/>
        <v/>
      </c>
      <c r="DG210" s="66" t="str">
        <f t="shared" si="3412"/>
        <v/>
      </c>
      <c r="DH210" s="66" t="str">
        <f t="shared" si="3412"/>
        <v/>
      </c>
      <c r="DI210" s="66" t="str">
        <f t="shared" si="3412"/>
        <v/>
      </c>
      <c r="DJ210" s="66" t="str">
        <f t="shared" si="3412"/>
        <v/>
      </c>
      <c r="DK210" s="66" t="str">
        <f t="shared" si="3412"/>
        <v/>
      </c>
      <c r="DL210" s="66" t="str">
        <f t="shared" si="3412"/>
        <v/>
      </c>
      <c r="DM210" s="66" t="str">
        <f t="shared" si="3412"/>
        <v/>
      </c>
      <c r="DN210" s="66" t="str">
        <f t="shared" si="3412"/>
        <v/>
      </c>
      <c r="DO210" s="66" t="str">
        <f t="shared" si="3412"/>
        <v/>
      </c>
      <c r="DP210" s="66" t="str">
        <f t="shared" si="3412"/>
        <v/>
      </c>
      <c r="DQ210" s="66" t="str">
        <f t="shared" si="3412"/>
        <v/>
      </c>
      <c r="DR210" s="66" t="str">
        <f t="shared" si="3412"/>
        <v/>
      </c>
      <c r="DS210" s="66" t="str">
        <f t="shared" si="3412"/>
        <v/>
      </c>
      <c r="DT210" s="66" t="str">
        <f t="shared" si="3412"/>
        <v/>
      </c>
      <c r="DU210" s="66" t="str">
        <f t="shared" si="3412"/>
        <v/>
      </c>
      <c r="DV210" s="66" t="str">
        <f t="shared" si="3412"/>
        <v/>
      </c>
      <c r="DW210" s="66" t="str">
        <f t="shared" si="3412"/>
        <v/>
      </c>
      <c r="DX210" s="66" t="str">
        <f t="shared" si="3412"/>
        <v/>
      </c>
      <c r="DY210" s="66" t="str">
        <f t="shared" si="3412"/>
        <v/>
      </c>
      <c r="DZ210" s="66" t="str">
        <f t="shared" si="3412"/>
        <v/>
      </c>
      <c r="EA210" s="66" t="str">
        <f t="shared" si="3412"/>
        <v/>
      </c>
      <c r="EB210" s="66" t="str">
        <f t="shared" si="3412"/>
        <v/>
      </c>
      <c r="EC210" s="66" t="str">
        <f t="shared" si="3412"/>
        <v/>
      </c>
      <c r="ED210" s="66" t="str">
        <f t="shared" si="3412"/>
        <v/>
      </c>
      <c r="EE210" s="66" t="str">
        <f t="shared" si="3412"/>
        <v/>
      </c>
      <c r="EF210" s="66" t="str">
        <f t="shared" si="3412"/>
        <v/>
      </c>
      <c r="EG210" s="66" t="str">
        <f t="shared" si="3412"/>
        <v/>
      </c>
      <c r="EH210" s="66" t="str">
        <f t="shared" si="3412"/>
        <v/>
      </c>
      <c r="EI210" s="66" t="str">
        <f t="shared" si="3412"/>
        <v/>
      </c>
      <c r="EJ210" s="66" t="str">
        <f t="shared" si="3412"/>
        <v/>
      </c>
      <c r="EK210" s="66" t="str">
        <f t="shared" si="3412"/>
        <v/>
      </c>
      <c r="EL210" s="66" t="str">
        <f t="shared" si="3412"/>
        <v/>
      </c>
      <c r="EM210" s="66" t="str">
        <f t="shared" si="3412"/>
        <v/>
      </c>
      <c r="EN210" s="66" t="str">
        <f t="shared" si="3412"/>
        <v/>
      </c>
      <c r="EO210" s="66" t="str">
        <f t="shared" si="3412"/>
        <v/>
      </c>
      <c r="EP210" s="66" t="str">
        <f t="shared" si="3412"/>
        <v/>
      </c>
      <c r="EQ210" s="66" t="str">
        <f t="shared" si="3412"/>
        <v/>
      </c>
      <c r="ER210" s="66" t="str">
        <f t="shared" si="3412"/>
        <v/>
      </c>
      <c r="ES210" s="66" t="str">
        <f t="shared" si="3412"/>
        <v/>
      </c>
      <c r="ET210" s="66" t="str">
        <f t="shared" si="3412"/>
        <v/>
      </c>
      <c r="EU210" s="66" t="str">
        <f t="shared" si="3412"/>
        <v/>
      </c>
      <c r="EV210" s="66" t="str">
        <f t="shared" si="3412"/>
        <v/>
      </c>
      <c r="EW210" s="66" t="str">
        <f t="shared" si="3412"/>
        <v/>
      </c>
      <c r="EX210" s="66" t="str">
        <f t="shared" si="3412"/>
        <v/>
      </c>
      <c r="EY210" s="66" t="str">
        <f t="shared" si="3412"/>
        <v/>
      </c>
      <c r="EZ210" s="66" t="str">
        <f t="shared" si="3412"/>
        <v/>
      </c>
      <c r="FA210" s="66" t="str">
        <f t="shared" si="3412"/>
        <v/>
      </c>
      <c r="FB210" s="66" t="str">
        <f t="shared" si="3412"/>
        <v/>
      </c>
      <c r="FC210" s="66" t="str">
        <f t="shared" si="3412"/>
        <v/>
      </c>
      <c r="FD210" s="66" t="str">
        <f t="shared" si="3412"/>
        <v/>
      </c>
      <c r="FE210" s="66" t="str">
        <f t="shared" si="3412"/>
        <v/>
      </c>
      <c r="FF210" s="66" t="str">
        <f t="shared" si="3412"/>
        <v/>
      </c>
      <c r="FG210" s="66" t="str">
        <f t="shared" si="3412"/>
        <v/>
      </c>
      <c r="FH210" s="66" t="str">
        <f t="shared" si="3412"/>
        <v/>
      </c>
      <c r="FI210" s="66" t="str">
        <f t="shared" si="3412"/>
        <v/>
      </c>
      <c r="FJ210" s="66" t="str">
        <f t="shared" si="3412"/>
        <v/>
      </c>
      <c r="FK210" s="66" t="str">
        <f t="shared" si="3412"/>
        <v/>
      </c>
      <c r="FL210" s="66" t="str">
        <f t="shared" si="3412"/>
        <v/>
      </c>
      <c r="FM210" s="66" t="str">
        <f t="shared" si="3412"/>
        <v/>
      </c>
      <c r="FN210" s="66" t="str">
        <f t="shared" ref="FN210:FS210" si="3413">IF(CH210="","","|n"&amp;FN$2&amp;"+"&amp;CH210&amp;FN$1)</f>
        <v/>
      </c>
      <c r="FO210" s="66" t="str">
        <f t="shared" si="3413"/>
        <v/>
      </c>
      <c r="FP210" s="66" t="str">
        <f t="shared" si="3413"/>
        <v/>
      </c>
      <c r="FQ210" s="66" t="str">
        <f t="shared" si="3413"/>
        <v/>
      </c>
      <c r="FR210" s="66" t="str">
        <f t="shared" si="3413"/>
        <v/>
      </c>
      <c r="FS210" s="66" t="str">
        <f t="shared" si="3413"/>
        <v/>
      </c>
    </row>
    <row r="211" spans="1:175">
      <c r="A211" s="15"/>
      <c r="B211" s="27" t="s">
        <v>745</v>
      </c>
      <c r="C211" s="28" t="str">
        <f t="shared" si="3407"/>
        <v>已领取老铁礼包</v>
      </c>
      <c r="T211" s="28" t="s">
        <v>746</v>
      </c>
      <c r="U211" s="10" t="s">
        <v>732</v>
      </c>
      <c r="CN211" s="36" t="str">
        <f t="shared" si="3408"/>
        <v>InitUnitState('IB59',,,,,,,,,,)</v>
      </c>
      <c r="CO211" s="36" t="str">
        <f t="shared" si="3409"/>
        <v>InitUnitNormal('IB59',,,,,,,,,,)</v>
      </c>
      <c r="CP211" s="36" t="str">
        <f t="shared" si="3410"/>
        <v>InitUnitMagic('IB59',,,,,,,,,,)</v>
      </c>
      <c r="CQ211" s="36" t="str">
        <f t="shared" si="3411"/>
        <v>InitUnitAdd('IB59',,,,,,,,,,)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232&amp;CR$1&amp;")"</f>
        <v>InitEquipData('IB59',,"",,,,,'','','','','','',"")</v>
      </c>
      <c r="CU211" s="88" t="str">
        <f t="shared" si="3335"/>
        <v>|n</v>
      </c>
      <c r="CV211" s="19" t="str">
        <f t="shared" si="3336"/>
        <v>已领取老铁礼包</v>
      </c>
      <c r="CW211" s="33"/>
      <c r="CX211" s="33"/>
      <c r="CY211" s="33"/>
      <c r="CZ211" s="33"/>
      <c r="DA211" s="33"/>
      <c r="DB211" s="66" t="str">
        <f t="shared" ref="DB211:FM214" si="3414">IF(V211="","","|n"&amp;DB$2&amp;"+"&amp;V211&amp;DB$1)</f>
        <v/>
      </c>
      <c r="DC211" s="66" t="str">
        <f t="shared" si="3414"/>
        <v/>
      </c>
      <c r="DD211" s="66" t="str">
        <f t="shared" si="3414"/>
        <v/>
      </c>
      <c r="DE211" s="66" t="str">
        <f t="shared" si="3414"/>
        <v/>
      </c>
      <c r="DF211" s="66" t="str">
        <f t="shared" si="3414"/>
        <v/>
      </c>
      <c r="DG211" s="66" t="str">
        <f t="shared" si="3414"/>
        <v/>
      </c>
      <c r="DH211" s="66" t="str">
        <f t="shared" si="3414"/>
        <v/>
      </c>
      <c r="DI211" s="66" t="str">
        <f t="shared" si="3414"/>
        <v/>
      </c>
      <c r="DJ211" s="66" t="str">
        <f t="shared" si="3414"/>
        <v/>
      </c>
      <c r="DK211" s="66" t="str">
        <f t="shared" si="3414"/>
        <v/>
      </c>
      <c r="DL211" s="66" t="str">
        <f t="shared" si="3414"/>
        <v/>
      </c>
      <c r="DM211" s="66" t="str">
        <f t="shared" si="3414"/>
        <v/>
      </c>
      <c r="DN211" s="66" t="str">
        <f t="shared" si="3414"/>
        <v/>
      </c>
      <c r="DO211" s="66" t="str">
        <f t="shared" si="3414"/>
        <v/>
      </c>
      <c r="DP211" s="66" t="str">
        <f t="shared" si="3414"/>
        <v/>
      </c>
      <c r="DQ211" s="66" t="str">
        <f t="shared" si="3414"/>
        <v/>
      </c>
      <c r="DR211" s="66" t="str">
        <f t="shared" si="3414"/>
        <v/>
      </c>
      <c r="DS211" s="66" t="str">
        <f t="shared" si="3414"/>
        <v/>
      </c>
      <c r="DT211" s="66" t="str">
        <f t="shared" si="3414"/>
        <v/>
      </c>
      <c r="DU211" s="66" t="str">
        <f t="shared" si="3414"/>
        <v/>
      </c>
      <c r="DV211" s="66" t="str">
        <f t="shared" si="3414"/>
        <v/>
      </c>
      <c r="DW211" s="66" t="str">
        <f t="shared" si="3414"/>
        <v/>
      </c>
      <c r="DX211" s="66" t="str">
        <f t="shared" si="3414"/>
        <v/>
      </c>
      <c r="DY211" s="66" t="str">
        <f t="shared" si="3414"/>
        <v/>
      </c>
      <c r="DZ211" s="66" t="str">
        <f t="shared" si="3414"/>
        <v/>
      </c>
      <c r="EA211" s="66" t="str">
        <f t="shared" si="3414"/>
        <v/>
      </c>
      <c r="EB211" s="66" t="str">
        <f t="shared" si="3414"/>
        <v/>
      </c>
      <c r="EC211" s="66" t="str">
        <f t="shared" si="3414"/>
        <v/>
      </c>
      <c r="ED211" s="66" t="str">
        <f t="shared" si="3414"/>
        <v/>
      </c>
      <c r="EE211" s="66" t="str">
        <f t="shared" si="3414"/>
        <v/>
      </c>
      <c r="EF211" s="66" t="str">
        <f t="shared" si="3414"/>
        <v/>
      </c>
      <c r="EG211" s="66" t="str">
        <f t="shared" si="3414"/>
        <v/>
      </c>
      <c r="EH211" s="66" t="str">
        <f t="shared" si="3414"/>
        <v/>
      </c>
      <c r="EI211" s="66" t="str">
        <f t="shared" si="3414"/>
        <v/>
      </c>
      <c r="EJ211" s="66" t="str">
        <f t="shared" si="3414"/>
        <v/>
      </c>
      <c r="EK211" s="66" t="str">
        <f t="shared" si="3414"/>
        <v/>
      </c>
      <c r="EL211" s="66" t="str">
        <f t="shared" si="3414"/>
        <v/>
      </c>
      <c r="EM211" s="66" t="str">
        <f t="shared" si="3414"/>
        <v/>
      </c>
      <c r="EN211" s="66" t="str">
        <f t="shared" si="3414"/>
        <v/>
      </c>
      <c r="EO211" s="66" t="str">
        <f t="shared" si="3414"/>
        <v/>
      </c>
      <c r="EP211" s="66" t="str">
        <f t="shared" si="3414"/>
        <v/>
      </c>
      <c r="EQ211" s="66" t="str">
        <f t="shared" si="3414"/>
        <v/>
      </c>
      <c r="ER211" s="66" t="str">
        <f t="shared" si="3414"/>
        <v/>
      </c>
      <c r="ES211" s="66" t="str">
        <f t="shared" si="3414"/>
        <v/>
      </c>
      <c r="ET211" s="66" t="str">
        <f t="shared" si="3414"/>
        <v/>
      </c>
      <c r="EU211" s="66" t="str">
        <f t="shared" si="3414"/>
        <v/>
      </c>
      <c r="EV211" s="66" t="str">
        <f t="shared" si="3414"/>
        <v/>
      </c>
      <c r="EW211" s="66" t="str">
        <f t="shared" si="3414"/>
        <v/>
      </c>
      <c r="EX211" s="66" t="str">
        <f t="shared" si="3414"/>
        <v/>
      </c>
      <c r="EY211" s="66" t="str">
        <f t="shared" si="3414"/>
        <v/>
      </c>
      <c r="EZ211" s="66" t="str">
        <f t="shared" si="3414"/>
        <v/>
      </c>
      <c r="FA211" s="66" t="str">
        <f t="shared" si="3414"/>
        <v/>
      </c>
      <c r="FB211" s="66" t="str">
        <f t="shared" si="3414"/>
        <v/>
      </c>
      <c r="FC211" s="66" t="str">
        <f t="shared" si="3414"/>
        <v/>
      </c>
      <c r="FD211" s="66" t="str">
        <f t="shared" si="3414"/>
        <v/>
      </c>
      <c r="FE211" s="66" t="str">
        <f t="shared" si="3414"/>
        <v/>
      </c>
      <c r="FF211" s="66" t="str">
        <f t="shared" si="3414"/>
        <v/>
      </c>
      <c r="FG211" s="66" t="str">
        <f t="shared" si="3414"/>
        <v/>
      </c>
      <c r="FH211" s="66" t="str">
        <f t="shared" si="3414"/>
        <v/>
      </c>
      <c r="FI211" s="66" t="str">
        <f t="shared" si="3414"/>
        <v/>
      </c>
      <c r="FJ211" s="66" t="str">
        <f t="shared" si="3414"/>
        <v/>
      </c>
      <c r="FK211" s="66" t="str">
        <f t="shared" si="3414"/>
        <v/>
      </c>
      <c r="FL211" s="66" t="str">
        <f t="shared" si="3414"/>
        <v/>
      </c>
      <c r="FM211" s="66" t="str">
        <f t="shared" si="3414"/>
        <v/>
      </c>
      <c r="FN211" s="66" t="str">
        <f t="shared" ref="FN211:FS214" si="3415">IF(CH211="","","|n"&amp;FN$2&amp;"+"&amp;CH211&amp;FN$1)</f>
        <v/>
      </c>
      <c r="FO211" s="66" t="str">
        <f t="shared" si="3415"/>
        <v/>
      </c>
      <c r="FP211" s="66" t="str">
        <f t="shared" si="3415"/>
        <v/>
      </c>
      <c r="FQ211" s="66" t="str">
        <f t="shared" si="3415"/>
        <v/>
      </c>
      <c r="FR211" s="66" t="str">
        <f t="shared" si="3415"/>
        <v/>
      </c>
      <c r="FS211" s="66" t="str">
        <f t="shared" si="3415"/>
        <v/>
      </c>
    </row>
    <row r="212" spans="1:175" ht="16.5">
      <c r="A212" s="2"/>
      <c r="B212" s="155" t="s">
        <v>918</v>
      </c>
      <c r="C212" s="155" t="s">
        <v>914</v>
      </c>
      <c r="E212" s="91"/>
      <c r="F212" s="43"/>
      <c r="G212" s="39"/>
      <c r="H212" s="39"/>
      <c r="I212" s="39"/>
      <c r="J212" s="39"/>
      <c r="K212" s="39"/>
      <c r="L212" s="39"/>
      <c r="M212" s="39"/>
      <c r="N212" s="39"/>
      <c r="O212" s="39"/>
      <c r="P212" s="92"/>
      <c r="Q212" s="92"/>
      <c r="R212" s="92"/>
      <c r="S212" s="95"/>
      <c r="T212" s="150" t="s">
        <v>922</v>
      </c>
      <c r="U212" s="77" t="str">
        <f>"ReplaceableTextures\\CommandButtons\\BTNR"&amp;RIGHT(B212,3)&amp;".blp"</f>
        <v>ReplaceableTextures\\CommandButtons\\BTNRY1C.blp</v>
      </c>
      <c r="V212" s="10"/>
      <c r="Z212" s="10"/>
      <c r="AG212" s="98"/>
      <c r="AL212" s="98"/>
      <c r="BC212" s="99"/>
      <c r="BD212" s="99"/>
      <c r="CU212" s="88" t="str">
        <f t="shared" ref="CU212:CU214" si="3416">CONCATENATE(DB212,DC212,DD212,DE212,DF212,DG212,DH212,DI212,DJ212,DK212,DL212,DM212,DN212,DO212,DP212,DQ212,DR212,DS212,DT212,DU212,DV212,DW212,DX212,DY212,DZ212,EA212,EB212,EC212,ED212,EE212,EF212,EG212,EH212,EI212,EJ212,EK212,EL212,EM212,EN212,EO212,EP212,EQ212,ER212,ES212,ET212,EU212,EV212,EW212,EX212,EY212,EZ212,FA212,FB212,FC212,FD212,FE212,FF212,FG212,FH212,FI212,FJ212,FK212,FL212,FM212,FN212,FO212,FP212,FQ212,FR212,FS212&amp;"|n")</f>
        <v>|n</v>
      </c>
      <c r="CV212" s="19" t="str">
        <f t="shared" si="3336"/>
        <v>代码生成</v>
      </c>
      <c r="CW212" s="33"/>
      <c r="CX212" s="33"/>
      <c r="CY212" s="33"/>
      <c r="CZ212" s="33"/>
      <c r="DA212" s="33"/>
      <c r="DB212" s="66" t="str">
        <f t="shared" si="3414"/>
        <v/>
      </c>
      <c r="DC212" s="66" t="str">
        <f t="shared" si="3414"/>
        <v/>
      </c>
      <c r="DD212" s="66" t="str">
        <f t="shared" si="3414"/>
        <v/>
      </c>
      <c r="DE212" s="66" t="str">
        <f t="shared" si="3414"/>
        <v/>
      </c>
      <c r="DF212" s="66" t="str">
        <f t="shared" si="3414"/>
        <v/>
      </c>
      <c r="DG212" s="66" t="str">
        <f t="shared" si="3414"/>
        <v/>
      </c>
      <c r="DH212" s="66" t="str">
        <f t="shared" si="3414"/>
        <v/>
      </c>
      <c r="DI212" s="66" t="str">
        <f t="shared" si="3414"/>
        <v/>
      </c>
      <c r="DJ212" s="66" t="str">
        <f t="shared" si="3414"/>
        <v/>
      </c>
      <c r="DK212" s="66" t="str">
        <f t="shared" si="3414"/>
        <v/>
      </c>
      <c r="DL212" s="66" t="str">
        <f t="shared" si="3414"/>
        <v/>
      </c>
      <c r="DM212" s="66" t="str">
        <f t="shared" si="3414"/>
        <v/>
      </c>
      <c r="DN212" s="66" t="str">
        <f t="shared" si="3414"/>
        <v/>
      </c>
      <c r="DO212" s="66" t="str">
        <f t="shared" si="3414"/>
        <v/>
      </c>
      <c r="DP212" s="66" t="str">
        <f t="shared" si="3414"/>
        <v/>
      </c>
      <c r="DQ212" s="66" t="str">
        <f t="shared" si="3414"/>
        <v/>
      </c>
      <c r="DR212" s="66" t="str">
        <f t="shared" si="3414"/>
        <v/>
      </c>
      <c r="DS212" s="66" t="str">
        <f t="shared" si="3414"/>
        <v/>
      </c>
      <c r="DT212" s="66" t="str">
        <f t="shared" si="3414"/>
        <v/>
      </c>
      <c r="DU212" s="66" t="str">
        <f t="shared" si="3414"/>
        <v/>
      </c>
      <c r="DV212" s="66" t="str">
        <f t="shared" si="3414"/>
        <v/>
      </c>
      <c r="DW212" s="66" t="str">
        <f t="shared" si="3414"/>
        <v/>
      </c>
      <c r="DX212" s="66" t="str">
        <f t="shared" si="3414"/>
        <v/>
      </c>
      <c r="DY212" s="66" t="str">
        <f t="shared" si="3414"/>
        <v/>
      </c>
      <c r="DZ212" s="66" t="str">
        <f t="shared" si="3414"/>
        <v/>
      </c>
      <c r="EA212" s="66" t="str">
        <f t="shared" si="3414"/>
        <v/>
      </c>
      <c r="EB212" s="66" t="str">
        <f t="shared" si="3414"/>
        <v/>
      </c>
      <c r="EC212" s="66" t="str">
        <f t="shared" si="3414"/>
        <v/>
      </c>
      <c r="ED212" s="66" t="str">
        <f t="shared" si="3414"/>
        <v/>
      </c>
      <c r="EE212" s="66" t="str">
        <f t="shared" si="3414"/>
        <v/>
      </c>
      <c r="EF212" s="66" t="str">
        <f t="shared" si="3414"/>
        <v/>
      </c>
      <c r="EG212" s="66" t="str">
        <f t="shared" si="3414"/>
        <v/>
      </c>
      <c r="EH212" s="66" t="str">
        <f t="shared" si="3414"/>
        <v/>
      </c>
      <c r="EI212" s="66" t="str">
        <f t="shared" si="3414"/>
        <v/>
      </c>
      <c r="EJ212" s="66" t="str">
        <f t="shared" si="3414"/>
        <v/>
      </c>
      <c r="EK212" s="66" t="str">
        <f t="shared" si="3414"/>
        <v/>
      </c>
      <c r="EL212" s="66" t="str">
        <f t="shared" si="3414"/>
        <v/>
      </c>
      <c r="EM212" s="66" t="str">
        <f t="shared" si="3414"/>
        <v/>
      </c>
      <c r="EN212" s="66" t="str">
        <f t="shared" si="3414"/>
        <v/>
      </c>
      <c r="EO212" s="66" t="str">
        <f t="shared" si="3414"/>
        <v/>
      </c>
      <c r="EP212" s="66" t="str">
        <f t="shared" si="3414"/>
        <v/>
      </c>
      <c r="EQ212" s="66" t="str">
        <f t="shared" si="3414"/>
        <v/>
      </c>
      <c r="ER212" s="66" t="str">
        <f t="shared" si="3414"/>
        <v/>
      </c>
      <c r="ES212" s="66" t="str">
        <f t="shared" si="3414"/>
        <v/>
      </c>
      <c r="ET212" s="66" t="str">
        <f t="shared" si="3414"/>
        <v/>
      </c>
      <c r="EU212" s="66" t="str">
        <f t="shared" si="3414"/>
        <v/>
      </c>
      <c r="EV212" s="66" t="str">
        <f t="shared" si="3414"/>
        <v/>
      </c>
      <c r="EW212" s="66" t="str">
        <f t="shared" si="3414"/>
        <v/>
      </c>
      <c r="EX212" s="66" t="str">
        <f t="shared" si="3414"/>
        <v/>
      </c>
      <c r="EY212" s="66" t="str">
        <f t="shared" si="3414"/>
        <v/>
      </c>
      <c r="EZ212" s="66" t="str">
        <f t="shared" si="3414"/>
        <v/>
      </c>
      <c r="FA212" s="66" t="str">
        <f t="shared" si="3414"/>
        <v/>
      </c>
      <c r="FB212" s="66" t="str">
        <f t="shared" si="3414"/>
        <v/>
      </c>
      <c r="FC212" s="66" t="str">
        <f t="shared" si="3414"/>
        <v/>
      </c>
      <c r="FD212" s="66" t="str">
        <f t="shared" si="3414"/>
        <v/>
      </c>
      <c r="FE212" s="66" t="str">
        <f t="shared" si="3414"/>
        <v/>
      </c>
      <c r="FF212" s="66" t="str">
        <f t="shared" si="3414"/>
        <v/>
      </c>
      <c r="FG212" s="66" t="str">
        <f t="shared" si="3414"/>
        <v/>
      </c>
      <c r="FH212" s="66" t="str">
        <f t="shared" si="3414"/>
        <v/>
      </c>
      <c r="FI212" s="66" t="str">
        <f t="shared" si="3414"/>
        <v/>
      </c>
      <c r="FJ212" s="66" t="str">
        <f t="shared" si="3414"/>
        <v/>
      </c>
      <c r="FK212" s="66" t="str">
        <f t="shared" si="3414"/>
        <v/>
      </c>
      <c r="FL212" s="66" t="str">
        <f t="shared" si="3414"/>
        <v/>
      </c>
      <c r="FM212" s="66" t="str">
        <f t="shared" si="3414"/>
        <v/>
      </c>
      <c r="FN212" s="66" t="str">
        <f t="shared" si="3415"/>
        <v/>
      </c>
      <c r="FO212" s="66" t="str">
        <f t="shared" si="3415"/>
        <v/>
      </c>
      <c r="FP212" s="66" t="str">
        <f t="shared" si="3415"/>
        <v/>
      </c>
      <c r="FQ212" s="66" t="str">
        <f t="shared" si="3415"/>
        <v/>
      </c>
      <c r="FR212" s="66" t="str">
        <f t="shared" si="3415"/>
        <v/>
      </c>
      <c r="FS212" s="66" t="str">
        <f t="shared" si="3415"/>
        <v/>
      </c>
    </row>
    <row r="213" spans="1:175" ht="17.25">
      <c r="A213" s="2"/>
      <c r="B213" s="156" t="s">
        <v>919</v>
      </c>
      <c r="C213" s="157" t="s">
        <v>915</v>
      </c>
      <c r="E213" s="91"/>
      <c r="F213" s="43"/>
      <c r="G213" s="39"/>
      <c r="H213" s="39"/>
      <c r="I213" s="39"/>
      <c r="J213" s="39"/>
      <c r="K213" s="39"/>
      <c r="L213" s="39"/>
      <c r="M213" s="39"/>
      <c r="N213" s="39"/>
      <c r="O213" s="39"/>
      <c r="P213" s="92"/>
      <c r="Q213" s="92"/>
      <c r="R213" s="92"/>
      <c r="S213" s="95"/>
      <c r="T213" s="150" t="s">
        <v>922</v>
      </c>
      <c r="U213" s="77" t="str">
        <f>"ReplaceableTextures\\CommandButtons\\BTNR"&amp;RIGHT(B213,3)&amp;".blp"</f>
        <v>ReplaceableTextures\\CommandButtons\\BTNRY2C.blp</v>
      </c>
      <c r="V213" s="10"/>
      <c r="Z213" s="10"/>
      <c r="AG213" s="98"/>
      <c r="AL213" s="98"/>
      <c r="BC213" s="99"/>
      <c r="BD213" s="99"/>
      <c r="CU213" s="88" t="str">
        <f t="shared" ref="CU213" si="3417">CONCATENATE(DB213,DC213,DD213,DE213,DF213,DG213,DH213,DI213,DJ213,DK213,DL213,DM213,DN213,DO213,DP213,DQ213,DR213,DS213,DT213,DU213,DV213,DW213,DX213,DY213,DZ213,EA213,EB213,EC213,ED213,EE213,EF213,EG213,EH213,EI213,EJ213,EK213,EL213,EM213,EN213,EO213,EP213,EQ213,ER213,ES213,ET213,EU213,EV213,EW213,EX213,EY213,EZ213,FA213,FB213,FC213,FD213,FE213,FF213,FG213,FH213,FI213,FJ213,FK213,FL213,FM213,FN213,FO213,FP213,FQ213,FR213,FS213&amp;"|n")</f>
        <v>|n</v>
      </c>
      <c r="CV213" s="19" t="str">
        <f t="shared" si="3336"/>
        <v>代码生成</v>
      </c>
      <c r="CW213" s="33"/>
      <c r="CX213" s="33"/>
      <c r="CY213" s="33"/>
      <c r="CZ213" s="33"/>
      <c r="DA213" s="33"/>
      <c r="DB213" s="66" t="str">
        <f t="shared" ref="DB213" si="3418">IF(V213="","","|n"&amp;DB$2&amp;"+"&amp;V213&amp;DB$1)</f>
        <v/>
      </c>
      <c r="DC213" s="66" t="str">
        <f t="shared" ref="DC213" si="3419">IF(W213="","","|n"&amp;DC$2&amp;"+"&amp;W213&amp;DC$1)</f>
        <v/>
      </c>
      <c r="DD213" s="66" t="str">
        <f t="shared" ref="DD213" si="3420">IF(X213="","","|n"&amp;DD$2&amp;"+"&amp;X213&amp;DD$1)</f>
        <v/>
      </c>
      <c r="DE213" s="66" t="str">
        <f t="shared" ref="DE213" si="3421">IF(Y213="","","|n"&amp;DE$2&amp;"+"&amp;Y213&amp;DE$1)</f>
        <v/>
      </c>
      <c r="DF213" s="66" t="str">
        <f t="shared" ref="DF213" si="3422">IF(Z213="","","|n"&amp;DF$2&amp;"+"&amp;Z213&amp;DF$1)</f>
        <v/>
      </c>
      <c r="DG213" s="66" t="str">
        <f t="shared" ref="DG213" si="3423">IF(AA213="","","|n"&amp;DG$2&amp;"+"&amp;AA213&amp;DG$1)</f>
        <v/>
      </c>
      <c r="DH213" s="66" t="str">
        <f t="shared" ref="DH213" si="3424">IF(AB213="","","|n"&amp;DH$2&amp;"+"&amp;AB213&amp;DH$1)</f>
        <v/>
      </c>
      <c r="DI213" s="66" t="str">
        <f t="shared" ref="DI213" si="3425">IF(AC213="","","|n"&amp;DI$2&amp;"+"&amp;AC213&amp;DI$1)</f>
        <v/>
      </c>
      <c r="DJ213" s="66" t="str">
        <f t="shared" ref="DJ213" si="3426">IF(AD213="","","|n"&amp;DJ$2&amp;"+"&amp;AD213&amp;DJ$1)</f>
        <v/>
      </c>
      <c r="DK213" s="66" t="str">
        <f t="shared" ref="DK213" si="3427">IF(AE213="","","|n"&amp;DK$2&amp;"+"&amp;AE213&amp;DK$1)</f>
        <v/>
      </c>
      <c r="DL213" s="66" t="str">
        <f t="shared" ref="DL213" si="3428">IF(AF213="","","|n"&amp;DL$2&amp;"+"&amp;AF213&amp;DL$1)</f>
        <v/>
      </c>
      <c r="DM213" s="66" t="str">
        <f t="shared" ref="DM213" si="3429">IF(AG213="","","|n"&amp;DM$2&amp;"+"&amp;AG213&amp;DM$1)</f>
        <v/>
      </c>
      <c r="DN213" s="66" t="str">
        <f t="shared" ref="DN213" si="3430">IF(AH213="","","|n"&amp;DN$2&amp;"+"&amp;AH213&amp;DN$1)</f>
        <v/>
      </c>
      <c r="DO213" s="66" t="str">
        <f t="shared" ref="DO213" si="3431">IF(AI213="","","|n"&amp;DO$2&amp;"+"&amp;AI213&amp;DO$1)</f>
        <v/>
      </c>
      <c r="DP213" s="66" t="str">
        <f t="shared" ref="DP213" si="3432">IF(AJ213="","","|n"&amp;DP$2&amp;"+"&amp;AJ213&amp;DP$1)</f>
        <v/>
      </c>
      <c r="DQ213" s="66" t="str">
        <f t="shared" ref="DQ213" si="3433">IF(AK213="","","|n"&amp;DQ$2&amp;"+"&amp;AK213&amp;DQ$1)</f>
        <v/>
      </c>
      <c r="DR213" s="66" t="str">
        <f t="shared" ref="DR213" si="3434">IF(AL213="","","|n"&amp;DR$2&amp;"+"&amp;AL213&amp;DR$1)</f>
        <v/>
      </c>
      <c r="DS213" s="66" t="str">
        <f t="shared" ref="DS213" si="3435">IF(AM213="","","|n"&amp;DS$2&amp;"+"&amp;AM213&amp;DS$1)</f>
        <v/>
      </c>
      <c r="DT213" s="66" t="str">
        <f t="shared" ref="DT213" si="3436">IF(AN213="","","|n"&amp;DT$2&amp;"+"&amp;AN213&amp;DT$1)</f>
        <v/>
      </c>
      <c r="DU213" s="66" t="str">
        <f t="shared" ref="DU213" si="3437">IF(AO213="","","|n"&amp;DU$2&amp;"+"&amp;AO213&amp;DU$1)</f>
        <v/>
      </c>
      <c r="DV213" s="66" t="str">
        <f t="shared" ref="DV213" si="3438">IF(AP213="","","|n"&amp;DV$2&amp;"+"&amp;AP213&amp;DV$1)</f>
        <v/>
      </c>
      <c r="DW213" s="66" t="str">
        <f t="shared" ref="DW213" si="3439">IF(AQ213="","","|n"&amp;DW$2&amp;"+"&amp;AQ213&amp;DW$1)</f>
        <v/>
      </c>
      <c r="DX213" s="66" t="str">
        <f t="shared" ref="DX213" si="3440">IF(AR213="","","|n"&amp;DX$2&amp;"+"&amp;AR213&amp;DX$1)</f>
        <v/>
      </c>
      <c r="DY213" s="66" t="str">
        <f t="shared" ref="DY213" si="3441">IF(AS213="","","|n"&amp;DY$2&amp;"+"&amp;AS213&amp;DY$1)</f>
        <v/>
      </c>
      <c r="DZ213" s="66" t="str">
        <f t="shared" ref="DZ213" si="3442">IF(AT213="","","|n"&amp;DZ$2&amp;"+"&amp;AT213&amp;DZ$1)</f>
        <v/>
      </c>
      <c r="EA213" s="66" t="str">
        <f t="shared" ref="EA213" si="3443">IF(AU213="","","|n"&amp;EA$2&amp;"+"&amp;AU213&amp;EA$1)</f>
        <v/>
      </c>
      <c r="EB213" s="66" t="str">
        <f t="shared" ref="EB213" si="3444">IF(AV213="","","|n"&amp;EB$2&amp;"+"&amp;AV213&amp;EB$1)</f>
        <v/>
      </c>
      <c r="EC213" s="66" t="str">
        <f t="shared" ref="EC213" si="3445">IF(AW213="","","|n"&amp;EC$2&amp;"+"&amp;AW213&amp;EC$1)</f>
        <v/>
      </c>
      <c r="ED213" s="66" t="str">
        <f t="shared" ref="ED213" si="3446">IF(AX213="","","|n"&amp;ED$2&amp;"+"&amp;AX213&amp;ED$1)</f>
        <v/>
      </c>
      <c r="EE213" s="66" t="str">
        <f t="shared" ref="EE213" si="3447">IF(AY213="","","|n"&amp;EE$2&amp;"+"&amp;AY213&amp;EE$1)</f>
        <v/>
      </c>
      <c r="EF213" s="66" t="str">
        <f t="shared" ref="EF213" si="3448">IF(AZ213="","","|n"&amp;EF$2&amp;"+"&amp;AZ213&amp;EF$1)</f>
        <v/>
      </c>
      <c r="EG213" s="66" t="str">
        <f t="shared" ref="EG213" si="3449">IF(BA213="","","|n"&amp;EG$2&amp;"+"&amp;BA213&amp;EG$1)</f>
        <v/>
      </c>
      <c r="EH213" s="66" t="str">
        <f t="shared" ref="EH213" si="3450">IF(BB213="","","|n"&amp;EH$2&amp;"+"&amp;BB213&amp;EH$1)</f>
        <v/>
      </c>
      <c r="EI213" s="66" t="str">
        <f t="shared" ref="EI213" si="3451">IF(BC213="","","|n"&amp;EI$2&amp;"+"&amp;BC213&amp;EI$1)</f>
        <v/>
      </c>
      <c r="EJ213" s="66" t="str">
        <f t="shared" ref="EJ213" si="3452">IF(BD213="","","|n"&amp;EJ$2&amp;"+"&amp;BD213&amp;EJ$1)</f>
        <v/>
      </c>
      <c r="EK213" s="66" t="str">
        <f t="shared" ref="EK213" si="3453">IF(BE213="","","|n"&amp;EK$2&amp;"+"&amp;BE213&amp;EK$1)</f>
        <v/>
      </c>
      <c r="EL213" s="66" t="str">
        <f t="shared" ref="EL213" si="3454">IF(BF213="","","|n"&amp;EL$2&amp;"+"&amp;BF213&amp;EL$1)</f>
        <v/>
      </c>
      <c r="EM213" s="66" t="str">
        <f t="shared" ref="EM213" si="3455">IF(BG213="","","|n"&amp;EM$2&amp;"+"&amp;BG213&amp;EM$1)</f>
        <v/>
      </c>
      <c r="EN213" s="66" t="str">
        <f t="shared" ref="EN213" si="3456">IF(BH213="","","|n"&amp;EN$2&amp;"+"&amp;BH213&amp;EN$1)</f>
        <v/>
      </c>
      <c r="EO213" s="66" t="str">
        <f t="shared" ref="EO213" si="3457">IF(BI213="","","|n"&amp;EO$2&amp;"+"&amp;BI213&amp;EO$1)</f>
        <v/>
      </c>
      <c r="EP213" s="66" t="str">
        <f t="shared" ref="EP213" si="3458">IF(BJ213="","","|n"&amp;EP$2&amp;"+"&amp;BJ213&amp;EP$1)</f>
        <v/>
      </c>
      <c r="EQ213" s="66" t="str">
        <f t="shared" ref="EQ213" si="3459">IF(BK213="","","|n"&amp;EQ$2&amp;"+"&amp;BK213&amp;EQ$1)</f>
        <v/>
      </c>
      <c r="ER213" s="66" t="str">
        <f t="shared" ref="ER213" si="3460">IF(BL213="","","|n"&amp;ER$2&amp;"+"&amp;BL213&amp;ER$1)</f>
        <v/>
      </c>
      <c r="ES213" s="66" t="str">
        <f t="shared" ref="ES213" si="3461">IF(BM213="","","|n"&amp;ES$2&amp;"+"&amp;BM213&amp;ES$1)</f>
        <v/>
      </c>
      <c r="ET213" s="66" t="str">
        <f t="shared" ref="ET213" si="3462">IF(BN213="","","|n"&amp;ET$2&amp;"+"&amp;BN213&amp;ET$1)</f>
        <v/>
      </c>
      <c r="EU213" s="66" t="str">
        <f t="shared" ref="EU213" si="3463">IF(BO213="","","|n"&amp;EU$2&amp;"+"&amp;BO213&amp;EU$1)</f>
        <v/>
      </c>
      <c r="EV213" s="66" t="str">
        <f t="shared" ref="EV213" si="3464">IF(BP213="","","|n"&amp;EV$2&amp;"+"&amp;BP213&amp;EV$1)</f>
        <v/>
      </c>
      <c r="EW213" s="66" t="str">
        <f t="shared" ref="EW213" si="3465">IF(BQ213="","","|n"&amp;EW$2&amp;"+"&amp;BQ213&amp;EW$1)</f>
        <v/>
      </c>
      <c r="EX213" s="66" t="str">
        <f t="shared" ref="EX213" si="3466">IF(BR213="","","|n"&amp;EX$2&amp;"+"&amp;BR213&amp;EX$1)</f>
        <v/>
      </c>
      <c r="EY213" s="66" t="str">
        <f t="shared" ref="EY213" si="3467">IF(BS213="","","|n"&amp;EY$2&amp;"+"&amp;BS213&amp;EY$1)</f>
        <v/>
      </c>
      <c r="EZ213" s="66" t="str">
        <f t="shared" ref="EZ213" si="3468">IF(BT213="","","|n"&amp;EZ$2&amp;"+"&amp;BT213&amp;EZ$1)</f>
        <v/>
      </c>
      <c r="FA213" s="66" t="str">
        <f t="shared" ref="FA213" si="3469">IF(BU213="","","|n"&amp;FA$2&amp;"+"&amp;BU213&amp;FA$1)</f>
        <v/>
      </c>
      <c r="FB213" s="66" t="str">
        <f t="shared" ref="FB213" si="3470">IF(BV213="","","|n"&amp;FB$2&amp;"+"&amp;BV213&amp;FB$1)</f>
        <v/>
      </c>
      <c r="FC213" s="66" t="str">
        <f t="shared" ref="FC213" si="3471">IF(BW213="","","|n"&amp;FC$2&amp;"+"&amp;BW213&amp;FC$1)</f>
        <v/>
      </c>
      <c r="FD213" s="66" t="str">
        <f t="shared" ref="FD213" si="3472">IF(BX213="","","|n"&amp;FD$2&amp;"+"&amp;BX213&amp;FD$1)</f>
        <v/>
      </c>
      <c r="FE213" s="66" t="str">
        <f t="shared" ref="FE213" si="3473">IF(BY213="","","|n"&amp;FE$2&amp;"+"&amp;BY213&amp;FE$1)</f>
        <v/>
      </c>
      <c r="FF213" s="66" t="str">
        <f t="shared" ref="FF213" si="3474">IF(BZ213="","","|n"&amp;FF$2&amp;"+"&amp;BZ213&amp;FF$1)</f>
        <v/>
      </c>
      <c r="FG213" s="66" t="str">
        <f t="shared" ref="FG213" si="3475">IF(CA213="","","|n"&amp;FG$2&amp;"+"&amp;CA213&amp;FG$1)</f>
        <v/>
      </c>
      <c r="FH213" s="66" t="str">
        <f t="shared" ref="FH213" si="3476">IF(CB213="","","|n"&amp;FH$2&amp;"+"&amp;CB213&amp;FH$1)</f>
        <v/>
      </c>
      <c r="FI213" s="66" t="str">
        <f t="shared" ref="FI213" si="3477">IF(CC213="","","|n"&amp;FI$2&amp;"+"&amp;CC213&amp;FI$1)</f>
        <v/>
      </c>
      <c r="FJ213" s="66" t="str">
        <f t="shared" ref="FJ213" si="3478">IF(CD213="","","|n"&amp;FJ$2&amp;"+"&amp;CD213&amp;FJ$1)</f>
        <v/>
      </c>
      <c r="FK213" s="66" t="str">
        <f t="shared" ref="FK213" si="3479">IF(CE213="","","|n"&amp;FK$2&amp;"+"&amp;CE213&amp;FK$1)</f>
        <v/>
      </c>
      <c r="FL213" s="66" t="str">
        <f t="shared" ref="FL213" si="3480">IF(CF213="","","|n"&amp;FL$2&amp;"+"&amp;CF213&amp;FL$1)</f>
        <v/>
      </c>
      <c r="FM213" s="66" t="str">
        <f t="shared" ref="FM213" si="3481">IF(CG213="","","|n"&amp;FM$2&amp;"+"&amp;CG213&amp;FM$1)</f>
        <v/>
      </c>
      <c r="FN213" s="66" t="str">
        <f t="shared" ref="FN213" si="3482">IF(CH213="","","|n"&amp;FN$2&amp;"+"&amp;CH213&amp;FN$1)</f>
        <v/>
      </c>
      <c r="FO213" s="66" t="str">
        <f t="shared" ref="FO213" si="3483">IF(CI213="","","|n"&amp;FO$2&amp;"+"&amp;CI213&amp;FO$1)</f>
        <v/>
      </c>
      <c r="FP213" s="66" t="str">
        <f t="shared" ref="FP213" si="3484">IF(CJ213="","","|n"&amp;FP$2&amp;"+"&amp;CJ213&amp;FP$1)</f>
        <v/>
      </c>
      <c r="FQ213" s="66" t="str">
        <f t="shared" ref="FQ213" si="3485">IF(CK213="","","|n"&amp;FQ$2&amp;"+"&amp;CK213&amp;FQ$1)</f>
        <v/>
      </c>
      <c r="FR213" s="66" t="str">
        <f t="shared" ref="FR213" si="3486">IF(CL213="","","|n"&amp;FR$2&amp;"+"&amp;CL213&amp;FR$1)</f>
        <v/>
      </c>
      <c r="FS213" s="66" t="str">
        <f t="shared" ref="FS213" si="3487">IF(CM213="","","|n"&amp;FS$2&amp;"+"&amp;CM213&amp;FS$1)</f>
        <v/>
      </c>
    </row>
    <row r="214" spans="1:175" ht="16.5">
      <c r="A214" s="2"/>
      <c r="B214" s="156" t="s">
        <v>920</v>
      </c>
      <c r="C214" s="156" t="s">
        <v>916</v>
      </c>
      <c r="E214" s="91"/>
      <c r="F214" s="43"/>
      <c r="G214" s="39"/>
      <c r="H214" s="39"/>
      <c r="I214" s="39"/>
      <c r="J214" s="39"/>
      <c r="K214" s="39"/>
      <c r="L214" s="39"/>
      <c r="M214" s="39"/>
      <c r="N214" s="39"/>
      <c r="O214" s="39"/>
      <c r="P214" s="92"/>
      <c r="Q214" s="92"/>
      <c r="R214" s="92"/>
      <c r="S214" s="95"/>
      <c r="T214" s="150" t="s">
        <v>922</v>
      </c>
      <c r="U214" s="77" t="str">
        <f>"ReplaceableTextures\\CommandButtons\\BTNR"&amp;RIGHT(B214,3)&amp;".blp"</f>
        <v>ReplaceableTextures\\CommandButtons\\BTNRY3C.blp</v>
      </c>
      <c r="V214" s="10"/>
      <c r="Z214" s="10"/>
      <c r="AG214" s="98"/>
      <c r="AL214" s="98"/>
      <c r="BC214" s="99"/>
      <c r="BD214" s="99"/>
      <c r="CU214" s="88" t="str">
        <f t="shared" si="3416"/>
        <v>|n</v>
      </c>
      <c r="CV214" s="19" t="str">
        <f t="shared" si="3336"/>
        <v>代码生成</v>
      </c>
      <c r="CW214" s="33"/>
      <c r="CX214" s="33"/>
      <c r="CY214" s="33"/>
      <c r="CZ214" s="33"/>
      <c r="DA214" s="33"/>
      <c r="DB214" s="66" t="str">
        <f t="shared" si="3414"/>
        <v/>
      </c>
      <c r="DC214" s="66" t="str">
        <f t="shared" si="3414"/>
        <v/>
      </c>
      <c r="DD214" s="66" t="str">
        <f t="shared" si="3414"/>
        <v/>
      </c>
      <c r="DE214" s="66" t="str">
        <f t="shared" si="3414"/>
        <v/>
      </c>
      <c r="DF214" s="66" t="str">
        <f t="shared" si="3414"/>
        <v/>
      </c>
      <c r="DG214" s="66" t="str">
        <f t="shared" si="3414"/>
        <v/>
      </c>
      <c r="DH214" s="66" t="str">
        <f t="shared" si="3414"/>
        <v/>
      </c>
      <c r="DI214" s="66" t="str">
        <f t="shared" si="3414"/>
        <v/>
      </c>
      <c r="DJ214" s="66" t="str">
        <f t="shared" si="3414"/>
        <v/>
      </c>
      <c r="DK214" s="66" t="str">
        <f t="shared" si="3414"/>
        <v/>
      </c>
      <c r="DL214" s="66" t="str">
        <f t="shared" si="3414"/>
        <v/>
      </c>
      <c r="DM214" s="66" t="str">
        <f t="shared" si="3414"/>
        <v/>
      </c>
      <c r="DN214" s="66" t="str">
        <f t="shared" si="3414"/>
        <v/>
      </c>
      <c r="DO214" s="66" t="str">
        <f t="shared" si="3414"/>
        <v/>
      </c>
      <c r="DP214" s="66" t="str">
        <f t="shared" si="3414"/>
        <v/>
      </c>
      <c r="DQ214" s="66" t="str">
        <f t="shared" si="3414"/>
        <v/>
      </c>
      <c r="DR214" s="66" t="str">
        <f t="shared" si="3414"/>
        <v/>
      </c>
      <c r="DS214" s="66" t="str">
        <f t="shared" si="3414"/>
        <v/>
      </c>
      <c r="DT214" s="66" t="str">
        <f t="shared" si="3414"/>
        <v/>
      </c>
      <c r="DU214" s="66" t="str">
        <f t="shared" si="3414"/>
        <v/>
      </c>
      <c r="DV214" s="66" t="str">
        <f t="shared" si="3414"/>
        <v/>
      </c>
      <c r="DW214" s="66" t="str">
        <f t="shared" si="3414"/>
        <v/>
      </c>
      <c r="DX214" s="66" t="str">
        <f t="shared" si="3414"/>
        <v/>
      </c>
      <c r="DY214" s="66" t="str">
        <f t="shared" si="3414"/>
        <v/>
      </c>
      <c r="DZ214" s="66" t="str">
        <f t="shared" si="3414"/>
        <v/>
      </c>
      <c r="EA214" s="66" t="str">
        <f t="shared" si="3414"/>
        <v/>
      </c>
      <c r="EB214" s="66" t="str">
        <f t="shared" si="3414"/>
        <v/>
      </c>
      <c r="EC214" s="66" t="str">
        <f t="shared" si="3414"/>
        <v/>
      </c>
      <c r="ED214" s="66" t="str">
        <f t="shared" si="3414"/>
        <v/>
      </c>
      <c r="EE214" s="66" t="str">
        <f t="shared" si="3414"/>
        <v/>
      </c>
      <c r="EF214" s="66" t="str">
        <f t="shared" si="3414"/>
        <v/>
      </c>
      <c r="EG214" s="66" t="str">
        <f t="shared" si="3414"/>
        <v/>
      </c>
      <c r="EH214" s="66" t="str">
        <f t="shared" si="3414"/>
        <v/>
      </c>
      <c r="EI214" s="66" t="str">
        <f t="shared" si="3414"/>
        <v/>
      </c>
      <c r="EJ214" s="66" t="str">
        <f t="shared" si="3414"/>
        <v/>
      </c>
      <c r="EK214" s="66" t="str">
        <f t="shared" si="3414"/>
        <v/>
      </c>
      <c r="EL214" s="66" t="str">
        <f t="shared" si="3414"/>
        <v/>
      </c>
      <c r="EM214" s="66" t="str">
        <f t="shared" si="3414"/>
        <v/>
      </c>
      <c r="EN214" s="66" t="str">
        <f t="shared" si="3414"/>
        <v/>
      </c>
      <c r="EO214" s="66" t="str">
        <f t="shared" si="3414"/>
        <v/>
      </c>
      <c r="EP214" s="66" t="str">
        <f t="shared" si="3414"/>
        <v/>
      </c>
      <c r="EQ214" s="66" t="str">
        <f t="shared" si="3414"/>
        <v/>
      </c>
      <c r="ER214" s="66" t="str">
        <f t="shared" si="3414"/>
        <v/>
      </c>
      <c r="ES214" s="66" t="str">
        <f t="shared" si="3414"/>
        <v/>
      </c>
      <c r="ET214" s="66" t="str">
        <f t="shared" si="3414"/>
        <v/>
      </c>
      <c r="EU214" s="66" t="str">
        <f t="shared" si="3414"/>
        <v/>
      </c>
      <c r="EV214" s="66" t="str">
        <f t="shared" si="3414"/>
        <v/>
      </c>
      <c r="EW214" s="66" t="str">
        <f t="shared" si="3414"/>
        <v/>
      </c>
      <c r="EX214" s="66" t="str">
        <f t="shared" si="3414"/>
        <v/>
      </c>
      <c r="EY214" s="66" t="str">
        <f t="shared" si="3414"/>
        <v/>
      </c>
      <c r="EZ214" s="66" t="str">
        <f t="shared" si="3414"/>
        <v/>
      </c>
      <c r="FA214" s="66" t="str">
        <f t="shared" si="3414"/>
        <v/>
      </c>
      <c r="FB214" s="66" t="str">
        <f t="shared" si="3414"/>
        <v/>
      </c>
      <c r="FC214" s="66" t="str">
        <f t="shared" si="3414"/>
        <v/>
      </c>
      <c r="FD214" s="66" t="str">
        <f t="shared" si="3414"/>
        <v/>
      </c>
      <c r="FE214" s="66" t="str">
        <f t="shared" si="3414"/>
        <v/>
      </c>
      <c r="FF214" s="66" t="str">
        <f t="shared" si="3414"/>
        <v/>
      </c>
      <c r="FG214" s="66" t="str">
        <f t="shared" si="3414"/>
        <v/>
      </c>
      <c r="FH214" s="66" t="str">
        <f t="shared" si="3414"/>
        <v/>
      </c>
      <c r="FI214" s="66" t="str">
        <f t="shared" si="3414"/>
        <v/>
      </c>
      <c r="FJ214" s="66" t="str">
        <f t="shared" si="3414"/>
        <v/>
      </c>
      <c r="FK214" s="66" t="str">
        <f t="shared" si="3414"/>
        <v/>
      </c>
      <c r="FL214" s="66" t="str">
        <f t="shared" si="3414"/>
        <v/>
      </c>
      <c r="FM214" s="66" t="str">
        <f t="shared" si="3414"/>
        <v/>
      </c>
      <c r="FN214" s="66" t="str">
        <f t="shared" si="3415"/>
        <v/>
      </c>
      <c r="FO214" s="66" t="str">
        <f t="shared" si="3415"/>
        <v/>
      </c>
      <c r="FP214" s="66" t="str">
        <f t="shared" si="3415"/>
        <v/>
      </c>
      <c r="FQ214" s="66" t="str">
        <f t="shared" si="3415"/>
        <v/>
      </c>
      <c r="FR214" s="66" t="str">
        <f t="shared" si="3415"/>
        <v/>
      </c>
      <c r="FS214" s="66" t="str">
        <f t="shared" si="3415"/>
        <v/>
      </c>
    </row>
    <row r="215" spans="1:175" ht="16.5">
      <c r="A215" s="2"/>
      <c r="B215" s="156" t="s">
        <v>921</v>
      </c>
      <c r="C215" s="156" t="s">
        <v>917</v>
      </c>
      <c r="E215" s="91"/>
      <c r="F215" s="43"/>
      <c r="G215" s="39"/>
      <c r="H215" s="39"/>
      <c r="I215" s="39"/>
      <c r="J215" s="39"/>
      <c r="K215" s="39"/>
      <c r="L215" s="39"/>
      <c r="M215" s="39"/>
      <c r="N215" s="39"/>
      <c r="O215" s="39"/>
      <c r="P215" s="92"/>
      <c r="Q215" s="92"/>
      <c r="R215" s="92"/>
      <c r="S215" s="95"/>
      <c r="T215" s="150" t="s">
        <v>922</v>
      </c>
      <c r="U215" s="77" t="str">
        <f>"ReplaceableTextures\\CommandButtons\\BTNR"&amp;RIGHT(B215,3)&amp;".blp"</f>
        <v>ReplaceableTextures\\CommandButtons\\BTNRY4C.blp</v>
      </c>
      <c r="V215" s="10"/>
      <c r="Z215" s="10"/>
      <c r="AG215" s="98"/>
      <c r="AL215" s="98"/>
      <c r="BC215" s="99"/>
      <c r="BD215" s="99"/>
      <c r="CU215" s="88" t="str">
        <f t="shared" ref="CU215" si="3488">CONCATENATE(DB215,DC215,DD215,DE215,DF215,DG215,DH215,DI215,DJ215,DK215,DL215,DM215,DN215,DO215,DP215,DQ215,DR215,DS215,DT215,DU215,DV215,DW215,DX215,DY215,DZ215,EA215,EB215,EC215,ED215,EE215,EF215,EG215,EH215,EI215,EJ215,EK215,EL215,EM215,EN215,EO215,EP215,EQ215,ER215,ES215,ET215,EU215,EV215,EW215,EX215,EY215,EZ215,FA215,FB215,FC215,FD215,FE215,FF215,FG215,FH215,FI215,FJ215,FK215,FL215,FM215,FN215,FO215,FP215,FQ215,FR215,FS215&amp;"|n")</f>
        <v>|n</v>
      </c>
      <c r="CV215" s="19" t="str">
        <f t="shared" si="3336"/>
        <v>代码生成</v>
      </c>
      <c r="CW215" s="33"/>
      <c r="CX215" s="33"/>
      <c r="CY215" s="33"/>
      <c r="CZ215" s="33"/>
      <c r="DA215" s="33"/>
      <c r="DB215" s="66" t="str">
        <f t="shared" ref="DB215" si="3489">IF(V215="","","|n"&amp;DB$2&amp;"+"&amp;V215&amp;DB$1)</f>
        <v/>
      </c>
      <c r="DC215" s="66" t="str">
        <f t="shared" ref="DC215" si="3490">IF(W215="","","|n"&amp;DC$2&amp;"+"&amp;W215&amp;DC$1)</f>
        <v/>
      </c>
      <c r="DD215" s="66" t="str">
        <f t="shared" ref="DD215" si="3491">IF(X215="","","|n"&amp;DD$2&amp;"+"&amp;X215&amp;DD$1)</f>
        <v/>
      </c>
      <c r="DE215" s="66" t="str">
        <f t="shared" ref="DE215" si="3492">IF(Y215="","","|n"&amp;DE$2&amp;"+"&amp;Y215&amp;DE$1)</f>
        <v/>
      </c>
      <c r="DF215" s="66" t="str">
        <f t="shared" ref="DF215" si="3493">IF(Z215="","","|n"&amp;DF$2&amp;"+"&amp;Z215&amp;DF$1)</f>
        <v/>
      </c>
      <c r="DG215" s="66" t="str">
        <f t="shared" ref="DG215" si="3494">IF(AA215="","","|n"&amp;DG$2&amp;"+"&amp;AA215&amp;DG$1)</f>
        <v/>
      </c>
      <c r="DH215" s="66" t="str">
        <f t="shared" ref="DH215" si="3495">IF(AB215="","","|n"&amp;DH$2&amp;"+"&amp;AB215&amp;DH$1)</f>
        <v/>
      </c>
      <c r="DI215" s="66" t="str">
        <f t="shared" ref="DI215" si="3496">IF(AC215="","","|n"&amp;DI$2&amp;"+"&amp;AC215&amp;DI$1)</f>
        <v/>
      </c>
      <c r="DJ215" s="66" t="str">
        <f t="shared" ref="DJ215" si="3497">IF(AD215="","","|n"&amp;DJ$2&amp;"+"&amp;AD215&amp;DJ$1)</f>
        <v/>
      </c>
      <c r="DK215" s="66" t="str">
        <f t="shared" ref="DK215" si="3498">IF(AE215="","","|n"&amp;DK$2&amp;"+"&amp;AE215&amp;DK$1)</f>
        <v/>
      </c>
      <c r="DL215" s="66" t="str">
        <f t="shared" ref="DL215" si="3499">IF(AF215="","","|n"&amp;DL$2&amp;"+"&amp;AF215&amp;DL$1)</f>
        <v/>
      </c>
      <c r="DM215" s="66" t="str">
        <f t="shared" ref="DM215" si="3500">IF(AG215="","","|n"&amp;DM$2&amp;"+"&amp;AG215&amp;DM$1)</f>
        <v/>
      </c>
      <c r="DN215" s="66" t="str">
        <f t="shared" ref="DN215" si="3501">IF(AH215="","","|n"&amp;DN$2&amp;"+"&amp;AH215&amp;DN$1)</f>
        <v/>
      </c>
      <c r="DO215" s="66" t="str">
        <f t="shared" ref="DO215" si="3502">IF(AI215="","","|n"&amp;DO$2&amp;"+"&amp;AI215&amp;DO$1)</f>
        <v/>
      </c>
      <c r="DP215" s="66" t="str">
        <f t="shared" ref="DP215" si="3503">IF(AJ215="","","|n"&amp;DP$2&amp;"+"&amp;AJ215&amp;DP$1)</f>
        <v/>
      </c>
      <c r="DQ215" s="66" t="str">
        <f t="shared" ref="DQ215" si="3504">IF(AK215="","","|n"&amp;DQ$2&amp;"+"&amp;AK215&amp;DQ$1)</f>
        <v/>
      </c>
      <c r="DR215" s="66" t="str">
        <f t="shared" ref="DR215" si="3505">IF(AL215="","","|n"&amp;DR$2&amp;"+"&amp;AL215&amp;DR$1)</f>
        <v/>
      </c>
      <c r="DS215" s="66" t="str">
        <f t="shared" ref="DS215" si="3506">IF(AM215="","","|n"&amp;DS$2&amp;"+"&amp;AM215&amp;DS$1)</f>
        <v/>
      </c>
      <c r="DT215" s="66" t="str">
        <f t="shared" ref="DT215" si="3507">IF(AN215="","","|n"&amp;DT$2&amp;"+"&amp;AN215&amp;DT$1)</f>
        <v/>
      </c>
      <c r="DU215" s="66" t="str">
        <f t="shared" ref="DU215" si="3508">IF(AO215="","","|n"&amp;DU$2&amp;"+"&amp;AO215&amp;DU$1)</f>
        <v/>
      </c>
      <c r="DV215" s="66" t="str">
        <f t="shared" ref="DV215" si="3509">IF(AP215="","","|n"&amp;DV$2&amp;"+"&amp;AP215&amp;DV$1)</f>
        <v/>
      </c>
      <c r="DW215" s="66" t="str">
        <f t="shared" ref="DW215" si="3510">IF(AQ215="","","|n"&amp;DW$2&amp;"+"&amp;AQ215&amp;DW$1)</f>
        <v/>
      </c>
      <c r="DX215" s="66" t="str">
        <f t="shared" ref="DX215" si="3511">IF(AR215="","","|n"&amp;DX$2&amp;"+"&amp;AR215&amp;DX$1)</f>
        <v/>
      </c>
      <c r="DY215" s="66" t="str">
        <f t="shared" ref="DY215" si="3512">IF(AS215="","","|n"&amp;DY$2&amp;"+"&amp;AS215&amp;DY$1)</f>
        <v/>
      </c>
      <c r="DZ215" s="66" t="str">
        <f t="shared" ref="DZ215" si="3513">IF(AT215="","","|n"&amp;DZ$2&amp;"+"&amp;AT215&amp;DZ$1)</f>
        <v/>
      </c>
      <c r="EA215" s="66" t="str">
        <f t="shared" ref="EA215" si="3514">IF(AU215="","","|n"&amp;EA$2&amp;"+"&amp;AU215&amp;EA$1)</f>
        <v/>
      </c>
      <c r="EB215" s="66" t="str">
        <f t="shared" ref="EB215" si="3515">IF(AV215="","","|n"&amp;EB$2&amp;"+"&amp;AV215&amp;EB$1)</f>
        <v/>
      </c>
      <c r="EC215" s="66" t="str">
        <f t="shared" ref="EC215" si="3516">IF(AW215="","","|n"&amp;EC$2&amp;"+"&amp;AW215&amp;EC$1)</f>
        <v/>
      </c>
      <c r="ED215" s="66" t="str">
        <f t="shared" ref="ED215" si="3517">IF(AX215="","","|n"&amp;ED$2&amp;"+"&amp;AX215&amp;ED$1)</f>
        <v/>
      </c>
      <c r="EE215" s="66" t="str">
        <f t="shared" ref="EE215" si="3518">IF(AY215="","","|n"&amp;EE$2&amp;"+"&amp;AY215&amp;EE$1)</f>
        <v/>
      </c>
      <c r="EF215" s="66" t="str">
        <f t="shared" ref="EF215" si="3519">IF(AZ215="","","|n"&amp;EF$2&amp;"+"&amp;AZ215&amp;EF$1)</f>
        <v/>
      </c>
      <c r="EG215" s="66" t="str">
        <f t="shared" ref="EG215" si="3520">IF(BA215="","","|n"&amp;EG$2&amp;"+"&amp;BA215&amp;EG$1)</f>
        <v/>
      </c>
      <c r="EH215" s="66" t="str">
        <f t="shared" ref="EH215" si="3521">IF(BB215="","","|n"&amp;EH$2&amp;"+"&amp;BB215&amp;EH$1)</f>
        <v/>
      </c>
      <c r="EI215" s="66" t="str">
        <f t="shared" ref="EI215" si="3522">IF(BC215="","","|n"&amp;EI$2&amp;"+"&amp;BC215&amp;EI$1)</f>
        <v/>
      </c>
      <c r="EJ215" s="66" t="str">
        <f t="shared" ref="EJ215" si="3523">IF(BD215="","","|n"&amp;EJ$2&amp;"+"&amp;BD215&amp;EJ$1)</f>
        <v/>
      </c>
      <c r="EK215" s="66" t="str">
        <f t="shared" ref="EK215" si="3524">IF(BE215="","","|n"&amp;EK$2&amp;"+"&amp;BE215&amp;EK$1)</f>
        <v/>
      </c>
      <c r="EL215" s="66" t="str">
        <f t="shared" ref="EL215" si="3525">IF(BF215="","","|n"&amp;EL$2&amp;"+"&amp;BF215&amp;EL$1)</f>
        <v/>
      </c>
      <c r="EM215" s="66" t="str">
        <f t="shared" ref="EM215" si="3526">IF(BG215="","","|n"&amp;EM$2&amp;"+"&amp;BG215&amp;EM$1)</f>
        <v/>
      </c>
      <c r="EN215" s="66" t="str">
        <f t="shared" ref="EN215" si="3527">IF(BH215="","","|n"&amp;EN$2&amp;"+"&amp;BH215&amp;EN$1)</f>
        <v/>
      </c>
      <c r="EO215" s="66" t="str">
        <f t="shared" ref="EO215" si="3528">IF(BI215="","","|n"&amp;EO$2&amp;"+"&amp;BI215&amp;EO$1)</f>
        <v/>
      </c>
      <c r="EP215" s="66" t="str">
        <f t="shared" ref="EP215" si="3529">IF(BJ215="","","|n"&amp;EP$2&amp;"+"&amp;BJ215&amp;EP$1)</f>
        <v/>
      </c>
      <c r="EQ215" s="66" t="str">
        <f t="shared" ref="EQ215" si="3530">IF(BK215="","","|n"&amp;EQ$2&amp;"+"&amp;BK215&amp;EQ$1)</f>
        <v/>
      </c>
      <c r="ER215" s="66" t="str">
        <f t="shared" ref="ER215" si="3531">IF(BL215="","","|n"&amp;ER$2&amp;"+"&amp;BL215&amp;ER$1)</f>
        <v/>
      </c>
      <c r="ES215" s="66" t="str">
        <f t="shared" ref="ES215" si="3532">IF(BM215="","","|n"&amp;ES$2&amp;"+"&amp;BM215&amp;ES$1)</f>
        <v/>
      </c>
      <c r="ET215" s="66" t="str">
        <f t="shared" ref="ET215" si="3533">IF(BN215="","","|n"&amp;ET$2&amp;"+"&amp;BN215&amp;ET$1)</f>
        <v/>
      </c>
      <c r="EU215" s="66" t="str">
        <f t="shared" ref="EU215" si="3534">IF(BO215="","","|n"&amp;EU$2&amp;"+"&amp;BO215&amp;EU$1)</f>
        <v/>
      </c>
      <c r="EV215" s="66" t="str">
        <f t="shared" ref="EV215" si="3535">IF(BP215="","","|n"&amp;EV$2&amp;"+"&amp;BP215&amp;EV$1)</f>
        <v/>
      </c>
      <c r="EW215" s="66" t="str">
        <f t="shared" ref="EW215" si="3536">IF(BQ215="","","|n"&amp;EW$2&amp;"+"&amp;BQ215&amp;EW$1)</f>
        <v/>
      </c>
      <c r="EX215" s="66" t="str">
        <f t="shared" ref="EX215" si="3537">IF(BR215="","","|n"&amp;EX$2&amp;"+"&amp;BR215&amp;EX$1)</f>
        <v/>
      </c>
      <c r="EY215" s="66" t="str">
        <f t="shared" ref="EY215" si="3538">IF(BS215="","","|n"&amp;EY$2&amp;"+"&amp;BS215&amp;EY$1)</f>
        <v/>
      </c>
      <c r="EZ215" s="66" t="str">
        <f t="shared" ref="EZ215" si="3539">IF(BT215="","","|n"&amp;EZ$2&amp;"+"&amp;BT215&amp;EZ$1)</f>
        <v/>
      </c>
      <c r="FA215" s="66" t="str">
        <f t="shared" ref="FA215" si="3540">IF(BU215="","","|n"&amp;FA$2&amp;"+"&amp;BU215&amp;FA$1)</f>
        <v/>
      </c>
      <c r="FB215" s="66" t="str">
        <f t="shared" ref="FB215" si="3541">IF(BV215="","","|n"&amp;FB$2&amp;"+"&amp;BV215&amp;FB$1)</f>
        <v/>
      </c>
      <c r="FC215" s="66" t="str">
        <f t="shared" ref="FC215" si="3542">IF(BW215="","","|n"&amp;FC$2&amp;"+"&amp;BW215&amp;FC$1)</f>
        <v/>
      </c>
      <c r="FD215" s="66" t="str">
        <f t="shared" ref="FD215" si="3543">IF(BX215="","","|n"&amp;FD$2&amp;"+"&amp;BX215&amp;FD$1)</f>
        <v/>
      </c>
      <c r="FE215" s="66" t="str">
        <f t="shared" ref="FE215" si="3544">IF(BY215="","","|n"&amp;FE$2&amp;"+"&amp;BY215&amp;FE$1)</f>
        <v/>
      </c>
      <c r="FF215" s="66" t="str">
        <f t="shared" ref="FF215" si="3545">IF(BZ215="","","|n"&amp;FF$2&amp;"+"&amp;BZ215&amp;FF$1)</f>
        <v/>
      </c>
      <c r="FG215" s="66" t="str">
        <f t="shared" ref="FG215" si="3546">IF(CA215="","","|n"&amp;FG$2&amp;"+"&amp;CA215&amp;FG$1)</f>
        <v/>
      </c>
      <c r="FH215" s="66" t="str">
        <f t="shared" ref="FH215" si="3547">IF(CB215="","","|n"&amp;FH$2&amp;"+"&amp;CB215&amp;FH$1)</f>
        <v/>
      </c>
      <c r="FI215" s="66" t="str">
        <f t="shared" ref="FI215" si="3548">IF(CC215="","","|n"&amp;FI$2&amp;"+"&amp;CC215&amp;FI$1)</f>
        <v/>
      </c>
      <c r="FJ215" s="66" t="str">
        <f t="shared" ref="FJ215" si="3549">IF(CD215="","","|n"&amp;FJ$2&amp;"+"&amp;CD215&amp;FJ$1)</f>
        <v/>
      </c>
      <c r="FK215" s="66" t="str">
        <f t="shared" ref="FK215" si="3550">IF(CE215="","","|n"&amp;FK$2&amp;"+"&amp;CE215&amp;FK$1)</f>
        <v/>
      </c>
      <c r="FL215" s="66" t="str">
        <f t="shared" ref="FL215" si="3551">IF(CF215="","","|n"&amp;FL$2&amp;"+"&amp;CF215&amp;FL$1)</f>
        <v/>
      </c>
      <c r="FM215" s="66" t="str">
        <f t="shared" ref="FM215" si="3552">IF(CG215="","","|n"&amp;FM$2&amp;"+"&amp;CG215&amp;FM$1)</f>
        <v/>
      </c>
      <c r="FN215" s="66" t="str">
        <f t="shared" ref="FN215" si="3553">IF(CH215="","","|n"&amp;FN$2&amp;"+"&amp;CH215&amp;FN$1)</f>
        <v/>
      </c>
      <c r="FO215" s="66" t="str">
        <f t="shared" ref="FO215" si="3554">IF(CI215="","","|n"&amp;FO$2&amp;"+"&amp;CI215&amp;FO$1)</f>
        <v/>
      </c>
      <c r="FP215" s="66" t="str">
        <f t="shared" ref="FP215" si="3555">IF(CJ215="","","|n"&amp;FP$2&amp;"+"&amp;CJ215&amp;FP$1)</f>
        <v/>
      </c>
      <c r="FQ215" s="66" t="str">
        <f t="shared" ref="FQ215" si="3556">IF(CK215="","","|n"&amp;FQ$2&amp;"+"&amp;CK215&amp;FQ$1)</f>
        <v/>
      </c>
      <c r="FR215" s="66" t="str">
        <f t="shared" ref="FR215" si="3557">IF(CL215="","","|n"&amp;FR$2&amp;"+"&amp;CL215&amp;FR$1)</f>
        <v/>
      </c>
      <c r="FS215" s="66" t="str">
        <f t="shared" ref="FS215" si="3558">IF(CM215="","","|n"&amp;FS$2&amp;"+"&amp;CM215&amp;FS$1)</f>
        <v/>
      </c>
    </row>
    <row r="216" spans="1:175" ht="16.5">
      <c r="A216" s="109"/>
      <c r="B216" s="27" t="s">
        <v>747</v>
      </c>
      <c r="C216" s="29" t="s">
        <v>748</v>
      </c>
      <c r="T216" s="115"/>
      <c r="U216" s="77"/>
      <c r="CN216" s="36" t="str">
        <f t="shared" ref="CN216:CN242" si="3559">"InitUnitState('"&amp;B216&amp;"',"&amp;V216&amp;","&amp;W216&amp;","&amp;X216&amp;","&amp;Y216&amp;","&amp;Z216&amp;","&amp;AA216&amp;","&amp;AB216&amp;","&amp;AC216&amp;","&amp;AD216&amp;","&amp;AE216&amp;")"</f>
        <v>InitUnitState('IF01',,,,,,,,,,)</v>
      </c>
      <c r="CO216" s="36" t="str">
        <f t="shared" ref="CO216:CO242" si="3560">"InitUnitNormal('"&amp;B216&amp;"',"&amp;AF216&amp;","&amp;AG216&amp;","&amp;AH216&amp;","&amp;AI216&amp;","&amp;AJ216&amp;","&amp;AK216&amp;","&amp;AL216&amp;","&amp;AM216&amp;","&amp;AN216&amp;","&amp;AO216&amp;")"</f>
        <v>InitUnitNormal('IF01',,,,,,,,,,)</v>
      </c>
      <c r="CP216" s="36" t="str">
        <f t="shared" ref="CP216:CP242" si="3561">"InitUnitMagic('"&amp;B216&amp;"',"&amp;AP216&amp;","&amp;AQ216&amp;","&amp;AR216&amp;","&amp;AS216&amp;","&amp;AT216&amp;","&amp;AU216&amp;","&amp;AV216&amp;","&amp;AW216&amp;","&amp;BI216&amp;","&amp;BJ216&amp;")"</f>
        <v>InitUnitMagic('IF01',,,,,,,,,,)</v>
      </c>
      <c r="CQ216" s="36" t="str">
        <f t="shared" ref="CQ216:CQ242" si="3562">"InitUnitAdd('"&amp;B216&amp;"',"&amp;BK216&amp;","&amp;BL216&amp;","&amp;BM216&amp;","&amp;BN216&amp;","&amp;BO216&amp;","&amp;BP216&amp;","&amp;BQ216&amp;","&amp;BR216&amp;","&amp;BS216&amp;","&amp;BT216&amp;")"</f>
        <v>InitUnitAdd('IF01',,,,,,,,,,)</v>
      </c>
      <c r="CR216" s="36" t="str">
        <f t="shared" ref="CR216:CR258" si="3563"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InitEquipData('IF01',,"",,,,,'','','','','','',"")</v>
      </c>
      <c r="CU216" s="88" t="str">
        <f t="shared" ref="CU216:CU238" si="3564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W216" s="33"/>
      <c r="CX216" s="33"/>
      <c r="CY216" s="33"/>
      <c r="CZ216" s="33"/>
      <c r="DA216" s="33"/>
      <c r="DB216" s="66" t="str">
        <f t="shared" ref="DB216:DB238" si="3565">IF(V216="","","|n"&amp;DB$2&amp;"+"&amp;V216&amp;DB$1)</f>
        <v/>
      </c>
      <c r="DC216" s="66" t="str">
        <f t="shared" ref="DC216:DC238" si="3566">IF(W216="","","|n"&amp;DC$2&amp;"+"&amp;W216&amp;DC$1)</f>
        <v/>
      </c>
      <c r="DD216" s="66" t="str">
        <f t="shared" ref="DD216:DD238" si="3567">IF(X216="","","|n"&amp;DD$2&amp;"+"&amp;X216&amp;DD$1)</f>
        <v/>
      </c>
      <c r="DE216" s="66" t="str">
        <f t="shared" ref="DE216:DE238" si="3568">IF(Y216="","","|n"&amp;DE$2&amp;"+"&amp;Y216&amp;DE$1)</f>
        <v/>
      </c>
      <c r="DF216" s="66" t="str">
        <f t="shared" ref="DF216:DF238" si="3569">IF(Z216="","","|n"&amp;DF$2&amp;"+"&amp;Z216&amp;DF$1)</f>
        <v/>
      </c>
      <c r="DG216" s="66" t="str">
        <f t="shared" ref="DG216:DG238" si="3570">IF(AA216="","","|n"&amp;DG$2&amp;"+"&amp;AA216&amp;DG$1)</f>
        <v/>
      </c>
      <c r="DH216" s="66" t="str">
        <f t="shared" ref="DH216:DH238" si="3571">IF(AB216="","","|n"&amp;DH$2&amp;"+"&amp;AB216&amp;DH$1)</f>
        <v/>
      </c>
      <c r="DI216" s="66" t="str">
        <f t="shared" ref="DI216:DI238" si="3572">IF(AC216="","","|n"&amp;DI$2&amp;"+"&amp;AC216&amp;DI$1)</f>
        <v/>
      </c>
      <c r="DJ216" s="66" t="str">
        <f t="shared" ref="DJ216:DJ238" si="3573">IF(AD216="","","|n"&amp;DJ$2&amp;"+"&amp;AD216&amp;DJ$1)</f>
        <v/>
      </c>
      <c r="DK216" s="66" t="str">
        <f t="shared" ref="DK216:DK238" si="3574">IF(AE216="","","|n"&amp;DK$2&amp;"+"&amp;AE216&amp;DK$1)</f>
        <v/>
      </c>
      <c r="DL216" s="66" t="str">
        <f t="shared" ref="DL216:DL238" si="3575">IF(AF216="","","|n"&amp;DL$2&amp;"+"&amp;AF216&amp;DL$1)</f>
        <v/>
      </c>
      <c r="DM216" s="66" t="str">
        <f t="shared" ref="DM216:DM238" si="3576">IF(AG216="","","|n"&amp;DM$2&amp;"+"&amp;AG216&amp;DM$1)</f>
        <v/>
      </c>
      <c r="DN216" s="66" t="str">
        <f t="shared" ref="DN216:DN238" si="3577">IF(AH216="","","|n"&amp;DN$2&amp;"+"&amp;AH216&amp;DN$1)</f>
        <v/>
      </c>
      <c r="DO216" s="66" t="str">
        <f t="shared" ref="DO216:DO238" si="3578">IF(AI216="","","|n"&amp;DO$2&amp;"+"&amp;AI216&amp;DO$1)</f>
        <v/>
      </c>
      <c r="DP216" s="66" t="str">
        <f t="shared" ref="DP216:DP238" si="3579">IF(AJ216="","","|n"&amp;DP$2&amp;"+"&amp;AJ216&amp;DP$1)</f>
        <v/>
      </c>
      <c r="DQ216" s="66" t="str">
        <f t="shared" ref="DQ216:DQ238" si="3580">IF(AK216="","","|n"&amp;DQ$2&amp;"+"&amp;AK216&amp;DQ$1)</f>
        <v/>
      </c>
      <c r="DR216" s="66" t="str">
        <f t="shared" ref="DR216:DR238" si="3581">IF(AL216="","","|n"&amp;DR$2&amp;"+"&amp;AL216&amp;DR$1)</f>
        <v/>
      </c>
      <c r="DS216" s="66" t="str">
        <f t="shared" ref="DS216:DS238" si="3582">IF(AM216="","","|n"&amp;DS$2&amp;"+"&amp;AM216&amp;DS$1)</f>
        <v/>
      </c>
      <c r="DT216" s="66" t="str">
        <f t="shared" ref="DT216:DT238" si="3583">IF(AN216="","","|n"&amp;DT$2&amp;"+"&amp;AN216&amp;DT$1)</f>
        <v/>
      </c>
      <c r="DU216" s="66" t="str">
        <f t="shared" ref="DU216:DU238" si="3584">IF(AO216="","","|n"&amp;DU$2&amp;"+"&amp;AO216&amp;DU$1)</f>
        <v/>
      </c>
      <c r="DV216" s="66" t="str">
        <f t="shared" ref="DV216:DV238" si="3585">IF(AP216="","","|n"&amp;DV$2&amp;"+"&amp;AP216&amp;DV$1)</f>
        <v/>
      </c>
      <c r="DW216" s="66" t="str">
        <f t="shared" ref="DW216:DW238" si="3586">IF(AQ216="","","|n"&amp;DW$2&amp;"+"&amp;AQ216&amp;DW$1)</f>
        <v/>
      </c>
      <c r="DX216" s="66" t="str">
        <f t="shared" ref="DX216:DX238" si="3587">IF(AR216="","","|n"&amp;DX$2&amp;"+"&amp;AR216&amp;DX$1)</f>
        <v/>
      </c>
      <c r="DY216" s="66" t="str">
        <f t="shared" ref="DY216:DY238" si="3588">IF(AS216="","","|n"&amp;DY$2&amp;"+"&amp;AS216&amp;DY$1)</f>
        <v/>
      </c>
      <c r="DZ216" s="66" t="str">
        <f t="shared" ref="DZ216:DZ238" si="3589">IF(AT216="","","|n"&amp;DZ$2&amp;"+"&amp;AT216&amp;DZ$1)</f>
        <v/>
      </c>
      <c r="EA216" s="66" t="str">
        <f t="shared" ref="EA216:EA238" si="3590">IF(AU216="","","|n"&amp;EA$2&amp;"+"&amp;AU216&amp;EA$1)</f>
        <v/>
      </c>
      <c r="EB216" s="66" t="str">
        <f t="shared" ref="EB216:EB238" si="3591">IF(AV216="","","|n"&amp;EB$2&amp;"+"&amp;AV216&amp;EB$1)</f>
        <v/>
      </c>
      <c r="EC216" s="66" t="str">
        <f t="shared" ref="EC216:EC238" si="3592">IF(AW216="","","|n"&amp;EC$2&amp;"+"&amp;AW216&amp;EC$1)</f>
        <v/>
      </c>
      <c r="ED216" s="66" t="str">
        <f t="shared" ref="ED216:ED238" si="3593">IF(AX216="","","|n"&amp;ED$2&amp;"+"&amp;AX216&amp;ED$1)</f>
        <v/>
      </c>
      <c r="EE216" s="66" t="str">
        <f t="shared" ref="EE216:EE238" si="3594">IF(AY216="","","|n"&amp;EE$2&amp;"+"&amp;AY216&amp;EE$1)</f>
        <v/>
      </c>
      <c r="EF216" s="66" t="str">
        <f t="shared" ref="EF216:EF238" si="3595">IF(AZ216="","","|n"&amp;EF$2&amp;"+"&amp;AZ216&amp;EF$1)</f>
        <v/>
      </c>
      <c r="EG216" s="66" t="str">
        <f t="shared" ref="EG216:EG238" si="3596">IF(BA216="","","|n"&amp;EG$2&amp;"+"&amp;BA216&amp;EG$1)</f>
        <v/>
      </c>
      <c r="EH216" s="66" t="str">
        <f t="shared" ref="EH216:EH238" si="3597">IF(BB216="","","|n"&amp;EH$2&amp;"+"&amp;BB216&amp;EH$1)</f>
        <v/>
      </c>
      <c r="EI216" s="66" t="str">
        <f t="shared" ref="EI216:EI238" si="3598">IF(BC216="","","|n"&amp;EI$2&amp;"+"&amp;BC216&amp;EI$1)</f>
        <v/>
      </c>
      <c r="EJ216" s="66" t="str">
        <f t="shared" ref="EJ216:EJ238" si="3599">IF(BD216="","","|n"&amp;EJ$2&amp;"+"&amp;BD216&amp;EJ$1)</f>
        <v/>
      </c>
      <c r="EK216" s="66" t="str">
        <f t="shared" ref="EK216:EK238" si="3600">IF(BE216="","","|n"&amp;EK$2&amp;"+"&amp;BE216&amp;EK$1)</f>
        <v/>
      </c>
      <c r="EL216" s="66" t="str">
        <f t="shared" ref="EL216:EL238" si="3601">IF(BF216="","","|n"&amp;EL$2&amp;"+"&amp;BF216&amp;EL$1)</f>
        <v/>
      </c>
      <c r="EM216" s="66" t="str">
        <f t="shared" ref="EM216:EM238" si="3602">IF(BG216="","","|n"&amp;EM$2&amp;"+"&amp;BG216&amp;EM$1)</f>
        <v/>
      </c>
      <c r="EN216" s="66" t="str">
        <f t="shared" ref="EN216:EN238" si="3603">IF(BH216="","","|n"&amp;EN$2&amp;"+"&amp;BH216&amp;EN$1)</f>
        <v/>
      </c>
      <c r="EO216" s="66" t="str">
        <f t="shared" ref="EO216:EO238" si="3604">IF(BI216="","","|n"&amp;EO$2&amp;"+"&amp;BI216&amp;EO$1)</f>
        <v/>
      </c>
      <c r="EP216" s="66" t="str">
        <f t="shared" ref="EP216:EP238" si="3605">IF(BJ216="","","|n"&amp;EP$2&amp;"+"&amp;BJ216&amp;EP$1)</f>
        <v/>
      </c>
      <c r="EQ216" s="66" t="str">
        <f t="shared" ref="EQ216:EQ238" si="3606">IF(BK216="","","|n"&amp;EQ$2&amp;"+"&amp;BK216&amp;EQ$1)</f>
        <v/>
      </c>
      <c r="ER216" s="66" t="str">
        <f t="shared" ref="ER216:ER238" si="3607">IF(BL216="","","|n"&amp;ER$2&amp;"+"&amp;BL216&amp;ER$1)</f>
        <v/>
      </c>
      <c r="ES216" s="66" t="str">
        <f t="shared" ref="ES216:ES238" si="3608">IF(BM216="","","|n"&amp;ES$2&amp;"+"&amp;BM216&amp;ES$1)</f>
        <v/>
      </c>
      <c r="ET216" s="66" t="str">
        <f t="shared" ref="ET216:ET238" si="3609">IF(BN216="","","|n"&amp;ET$2&amp;"+"&amp;BN216&amp;ET$1)</f>
        <v/>
      </c>
      <c r="EU216" s="66" t="str">
        <f t="shared" ref="EU216:EU238" si="3610">IF(BO216="","","|n"&amp;EU$2&amp;"+"&amp;BO216&amp;EU$1)</f>
        <v/>
      </c>
      <c r="EV216" s="66" t="str">
        <f t="shared" ref="EV216:EV238" si="3611">IF(BP216="","","|n"&amp;EV$2&amp;"+"&amp;BP216&amp;EV$1)</f>
        <v/>
      </c>
      <c r="EW216" s="66" t="str">
        <f t="shared" ref="EW216:EW238" si="3612">IF(BQ216="","","|n"&amp;EW$2&amp;"+"&amp;BQ216&amp;EW$1)</f>
        <v/>
      </c>
      <c r="EX216" s="66" t="str">
        <f t="shared" ref="EX216:EX238" si="3613">IF(BR216="","","|n"&amp;EX$2&amp;"+"&amp;BR216&amp;EX$1)</f>
        <v/>
      </c>
      <c r="EY216" s="66" t="str">
        <f t="shared" ref="EY216:EY238" si="3614">IF(BS216="","","|n"&amp;EY$2&amp;"+"&amp;BS216&amp;EY$1)</f>
        <v/>
      </c>
      <c r="EZ216" s="66" t="str">
        <f t="shared" ref="EZ216:EZ238" si="3615">IF(BT216="","","|n"&amp;EZ$2&amp;"+"&amp;BT216&amp;EZ$1)</f>
        <v/>
      </c>
      <c r="FA216" s="66" t="str">
        <f t="shared" ref="FA216:FA238" si="3616">IF(BU216="","","|n"&amp;FA$2&amp;"+"&amp;BU216&amp;FA$1)</f>
        <v/>
      </c>
      <c r="FB216" s="66" t="str">
        <f t="shared" ref="FB216:FB238" si="3617">IF(BV216="","","|n"&amp;FB$2&amp;"+"&amp;BV216&amp;FB$1)</f>
        <v/>
      </c>
      <c r="FC216" s="66" t="str">
        <f t="shared" ref="FC216:FC238" si="3618">IF(BW216="","","|n"&amp;FC$2&amp;"+"&amp;BW216&amp;FC$1)</f>
        <v/>
      </c>
      <c r="FD216" s="66" t="str">
        <f t="shared" ref="FD216:FD238" si="3619">IF(BX216="","","|n"&amp;FD$2&amp;"+"&amp;BX216&amp;FD$1)</f>
        <v/>
      </c>
      <c r="FE216" s="66" t="str">
        <f t="shared" ref="FE216:FE238" si="3620">IF(BY216="","","|n"&amp;FE$2&amp;"+"&amp;BY216&amp;FE$1)</f>
        <v/>
      </c>
      <c r="FF216" s="66" t="str">
        <f t="shared" ref="FF216:FF238" si="3621">IF(BZ216="","","|n"&amp;FF$2&amp;"+"&amp;BZ216&amp;FF$1)</f>
        <v/>
      </c>
      <c r="FG216" s="66" t="str">
        <f t="shared" ref="FG216:FG238" si="3622">IF(CA216="","","|n"&amp;FG$2&amp;"+"&amp;CA216&amp;FG$1)</f>
        <v/>
      </c>
      <c r="FH216" s="66" t="str">
        <f t="shared" ref="FH216:FH238" si="3623">IF(CB216="","","|n"&amp;FH$2&amp;"+"&amp;CB216&amp;FH$1)</f>
        <v/>
      </c>
      <c r="FI216" s="66" t="str">
        <f t="shared" ref="FI216:FI238" si="3624">IF(CC216="","","|n"&amp;FI$2&amp;"+"&amp;CC216&amp;FI$1)</f>
        <v/>
      </c>
      <c r="FJ216" s="66" t="str">
        <f t="shared" ref="FJ216:FJ238" si="3625">IF(CD216="","","|n"&amp;FJ$2&amp;"+"&amp;CD216&amp;FJ$1)</f>
        <v/>
      </c>
      <c r="FK216" s="66" t="str">
        <f t="shared" ref="FK216:FK238" si="3626">IF(CE216="","","|n"&amp;FK$2&amp;"+"&amp;CE216&amp;FK$1)</f>
        <v/>
      </c>
      <c r="FL216" s="66" t="str">
        <f t="shared" ref="FL216:FL238" si="3627">IF(CF216="","","|n"&amp;FL$2&amp;"+"&amp;CF216&amp;FL$1)</f>
        <v/>
      </c>
      <c r="FM216" s="66" t="str">
        <f t="shared" ref="FM216:FM238" si="3628">IF(CG216="","","|n"&amp;FM$2&amp;"+"&amp;CG216&amp;FM$1)</f>
        <v/>
      </c>
      <c r="FN216" s="66" t="str">
        <f t="shared" ref="FN216:FN238" si="3629">IF(CH216="","","|n"&amp;FN$2&amp;"+"&amp;CH216&amp;FN$1)</f>
        <v/>
      </c>
      <c r="FO216" s="66" t="str">
        <f t="shared" ref="FO216:FO238" si="3630">IF(CI216="","","|n"&amp;FO$2&amp;"+"&amp;CI216&amp;FO$1)</f>
        <v/>
      </c>
      <c r="FP216" s="66" t="str">
        <f t="shared" ref="FP216:FP238" si="3631">IF(CJ216="","","|n"&amp;FP$2&amp;"+"&amp;CJ216&amp;FP$1)</f>
        <v/>
      </c>
      <c r="FQ216" s="66" t="str">
        <f t="shared" ref="FQ216:FQ238" si="3632">IF(CK216="","","|n"&amp;FQ$2&amp;"+"&amp;CK216&amp;FQ$1)</f>
        <v/>
      </c>
      <c r="FR216" s="66" t="str">
        <f t="shared" ref="FR216:FR238" si="3633">IF(CL216="","","|n"&amp;FR$2&amp;"+"&amp;CL216&amp;FR$1)</f>
        <v/>
      </c>
      <c r="FS216" s="66" t="str">
        <f t="shared" ref="FS216:FS238" si="3634">IF(CM216="","","|n"&amp;FS$2&amp;"+"&amp;CM216&amp;FS$1)</f>
        <v/>
      </c>
    </row>
    <row r="217" spans="1:175" ht="16.5">
      <c r="A217" s="109"/>
      <c r="B217" s="27" t="s">
        <v>749</v>
      </c>
      <c r="C217" s="29" t="s">
        <v>748</v>
      </c>
      <c r="T217" s="115"/>
      <c r="U217" s="77"/>
      <c r="CN217" s="36" t="str">
        <f t="shared" si="3559"/>
        <v>InitUnitState('IF02',,,,,,,,,,)</v>
      </c>
      <c r="CO217" s="36" t="str">
        <f t="shared" si="3560"/>
        <v>InitUnitNormal('IF02',,,,,,,,,,)</v>
      </c>
      <c r="CP217" s="36" t="str">
        <f t="shared" si="3561"/>
        <v>InitUnitMagic('IF02',,,,,,,,,,)</v>
      </c>
      <c r="CQ217" s="36" t="str">
        <f t="shared" si="3562"/>
        <v>InitUnitAdd('IF02',,,,,,,,,,)</v>
      </c>
      <c r="CR217" s="36" t="str">
        <f t="shared" si="3563"/>
        <v>InitEquipData('IF02',,"",,,,,'','','','','','',"")</v>
      </c>
      <c r="CU217" s="88" t="str">
        <f t="shared" si="3564"/>
        <v>|n</v>
      </c>
      <c r="CW217" s="33"/>
      <c r="CX217" s="33"/>
      <c r="CY217" s="33"/>
      <c r="CZ217" s="33"/>
      <c r="DA217" s="33"/>
      <c r="DB217" s="66" t="str">
        <f t="shared" si="3565"/>
        <v/>
      </c>
      <c r="DC217" s="66" t="str">
        <f t="shared" si="3566"/>
        <v/>
      </c>
      <c r="DD217" s="66" t="str">
        <f t="shared" si="3567"/>
        <v/>
      </c>
      <c r="DE217" s="66" t="str">
        <f t="shared" si="3568"/>
        <v/>
      </c>
      <c r="DF217" s="66" t="str">
        <f t="shared" si="3569"/>
        <v/>
      </c>
      <c r="DG217" s="66" t="str">
        <f t="shared" si="3570"/>
        <v/>
      </c>
      <c r="DH217" s="66" t="str">
        <f t="shared" si="3571"/>
        <v/>
      </c>
      <c r="DI217" s="66" t="str">
        <f t="shared" si="3572"/>
        <v/>
      </c>
      <c r="DJ217" s="66" t="str">
        <f t="shared" si="3573"/>
        <v/>
      </c>
      <c r="DK217" s="66" t="str">
        <f t="shared" si="3574"/>
        <v/>
      </c>
      <c r="DL217" s="66" t="str">
        <f t="shared" si="3575"/>
        <v/>
      </c>
      <c r="DM217" s="66" t="str">
        <f t="shared" si="3576"/>
        <v/>
      </c>
      <c r="DN217" s="66" t="str">
        <f t="shared" si="3577"/>
        <v/>
      </c>
      <c r="DO217" s="66" t="str">
        <f t="shared" si="3578"/>
        <v/>
      </c>
      <c r="DP217" s="66" t="str">
        <f t="shared" si="3579"/>
        <v/>
      </c>
      <c r="DQ217" s="66" t="str">
        <f t="shared" si="3580"/>
        <v/>
      </c>
      <c r="DR217" s="66" t="str">
        <f t="shared" si="3581"/>
        <v/>
      </c>
      <c r="DS217" s="66" t="str">
        <f t="shared" si="3582"/>
        <v/>
      </c>
      <c r="DT217" s="66" t="str">
        <f t="shared" si="3583"/>
        <v/>
      </c>
      <c r="DU217" s="66" t="str">
        <f t="shared" si="3584"/>
        <v/>
      </c>
      <c r="DV217" s="66" t="str">
        <f t="shared" si="3585"/>
        <v/>
      </c>
      <c r="DW217" s="66" t="str">
        <f t="shared" si="3586"/>
        <v/>
      </c>
      <c r="DX217" s="66" t="str">
        <f t="shared" si="3587"/>
        <v/>
      </c>
      <c r="DY217" s="66" t="str">
        <f t="shared" si="3588"/>
        <v/>
      </c>
      <c r="DZ217" s="66" t="str">
        <f t="shared" si="3589"/>
        <v/>
      </c>
      <c r="EA217" s="66" t="str">
        <f t="shared" si="3590"/>
        <v/>
      </c>
      <c r="EB217" s="66" t="str">
        <f t="shared" si="3591"/>
        <v/>
      </c>
      <c r="EC217" s="66" t="str">
        <f t="shared" si="3592"/>
        <v/>
      </c>
      <c r="ED217" s="66" t="str">
        <f t="shared" si="3593"/>
        <v/>
      </c>
      <c r="EE217" s="66" t="str">
        <f t="shared" si="3594"/>
        <v/>
      </c>
      <c r="EF217" s="66" t="str">
        <f t="shared" si="3595"/>
        <v/>
      </c>
      <c r="EG217" s="66" t="str">
        <f t="shared" si="3596"/>
        <v/>
      </c>
      <c r="EH217" s="66" t="str">
        <f t="shared" si="3597"/>
        <v/>
      </c>
      <c r="EI217" s="66" t="str">
        <f t="shared" si="3598"/>
        <v/>
      </c>
      <c r="EJ217" s="66" t="str">
        <f t="shared" si="3599"/>
        <v/>
      </c>
      <c r="EK217" s="66" t="str">
        <f t="shared" si="3600"/>
        <v/>
      </c>
      <c r="EL217" s="66" t="str">
        <f t="shared" si="3601"/>
        <v/>
      </c>
      <c r="EM217" s="66" t="str">
        <f t="shared" si="3602"/>
        <v/>
      </c>
      <c r="EN217" s="66" t="str">
        <f t="shared" si="3603"/>
        <v/>
      </c>
      <c r="EO217" s="66" t="str">
        <f t="shared" si="3604"/>
        <v/>
      </c>
      <c r="EP217" s="66" t="str">
        <f t="shared" si="3605"/>
        <v/>
      </c>
      <c r="EQ217" s="66" t="str">
        <f t="shared" si="3606"/>
        <v/>
      </c>
      <c r="ER217" s="66" t="str">
        <f t="shared" si="3607"/>
        <v/>
      </c>
      <c r="ES217" s="66" t="str">
        <f t="shared" si="3608"/>
        <v/>
      </c>
      <c r="ET217" s="66" t="str">
        <f t="shared" si="3609"/>
        <v/>
      </c>
      <c r="EU217" s="66" t="str">
        <f t="shared" si="3610"/>
        <v/>
      </c>
      <c r="EV217" s="66" t="str">
        <f t="shared" si="3611"/>
        <v/>
      </c>
      <c r="EW217" s="66" t="str">
        <f t="shared" si="3612"/>
        <v/>
      </c>
      <c r="EX217" s="66" t="str">
        <f t="shared" si="3613"/>
        <v/>
      </c>
      <c r="EY217" s="66" t="str">
        <f t="shared" si="3614"/>
        <v/>
      </c>
      <c r="EZ217" s="66" t="str">
        <f t="shared" si="3615"/>
        <v/>
      </c>
      <c r="FA217" s="66" t="str">
        <f t="shared" si="3616"/>
        <v/>
      </c>
      <c r="FB217" s="66" t="str">
        <f t="shared" si="3617"/>
        <v/>
      </c>
      <c r="FC217" s="66" t="str">
        <f t="shared" si="3618"/>
        <v/>
      </c>
      <c r="FD217" s="66" t="str">
        <f t="shared" si="3619"/>
        <v/>
      </c>
      <c r="FE217" s="66" t="str">
        <f t="shared" si="3620"/>
        <v/>
      </c>
      <c r="FF217" s="66" t="str">
        <f t="shared" si="3621"/>
        <v/>
      </c>
      <c r="FG217" s="66" t="str">
        <f t="shared" si="3622"/>
        <v/>
      </c>
      <c r="FH217" s="66" t="str">
        <f t="shared" si="3623"/>
        <v/>
      </c>
      <c r="FI217" s="66" t="str">
        <f t="shared" si="3624"/>
        <v/>
      </c>
      <c r="FJ217" s="66" t="str">
        <f t="shared" si="3625"/>
        <v/>
      </c>
      <c r="FK217" s="66" t="str">
        <f t="shared" si="3626"/>
        <v/>
      </c>
      <c r="FL217" s="66" t="str">
        <f t="shared" si="3627"/>
        <v/>
      </c>
      <c r="FM217" s="66" t="str">
        <f t="shared" si="3628"/>
        <v/>
      </c>
      <c r="FN217" s="66" t="str">
        <f t="shared" si="3629"/>
        <v/>
      </c>
      <c r="FO217" s="66" t="str">
        <f t="shared" si="3630"/>
        <v/>
      </c>
      <c r="FP217" s="66" t="str">
        <f t="shared" si="3631"/>
        <v/>
      </c>
      <c r="FQ217" s="66" t="str">
        <f t="shared" si="3632"/>
        <v/>
      </c>
      <c r="FR217" s="66" t="str">
        <f t="shared" si="3633"/>
        <v/>
      </c>
      <c r="FS217" s="66" t="str">
        <f t="shared" si="3634"/>
        <v/>
      </c>
    </row>
    <row r="218" spans="1:175" ht="16.5">
      <c r="A218" s="110"/>
      <c r="B218" s="27" t="s">
        <v>750</v>
      </c>
      <c r="C218" s="29" t="s">
        <v>748</v>
      </c>
      <c r="T218" s="116"/>
      <c r="U218" s="77"/>
      <c r="CN218" s="36" t="str">
        <f t="shared" si="3559"/>
        <v>InitUnitState('IF03',,,,,,,,,,)</v>
      </c>
      <c r="CO218" s="36" t="str">
        <f t="shared" si="3560"/>
        <v>InitUnitNormal('IF03',,,,,,,,,,)</v>
      </c>
      <c r="CP218" s="36" t="str">
        <f t="shared" si="3561"/>
        <v>InitUnitMagic('IF03',,,,,,,,,,)</v>
      </c>
      <c r="CQ218" s="36" t="str">
        <f t="shared" si="3562"/>
        <v>InitUnitAdd('IF03',,,,,,,,,,)</v>
      </c>
      <c r="CR218" s="36" t="str">
        <f t="shared" si="3563"/>
        <v>InitEquipData('IF03',,"",,,,,'','','','','','',"")</v>
      </c>
      <c r="CU218" s="88" t="str">
        <f t="shared" si="3564"/>
        <v>|n</v>
      </c>
      <c r="CW218" s="33"/>
      <c r="CX218" s="33"/>
      <c r="CY218" s="33"/>
      <c r="CZ218" s="33"/>
      <c r="DA218" s="33"/>
      <c r="DB218" s="66" t="str">
        <f t="shared" si="3565"/>
        <v/>
      </c>
      <c r="DC218" s="66" t="str">
        <f t="shared" si="3566"/>
        <v/>
      </c>
      <c r="DD218" s="66" t="str">
        <f t="shared" si="3567"/>
        <v/>
      </c>
      <c r="DE218" s="66" t="str">
        <f t="shared" si="3568"/>
        <v/>
      </c>
      <c r="DF218" s="66" t="str">
        <f t="shared" si="3569"/>
        <v/>
      </c>
      <c r="DG218" s="66" t="str">
        <f t="shared" si="3570"/>
        <v/>
      </c>
      <c r="DH218" s="66" t="str">
        <f t="shared" si="3571"/>
        <v/>
      </c>
      <c r="DI218" s="66" t="str">
        <f t="shared" si="3572"/>
        <v/>
      </c>
      <c r="DJ218" s="66" t="str">
        <f t="shared" si="3573"/>
        <v/>
      </c>
      <c r="DK218" s="66" t="str">
        <f t="shared" si="3574"/>
        <v/>
      </c>
      <c r="DL218" s="66" t="str">
        <f t="shared" si="3575"/>
        <v/>
      </c>
      <c r="DM218" s="66" t="str">
        <f t="shared" si="3576"/>
        <v/>
      </c>
      <c r="DN218" s="66" t="str">
        <f t="shared" si="3577"/>
        <v/>
      </c>
      <c r="DO218" s="66" t="str">
        <f t="shared" si="3578"/>
        <v/>
      </c>
      <c r="DP218" s="66" t="str">
        <f t="shared" si="3579"/>
        <v/>
      </c>
      <c r="DQ218" s="66" t="str">
        <f t="shared" si="3580"/>
        <v/>
      </c>
      <c r="DR218" s="66" t="str">
        <f t="shared" si="3581"/>
        <v/>
      </c>
      <c r="DS218" s="66" t="str">
        <f t="shared" si="3582"/>
        <v/>
      </c>
      <c r="DT218" s="66" t="str">
        <f t="shared" si="3583"/>
        <v/>
      </c>
      <c r="DU218" s="66" t="str">
        <f t="shared" si="3584"/>
        <v/>
      </c>
      <c r="DV218" s="66" t="str">
        <f t="shared" si="3585"/>
        <v/>
      </c>
      <c r="DW218" s="66" t="str">
        <f t="shared" si="3586"/>
        <v/>
      </c>
      <c r="DX218" s="66" t="str">
        <f t="shared" si="3587"/>
        <v/>
      </c>
      <c r="DY218" s="66" t="str">
        <f t="shared" si="3588"/>
        <v/>
      </c>
      <c r="DZ218" s="66" t="str">
        <f t="shared" si="3589"/>
        <v/>
      </c>
      <c r="EA218" s="66" t="str">
        <f t="shared" si="3590"/>
        <v/>
      </c>
      <c r="EB218" s="66" t="str">
        <f t="shared" si="3591"/>
        <v/>
      </c>
      <c r="EC218" s="66" t="str">
        <f t="shared" si="3592"/>
        <v/>
      </c>
      <c r="ED218" s="66" t="str">
        <f t="shared" si="3593"/>
        <v/>
      </c>
      <c r="EE218" s="66" t="str">
        <f t="shared" si="3594"/>
        <v/>
      </c>
      <c r="EF218" s="66" t="str">
        <f t="shared" si="3595"/>
        <v/>
      </c>
      <c r="EG218" s="66" t="str">
        <f t="shared" si="3596"/>
        <v/>
      </c>
      <c r="EH218" s="66" t="str">
        <f t="shared" si="3597"/>
        <v/>
      </c>
      <c r="EI218" s="66" t="str">
        <f t="shared" si="3598"/>
        <v/>
      </c>
      <c r="EJ218" s="66" t="str">
        <f t="shared" si="3599"/>
        <v/>
      </c>
      <c r="EK218" s="66" t="str">
        <f t="shared" si="3600"/>
        <v/>
      </c>
      <c r="EL218" s="66" t="str">
        <f t="shared" si="3601"/>
        <v/>
      </c>
      <c r="EM218" s="66" t="str">
        <f t="shared" si="3602"/>
        <v/>
      </c>
      <c r="EN218" s="66" t="str">
        <f t="shared" si="3603"/>
        <v/>
      </c>
      <c r="EO218" s="66" t="str">
        <f t="shared" si="3604"/>
        <v/>
      </c>
      <c r="EP218" s="66" t="str">
        <f t="shared" si="3605"/>
        <v/>
      </c>
      <c r="EQ218" s="66" t="str">
        <f t="shared" si="3606"/>
        <v/>
      </c>
      <c r="ER218" s="66" t="str">
        <f t="shared" si="3607"/>
        <v/>
      </c>
      <c r="ES218" s="66" t="str">
        <f t="shared" si="3608"/>
        <v/>
      </c>
      <c r="ET218" s="66" t="str">
        <f t="shared" si="3609"/>
        <v/>
      </c>
      <c r="EU218" s="66" t="str">
        <f t="shared" si="3610"/>
        <v/>
      </c>
      <c r="EV218" s="66" t="str">
        <f t="shared" si="3611"/>
        <v/>
      </c>
      <c r="EW218" s="66" t="str">
        <f t="shared" si="3612"/>
        <v/>
      </c>
      <c r="EX218" s="66" t="str">
        <f t="shared" si="3613"/>
        <v/>
      </c>
      <c r="EY218" s="66" t="str">
        <f t="shared" si="3614"/>
        <v/>
      </c>
      <c r="EZ218" s="66" t="str">
        <f t="shared" si="3615"/>
        <v/>
      </c>
      <c r="FA218" s="66" t="str">
        <f t="shared" si="3616"/>
        <v/>
      </c>
      <c r="FB218" s="66" t="str">
        <f t="shared" si="3617"/>
        <v/>
      </c>
      <c r="FC218" s="66" t="str">
        <f t="shared" si="3618"/>
        <v/>
      </c>
      <c r="FD218" s="66" t="str">
        <f t="shared" si="3619"/>
        <v/>
      </c>
      <c r="FE218" s="66" t="str">
        <f t="shared" si="3620"/>
        <v/>
      </c>
      <c r="FF218" s="66" t="str">
        <f t="shared" si="3621"/>
        <v/>
      </c>
      <c r="FG218" s="66" t="str">
        <f t="shared" si="3622"/>
        <v/>
      </c>
      <c r="FH218" s="66" t="str">
        <f t="shared" si="3623"/>
        <v/>
      </c>
      <c r="FI218" s="66" t="str">
        <f t="shared" si="3624"/>
        <v/>
      </c>
      <c r="FJ218" s="66" t="str">
        <f t="shared" si="3625"/>
        <v/>
      </c>
      <c r="FK218" s="66" t="str">
        <f t="shared" si="3626"/>
        <v/>
      </c>
      <c r="FL218" s="66" t="str">
        <f t="shared" si="3627"/>
        <v/>
      </c>
      <c r="FM218" s="66" t="str">
        <f t="shared" si="3628"/>
        <v/>
      </c>
      <c r="FN218" s="66" t="str">
        <f t="shared" si="3629"/>
        <v/>
      </c>
      <c r="FO218" s="66" t="str">
        <f t="shared" si="3630"/>
        <v/>
      </c>
      <c r="FP218" s="66" t="str">
        <f t="shared" si="3631"/>
        <v/>
      </c>
      <c r="FQ218" s="66" t="str">
        <f t="shared" si="3632"/>
        <v/>
      </c>
      <c r="FR218" s="66" t="str">
        <f t="shared" si="3633"/>
        <v/>
      </c>
      <c r="FS218" s="66" t="str">
        <f t="shared" si="3634"/>
        <v/>
      </c>
    </row>
    <row r="219" spans="1:175" ht="16.5">
      <c r="A219" s="110"/>
      <c r="B219" s="27" t="s">
        <v>751</v>
      </c>
      <c r="C219" s="29" t="s">
        <v>748</v>
      </c>
      <c r="T219" s="116"/>
      <c r="U219" s="77"/>
      <c r="CN219" s="36" t="str">
        <f t="shared" si="3559"/>
        <v>InitUnitState('IF04',,,,,,,,,,)</v>
      </c>
      <c r="CO219" s="36" t="str">
        <f t="shared" si="3560"/>
        <v>InitUnitNormal('IF04',,,,,,,,,,)</v>
      </c>
      <c r="CP219" s="36" t="str">
        <f t="shared" si="3561"/>
        <v>InitUnitMagic('IF04',,,,,,,,,,)</v>
      </c>
      <c r="CQ219" s="36" t="str">
        <f t="shared" si="3562"/>
        <v>InitUnitAdd('IF04',,,,,,,,,,)</v>
      </c>
      <c r="CR219" s="36" t="str">
        <f t="shared" si="3563"/>
        <v>InitEquipData('IF04',,"",,,,,'','','','','','',"")</v>
      </c>
      <c r="CU219" s="88" t="str">
        <f t="shared" si="3564"/>
        <v>|n</v>
      </c>
      <c r="CW219" s="33"/>
      <c r="CX219" s="33"/>
      <c r="CY219" s="33"/>
      <c r="CZ219" s="33"/>
      <c r="DA219" s="33"/>
      <c r="DB219" s="66" t="str">
        <f t="shared" si="3565"/>
        <v/>
      </c>
      <c r="DC219" s="66" t="str">
        <f t="shared" si="3566"/>
        <v/>
      </c>
      <c r="DD219" s="66" t="str">
        <f t="shared" si="3567"/>
        <v/>
      </c>
      <c r="DE219" s="66" t="str">
        <f t="shared" si="3568"/>
        <v/>
      </c>
      <c r="DF219" s="66" t="str">
        <f t="shared" si="3569"/>
        <v/>
      </c>
      <c r="DG219" s="66" t="str">
        <f t="shared" si="3570"/>
        <v/>
      </c>
      <c r="DH219" s="66" t="str">
        <f t="shared" si="3571"/>
        <v/>
      </c>
      <c r="DI219" s="66" t="str">
        <f t="shared" si="3572"/>
        <v/>
      </c>
      <c r="DJ219" s="66" t="str">
        <f t="shared" si="3573"/>
        <v/>
      </c>
      <c r="DK219" s="66" t="str">
        <f t="shared" si="3574"/>
        <v/>
      </c>
      <c r="DL219" s="66" t="str">
        <f t="shared" si="3575"/>
        <v/>
      </c>
      <c r="DM219" s="66" t="str">
        <f t="shared" si="3576"/>
        <v/>
      </c>
      <c r="DN219" s="66" t="str">
        <f t="shared" si="3577"/>
        <v/>
      </c>
      <c r="DO219" s="66" t="str">
        <f t="shared" si="3578"/>
        <v/>
      </c>
      <c r="DP219" s="66" t="str">
        <f t="shared" si="3579"/>
        <v/>
      </c>
      <c r="DQ219" s="66" t="str">
        <f t="shared" si="3580"/>
        <v/>
      </c>
      <c r="DR219" s="66" t="str">
        <f t="shared" si="3581"/>
        <v/>
      </c>
      <c r="DS219" s="66" t="str">
        <f t="shared" si="3582"/>
        <v/>
      </c>
      <c r="DT219" s="66" t="str">
        <f t="shared" si="3583"/>
        <v/>
      </c>
      <c r="DU219" s="66" t="str">
        <f t="shared" si="3584"/>
        <v/>
      </c>
      <c r="DV219" s="66" t="str">
        <f t="shared" si="3585"/>
        <v/>
      </c>
      <c r="DW219" s="66" t="str">
        <f t="shared" si="3586"/>
        <v/>
      </c>
      <c r="DX219" s="66" t="str">
        <f t="shared" si="3587"/>
        <v/>
      </c>
      <c r="DY219" s="66" t="str">
        <f t="shared" si="3588"/>
        <v/>
      </c>
      <c r="DZ219" s="66" t="str">
        <f t="shared" si="3589"/>
        <v/>
      </c>
      <c r="EA219" s="66" t="str">
        <f t="shared" si="3590"/>
        <v/>
      </c>
      <c r="EB219" s="66" t="str">
        <f t="shared" si="3591"/>
        <v/>
      </c>
      <c r="EC219" s="66" t="str">
        <f t="shared" si="3592"/>
        <v/>
      </c>
      <c r="ED219" s="66" t="str">
        <f t="shared" si="3593"/>
        <v/>
      </c>
      <c r="EE219" s="66" t="str">
        <f t="shared" si="3594"/>
        <v/>
      </c>
      <c r="EF219" s="66" t="str">
        <f t="shared" si="3595"/>
        <v/>
      </c>
      <c r="EG219" s="66" t="str">
        <f t="shared" si="3596"/>
        <v/>
      </c>
      <c r="EH219" s="66" t="str">
        <f t="shared" si="3597"/>
        <v/>
      </c>
      <c r="EI219" s="66" t="str">
        <f t="shared" si="3598"/>
        <v/>
      </c>
      <c r="EJ219" s="66" t="str">
        <f t="shared" si="3599"/>
        <v/>
      </c>
      <c r="EK219" s="66" t="str">
        <f t="shared" si="3600"/>
        <v/>
      </c>
      <c r="EL219" s="66" t="str">
        <f t="shared" si="3601"/>
        <v/>
      </c>
      <c r="EM219" s="66" t="str">
        <f t="shared" si="3602"/>
        <v/>
      </c>
      <c r="EN219" s="66" t="str">
        <f t="shared" si="3603"/>
        <v/>
      </c>
      <c r="EO219" s="66" t="str">
        <f t="shared" si="3604"/>
        <v/>
      </c>
      <c r="EP219" s="66" t="str">
        <f t="shared" si="3605"/>
        <v/>
      </c>
      <c r="EQ219" s="66" t="str">
        <f t="shared" si="3606"/>
        <v/>
      </c>
      <c r="ER219" s="66" t="str">
        <f t="shared" si="3607"/>
        <v/>
      </c>
      <c r="ES219" s="66" t="str">
        <f t="shared" si="3608"/>
        <v/>
      </c>
      <c r="ET219" s="66" t="str">
        <f t="shared" si="3609"/>
        <v/>
      </c>
      <c r="EU219" s="66" t="str">
        <f t="shared" si="3610"/>
        <v/>
      </c>
      <c r="EV219" s="66" t="str">
        <f t="shared" si="3611"/>
        <v/>
      </c>
      <c r="EW219" s="66" t="str">
        <f t="shared" si="3612"/>
        <v/>
      </c>
      <c r="EX219" s="66" t="str">
        <f t="shared" si="3613"/>
        <v/>
      </c>
      <c r="EY219" s="66" t="str">
        <f t="shared" si="3614"/>
        <v/>
      </c>
      <c r="EZ219" s="66" t="str">
        <f t="shared" si="3615"/>
        <v/>
      </c>
      <c r="FA219" s="66" t="str">
        <f t="shared" si="3616"/>
        <v/>
      </c>
      <c r="FB219" s="66" t="str">
        <f t="shared" si="3617"/>
        <v/>
      </c>
      <c r="FC219" s="66" t="str">
        <f t="shared" si="3618"/>
        <v/>
      </c>
      <c r="FD219" s="66" t="str">
        <f t="shared" si="3619"/>
        <v/>
      </c>
      <c r="FE219" s="66" t="str">
        <f t="shared" si="3620"/>
        <v/>
      </c>
      <c r="FF219" s="66" t="str">
        <f t="shared" si="3621"/>
        <v/>
      </c>
      <c r="FG219" s="66" t="str">
        <f t="shared" si="3622"/>
        <v/>
      </c>
      <c r="FH219" s="66" t="str">
        <f t="shared" si="3623"/>
        <v/>
      </c>
      <c r="FI219" s="66" t="str">
        <f t="shared" si="3624"/>
        <v/>
      </c>
      <c r="FJ219" s="66" t="str">
        <f t="shared" si="3625"/>
        <v/>
      </c>
      <c r="FK219" s="66" t="str">
        <f t="shared" si="3626"/>
        <v/>
      </c>
      <c r="FL219" s="66" t="str">
        <f t="shared" si="3627"/>
        <v/>
      </c>
      <c r="FM219" s="66" t="str">
        <f t="shared" si="3628"/>
        <v/>
      </c>
      <c r="FN219" s="66" t="str">
        <f t="shared" si="3629"/>
        <v/>
      </c>
      <c r="FO219" s="66" t="str">
        <f t="shared" si="3630"/>
        <v/>
      </c>
      <c r="FP219" s="66" t="str">
        <f t="shared" si="3631"/>
        <v/>
      </c>
      <c r="FQ219" s="66" t="str">
        <f t="shared" si="3632"/>
        <v/>
      </c>
      <c r="FR219" s="66" t="str">
        <f t="shared" si="3633"/>
        <v/>
      </c>
      <c r="FS219" s="66" t="str">
        <f t="shared" si="3634"/>
        <v/>
      </c>
    </row>
    <row r="220" spans="1:175" ht="16.5">
      <c r="A220" s="110"/>
      <c r="B220" s="27" t="s">
        <v>752</v>
      </c>
      <c r="C220" s="29" t="s">
        <v>748</v>
      </c>
      <c r="T220" s="116"/>
      <c r="U220" s="77"/>
      <c r="CN220" s="36" t="str">
        <f t="shared" si="3559"/>
        <v>InitUnitState('IF05',,,,,,,,,,)</v>
      </c>
      <c r="CO220" s="36" t="str">
        <f t="shared" si="3560"/>
        <v>InitUnitNormal('IF05',,,,,,,,,,)</v>
      </c>
      <c r="CP220" s="36" t="str">
        <f t="shared" si="3561"/>
        <v>InitUnitMagic('IF05',,,,,,,,,,)</v>
      </c>
      <c r="CQ220" s="36" t="str">
        <f t="shared" si="3562"/>
        <v>InitUnitAdd('IF05',,,,,,,,,,)</v>
      </c>
      <c r="CR220" s="36" t="str">
        <f t="shared" si="3563"/>
        <v>InitEquipData('IF05',,"",,,,,'','','','','','',"")</v>
      </c>
      <c r="CU220" s="88" t="str">
        <f t="shared" si="3564"/>
        <v>|n</v>
      </c>
      <c r="CW220" s="33"/>
      <c r="CX220" s="33"/>
      <c r="CY220" s="33"/>
      <c r="CZ220" s="33"/>
      <c r="DA220" s="33"/>
      <c r="DB220" s="66" t="str">
        <f t="shared" si="3565"/>
        <v/>
      </c>
      <c r="DC220" s="66" t="str">
        <f t="shared" si="3566"/>
        <v/>
      </c>
      <c r="DD220" s="66" t="str">
        <f t="shared" si="3567"/>
        <v/>
      </c>
      <c r="DE220" s="66" t="str">
        <f t="shared" si="3568"/>
        <v/>
      </c>
      <c r="DF220" s="66" t="str">
        <f t="shared" si="3569"/>
        <v/>
      </c>
      <c r="DG220" s="66" t="str">
        <f t="shared" si="3570"/>
        <v/>
      </c>
      <c r="DH220" s="66" t="str">
        <f t="shared" si="3571"/>
        <v/>
      </c>
      <c r="DI220" s="66" t="str">
        <f t="shared" si="3572"/>
        <v/>
      </c>
      <c r="DJ220" s="66" t="str">
        <f t="shared" si="3573"/>
        <v/>
      </c>
      <c r="DK220" s="66" t="str">
        <f t="shared" si="3574"/>
        <v/>
      </c>
      <c r="DL220" s="66" t="str">
        <f t="shared" si="3575"/>
        <v/>
      </c>
      <c r="DM220" s="66" t="str">
        <f t="shared" si="3576"/>
        <v/>
      </c>
      <c r="DN220" s="66" t="str">
        <f t="shared" si="3577"/>
        <v/>
      </c>
      <c r="DO220" s="66" t="str">
        <f t="shared" si="3578"/>
        <v/>
      </c>
      <c r="DP220" s="66" t="str">
        <f t="shared" si="3579"/>
        <v/>
      </c>
      <c r="DQ220" s="66" t="str">
        <f t="shared" si="3580"/>
        <v/>
      </c>
      <c r="DR220" s="66" t="str">
        <f t="shared" si="3581"/>
        <v/>
      </c>
      <c r="DS220" s="66" t="str">
        <f t="shared" si="3582"/>
        <v/>
      </c>
      <c r="DT220" s="66" t="str">
        <f t="shared" si="3583"/>
        <v/>
      </c>
      <c r="DU220" s="66" t="str">
        <f t="shared" si="3584"/>
        <v/>
      </c>
      <c r="DV220" s="66" t="str">
        <f t="shared" si="3585"/>
        <v/>
      </c>
      <c r="DW220" s="66" t="str">
        <f t="shared" si="3586"/>
        <v/>
      </c>
      <c r="DX220" s="66" t="str">
        <f t="shared" si="3587"/>
        <v/>
      </c>
      <c r="DY220" s="66" t="str">
        <f t="shared" si="3588"/>
        <v/>
      </c>
      <c r="DZ220" s="66" t="str">
        <f t="shared" si="3589"/>
        <v/>
      </c>
      <c r="EA220" s="66" t="str">
        <f t="shared" si="3590"/>
        <v/>
      </c>
      <c r="EB220" s="66" t="str">
        <f t="shared" si="3591"/>
        <v/>
      </c>
      <c r="EC220" s="66" t="str">
        <f t="shared" si="3592"/>
        <v/>
      </c>
      <c r="ED220" s="66" t="str">
        <f t="shared" si="3593"/>
        <v/>
      </c>
      <c r="EE220" s="66" t="str">
        <f t="shared" si="3594"/>
        <v/>
      </c>
      <c r="EF220" s="66" t="str">
        <f t="shared" si="3595"/>
        <v/>
      </c>
      <c r="EG220" s="66" t="str">
        <f t="shared" si="3596"/>
        <v/>
      </c>
      <c r="EH220" s="66" t="str">
        <f t="shared" si="3597"/>
        <v/>
      </c>
      <c r="EI220" s="66" t="str">
        <f t="shared" si="3598"/>
        <v/>
      </c>
      <c r="EJ220" s="66" t="str">
        <f t="shared" si="3599"/>
        <v/>
      </c>
      <c r="EK220" s="66" t="str">
        <f t="shared" si="3600"/>
        <v/>
      </c>
      <c r="EL220" s="66" t="str">
        <f t="shared" si="3601"/>
        <v/>
      </c>
      <c r="EM220" s="66" t="str">
        <f t="shared" si="3602"/>
        <v/>
      </c>
      <c r="EN220" s="66" t="str">
        <f t="shared" si="3603"/>
        <v/>
      </c>
      <c r="EO220" s="66" t="str">
        <f t="shared" si="3604"/>
        <v/>
      </c>
      <c r="EP220" s="66" t="str">
        <f t="shared" si="3605"/>
        <v/>
      </c>
      <c r="EQ220" s="66" t="str">
        <f t="shared" si="3606"/>
        <v/>
      </c>
      <c r="ER220" s="66" t="str">
        <f t="shared" si="3607"/>
        <v/>
      </c>
      <c r="ES220" s="66" t="str">
        <f t="shared" si="3608"/>
        <v/>
      </c>
      <c r="ET220" s="66" t="str">
        <f t="shared" si="3609"/>
        <v/>
      </c>
      <c r="EU220" s="66" t="str">
        <f t="shared" si="3610"/>
        <v/>
      </c>
      <c r="EV220" s="66" t="str">
        <f t="shared" si="3611"/>
        <v/>
      </c>
      <c r="EW220" s="66" t="str">
        <f t="shared" si="3612"/>
        <v/>
      </c>
      <c r="EX220" s="66" t="str">
        <f t="shared" si="3613"/>
        <v/>
      </c>
      <c r="EY220" s="66" t="str">
        <f t="shared" si="3614"/>
        <v/>
      </c>
      <c r="EZ220" s="66" t="str">
        <f t="shared" si="3615"/>
        <v/>
      </c>
      <c r="FA220" s="66" t="str">
        <f t="shared" si="3616"/>
        <v/>
      </c>
      <c r="FB220" s="66" t="str">
        <f t="shared" si="3617"/>
        <v/>
      </c>
      <c r="FC220" s="66" t="str">
        <f t="shared" si="3618"/>
        <v/>
      </c>
      <c r="FD220" s="66" t="str">
        <f t="shared" si="3619"/>
        <v/>
      </c>
      <c r="FE220" s="66" t="str">
        <f t="shared" si="3620"/>
        <v/>
      </c>
      <c r="FF220" s="66" t="str">
        <f t="shared" si="3621"/>
        <v/>
      </c>
      <c r="FG220" s="66" t="str">
        <f t="shared" si="3622"/>
        <v/>
      </c>
      <c r="FH220" s="66" t="str">
        <f t="shared" si="3623"/>
        <v/>
      </c>
      <c r="FI220" s="66" t="str">
        <f t="shared" si="3624"/>
        <v/>
      </c>
      <c r="FJ220" s="66" t="str">
        <f t="shared" si="3625"/>
        <v/>
      </c>
      <c r="FK220" s="66" t="str">
        <f t="shared" si="3626"/>
        <v/>
      </c>
      <c r="FL220" s="66" t="str">
        <f t="shared" si="3627"/>
        <v/>
      </c>
      <c r="FM220" s="66" t="str">
        <f t="shared" si="3628"/>
        <v/>
      </c>
      <c r="FN220" s="66" t="str">
        <f t="shared" si="3629"/>
        <v/>
      </c>
      <c r="FO220" s="66" t="str">
        <f t="shared" si="3630"/>
        <v/>
      </c>
      <c r="FP220" s="66" t="str">
        <f t="shared" si="3631"/>
        <v/>
      </c>
      <c r="FQ220" s="66" t="str">
        <f t="shared" si="3632"/>
        <v/>
      </c>
      <c r="FR220" s="66" t="str">
        <f t="shared" si="3633"/>
        <v/>
      </c>
      <c r="FS220" s="66" t="str">
        <f t="shared" si="3634"/>
        <v/>
      </c>
    </row>
    <row r="221" spans="1:175" ht="16.5">
      <c r="A221" s="110"/>
      <c r="B221" s="27" t="s">
        <v>753</v>
      </c>
      <c r="C221" s="29" t="s">
        <v>748</v>
      </c>
      <c r="T221" s="116"/>
      <c r="U221" s="77"/>
      <c r="CN221" s="36" t="str">
        <f t="shared" si="3559"/>
        <v>InitUnitState('IF06',,,,,,,,,,)</v>
      </c>
      <c r="CO221" s="36" t="str">
        <f t="shared" si="3560"/>
        <v>InitUnitNormal('IF06',,,,,,,,,,)</v>
      </c>
      <c r="CP221" s="36" t="str">
        <f t="shared" si="3561"/>
        <v>InitUnitMagic('IF06',,,,,,,,,,)</v>
      </c>
      <c r="CQ221" s="36" t="str">
        <f t="shared" si="3562"/>
        <v>InitUnitAdd('IF06',,,,,,,,,,)</v>
      </c>
      <c r="CR221" s="36" t="str">
        <f t="shared" si="3563"/>
        <v>InitEquipData('IF06',,"",,,,,'','','','','','',"")</v>
      </c>
      <c r="CU221" s="88" t="str">
        <f t="shared" si="3564"/>
        <v>|n</v>
      </c>
      <c r="CW221" s="33"/>
      <c r="CX221" s="33"/>
      <c r="CY221" s="33"/>
      <c r="CZ221" s="33"/>
      <c r="DA221" s="33"/>
      <c r="DB221" s="66" t="str">
        <f t="shared" si="3565"/>
        <v/>
      </c>
      <c r="DC221" s="66" t="str">
        <f t="shared" si="3566"/>
        <v/>
      </c>
      <c r="DD221" s="66" t="str">
        <f t="shared" si="3567"/>
        <v/>
      </c>
      <c r="DE221" s="66" t="str">
        <f t="shared" si="3568"/>
        <v/>
      </c>
      <c r="DF221" s="66" t="str">
        <f t="shared" si="3569"/>
        <v/>
      </c>
      <c r="DG221" s="66" t="str">
        <f t="shared" si="3570"/>
        <v/>
      </c>
      <c r="DH221" s="66" t="str">
        <f t="shared" si="3571"/>
        <v/>
      </c>
      <c r="DI221" s="66" t="str">
        <f t="shared" si="3572"/>
        <v/>
      </c>
      <c r="DJ221" s="66" t="str">
        <f t="shared" si="3573"/>
        <v/>
      </c>
      <c r="DK221" s="66" t="str">
        <f t="shared" si="3574"/>
        <v/>
      </c>
      <c r="DL221" s="66" t="str">
        <f t="shared" si="3575"/>
        <v/>
      </c>
      <c r="DM221" s="66" t="str">
        <f t="shared" si="3576"/>
        <v/>
      </c>
      <c r="DN221" s="66" t="str">
        <f t="shared" si="3577"/>
        <v/>
      </c>
      <c r="DO221" s="66" t="str">
        <f t="shared" si="3578"/>
        <v/>
      </c>
      <c r="DP221" s="66" t="str">
        <f t="shared" si="3579"/>
        <v/>
      </c>
      <c r="DQ221" s="66" t="str">
        <f t="shared" si="3580"/>
        <v/>
      </c>
      <c r="DR221" s="66" t="str">
        <f t="shared" si="3581"/>
        <v/>
      </c>
      <c r="DS221" s="66" t="str">
        <f t="shared" si="3582"/>
        <v/>
      </c>
      <c r="DT221" s="66" t="str">
        <f t="shared" si="3583"/>
        <v/>
      </c>
      <c r="DU221" s="66" t="str">
        <f t="shared" si="3584"/>
        <v/>
      </c>
      <c r="DV221" s="66" t="str">
        <f t="shared" si="3585"/>
        <v/>
      </c>
      <c r="DW221" s="66" t="str">
        <f t="shared" si="3586"/>
        <v/>
      </c>
      <c r="DX221" s="66" t="str">
        <f t="shared" si="3587"/>
        <v/>
      </c>
      <c r="DY221" s="66" t="str">
        <f t="shared" si="3588"/>
        <v/>
      </c>
      <c r="DZ221" s="66" t="str">
        <f t="shared" si="3589"/>
        <v/>
      </c>
      <c r="EA221" s="66" t="str">
        <f t="shared" si="3590"/>
        <v/>
      </c>
      <c r="EB221" s="66" t="str">
        <f t="shared" si="3591"/>
        <v/>
      </c>
      <c r="EC221" s="66" t="str">
        <f t="shared" si="3592"/>
        <v/>
      </c>
      <c r="ED221" s="66" t="str">
        <f t="shared" si="3593"/>
        <v/>
      </c>
      <c r="EE221" s="66" t="str">
        <f t="shared" si="3594"/>
        <v/>
      </c>
      <c r="EF221" s="66" t="str">
        <f t="shared" si="3595"/>
        <v/>
      </c>
      <c r="EG221" s="66" t="str">
        <f t="shared" si="3596"/>
        <v/>
      </c>
      <c r="EH221" s="66" t="str">
        <f t="shared" si="3597"/>
        <v/>
      </c>
      <c r="EI221" s="66" t="str">
        <f t="shared" si="3598"/>
        <v/>
      </c>
      <c r="EJ221" s="66" t="str">
        <f t="shared" si="3599"/>
        <v/>
      </c>
      <c r="EK221" s="66" t="str">
        <f t="shared" si="3600"/>
        <v/>
      </c>
      <c r="EL221" s="66" t="str">
        <f t="shared" si="3601"/>
        <v/>
      </c>
      <c r="EM221" s="66" t="str">
        <f t="shared" si="3602"/>
        <v/>
      </c>
      <c r="EN221" s="66" t="str">
        <f t="shared" si="3603"/>
        <v/>
      </c>
      <c r="EO221" s="66" t="str">
        <f t="shared" si="3604"/>
        <v/>
      </c>
      <c r="EP221" s="66" t="str">
        <f t="shared" si="3605"/>
        <v/>
      </c>
      <c r="EQ221" s="66" t="str">
        <f t="shared" si="3606"/>
        <v/>
      </c>
      <c r="ER221" s="66" t="str">
        <f t="shared" si="3607"/>
        <v/>
      </c>
      <c r="ES221" s="66" t="str">
        <f t="shared" si="3608"/>
        <v/>
      </c>
      <c r="ET221" s="66" t="str">
        <f t="shared" si="3609"/>
        <v/>
      </c>
      <c r="EU221" s="66" t="str">
        <f t="shared" si="3610"/>
        <v/>
      </c>
      <c r="EV221" s="66" t="str">
        <f t="shared" si="3611"/>
        <v/>
      </c>
      <c r="EW221" s="66" t="str">
        <f t="shared" si="3612"/>
        <v/>
      </c>
      <c r="EX221" s="66" t="str">
        <f t="shared" si="3613"/>
        <v/>
      </c>
      <c r="EY221" s="66" t="str">
        <f t="shared" si="3614"/>
        <v/>
      </c>
      <c r="EZ221" s="66" t="str">
        <f t="shared" si="3615"/>
        <v/>
      </c>
      <c r="FA221" s="66" t="str">
        <f t="shared" si="3616"/>
        <v/>
      </c>
      <c r="FB221" s="66" t="str">
        <f t="shared" si="3617"/>
        <v/>
      </c>
      <c r="FC221" s="66" t="str">
        <f t="shared" si="3618"/>
        <v/>
      </c>
      <c r="FD221" s="66" t="str">
        <f t="shared" si="3619"/>
        <v/>
      </c>
      <c r="FE221" s="66" t="str">
        <f t="shared" si="3620"/>
        <v/>
      </c>
      <c r="FF221" s="66" t="str">
        <f t="shared" si="3621"/>
        <v/>
      </c>
      <c r="FG221" s="66" t="str">
        <f t="shared" si="3622"/>
        <v/>
      </c>
      <c r="FH221" s="66" t="str">
        <f t="shared" si="3623"/>
        <v/>
      </c>
      <c r="FI221" s="66" t="str">
        <f t="shared" si="3624"/>
        <v/>
      </c>
      <c r="FJ221" s="66" t="str">
        <f t="shared" si="3625"/>
        <v/>
      </c>
      <c r="FK221" s="66" t="str">
        <f t="shared" si="3626"/>
        <v/>
      </c>
      <c r="FL221" s="66" t="str">
        <f t="shared" si="3627"/>
        <v/>
      </c>
      <c r="FM221" s="66" t="str">
        <f t="shared" si="3628"/>
        <v/>
      </c>
      <c r="FN221" s="66" t="str">
        <f t="shared" si="3629"/>
        <v/>
      </c>
      <c r="FO221" s="66" t="str">
        <f t="shared" si="3630"/>
        <v/>
      </c>
      <c r="FP221" s="66" t="str">
        <f t="shared" si="3631"/>
        <v/>
      </c>
      <c r="FQ221" s="66" t="str">
        <f t="shared" si="3632"/>
        <v/>
      </c>
      <c r="FR221" s="66" t="str">
        <f t="shared" si="3633"/>
        <v/>
      </c>
      <c r="FS221" s="66" t="str">
        <f t="shared" si="3634"/>
        <v/>
      </c>
    </row>
    <row r="222" spans="1:175" ht="16.5">
      <c r="A222" s="110"/>
      <c r="B222" s="27" t="s">
        <v>754</v>
      </c>
      <c r="C222" s="29" t="s">
        <v>748</v>
      </c>
      <c r="T222" s="116"/>
      <c r="U222" s="77"/>
      <c r="CN222" s="36" t="str">
        <f t="shared" si="3559"/>
        <v>InitUnitState('IF07',,,,,,,,,,)</v>
      </c>
      <c r="CO222" s="36" t="str">
        <f t="shared" si="3560"/>
        <v>InitUnitNormal('IF07',,,,,,,,,,)</v>
      </c>
      <c r="CP222" s="36" t="str">
        <f t="shared" si="3561"/>
        <v>InitUnitMagic('IF07',,,,,,,,,,)</v>
      </c>
      <c r="CQ222" s="36" t="str">
        <f t="shared" si="3562"/>
        <v>InitUnitAdd('IF07',,,,,,,,,,)</v>
      </c>
      <c r="CR222" s="36" t="str">
        <f t="shared" si="3563"/>
        <v>InitEquipData('IF07',,"",,,,,'','','','','','',"")</v>
      </c>
      <c r="CU222" s="88" t="str">
        <f t="shared" si="3564"/>
        <v>|n</v>
      </c>
      <c r="CW222" s="33"/>
      <c r="CX222" s="33"/>
      <c r="CY222" s="33"/>
      <c r="CZ222" s="33"/>
      <c r="DA222" s="33"/>
      <c r="DB222" s="66" t="str">
        <f t="shared" si="3565"/>
        <v/>
      </c>
      <c r="DC222" s="66" t="str">
        <f t="shared" si="3566"/>
        <v/>
      </c>
      <c r="DD222" s="66" t="str">
        <f t="shared" si="3567"/>
        <v/>
      </c>
      <c r="DE222" s="66" t="str">
        <f t="shared" si="3568"/>
        <v/>
      </c>
      <c r="DF222" s="66" t="str">
        <f t="shared" si="3569"/>
        <v/>
      </c>
      <c r="DG222" s="66" t="str">
        <f t="shared" si="3570"/>
        <v/>
      </c>
      <c r="DH222" s="66" t="str">
        <f t="shared" si="3571"/>
        <v/>
      </c>
      <c r="DI222" s="66" t="str">
        <f t="shared" si="3572"/>
        <v/>
      </c>
      <c r="DJ222" s="66" t="str">
        <f t="shared" si="3573"/>
        <v/>
      </c>
      <c r="DK222" s="66" t="str">
        <f t="shared" si="3574"/>
        <v/>
      </c>
      <c r="DL222" s="66" t="str">
        <f t="shared" si="3575"/>
        <v/>
      </c>
      <c r="DM222" s="66" t="str">
        <f t="shared" si="3576"/>
        <v/>
      </c>
      <c r="DN222" s="66" t="str">
        <f t="shared" si="3577"/>
        <v/>
      </c>
      <c r="DO222" s="66" t="str">
        <f t="shared" si="3578"/>
        <v/>
      </c>
      <c r="DP222" s="66" t="str">
        <f t="shared" si="3579"/>
        <v/>
      </c>
      <c r="DQ222" s="66" t="str">
        <f t="shared" si="3580"/>
        <v/>
      </c>
      <c r="DR222" s="66" t="str">
        <f t="shared" si="3581"/>
        <v/>
      </c>
      <c r="DS222" s="66" t="str">
        <f t="shared" si="3582"/>
        <v/>
      </c>
      <c r="DT222" s="66" t="str">
        <f t="shared" si="3583"/>
        <v/>
      </c>
      <c r="DU222" s="66" t="str">
        <f t="shared" si="3584"/>
        <v/>
      </c>
      <c r="DV222" s="66" t="str">
        <f t="shared" si="3585"/>
        <v/>
      </c>
      <c r="DW222" s="66" t="str">
        <f t="shared" si="3586"/>
        <v/>
      </c>
      <c r="DX222" s="66" t="str">
        <f t="shared" si="3587"/>
        <v/>
      </c>
      <c r="DY222" s="66" t="str">
        <f t="shared" si="3588"/>
        <v/>
      </c>
      <c r="DZ222" s="66" t="str">
        <f t="shared" si="3589"/>
        <v/>
      </c>
      <c r="EA222" s="66" t="str">
        <f t="shared" si="3590"/>
        <v/>
      </c>
      <c r="EB222" s="66" t="str">
        <f t="shared" si="3591"/>
        <v/>
      </c>
      <c r="EC222" s="66" t="str">
        <f t="shared" si="3592"/>
        <v/>
      </c>
      <c r="ED222" s="66" t="str">
        <f t="shared" si="3593"/>
        <v/>
      </c>
      <c r="EE222" s="66" t="str">
        <f t="shared" si="3594"/>
        <v/>
      </c>
      <c r="EF222" s="66" t="str">
        <f t="shared" si="3595"/>
        <v/>
      </c>
      <c r="EG222" s="66" t="str">
        <f t="shared" si="3596"/>
        <v/>
      </c>
      <c r="EH222" s="66" t="str">
        <f t="shared" si="3597"/>
        <v/>
      </c>
      <c r="EI222" s="66" t="str">
        <f t="shared" si="3598"/>
        <v/>
      </c>
      <c r="EJ222" s="66" t="str">
        <f t="shared" si="3599"/>
        <v/>
      </c>
      <c r="EK222" s="66" t="str">
        <f t="shared" si="3600"/>
        <v/>
      </c>
      <c r="EL222" s="66" t="str">
        <f t="shared" si="3601"/>
        <v/>
      </c>
      <c r="EM222" s="66" t="str">
        <f t="shared" si="3602"/>
        <v/>
      </c>
      <c r="EN222" s="66" t="str">
        <f t="shared" si="3603"/>
        <v/>
      </c>
      <c r="EO222" s="66" t="str">
        <f t="shared" si="3604"/>
        <v/>
      </c>
      <c r="EP222" s="66" t="str">
        <f t="shared" si="3605"/>
        <v/>
      </c>
      <c r="EQ222" s="66" t="str">
        <f t="shared" si="3606"/>
        <v/>
      </c>
      <c r="ER222" s="66" t="str">
        <f t="shared" si="3607"/>
        <v/>
      </c>
      <c r="ES222" s="66" t="str">
        <f t="shared" si="3608"/>
        <v/>
      </c>
      <c r="ET222" s="66" t="str">
        <f t="shared" si="3609"/>
        <v/>
      </c>
      <c r="EU222" s="66" t="str">
        <f t="shared" si="3610"/>
        <v/>
      </c>
      <c r="EV222" s="66" t="str">
        <f t="shared" si="3611"/>
        <v/>
      </c>
      <c r="EW222" s="66" t="str">
        <f t="shared" si="3612"/>
        <v/>
      </c>
      <c r="EX222" s="66" t="str">
        <f t="shared" si="3613"/>
        <v/>
      </c>
      <c r="EY222" s="66" t="str">
        <f t="shared" si="3614"/>
        <v/>
      </c>
      <c r="EZ222" s="66" t="str">
        <f t="shared" si="3615"/>
        <v/>
      </c>
      <c r="FA222" s="66" t="str">
        <f t="shared" si="3616"/>
        <v/>
      </c>
      <c r="FB222" s="66" t="str">
        <f t="shared" si="3617"/>
        <v/>
      </c>
      <c r="FC222" s="66" t="str">
        <f t="shared" si="3618"/>
        <v/>
      </c>
      <c r="FD222" s="66" t="str">
        <f t="shared" si="3619"/>
        <v/>
      </c>
      <c r="FE222" s="66" t="str">
        <f t="shared" si="3620"/>
        <v/>
      </c>
      <c r="FF222" s="66" t="str">
        <f t="shared" si="3621"/>
        <v/>
      </c>
      <c r="FG222" s="66" t="str">
        <f t="shared" si="3622"/>
        <v/>
      </c>
      <c r="FH222" s="66" t="str">
        <f t="shared" si="3623"/>
        <v/>
      </c>
      <c r="FI222" s="66" t="str">
        <f t="shared" si="3624"/>
        <v/>
      </c>
      <c r="FJ222" s="66" t="str">
        <f t="shared" si="3625"/>
        <v/>
      </c>
      <c r="FK222" s="66" t="str">
        <f t="shared" si="3626"/>
        <v/>
      </c>
      <c r="FL222" s="66" t="str">
        <f t="shared" si="3627"/>
        <v/>
      </c>
      <c r="FM222" s="66" t="str">
        <f t="shared" si="3628"/>
        <v/>
      </c>
      <c r="FN222" s="66" t="str">
        <f t="shared" si="3629"/>
        <v/>
      </c>
      <c r="FO222" s="66" t="str">
        <f t="shared" si="3630"/>
        <v/>
      </c>
      <c r="FP222" s="66" t="str">
        <f t="shared" si="3631"/>
        <v/>
      </c>
      <c r="FQ222" s="66" t="str">
        <f t="shared" si="3632"/>
        <v/>
      </c>
      <c r="FR222" s="66" t="str">
        <f t="shared" si="3633"/>
        <v/>
      </c>
      <c r="FS222" s="66" t="str">
        <f t="shared" si="3634"/>
        <v/>
      </c>
    </row>
    <row r="223" spans="1:175" ht="16.5">
      <c r="A223" s="110"/>
      <c r="B223" s="27" t="s">
        <v>755</v>
      </c>
      <c r="C223" s="29" t="s">
        <v>748</v>
      </c>
      <c r="T223" s="116"/>
      <c r="U223" s="77"/>
      <c r="CN223" s="36" t="str">
        <f t="shared" si="3559"/>
        <v>InitUnitState('IF08',,,,,,,,,,)</v>
      </c>
      <c r="CO223" s="36" t="str">
        <f t="shared" si="3560"/>
        <v>InitUnitNormal('IF08',,,,,,,,,,)</v>
      </c>
      <c r="CP223" s="36" t="str">
        <f t="shared" si="3561"/>
        <v>InitUnitMagic('IF08',,,,,,,,,,)</v>
      </c>
      <c r="CQ223" s="36" t="str">
        <f t="shared" si="3562"/>
        <v>InitUnitAdd('IF08',,,,,,,,,,)</v>
      </c>
      <c r="CR223" s="36" t="str">
        <f t="shared" si="3563"/>
        <v>InitEquipData('IF08',,"",,,,,'','','','','','',"")</v>
      </c>
      <c r="CU223" s="88" t="str">
        <f t="shared" si="3564"/>
        <v>|n</v>
      </c>
      <c r="CW223" s="33"/>
      <c r="CX223" s="33"/>
      <c r="CY223" s="33"/>
      <c r="CZ223" s="33"/>
      <c r="DA223" s="33"/>
      <c r="DB223" s="66" t="str">
        <f t="shared" si="3565"/>
        <v/>
      </c>
      <c r="DC223" s="66" t="str">
        <f t="shared" si="3566"/>
        <v/>
      </c>
      <c r="DD223" s="66" t="str">
        <f t="shared" si="3567"/>
        <v/>
      </c>
      <c r="DE223" s="66" t="str">
        <f t="shared" si="3568"/>
        <v/>
      </c>
      <c r="DF223" s="66" t="str">
        <f t="shared" si="3569"/>
        <v/>
      </c>
      <c r="DG223" s="66" t="str">
        <f t="shared" si="3570"/>
        <v/>
      </c>
      <c r="DH223" s="66" t="str">
        <f t="shared" si="3571"/>
        <v/>
      </c>
      <c r="DI223" s="66" t="str">
        <f t="shared" si="3572"/>
        <v/>
      </c>
      <c r="DJ223" s="66" t="str">
        <f t="shared" si="3573"/>
        <v/>
      </c>
      <c r="DK223" s="66" t="str">
        <f t="shared" si="3574"/>
        <v/>
      </c>
      <c r="DL223" s="66" t="str">
        <f t="shared" si="3575"/>
        <v/>
      </c>
      <c r="DM223" s="66" t="str">
        <f t="shared" si="3576"/>
        <v/>
      </c>
      <c r="DN223" s="66" t="str">
        <f t="shared" si="3577"/>
        <v/>
      </c>
      <c r="DO223" s="66" t="str">
        <f t="shared" si="3578"/>
        <v/>
      </c>
      <c r="DP223" s="66" t="str">
        <f t="shared" si="3579"/>
        <v/>
      </c>
      <c r="DQ223" s="66" t="str">
        <f t="shared" si="3580"/>
        <v/>
      </c>
      <c r="DR223" s="66" t="str">
        <f t="shared" si="3581"/>
        <v/>
      </c>
      <c r="DS223" s="66" t="str">
        <f t="shared" si="3582"/>
        <v/>
      </c>
      <c r="DT223" s="66" t="str">
        <f t="shared" si="3583"/>
        <v/>
      </c>
      <c r="DU223" s="66" t="str">
        <f t="shared" si="3584"/>
        <v/>
      </c>
      <c r="DV223" s="66" t="str">
        <f t="shared" si="3585"/>
        <v/>
      </c>
      <c r="DW223" s="66" t="str">
        <f t="shared" si="3586"/>
        <v/>
      </c>
      <c r="DX223" s="66" t="str">
        <f t="shared" si="3587"/>
        <v/>
      </c>
      <c r="DY223" s="66" t="str">
        <f t="shared" si="3588"/>
        <v/>
      </c>
      <c r="DZ223" s="66" t="str">
        <f t="shared" si="3589"/>
        <v/>
      </c>
      <c r="EA223" s="66" t="str">
        <f t="shared" si="3590"/>
        <v/>
      </c>
      <c r="EB223" s="66" t="str">
        <f t="shared" si="3591"/>
        <v/>
      </c>
      <c r="EC223" s="66" t="str">
        <f t="shared" si="3592"/>
        <v/>
      </c>
      <c r="ED223" s="66" t="str">
        <f t="shared" si="3593"/>
        <v/>
      </c>
      <c r="EE223" s="66" t="str">
        <f t="shared" si="3594"/>
        <v/>
      </c>
      <c r="EF223" s="66" t="str">
        <f t="shared" si="3595"/>
        <v/>
      </c>
      <c r="EG223" s="66" t="str">
        <f t="shared" si="3596"/>
        <v/>
      </c>
      <c r="EH223" s="66" t="str">
        <f t="shared" si="3597"/>
        <v/>
      </c>
      <c r="EI223" s="66" t="str">
        <f t="shared" si="3598"/>
        <v/>
      </c>
      <c r="EJ223" s="66" t="str">
        <f t="shared" si="3599"/>
        <v/>
      </c>
      <c r="EK223" s="66" t="str">
        <f t="shared" si="3600"/>
        <v/>
      </c>
      <c r="EL223" s="66" t="str">
        <f t="shared" si="3601"/>
        <v/>
      </c>
      <c r="EM223" s="66" t="str">
        <f t="shared" si="3602"/>
        <v/>
      </c>
      <c r="EN223" s="66" t="str">
        <f t="shared" si="3603"/>
        <v/>
      </c>
      <c r="EO223" s="66" t="str">
        <f t="shared" si="3604"/>
        <v/>
      </c>
      <c r="EP223" s="66" t="str">
        <f t="shared" si="3605"/>
        <v/>
      </c>
      <c r="EQ223" s="66" t="str">
        <f t="shared" si="3606"/>
        <v/>
      </c>
      <c r="ER223" s="66" t="str">
        <f t="shared" si="3607"/>
        <v/>
      </c>
      <c r="ES223" s="66" t="str">
        <f t="shared" si="3608"/>
        <v/>
      </c>
      <c r="ET223" s="66" t="str">
        <f t="shared" si="3609"/>
        <v/>
      </c>
      <c r="EU223" s="66" t="str">
        <f t="shared" si="3610"/>
        <v/>
      </c>
      <c r="EV223" s="66" t="str">
        <f t="shared" si="3611"/>
        <v/>
      </c>
      <c r="EW223" s="66" t="str">
        <f t="shared" si="3612"/>
        <v/>
      </c>
      <c r="EX223" s="66" t="str">
        <f t="shared" si="3613"/>
        <v/>
      </c>
      <c r="EY223" s="66" t="str">
        <f t="shared" si="3614"/>
        <v/>
      </c>
      <c r="EZ223" s="66" t="str">
        <f t="shared" si="3615"/>
        <v/>
      </c>
      <c r="FA223" s="66" t="str">
        <f t="shared" si="3616"/>
        <v/>
      </c>
      <c r="FB223" s="66" t="str">
        <f t="shared" si="3617"/>
        <v/>
      </c>
      <c r="FC223" s="66" t="str">
        <f t="shared" si="3618"/>
        <v/>
      </c>
      <c r="FD223" s="66" t="str">
        <f t="shared" si="3619"/>
        <v/>
      </c>
      <c r="FE223" s="66" t="str">
        <f t="shared" si="3620"/>
        <v/>
      </c>
      <c r="FF223" s="66" t="str">
        <f t="shared" si="3621"/>
        <v/>
      </c>
      <c r="FG223" s="66" t="str">
        <f t="shared" si="3622"/>
        <v/>
      </c>
      <c r="FH223" s="66" t="str">
        <f t="shared" si="3623"/>
        <v/>
      </c>
      <c r="FI223" s="66" t="str">
        <f t="shared" si="3624"/>
        <v/>
      </c>
      <c r="FJ223" s="66" t="str">
        <f t="shared" si="3625"/>
        <v/>
      </c>
      <c r="FK223" s="66" t="str">
        <f t="shared" si="3626"/>
        <v/>
      </c>
      <c r="FL223" s="66" t="str">
        <f t="shared" si="3627"/>
        <v/>
      </c>
      <c r="FM223" s="66" t="str">
        <f t="shared" si="3628"/>
        <v/>
      </c>
      <c r="FN223" s="66" t="str">
        <f t="shared" si="3629"/>
        <v/>
      </c>
      <c r="FO223" s="66" t="str">
        <f t="shared" si="3630"/>
        <v/>
      </c>
      <c r="FP223" s="66" t="str">
        <f t="shared" si="3631"/>
        <v/>
      </c>
      <c r="FQ223" s="66" t="str">
        <f t="shared" si="3632"/>
        <v/>
      </c>
      <c r="FR223" s="66" t="str">
        <f t="shared" si="3633"/>
        <v/>
      </c>
      <c r="FS223" s="66" t="str">
        <f t="shared" si="3634"/>
        <v/>
      </c>
    </row>
    <row r="224" spans="1:175" ht="16.5">
      <c r="A224" s="110"/>
      <c r="B224" s="27" t="s">
        <v>756</v>
      </c>
      <c r="C224" s="29" t="s">
        <v>748</v>
      </c>
      <c r="T224" s="116"/>
      <c r="U224" s="77"/>
      <c r="CN224" s="36" t="str">
        <f t="shared" si="3559"/>
        <v>InitUnitState('IF09',,,,,,,,,,)</v>
      </c>
      <c r="CO224" s="36" t="str">
        <f t="shared" si="3560"/>
        <v>InitUnitNormal('IF09',,,,,,,,,,)</v>
      </c>
      <c r="CP224" s="36" t="str">
        <f t="shared" si="3561"/>
        <v>InitUnitMagic('IF09',,,,,,,,,,)</v>
      </c>
      <c r="CQ224" s="36" t="str">
        <f t="shared" si="3562"/>
        <v>InitUnitAdd('IF09',,,,,,,,,,)</v>
      </c>
      <c r="CR224" s="36" t="str">
        <f t="shared" si="3563"/>
        <v>InitEquipData('IF09',,"",,,,,'','','','','','',"")</v>
      </c>
      <c r="CU224" s="88" t="str">
        <f t="shared" si="3564"/>
        <v>|n</v>
      </c>
      <c r="CW224" s="33"/>
      <c r="CX224" s="33"/>
      <c r="CY224" s="33"/>
      <c r="CZ224" s="33"/>
      <c r="DA224" s="33"/>
      <c r="DB224" s="66" t="str">
        <f t="shared" si="3565"/>
        <v/>
      </c>
      <c r="DC224" s="66" t="str">
        <f t="shared" si="3566"/>
        <v/>
      </c>
      <c r="DD224" s="66" t="str">
        <f t="shared" si="3567"/>
        <v/>
      </c>
      <c r="DE224" s="66" t="str">
        <f t="shared" si="3568"/>
        <v/>
      </c>
      <c r="DF224" s="66" t="str">
        <f t="shared" si="3569"/>
        <v/>
      </c>
      <c r="DG224" s="66" t="str">
        <f t="shared" si="3570"/>
        <v/>
      </c>
      <c r="DH224" s="66" t="str">
        <f t="shared" si="3571"/>
        <v/>
      </c>
      <c r="DI224" s="66" t="str">
        <f t="shared" si="3572"/>
        <v/>
      </c>
      <c r="DJ224" s="66" t="str">
        <f t="shared" si="3573"/>
        <v/>
      </c>
      <c r="DK224" s="66" t="str">
        <f t="shared" si="3574"/>
        <v/>
      </c>
      <c r="DL224" s="66" t="str">
        <f t="shared" si="3575"/>
        <v/>
      </c>
      <c r="DM224" s="66" t="str">
        <f t="shared" si="3576"/>
        <v/>
      </c>
      <c r="DN224" s="66" t="str">
        <f t="shared" si="3577"/>
        <v/>
      </c>
      <c r="DO224" s="66" t="str">
        <f t="shared" si="3578"/>
        <v/>
      </c>
      <c r="DP224" s="66" t="str">
        <f t="shared" si="3579"/>
        <v/>
      </c>
      <c r="DQ224" s="66" t="str">
        <f t="shared" si="3580"/>
        <v/>
      </c>
      <c r="DR224" s="66" t="str">
        <f t="shared" si="3581"/>
        <v/>
      </c>
      <c r="DS224" s="66" t="str">
        <f t="shared" si="3582"/>
        <v/>
      </c>
      <c r="DT224" s="66" t="str">
        <f t="shared" si="3583"/>
        <v/>
      </c>
      <c r="DU224" s="66" t="str">
        <f t="shared" si="3584"/>
        <v/>
      </c>
      <c r="DV224" s="66" t="str">
        <f t="shared" si="3585"/>
        <v/>
      </c>
      <c r="DW224" s="66" t="str">
        <f t="shared" si="3586"/>
        <v/>
      </c>
      <c r="DX224" s="66" t="str">
        <f t="shared" si="3587"/>
        <v/>
      </c>
      <c r="DY224" s="66" t="str">
        <f t="shared" si="3588"/>
        <v/>
      </c>
      <c r="DZ224" s="66" t="str">
        <f t="shared" si="3589"/>
        <v/>
      </c>
      <c r="EA224" s="66" t="str">
        <f t="shared" si="3590"/>
        <v/>
      </c>
      <c r="EB224" s="66" t="str">
        <f t="shared" si="3591"/>
        <v/>
      </c>
      <c r="EC224" s="66" t="str">
        <f t="shared" si="3592"/>
        <v/>
      </c>
      <c r="ED224" s="66" t="str">
        <f t="shared" si="3593"/>
        <v/>
      </c>
      <c r="EE224" s="66" t="str">
        <f t="shared" si="3594"/>
        <v/>
      </c>
      <c r="EF224" s="66" t="str">
        <f t="shared" si="3595"/>
        <v/>
      </c>
      <c r="EG224" s="66" t="str">
        <f t="shared" si="3596"/>
        <v/>
      </c>
      <c r="EH224" s="66" t="str">
        <f t="shared" si="3597"/>
        <v/>
      </c>
      <c r="EI224" s="66" t="str">
        <f t="shared" si="3598"/>
        <v/>
      </c>
      <c r="EJ224" s="66" t="str">
        <f t="shared" si="3599"/>
        <v/>
      </c>
      <c r="EK224" s="66" t="str">
        <f t="shared" si="3600"/>
        <v/>
      </c>
      <c r="EL224" s="66" t="str">
        <f t="shared" si="3601"/>
        <v/>
      </c>
      <c r="EM224" s="66" t="str">
        <f t="shared" si="3602"/>
        <v/>
      </c>
      <c r="EN224" s="66" t="str">
        <f t="shared" si="3603"/>
        <v/>
      </c>
      <c r="EO224" s="66" t="str">
        <f t="shared" si="3604"/>
        <v/>
      </c>
      <c r="EP224" s="66" t="str">
        <f t="shared" si="3605"/>
        <v/>
      </c>
      <c r="EQ224" s="66" t="str">
        <f t="shared" si="3606"/>
        <v/>
      </c>
      <c r="ER224" s="66" t="str">
        <f t="shared" si="3607"/>
        <v/>
      </c>
      <c r="ES224" s="66" t="str">
        <f t="shared" si="3608"/>
        <v/>
      </c>
      <c r="ET224" s="66" t="str">
        <f t="shared" si="3609"/>
        <v/>
      </c>
      <c r="EU224" s="66" t="str">
        <f t="shared" si="3610"/>
        <v/>
      </c>
      <c r="EV224" s="66" t="str">
        <f t="shared" si="3611"/>
        <v/>
      </c>
      <c r="EW224" s="66" t="str">
        <f t="shared" si="3612"/>
        <v/>
      </c>
      <c r="EX224" s="66" t="str">
        <f t="shared" si="3613"/>
        <v/>
      </c>
      <c r="EY224" s="66" t="str">
        <f t="shared" si="3614"/>
        <v/>
      </c>
      <c r="EZ224" s="66" t="str">
        <f t="shared" si="3615"/>
        <v/>
      </c>
      <c r="FA224" s="66" t="str">
        <f t="shared" si="3616"/>
        <v/>
      </c>
      <c r="FB224" s="66" t="str">
        <f t="shared" si="3617"/>
        <v/>
      </c>
      <c r="FC224" s="66" t="str">
        <f t="shared" si="3618"/>
        <v/>
      </c>
      <c r="FD224" s="66" t="str">
        <f t="shared" si="3619"/>
        <v/>
      </c>
      <c r="FE224" s="66" t="str">
        <f t="shared" si="3620"/>
        <v/>
      </c>
      <c r="FF224" s="66" t="str">
        <f t="shared" si="3621"/>
        <v/>
      </c>
      <c r="FG224" s="66" t="str">
        <f t="shared" si="3622"/>
        <v/>
      </c>
      <c r="FH224" s="66" t="str">
        <f t="shared" si="3623"/>
        <v/>
      </c>
      <c r="FI224" s="66" t="str">
        <f t="shared" si="3624"/>
        <v/>
      </c>
      <c r="FJ224" s="66" t="str">
        <f t="shared" si="3625"/>
        <v/>
      </c>
      <c r="FK224" s="66" t="str">
        <f t="shared" si="3626"/>
        <v/>
      </c>
      <c r="FL224" s="66" t="str">
        <f t="shared" si="3627"/>
        <v/>
      </c>
      <c r="FM224" s="66" t="str">
        <f t="shared" si="3628"/>
        <v/>
      </c>
      <c r="FN224" s="66" t="str">
        <f t="shared" si="3629"/>
        <v/>
      </c>
      <c r="FO224" s="66" t="str">
        <f t="shared" si="3630"/>
        <v/>
      </c>
      <c r="FP224" s="66" t="str">
        <f t="shared" si="3631"/>
        <v/>
      </c>
      <c r="FQ224" s="66" t="str">
        <f t="shared" si="3632"/>
        <v/>
      </c>
      <c r="FR224" s="66" t="str">
        <f t="shared" si="3633"/>
        <v/>
      </c>
      <c r="FS224" s="66" t="str">
        <f t="shared" si="3634"/>
        <v/>
      </c>
    </row>
    <row r="225" spans="1:175" ht="16.5">
      <c r="A225" s="110"/>
      <c r="B225" s="27" t="s">
        <v>757</v>
      </c>
      <c r="C225" s="29" t="s">
        <v>748</v>
      </c>
      <c r="T225" s="116"/>
      <c r="U225" s="77"/>
      <c r="CN225" s="36" t="str">
        <f t="shared" si="3559"/>
        <v>InitUnitState('IF10',,,,,,,,,,)</v>
      </c>
      <c r="CO225" s="36" t="str">
        <f t="shared" si="3560"/>
        <v>InitUnitNormal('IF10',,,,,,,,,,)</v>
      </c>
      <c r="CP225" s="36" t="str">
        <f t="shared" si="3561"/>
        <v>InitUnitMagic('IF10',,,,,,,,,,)</v>
      </c>
      <c r="CQ225" s="36" t="str">
        <f t="shared" si="3562"/>
        <v>InitUnitAdd('IF10',,,,,,,,,,)</v>
      </c>
      <c r="CR225" s="36" t="str">
        <f t="shared" si="3563"/>
        <v>InitEquipData('IF10',,"",,,,,'','','','','','',"")</v>
      </c>
      <c r="CU225" s="88" t="str">
        <f t="shared" si="3564"/>
        <v>|n</v>
      </c>
      <c r="CW225" s="33"/>
      <c r="CX225" s="33"/>
      <c r="CY225" s="33"/>
      <c r="CZ225" s="33"/>
      <c r="DA225" s="33"/>
      <c r="DB225" s="66" t="str">
        <f t="shared" si="3565"/>
        <v/>
      </c>
      <c r="DC225" s="66" t="str">
        <f t="shared" si="3566"/>
        <v/>
      </c>
      <c r="DD225" s="66" t="str">
        <f t="shared" si="3567"/>
        <v/>
      </c>
      <c r="DE225" s="66" t="str">
        <f t="shared" si="3568"/>
        <v/>
      </c>
      <c r="DF225" s="66" t="str">
        <f t="shared" si="3569"/>
        <v/>
      </c>
      <c r="DG225" s="66" t="str">
        <f t="shared" si="3570"/>
        <v/>
      </c>
      <c r="DH225" s="66" t="str">
        <f t="shared" si="3571"/>
        <v/>
      </c>
      <c r="DI225" s="66" t="str">
        <f t="shared" si="3572"/>
        <v/>
      </c>
      <c r="DJ225" s="66" t="str">
        <f t="shared" si="3573"/>
        <v/>
      </c>
      <c r="DK225" s="66" t="str">
        <f t="shared" si="3574"/>
        <v/>
      </c>
      <c r="DL225" s="66" t="str">
        <f t="shared" si="3575"/>
        <v/>
      </c>
      <c r="DM225" s="66" t="str">
        <f t="shared" si="3576"/>
        <v/>
      </c>
      <c r="DN225" s="66" t="str">
        <f t="shared" si="3577"/>
        <v/>
      </c>
      <c r="DO225" s="66" t="str">
        <f t="shared" si="3578"/>
        <v/>
      </c>
      <c r="DP225" s="66" t="str">
        <f t="shared" si="3579"/>
        <v/>
      </c>
      <c r="DQ225" s="66" t="str">
        <f t="shared" si="3580"/>
        <v/>
      </c>
      <c r="DR225" s="66" t="str">
        <f t="shared" si="3581"/>
        <v/>
      </c>
      <c r="DS225" s="66" t="str">
        <f t="shared" si="3582"/>
        <v/>
      </c>
      <c r="DT225" s="66" t="str">
        <f t="shared" si="3583"/>
        <v/>
      </c>
      <c r="DU225" s="66" t="str">
        <f t="shared" si="3584"/>
        <v/>
      </c>
      <c r="DV225" s="66" t="str">
        <f t="shared" si="3585"/>
        <v/>
      </c>
      <c r="DW225" s="66" t="str">
        <f t="shared" si="3586"/>
        <v/>
      </c>
      <c r="DX225" s="66" t="str">
        <f t="shared" si="3587"/>
        <v/>
      </c>
      <c r="DY225" s="66" t="str">
        <f t="shared" si="3588"/>
        <v/>
      </c>
      <c r="DZ225" s="66" t="str">
        <f t="shared" si="3589"/>
        <v/>
      </c>
      <c r="EA225" s="66" t="str">
        <f t="shared" si="3590"/>
        <v/>
      </c>
      <c r="EB225" s="66" t="str">
        <f t="shared" si="3591"/>
        <v/>
      </c>
      <c r="EC225" s="66" t="str">
        <f t="shared" si="3592"/>
        <v/>
      </c>
      <c r="ED225" s="66" t="str">
        <f t="shared" si="3593"/>
        <v/>
      </c>
      <c r="EE225" s="66" t="str">
        <f t="shared" si="3594"/>
        <v/>
      </c>
      <c r="EF225" s="66" t="str">
        <f t="shared" si="3595"/>
        <v/>
      </c>
      <c r="EG225" s="66" t="str">
        <f t="shared" si="3596"/>
        <v/>
      </c>
      <c r="EH225" s="66" t="str">
        <f t="shared" si="3597"/>
        <v/>
      </c>
      <c r="EI225" s="66" t="str">
        <f t="shared" si="3598"/>
        <v/>
      </c>
      <c r="EJ225" s="66" t="str">
        <f t="shared" si="3599"/>
        <v/>
      </c>
      <c r="EK225" s="66" t="str">
        <f t="shared" si="3600"/>
        <v/>
      </c>
      <c r="EL225" s="66" t="str">
        <f t="shared" si="3601"/>
        <v/>
      </c>
      <c r="EM225" s="66" t="str">
        <f t="shared" si="3602"/>
        <v/>
      </c>
      <c r="EN225" s="66" t="str">
        <f t="shared" si="3603"/>
        <v/>
      </c>
      <c r="EO225" s="66" t="str">
        <f t="shared" si="3604"/>
        <v/>
      </c>
      <c r="EP225" s="66" t="str">
        <f t="shared" si="3605"/>
        <v/>
      </c>
      <c r="EQ225" s="66" t="str">
        <f t="shared" si="3606"/>
        <v/>
      </c>
      <c r="ER225" s="66" t="str">
        <f t="shared" si="3607"/>
        <v/>
      </c>
      <c r="ES225" s="66" t="str">
        <f t="shared" si="3608"/>
        <v/>
      </c>
      <c r="ET225" s="66" t="str">
        <f t="shared" si="3609"/>
        <v/>
      </c>
      <c r="EU225" s="66" t="str">
        <f t="shared" si="3610"/>
        <v/>
      </c>
      <c r="EV225" s="66" t="str">
        <f t="shared" si="3611"/>
        <v/>
      </c>
      <c r="EW225" s="66" t="str">
        <f t="shared" si="3612"/>
        <v/>
      </c>
      <c r="EX225" s="66" t="str">
        <f t="shared" si="3613"/>
        <v/>
      </c>
      <c r="EY225" s="66" t="str">
        <f t="shared" si="3614"/>
        <v/>
      </c>
      <c r="EZ225" s="66" t="str">
        <f t="shared" si="3615"/>
        <v/>
      </c>
      <c r="FA225" s="66" t="str">
        <f t="shared" si="3616"/>
        <v/>
      </c>
      <c r="FB225" s="66" t="str">
        <f t="shared" si="3617"/>
        <v/>
      </c>
      <c r="FC225" s="66" t="str">
        <f t="shared" si="3618"/>
        <v/>
      </c>
      <c r="FD225" s="66" t="str">
        <f t="shared" si="3619"/>
        <v/>
      </c>
      <c r="FE225" s="66" t="str">
        <f t="shared" si="3620"/>
        <v/>
      </c>
      <c r="FF225" s="66" t="str">
        <f t="shared" si="3621"/>
        <v/>
      </c>
      <c r="FG225" s="66" t="str">
        <f t="shared" si="3622"/>
        <v/>
      </c>
      <c r="FH225" s="66" t="str">
        <f t="shared" si="3623"/>
        <v/>
      </c>
      <c r="FI225" s="66" t="str">
        <f t="shared" si="3624"/>
        <v/>
      </c>
      <c r="FJ225" s="66" t="str">
        <f t="shared" si="3625"/>
        <v/>
      </c>
      <c r="FK225" s="66" t="str">
        <f t="shared" si="3626"/>
        <v/>
      </c>
      <c r="FL225" s="66" t="str">
        <f t="shared" si="3627"/>
        <v/>
      </c>
      <c r="FM225" s="66" t="str">
        <f t="shared" si="3628"/>
        <v/>
      </c>
      <c r="FN225" s="66" t="str">
        <f t="shared" si="3629"/>
        <v/>
      </c>
      <c r="FO225" s="66" t="str">
        <f t="shared" si="3630"/>
        <v/>
      </c>
      <c r="FP225" s="66" t="str">
        <f t="shared" si="3631"/>
        <v/>
      </c>
      <c r="FQ225" s="66" t="str">
        <f t="shared" si="3632"/>
        <v/>
      </c>
      <c r="FR225" s="66" t="str">
        <f t="shared" si="3633"/>
        <v/>
      </c>
      <c r="FS225" s="66" t="str">
        <f t="shared" si="3634"/>
        <v/>
      </c>
    </row>
    <row r="226" spans="1:175" ht="16.5">
      <c r="A226" s="110"/>
      <c r="B226" s="27" t="s">
        <v>758</v>
      </c>
      <c r="C226" s="29" t="s">
        <v>748</v>
      </c>
      <c r="T226" s="116"/>
      <c r="U226" s="77"/>
      <c r="CN226" s="36" t="str">
        <f t="shared" si="3559"/>
        <v>InitUnitState('IF11',,,,,,,,,,)</v>
      </c>
      <c r="CO226" s="36" t="str">
        <f t="shared" si="3560"/>
        <v>InitUnitNormal('IF11',,,,,,,,,,)</v>
      </c>
      <c r="CP226" s="36" t="str">
        <f t="shared" si="3561"/>
        <v>InitUnitMagic('IF11',,,,,,,,,,)</v>
      </c>
      <c r="CQ226" s="36" t="str">
        <f t="shared" si="3562"/>
        <v>InitUnitAdd('IF11',,,,,,,,,,)</v>
      </c>
      <c r="CR226" s="36" t="str">
        <f t="shared" si="3563"/>
        <v>InitEquipData('IF11',,"",,,,,'','','','','','',"")</v>
      </c>
      <c r="CU226" s="88" t="str">
        <f t="shared" si="3564"/>
        <v>|n</v>
      </c>
      <c r="CW226" s="33"/>
      <c r="CX226" s="33"/>
      <c r="CY226" s="33"/>
      <c r="CZ226" s="33"/>
      <c r="DA226" s="33"/>
      <c r="DB226" s="66" t="str">
        <f t="shared" si="3565"/>
        <v/>
      </c>
      <c r="DC226" s="66" t="str">
        <f t="shared" si="3566"/>
        <v/>
      </c>
      <c r="DD226" s="66" t="str">
        <f t="shared" si="3567"/>
        <v/>
      </c>
      <c r="DE226" s="66" t="str">
        <f t="shared" si="3568"/>
        <v/>
      </c>
      <c r="DF226" s="66" t="str">
        <f t="shared" si="3569"/>
        <v/>
      </c>
      <c r="DG226" s="66" t="str">
        <f t="shared" si="3570"/>
        <v/>
      </c>
      <c r="DH226" s="66" t="str">
        <f t="shared" si="3571"/>
        <v/>
      </c>
      <c r="DI226" s="66" t="str">
        <f t="shared" si="3572"/>
        <v/>
      </c>
      <c r="DJ226" s="66" t="str">
        <f t="shared" si="3573"/>
        <v/>
      </c>
      <c r="DK226" s="66" t="str">
        <f t="shared" si="3574"/>
        <v/>
      </c>
      <c r="DL226" s="66" t="str">
        <f t="shared" si="3575"/>
        <v/>
      </c>
      <c r="DM226" s="66" t="str">
        <f t="shared" si="3576"/>
        <v/>
      </c>
      <c r="DN226" s="66" t="str">
        <f t="shared" si="3577"/>
        <v/>
      </c>
      <c r="DO226" s="66" t="str">
        <f t="shared" si="3578"/>
        <v/>
      </c>
      <c r="DP226" s="66" t="str">
        <f t="shared" si="3579"/>
        <v/>
      </c>
      <c r="DQ226" s="66" t="str">
        <f t="shared" si="3580"/>
        <v/>
      </c>
      <c r="DR226" s="66" t="str">
        <f t="shared" si="3581"/>
        <v/>
      </c>
      <c r="DS226" s="66" t="str">
        <f t="shared" si="3582"/>
        <v/>
      </c>
      <c r="DT226" s="66" t="str">
        <f t="shared" si="3583"/>
        <v/>
      </c>
      <c r="DU226" s="66" t="str">
        <f t="shared" si="3584"/>
        <v/>
      </c>
      <c r="DV226" s="66" t="str">
        <f t="shared" si="3585"/>
        <v/>
      </c>
      <c r="DW226" s="66" t="str">
        <f t="shared" si="3586"/>
        <v/>
      </c>
      <c r="DX226" s="66" t="str">
        <f t="shared" si="3587"/>
        <v/>
      </c>
      <c r="DY226" s="66" t="str">
        <f t="shared" si="3588"/>
        <v/>
      </c>
      <c r="DZ226" s="66" t="str">
        <f t="shared" si="3589"/>
        <v/>
      </c>
      <c r="EA226" s="66" t="str">
        <f t="shared" si="3590"/>
        <v/>
      </c>
      <c r="EB226" s="66" t="str">
        <f t="shared" si="3591"/>
        <v/>
      </c>
      <c r="EC226" s="66" t="str">
        <f t="shared" si="3592"/>
        <v/>
      </c>
      <c r="ED226" s="66" t="str">
        <f t="shared" si="3593"/>
        <v/>
      </c>
      <c r="EE226" s="66" t="str">
        <f t="shared" si="3594"/>
        <v/>
      </c>
      <c r="EF226" s="66" t="str">
        <f t="shared" si="3595"/>
        <v/>
      </c>
      <c r="EG226" s="66" t="str">
        <f t="shared" si="3596"/>
        <v/>
      </c>
      <c r="EH226" s="66" t="str">
        <f t="shared" si="3597"/>
        <v/>
      </c>
      <c r="EI226" s="66" t="str">
        <f t="shared" si="3598"/>
        <v/>
      </c>
      <c r="EJ226" s="66" t="str">
        <f t="shared" si="3599"/>
        <v/>
      </c>
      <c r="EK226" s="66" t="str">
        <f t="shared" si="3600"/>
        <v/>
      </c>
      <c r="EL226" s="66" t="str">
        <f t="shared" si="3601"/>
        <v/>
      </c>
      <c r="EM226" s="66" t="str">
        <f t="shared" si="3602"/>
        <v/>
      </c>
      <c r="EN226" s="66" t="str">
        <f t="shared" si="3603"/>
        <v/>
      </c>
      <c r="EO226" s="66" t="str">
        <f t="shared" si="3604"/>
        <v/>
      </c>
      <c r="EP226" s="66" t="str">
        <f t="shared" si="3605"/>
        <v/>
      </c>
      <c r="EQ226" s="66" t="str">
        <f t="shared" si="3606"/>
        <v/>
      </c>
      <c r="ER226" s="66" t="str">
        <f t="shared" si="3607"/>
        <v/>
      </c>
      <c r="ES226" s="66" t="str">
        <f t="shared" si="3608"/>
        <v/>
      </c>
      <c r="ET226" s="66" t="str">
        <f t="shared" si="3609"/>
        <v/>
      </c>
      <c r="EU226" s="66" t="str">
        <f t="shared" si="3610"/>
        <v/>
      </c>
      <c r="EV226" s="66" t="str">
        <f t="shared" si="3611"/>
        <v/>
      </c>
      <c r="EW226" s="66" t="str">
        <f t="shared" si="3612"/>
        <v/>
      </c>
      <c r="EX226" s="66" t="str">
        <f t="shared" si="3613"/>
        <v/>
      </c>
      <c r="EY226" s="66" t="str">
        <f t="shared" si="3614"/>
        <v/>
      </c>
      <c r="EZ226" s="66" t="str">
        <f t="shared" si="3615"/>
        <v/>
      </c>
      <c r="FA226" s="66" t="str">
        <f t="shared" si="3616"/>
        <v/>
      </c>
      <c r="FB226" s="66" t="str">
        <f t="shared" si="3617"/>
        <v/>
      </c>
      <c r="FC226" s="66" t="str">
        <f t="shared" si="3618"/>
        <v/>
      </c>
      <c r="FD226" s="66" t="str">
        <f t="shared" si="3619"/>
        <v/>
      </c>
      <c r="FE226" s="66" t="str">
        <f t="shared" si="3620"/>
        <v/>
      </c>
      <c r="FF226" s="66" t="str">
        <f t="shared" si="3621"/>
        <v/>
      </c>
      <c r="FG226" s="66" t="str">
        <f t="shared" si="3622"/>
        <v/>
      </c>
      <c r="FH226" s="66" t="str">
        <f t="shared" si="3623"/>
        <v/>
      </c>
      <c r="FI226" s="66" t="str">
        <f t="shared" si="3624"/>
        <v/>
      </c>
      <c r="FJ226" s="66" t="str">
        <f t="shared" si="3625"/>
        <v/>
      </c>
      <c r="FK226" s="66" t="str">
        <f t="shared" si="3626"/>
        <v/>
      </c>
      <c r="FL226" s="66" t="str">
        <f t="shared" si="3627"/>
        <v/>
      </c>
      <c r="FM226" s="66" t="str">
        <f t="shared" si="3628"/>
        <v/>
      </c>
      <c r="FN226" s="66" t="str">
        <f t="shared" si="3629"/>
        <v/>
      </c>
      <c r="FO226" s="66" t="str">
        <f t="shared" si="3630"/>
        <v/>
      </c>
      <c r="FP226" s="66" t="str">
        <f t="shared" si="3631"/>
        <v/>
      </c>
      <c r="FQ226" s="66" t="str">
        <f t="shared" si="3632"/>
        <v/>
      </c>
      <c r="FR226" s="66" t="str">
        <f t="shared" si="3633"/>
        <v/>
      </c>
      <c r="FS226" s="66" t="str">
        <f t="shared" si="3634"/>
        <v/>
      </c>
    </row>
    <row r="227" spans="1:175" ht="16.5">
      <c r="A227" s="109"/>
      <c r="B227" s="27" t="s">
        <v>759</v>
      </c>
      <c r="C227" s="29" t="s">
        <v>748</v>
      </c>
      <c r="T227" s="117"/>
      <c r="U227" s="77"/>
      <c r="CN227" s="36" t="str">
        <f t="shared" si="3559"/>
        <v>InitUnitState('IF12',,,,,,,,,,)</v>
      </c>
      <c r="CO227" s="36" t="str">
        <f t="shared" si="3560"/>
        <v>InitUnitNormal('IF12',,,,,,,,,,)</v>
      </c>
      <c r="CP227" s="36" t="str">
        <f t="shared" si="3561"/>
        <v>InitUnitMagic('IF12',,,,,,,,,,)</v>
      </c>
      <c r="CQ227" s="36" t="str">
        <f t="shared" si="3562"/>
        <v>InitUnitAdd('IF12',,,,,,,,,,)</v>
      </c>
      <c r="CR227" s="36" t="str">
        <f t="shared" si="3563"/>
        <v>InitEquipData('IF12',,"",,,,,'','','','','','',"")</v>
      </c>
      <c r="CU227" s="88" t="str">
        <f t="shared" si="3564"/>
        <v>|n</v>
      </c>
      <c r="CW227" s="33"/>
      <c r="CX227" s="33"/>
      <c r="CY227" s="33"/>
      <c r="CZ227" s="33"/>
      <c r="DA227" s="33"/>
      <c r="DB227" s="66" t="str">
        <f t="shared" si="3565"/>
        <v/>
      </c>
      <c r="DC227" s="66" t="str">
        <f t="shared" si="3566"/>
        <v/>
      </c>
      <c r="DD227" s="66" t="str">
        <f t="shared" si="3567"/>
        <v/>
      </c>
      <c r="DE227" s="66" t="str">
        <f t="shared" si="3568"/>
        <v/>
      </c>
      <c r="DF227" s="66" t="str">
        <f t="shared" si="3569"/>
        <v/>
      </c>
      <c r="DG227" s="66" t="str">
        <f t="shared" si="3570"/>
        <v/>
      </c>
      <c r="DH227" s="66" t="str">
        <f t="shared" si="3571"/>
        <v/>
      </c>
      <c r="DI227" s="66" t="str">
        <f t="shared" si="3572"/>
        <v/>
      </c>
      <c r="DJ227" s="66" t="str">
        <f t="shared" si="3573"/>
        <v/>
      </c>
      <c r="DK227" s="66" t="str">
        <f t="shared" si="3574"/>
        <v/>
      </c>
      <c r="DL227" s="66" t="str">
        <f t="shared" si="3575"/>
        <v/>
      </c>
      <c r="DM227" s="66" t="str">
        <f t="shared" si="3576"/>
        <v/>
      </c>
      <c r="DN227" s="66" t="str">
        <f t="shared" si="3577"/>
        <v/>
      </c>
      <c r="DO227" s="66" t="str">
        <f t="shared" si="3578"/>
        <v/>
      </c>
      <c r="DP227" s="66" t="str">
        <f t="shared" si="3579"/>
        <v/>
      </c>
      <c r="DQ227" s="66" t="str">
        <f t="shared" si="3580"/>
        <v/>
      </c>
      <c r="DR227" s="66" t="str">
        <f t="shared" si="3581"/>
        <v/>
      </c>
      <c r="DS227" s="66" t="str">
        <f t="shared" si="3582"/>
        <v/>
      </c>
      <c r="DT227" s="66" t="str">
        <f t="shared" si="3583"/>
        <v/>
      </c>
      <c r="DU227" s="66" t="str">
        <f t="shared" si="3584"/>
        <v/>
      </c>
      <c r="DV227" s="66" t="str">
        <f t="shared" si="3585"/>
        <v/>
      </c>
      <c r="DW227" s="66" t="str">
        <f t="shared" si="3586"/>
        <v/>
      </c>
      <c r="DX227" s="66" t="str">
        <f t="shared" si="3587"/>
        <v/>
      </c>
      <c r="DY227" s="66" t="str">
        <f t="shared" si="3588"/>
        <v/>
      </c>
      <c r="DZ227" s="66" t="str">
        <f t="shared" si="3589"/>
        <v/>
      </c>
      <c r="EA227" s="66" t="str">
        <f t="shared" si="3590"/>
        <v/>
      </c>
      <c r="EB227" s="66" t="str">
        <f t="shared" si="3591"/>
        <v/>
      </c>
      <c r="EC227" s="66" t="str">
        <f t="shared" si="3592"/>
        <v/>
      </c>
      <c r="ED227" s="66" t="str">
        <f t="shared" si="3593"/>
        <v/>
      </c>
      <c r="EE227" s="66" t="str">
        <f t="shared" si="3594"/>
        <v/>
      </c>
      <c r="EF227" s="66" t="str">
        <f t="shared" si="3595"/>
        <v/>
      </c>
      <c r="EG227" s="66" t="str">
        <f t="shared" si="3596"/>
        <v/>
      </c>
      <c r="EH227" s="66" t="str">
        <f t="shared" si="3597"/>
        <v/>
      </c>
      <c r="EI227" s="66" t="str">
        <f t="shared" si="3598"/>
        <v/>
      </c>
      <c r="EJ227" s="66" t="str">
        <f t="shared" si="3599"/>
        <v/>
      </c>
      <c r="EK227" s="66" t="str">
        <f t="shared" si="3600"/>
        <v/>
      </c>
      <c r="EL227" s="66" t="str">
        <f t="shared" si="3601"/>
        <v/>
      </c>
      <c r="EM227" s="66" t="str">
        <f t="shared" si="3602"/>
        <v/>
      </c>
      <c r="EN227" s="66" t="str">
        <f t="shared" si="3603"/>
        <v/>
      </c>
      <c r="EO227" s="66" t="str">
        <f t="shared" si="3604"/>
        <v/>
      </c>
      <c r="EP227" s="66" t="str">
        <f t="shared" si="3605"/>
        <v/>
      </c>
      <c r="EQ227" s="66" t="str">
        <f t="shared" si="3606"/>
        <v/>
      </c>
      <c r="ER227" s="66" t="str">
        <f t="shared" si="3607"/>
        <v/>
      </c>
      <c r="ES227" s="66" t="str">
        <f t="shared" si="3608"/>
        <v/>
      </c>
      <c r="ET227" s="66" t="str">
        <f t="shared" si="3609"/>
        <v/>
      </c>
      <c r="EU227" s="66" t="str">
        <f t="shared" si="3610"/>
        <v/>
      </c>
      <c r="EV227" s="66" t="str">
        <f t="shared" si="3611"/>
        <v/>
      </c>
      <c r="EW227" s="66" t="str">
        <f t="shared" si="3612"/>
        <v/>
      </c>
      <c r="EX227" s="66" t="str">
        <f t="shared" si="3613"/>
        <v/>
      </c>
      <c r="EY227" s="66" t="str">
        <f t="shared" si="3614"/>
        <v/>
      </c>
      <c r="EZ227" s="66" t="str">
        <f t="shared" si="3615"/>
        <v/>
      </c>
      <c r="FA227" s="66" t="str">
        <f t="shared" si="3616"/>
        <v/>
      </c>
      <c r="FB227" s="66" t="str">
        <f t="shared" si="3617"/>
        <v/>
      </c>
      <c r="FC227" s="66" t="str">
        <f t="shared" si="3618"/>
        <v/>
      </c>
      <c r="FD227" s="66" t="str">
        <f t="shared" si="3619"/>
        <v/>
      </c>
      <c r="FE227" s="66" t="str">
        <f t="shared" si="3620"/>
        <v/>
      </c>
      <c r="FF227" s="66" t="str">
        <f t="shared" si="3621"/>
        <v/>
      </c>
      <c r="FG227" s="66" t="str">
        <f t="shared" si="3622"/>
        <v/>
      </c>
      <c r="FH227" s="66" t="str">
        <f t="shared" si="3623"/>
        <v/>
      </c>
      <c r="FI227" s="66" t="str">
        <f t="shared" si="3624"/>
        <v/>
      </c>
      <c r="FJ227" s="66" t="str">
        <f t="shared" si="3625"/>
        <v/>
      </c>
      <c r="FK227" s="66" t="str">
        <f t="shared" si="3626"/>
        <v/>
      </c>
      <c r="FL227" s="66" t="str">
        <f t="shared" si="3627"/>
        <v/>
      </c>
      <c r="FM227" s="66" t="str">
        <f t="shared" si="3628"/>
        <v/>
      </c>
      <c r="FN227" s="66" t="str">
        <f t="shared" si="3629"/>
        <v/>
      </c>
      <c r="FO227" s="66" t="str">
        <f t="shared" si="3630"/>
        <v/>
      </c>
      <c r="FP227" s="66" t="str">
        <f t="shared" si="3631"/>
        <v/>
      </c>
      <c r="FQ227" s="66" t="str">
        <f t="shared" si="3632"/>
        <v/>
      </c>
      <c r="FR227" s="66" t="str">
        <f t="shared" si="3633"/>
        <v/>
      </c>
      <c r="FS227" s="66" t="str">
        <f t="shared" si="3634"/>
        <v/>
      </c>
    </row>
    <row r="228" spans="1:175" ht="16.5">
      <c r="A228" s="109"/>
      <c r="B228" s="27" t="s">
        <v>760</v>
      </c>
      <c r="C228" s="29" t="s">
        <v>748</v>
      </c>
      <c r="T228" s="117"/>
      <c r="U228" s="77"/>
      <c r="CN228" s="36" t="str">
        <f t="shared" si="3559"/>
        <v>InitUnitState('IF13',,,,,,,,,,)</v>
      </c>
      <c r="CO228" s="36" t="str">
        <f t="shared" si="3560"/>
        <v>InitUnitNormal('IF13',,,,,,,,,,)</v>
      </c>
      <c r="CP228" s="36" t="str">
        <f t="shared" si="3561"/>
        <v>InitUnitMagic('IF13',,,,,,,,,,)</v>
      </c>
      <c r="CQ228" s="36" t="str">
        <f t="shared" si="3562"/>
        <v>InitUnitAdd('IF13',,,,,,,,,,)</v>
      </c>
      <c r="CR228" s="36" t="str">
        <f t="shared" si="3563"/>
        <v>InitEquipData('IF13',,"",,,,,'','','','','','',"")</v>
      </c>
      <c r="CU228" s="88" t="str">
        <f t="shared" si="3564"/>
        <v>|n</v>
      </c>
      <c r="CW228" s="33"/>
      <c r="CX228" s="33"/>
      <c r="CY228" s="33"/>
      <c r="CZ228" s="33"/>
      <c r="DA228" s="33"/>
      <c r="DB228" s="66" t="str">
        <f t="shared" si="3565"/>
        <v/>
      </c>
      <c r="DC228" s="66" t="str">
        <f t="shared" si="3566"/>
        <v/>
      </c>
      <c r="DD228" s="66" t="str">
        <f t="shared" si="3567"/>
        <v/>
      </c>
      <c r="DE228" s="66" t="str">
        <f t="shared" si="3568"/>
        <v/>
      </c>
      <c r="DF228" s="66" t="str">
        <f t="shared" si="3569"/>
        <v/>
      </c>
      <c r="DG228" s="66" t="str">
        <f t="shared" si="3570"/>
        <v/>
      </c>
      <c r="DH228" s="66" t="str">
        <f t="shared" si="3571"/>
        <v/>
      </c>
      <c r="DI228" s="66" t="str">
        <f t="shared" si="3572"/>
        <v/>
      </c>
      <c r="DJ228" s="66" t="str">
        <f t="shared" si="3573"/>
        <v/>
      </c>
      <c r="DK228" s="66" t="str">
        <f t="shared" si="3574"/>
        <v/>
      </c>
      <c r="DL228" s="66" t="str">
        <f t="shared" si="3575"/>
        <v/>
      </c>
      <c r="DM228" s="66" t="str">
        <f t="shared" si="3576"/>
        <v/>
      </c>
      <c r="DN228" s="66" t="str">
        <f t="shared" si="3577"/>
        <v/>
      </c>
      <c r="DO228" s="66" t="str">
        <f t="shared" si="3578"/>
        <v/>
      </c>
      <c r="DP228" s="66" t="str">
        <f t="shared" si="3579"/>
        <v/>
      </c>
      <c r="DQ228" s="66" t="str">
        <f t="shared" si="3580"/>
        <v/>
      </c>
      <c r="DR228" s="66" t="str">
        <f t="shared" si="3581"/>
        <v/>
      </c>
      <c r="DS228" s="66" t="str">
        <f t="shared" si="3582"/>
        <v/>
      </c>
      <c r="DT228" s="66" t="str">
        <f t="shared" si="3583"/>
        <v/>
      </c>
      <c r="DU228" s="66" t="str">
        <f t="shared" si="3584"/>
        <v/>
      </c>
      <c r="DV228" s="66" t="str">
        <f t="shared" si="3585"/>
        <v/>
      </c>
      <c r="DW228" s="66" t="str">
        <f t="shared" si="3586"/>
        <v/>
      </c>
      <c r="DX228" s="66" t="str">
        <f t="shared" si="3587"/>
        <v/>
      </c>
      <c r="DY228" s="66" t="str">
        <f t="shared" si="3588"/>
        <v/>
      </c>
      <c r="DZ228" s="66" t="str">
        <f t="shared" si="3589"/>
        <v/>
      </c>
      <c r="EA228" s="66" t="str">
        <f t="shared" si="3590"/>
        <v/>
      </c>
      <c r="EB228" s="66" t="str">
        <f t="shared" si="3591"/>
        <v/>
      </c>
      <c r="EC228" s="66" t="str">
        <f t="shared" si="3592"/>
        <v/>
      </c>
      <c r="ED228" s="66" t="str">
        <f t="shared" si="3593"/>
        <v/>
      </c>
      <c r="EE228" s="66" t="str">
        <f t="shared" si="3594"/>
        <v/>
      </c>
      <c r="EF228" s="66" t="str">
        <f t="shared" si="3595"/>
        <v/>
      </c>
      <c r="EG228" s="66" t="str">
        <f t="shared" si="3596"/>
        <v/>
      </c>
      <c r="EH228" s="66" t="str">
        <f t="shared" si="3597"/>
        <v/>
      </c>
      <c r="EI228" s="66" t="str">
        <f t="shared" si="3598"/>
        <v/>
      </c>
      <c r="EJ228" s="66" t="str">
        <f t="shared" si="3599"/>
        <v/>
      </c>
      <c r="EK228" s="66" t="str">
        <f t="shared" si="3600"/>
        <v/>
      </c>
      <c r="EL228" s="66" t="str">
        <f t="shared" si="3601"/>
        <v/>
      </c>
      <c r="EM228" s="66" t="str">
        <f t="shared" si="3602"/>
        <v/>
      </c>
      <c r="EN228" s="66" t="str">
        <f t="shared" si="3603"/>
        <v/>
      </c>
      <c r="EO228" s="66" t="str">
        <f t="shared" si="3604"/>
        <v/>
      </c>
      <c r="EP228" s="66" t="str">
        <f t="shared" si="3605"/>
        <v/>
      </c>
      <c r="EQ228" s="66" t="str">
        <f t="shared" si="3606"/>
        <v/>
      </c>
      <c r="ER228" s="66" t="str">
        <f t="shared" si="3607"/>
        <v/>
      </c>
      <c r="ES228" s="66" t="str">
        <f t="shared" si="3608"/>
        <v/>
      </c>
      <c r="ET228" s="66" t="str">
        <f t="shared" si="3609"/>
        <v/>
      </c>
      <c r="EU228" s="66" t="str">
        <f t="shared" si="3610"/>
        <v/>
      </c>
      <c r="EV228" s="66" t="str">
        <f t="shared" si="3611"/>
        <v/>
      </c>
      <c r="EW228" s="66" t="str">
        <f t="shared" si="3612"/>
        <v/>
      </c>
      <c r="EX228" s="66" t="str">
        <f t="shared" si="3613"/>
        <v/>
      </c>
      <c r="EY228" s="66" t="str">
        <f t="shared" si="3614"/>
        <v/>
      </c>
      <c r="EZ228" s="66" t="str">
        <f t="shared" si="3615"/>
        <v/>
      </c>
      <c r="FA228" s="66" t="str">
        <f t="shared" si="3616"/>
        <v/>
      </c>
      <c r="FB228" s="66" t="str">
        <f t="shared" si="3617"/>
        <v/>
      </c>
      <c r="FC228" s="66" t="str">
        <f t="shared" si="3618"/>
        <v/>
      </c>
      <c r="FD228" s="66" t="str">
        <f t="shared" si="3619"/>
        <v/>
      </c>
      <c r="FE228" s="66" t="str">
        <f t="shared" si="3620"/>
        <v/>
      </c>
      <c r="FF228" s="66" t="str">
        <f t="shared" si="3621"/>
        <v/>
      </c>
      <c r="FG228" s="66" t="str">
        <f t="shared" si="3622"/>
        <v/>
      </c>
      <c r="FH228" s="66" t="str">
        <f t="shared" si="3623"/>
        <v/>
      </c>
      <c r="FI228" s="66" t="str">
        <f t="shared" si="3624"/>
        <v/>
      </c>
      <c r="FJ228" s="66" t="str">
        <f t="shared" si="3625"/>
        <v/>
      </c>
      <c r="FK228" s="66" t="str">
        <f t="shared" si="3626"/>
        <v/>
      </c>
      <c r="FL228" s="66" t="str">
        <f t="shared" si="3627"/>
        <v/>
      </c>
      <c r="FM228" s="66" t="str">
        <f t="shared" si="3628"/>
        <v/>
      </c>
      <c r="FN228" s="66" t="str">
        <f t="shared" si="3629"/>
        <v/>
      </c>
      <c r="FO228" s="66" t="str">
        <f t="shared" si="3630"/>
        <v/>
      </c>
      <c r="FP228" s="66" t="str">
        <f t="shared" si="3631"/>
        <v/>
      </c>
      <c r="FQ228" s="66" t="str">
        <f t="shared" si="3632"/>
        <v/>
      </c>
      <c r="FR228" s="66" t="str">
        <f t="shared" si="3633"/>
        <v/>
      </c>
      <c r="FS228" s="66" t="str">
        <f t="shared" si="3634"/>
        <v/>
      </c>
    </row>
    <row r="229" spans="1:175" ht="16.5">
      <c r="A229" s="109"/>
      <c r="B229" s="27" t="s">
        <v>761</v>
      </c>
      <c r="C229" s="29" t="s">
        <v>748</v>
      </c>
      <c r="T229" s="117"/>
      <c r="U229" s="77"/>
      <c r="CN229" s="36" t="str">
        <f t="shared" si="3559"/>
        <v>InitUnitState('IF14',,,,,,,,,,)</v>
      </c>
      <c r="CO229" s="36" t="str">
        <f t="shared" si="3560"/>
        <v>InitUnitNormal('IF14',,,,,,,,,,)</v>
      </c>
      <c r="CP229" s="36" t="str">
        <f t="shared" si="3561"/>
        <v>InitUnitMagic('IF14',,,,,,,,,,)</v>
      </c>
      <c r="CQ229" s="36" t="str">
        <f t="shared" si="3562"/>
        <v>InitUnitAdd('IF14',,,,,,,,,,)</v>
      </c>
      <c r="CR229" s="36" t="str">
        <f t="shared" si="3563"/>
        <v>InitEquipData('IF14',,"",,,,,'','','','','','',"")</v>
      </c>
      <c r="CU229" s="88" t="str">
        <f t="shared" si="3564"/>
        <v>|n</v>
      </c>
      <c r="CW229" s="33"/>
      <c r="CX229" s="33"/>
      <c r="CY229" s="33"/>
      <c r="CZ229" s="33"/>
      <c r="DA229" s="33"/>
      <c r="DB229" s="66" t="str">
        <f t="shared" si="3565"/>
        <v/>
      </c>
      <c r="DC229" s="66" t="str">
        <f t="shared" si="3566"/>
        <v/>
      </c>
      <c r="DD229" s="66" t="str">
        <f t="shared" si="3567"/>
        <v/>
      </c>
      <c r="DE229" s="66" t="str">
        <f t="shared" si="3568"/>
        <v/>
      </c>
      <c r="DF229" s="66" t="str">
        <f t="shared" si="3569"/>
        <v/>
      </c>
      <c r="DG229" s="66" t="str">
        <f t="shared" si="3570"/>
        <v/>
      </c>
      <c r="DH229" s="66" t="str">
        <f t="shared" si="3571"/>
        <v/>
      </c>
      <c r="DI229" s="66" t="str">
        <f t="shared" si="3572"/>
        <v/>
      </c>
      <c r="DJ229" s="66" t="str">
        <f t="shared" si="3573"/>
        <v/>
      </c>
      <c r="DK229" s="66" t="str">
        <f t="shared" si="3574"/>
        <v/>
      </c>
      <c r="DL229" s="66" t="str">
        <f t="shared" si="3575"/>
        <v/>
      </c>
      <c r="DM229" s="66" t="str">
        <f t="shared" si="3576"/>
        <v/>
      </c>
      <c r="DN229" s="66" t="str">
        <f t="shared" si="3577"/>
        <v/>
      </c>
      <c r="DO229" s="66" t="str">
        <f t="shared" si="3578"/>
        <v/>
      </c>
      <c r="DP229" s="66" t="str">
        <f t="shared" si="3579"/>
        <v/>
      </c>
      <c r="DQ229" s="66" t="str">
        <f t="shared" si="3580"/>
        <v/>
      </c>
      <c r="DR229" s="66" t="str">
        <f t="shared" si="3581"/>
        <v/>
      </c>
      <c r="DS229" s="66" t="str">
        <f t="shared" si="3582"/>
        <v/>
      </c>
      <c r="DT229" s="66" t="str">
        <f t="shared" si="3583"/>
        <v/>
      </c>
      <c r="DU229" s="66" t="str">
        <f t="shared" si="3584"/>
        <v/>
      </c>
      <c r="DV229" s="66" t="str">
        <f t="shared" si="3585"/>
        <v/>
      </c>
      <c r="DW229" s="66" t="str">
        <f t="shared" si="3586"/>
        <v/>
      </c>
      <c r="DX229" s="66" t="str">
        <f t="shared" si="3587"/>
        <v/>
      </c>
      <c r="DY229" s="66" t="str">
        <f t="shared" si="3588"/>
        <v/>
      </c>
      <c r="DZ229" s="66" t="str">
        <f t="shared" si="3589"/>
        <v/>
      </c>
      <c r="EA229" s="66" t="str">
        <f t="shared" si="3590"/>
        <v/>
      </c>
      <c r="EB229" s="66" t="str">
        <f t="shared" si="3591"/>
        <v/>
      </c>
      <c r="EC229" s="66" t="str">
        <f t="shared" si="3592"/>
        <v/>
      </c>
      <c r="ED229" s="66" t="str">
        <f t="shared" si="3593"/>
        <v/>
      </c>
      <c r="EE229" s="66" t="str">
        <f t="shared" si="3594"/>
        <v/>
      </c>
      <c r="EF229" s="66" t="str">
        <f t="shared" si="3595"/>
        <v/>
      </c>
      <c r="EG229" s="66" t="str">
        <f t="shared" si="3596"/>
        <v/>
      </c>
      <c r="EH229" s="66" t="str">
        <f t="shared" si="3597"/>
        <v/>
      </c>
      <c r="EI229" s="66" t="str">
        <f t="shared" si="3598"/>
        <v/>
      </c>
      <c r="EJ229" s="66" t="str">
        <f t="shared" si="3599"/>
        <v/>
      </c>
      <c r="EK229" s="66" t="str">
        <f t="shared" si="3600"/>
        <v/>
      </c>
      <c r="EL229" s="66" t="str">
        <f t="shared" si="3601"/>
        <v/>
      </c>
      <c r="EM229" s="66" t="str">
        <f t="shared" si="3602"/>
        <v/>
      </c>
      <c r="EN229" s="66" t="str">
        <f t="shared" si="3603"/>
        <v/>
      </c>
      <c r="EO229" s="66" t="str">
        <f t="shared" si="3604"/>
        <v/>
      </c>
      <c r="EP229" s="66" t="str">
        <f t="shared" si="3605"/>
        <v/>
      </c>
      <c r="EQ229" s="66" t="str">
        <f t="shared" si="3606"/>
        <v/>
      </c>
      <c r="ER229" s="66" t="str">
        <f t="shared" si="3607"/>
        <v/>
      </c>
      <c r="ES229" s="66" t="str">
        <f t="shared" si="3608"/>
        <v/>
      </c>
      <c r="ET229" s="66" t="str">
        <f t="shared" si="3609"/>
        <v/>
      </c>
      <c r="EU229" s="66" t="str">
        <f t="shared" si="3610"/>
        <v/>
      </c>
      <c r="EV229" s="66" t="str">
        <f t="shared" si="3611"/>
        <v/>
      </c>
      <c r="EW229" s="66" t="str">
        <f t="shared" si="3612"/>
        <v/>
      </c>
      <c r="EX229" s="66" t="str">
        <f t="shared" si="3613"/>
        <v/>
      </c>
      <c r="EY229" s="66" t="str">
        <f t="shared" si="3614"/>
        <v/>
      </c>
      <c r="EZ229" s="66" t="str">
        <f t="shared" si="3615"/>
        <v/>
      </c>
      <c r="FA229" s="66" t="str">
        <f t="shared" si="3616"/>
        <v/>
      </c>
      <c r="FB229" s="66" t="str">
        <f t="shared" si="3617"/>
        <v/>
      </c>
      <c r="FC229" s="66" t="str">
        <f t="shared" si="3618"/>
        <v/>
      </c>
      <c r="FD229" s="66" t="str">
        <f t="shared" si="3619"/>
        <v/>
      </c>
      <c r="FE229" s="66" t="str">
        <f t="shared" si="3620"/>
        <v/>
      </c>
      <c r="FF229" s="66" t="str">
        <f t="shared" si="3621"/>
        <v/>
      </c>
      <c r="FG229" s="66" t="str">
        <f t="shared" si="3622"/>
        <v/>
      </c>
      <c r="FH229" s="66" t="str">
        <f t="shared" si="3623"/>
        <v/>
      </c>
      <c r="FI229" s="66" t="str">
        <f t="shared" si="3624"/>
        <v/>
      </c>
      <c r="FJ229" s="66" t="str">
        <f t="shared" si="3625"/>
        <v/>
      </c>
      <c r="FK229" s="66" t="str">
        <f t="shared" si="3626"/>
        <v/>
      </c>
      <c r="FL229" s="66" t="str">
        <f t="shared" si="3627"/>
        <v/>
      </c>
      <c r="FM229" s="66" t="str">
        <f t="shared" si="3628"/>
        <v/>
      </c>
      <c r="FN229" s="66" t="str">
        <f t="shared" si="3629"/>
        <v/>
      </c>
      <c r="FO229" s="66" t="str">
        <f t="shared" si="3630"/>
        <v/>
      </c>
      <c r="FP229" s="66" t="str">
        <f t="shared" si="3631"/>
        <v/>
      </c>
      <c r="FQ229" s="66" t="str">
        <f t="shared" si="3632"/>
        <v/>
      </c>
      <c r="FR229" s="66" t="str">
        <f t="shared" si="3633"/>
        <v/>
      </c>
      <c r="FS229" s="66" t="str">
        <f t="shared" si="3634"/>
        <v/>
      </c>
    </row>
    <row r="230" spans="1:175" ht="16.5">
      <c r="A230" s="109"/>
      <c r="B230" s="27" t="s">
        <v>762</v>
      </c>
      <c r="C230" s="29" t="s">
        <v>748</v>
      </c>
      <c r="T230" s="117"/>
      <c r="U230" s="77"/>
      <c r="CN230" s="36" t="str">
        <f t="shared" si="3559"/>
        <v>InitUnitState('IF15',,,,,,,,,,)</v>
      </c>
      <c r="CO230" s="36" t="str">
        <f t="shared" si="3560"/>
        <v>InitUnitNormal('IF15',,,,,,,,,,)</v>
      </c>
      <c r="CP230" s="36" t="str">
        <f t="shared" si="3561"/>
        <v>InitUnitMagic('IF15',,,,,,,,,,)</v>
      </c>
      <c r="CQ230" s="36" t="str">
        <f t="shared" si="3562"/>
        <v>InitUnitAdd('IF15',,,,,,,,,,)</v>
      </c>
      <c r="CR230" s="36" t="str">
        <f t="shared" si="3563"/>
        <v>InitEquipData('IF15',,"",,,,,'','','','','','',"")</v>
      </c>
      <c r="CU230" s="88" t="str">
        <f t="shared" si="3564"/>
        <v>|n</v>
      </c>
      <c r="CW230" s="33"/>
      <c r="CX230" s="33"/>
      <c r="CY230" s="33"/>
      <c r="CZ230" s="33"/>
      <c r="DA230" s="33"/>
      <c r="DB230" s="66" t="str">
        <f t="shared" si="3565"/>
        <v/>
      </c>
      <c r="DC230" s="66" t="str">
        <f t="shared" si="3566"/>
        <v/>
      </c>
      <c r="DD230" s="66" t="str">
        <f t="shared" si="3567"/>
        <v/>
      </c>
      <c r="DE230" s="66" t="str">
        <f t="shared" si="3568"/>
        <v/>
      </c>
      <c r="DF230" s="66" t="str">
        <f t="shared" si="3569"/>
        <v/>
      </c>
      <c r="DG230" s="66" t="str">
        <f t="shared" si="3570"/>
        <v/>
      </c>
      <c r="DH230" s="66" t="str">
        <f t="shared" si="3571"/>
        <v/>
      </c>
      <c r="DI230" s="66" t="str">
        <f t="shared" si="3572"/>
        <v/>
      </c>
      <c r="DJ230" s="66" t="str">
        <f t="shared" si="3573"/>
        <v/>
      </c>
      <c r="DK230" s="66" t="str">
        <f t="shared" si="3574"/>
        <v/>
      </c>
      <c r="DL230" s="66" t="str">
        <f t="shared" si="3575"/>
        <v/>
      </c>
      <c r="DM230" s="66" t="str">
        <f t="shared" si="3576"/>
        <v/>
      </c>
      <c r="DN230" s="66" t="str">
        <f t="shared" si="3577"/>
        <v/>
      </c>
      <c r="DO230" s="66" t="str">
        <f t="shared" si="3578"/>
        <v/>
      </c>
      <c r="DP230" s="66" t="str">
        <f t="shared" si="3579"/>
        <v/>
      </c>
      <c r="DQ230" s="66" t="str">
        <f t="shared" si="3580"/>
        <v/>
      </c>
      <c r="DR230" s="66" t="str">
        <f t="shared" si="3581"/>
        <v/>
      </c>
      <c r="DS230" s="66" t="str">
        <f t="shared" si="3582"/>
        <v/>
      </c>
      <c r="DT230" s="66" t="str">
        <f t="shared" si="3583"/>
        <v/>
      </c>
      <c r="DU230" s="66" t="str">
        <f t="shared" si="3584"/>
        <v/>
      </c>
      <c r="DV230" s="66" t="str">
        <f t="shared" si="3585"/>
        <v/>
      </c>
      <c r="DW230" s="66" t="str">
        <f t="shared" si="3586"/>
        <v/>
      </c>
      <c r="DX230" s="66" t="str">
        <f t="shared" si="3587"/>
        <v/>
      </c>
      <c r="DY230" s="66" t="str">
        <f t="shared" si="3588"/>
        <v/>
      </c>
      <c r="DZ230" s="66" t="str">
        <f t="shared" si="3589"/>
        <v/>
      </c>
      <c r="EA230" s="66" t="str">
        <f t="shared" si="3590"/>
        <v/>
      </c>
      <c r="EB230" s="66" t="str">
        <f t="shared" si="3591"/>
        <v/>
      </c>
      <c r="EC230" s="66" t="str">
        <f t="shared" si="3592"/>
        <v/>
      </c>
      <c r="ED230" s="66" t="str">
        <f t="shared" si="3593"/>
        <v/>
      </c>
      <c r="EE230" s="66" t="str">
        <f t="shared" si="3594"/>
        <v/>
      </c>
      <c r="EF230" s="66" t="str">
        <f t="shared" si="3595"/>
        <v/>
      </c>
      <c r="EG230" s="66" t="str">
        <f t="shared" si="3596"/>
        <v/>
      </c>
      <c r="EH230" s="66" t="str">
        <f t="shared" si="3597"/>
        <v/>
      </c>
      <c r="EI230" s="66" t="str">
        <f t="shared" si="3598"/>
        <v/>
      </c>
      <c r="EJ230" s="66" t="str">
        <f t="shared" si="3599"/>
        <v/>
      </c>
      <c r="EK230" s="66" t="str">
        <f t="shared" si="3600"/>
        <v/>
      </c>
      <c r="EL230" s="66" t="str">
        <f t="shared" si="3601"/>
        <v/>
      </c>
      <c r="EM230" s="66" t="str">
        <f t="shared" si="3602"/>
        <v/>
      </c>
      <c r="EN230" s="66" t="str">
        <f t="shared" si="3603"/>
        <v/>
      </c>
      <c r="EO230" s="66" t="str">
        <f t="shared" si="3604"/>
        <v/>
      </c>
      <c r="EP230" s="66" t="str">
        <f t="shared" si="3605"/>
        <v/>
      </c>
      <c r="EQ230" s="66" t="str">
        <f t="shared" si="3606"/>
        <v/>
      </c>
      <c r="ER230" s="66" t="str">
        <f t="shared" si="3607"/>
        <v/>
      </c>
      <c r="ES230" s="66" t="str">
        <f t="shared" si="3608"/>
        <v/>
      </c>
      <c r="ET230" s="66" t="str">
        <f t="shared" si="3609"/>
        <v/>
      </c>
      <c r="EU230" s="66" t="str">
        <f t="shared" si="3610"/>
        <v/>
      </c>
      <c r="EV230" s="66" t="str">
        <f t="shared" si="3611"/>
        <v/>
      </c>
      <c r="EW230" s="66" t="str">
        <f t="shared" si="3612"/>
        <v/>
      </c>
      <c r="EX230" s="66" t="str">
        <f t="shared" si="3613"/>
        <v/>
      </c>
      <c r="EY230" s="66" t="str">
        <f t="shared" si="3614"/>
        <v/>
      </c>
      <c r="EZ230" s="66" t="str">
        <f t="shared" si="3615"/>
        <v/>
      </c>
      <c r="FA230" s="66" t="str">
        <f t="shared" si="3616"/>
        <v/>
      </c>
      <c r="FB230" s="66" t="str">
        <f t="shared" si="3617"/>
        <v/>
      </c>
      <c r="FC230" s="66" t="str">
        <f t="shared" si="3618"/>
        <v/>
      </c>
      <c r="FD230" s="66" t="str">
        <f t="shared" si="3619"/>
        <v/>
      </c>
      <c r="FE230" s="66" t="str">
        <f t="shared" si="3620"/>
        <v/>
      </c>
      <c r="FF230" s="66" t="str">
        <f t="shared" si="3621"/>
        <v/>
      </c>
      <c r="FG230" s="66" t="str">
        <f t="shared" si="3622"/>
        <v/>
      </c>
      <c r="FH230" s="66" t="str">
        <f t="shared" si="3623"/>
        <v/>
      </c>
      <c r="FI230" s="66" t="str">
        <f t="shared" si="3624"/>
        <v/>
      </c>
      <c r="FJ230" s="66" t="str">
        <f t="shared" si="3625"/>
        <v/>
      </c>
      <c r="FK230" s="66" t="str">
        <f t="shared" si="3626"/>
        <v/>
      </c>
      <c r="FL230" s="66" t="str">
        <f t="shared" si="3627"/>
        <v/>
      </c>
      <c r="FM230" s="66" t="str">
        <f t="shared" si="3628"/>
        <v/>
      </c>
      <c r="FN230" s="66" t="str">
        <f t="shared" si="3629"/>
        <v/>
      </c>
      <c r="FO230" s="66" t="str">
        <f t="shared" si="3630"/>
        <v/>
      </c>
      <c r="FP230" s="66" t="str">
        <f t="shared" si="3631"/>
        <v/>
      </c>
      <c r="FQ230" s="66" t="str">
        <f t="shared" si="3632"/>
        <v/>
      </c>
      <c r="FR230" s="66" t="str">
        <f t="shared" si="3633"/>
        <v/>
      </c>
      <c r="FS230" s="66" t="str">
        <f t="shared" si="3634"/>
        <v/>
      </c>
    </row>
    <row r="231" spans="1:175" ht="16.5">
      <c r="A231" s="109"/>
      <c r="B231" s="27" t="s">
        <v>763</v>
      </c>
      <c r="C231" s="29" t="s">
        <v>748</v>
      </c>
      <c r="T231" s="117"/>
      <c r="U231" s="77"/>
      <c r="CN231" s="36" t="str">
        <f t="shared" si="3559"/>
        <v>InitUnitState('IF16',,,,,,,,,,)</v>
      </c>
      <c r="CO231" s="36" t="str">
        <f t="shared" si="3560"/>
        <v>InitUnitNormal('IF16',,,,,,,,,,)</v>
      </c>
      <c r="CP231" s="36" t="str">
        <f t="shared" si="3561"/>
        <v>InitUnitMagic('IF16',,,,,,,,,,)</v>
      </c>
      <c r="CQ231" s="36" t="str">
        <f t="shared" si="3562"/>
        <v>InitUnitAdd('IF16',,,,,,,,,,)</v>
      </c>
      <c r="CR231" s="36" t="str">
        <f t="shared" si="3563"/>
        <v>InitEquipData('IF16',,"",,,,,'','','','','','',"")</v>
      </c>
      <c r="CU231" s="88" t="str">
        <f t="shared" si="3564"/>
        <v>|n</v>
      </c>
      <c r="CW231" s="33"/>
      <c r="CX231" s="33"/>
      <c r="CY231" s="33"/>
      <c r="CZ231" s="33"/>
      <c r="DA231" s="33"/>
      <c r="DB231" s="66" t="str">
        <f t="shared" si="3565"/>
        <v/>
      </c>
      <c r="DC231" s="66" t="str">
        <f t="shared" si="3566"/>
        <v/>
      </c>
      <c r="DD231" s="66" t="str">
        <f t="shared" si="3567"/>
        <v/>
      </c>
      <c r="DE231" s="66" t="str">
        <f t="shared" si="3568"/>
        <v/>
      </c>
      <c r="DF231" s="66" t="str">
        <f t="shared" si="3569"/>
        <v/>
      </c>
      <c r="DG231" s="66" t="str">
        <f t="shared" si="3570"/>
        <v/>
      </c>
      <c r="DH231" s="66" t="str">
        <f t="shared" si="3571"/>
        <v/>
      </c>
      <c r="DI231" s="66" t="str">
        <f t="shared" si="3572"/>
        <v/>
      </c>
      <c r="DJ231" s="66" t="str">
        <f t="shared" si="3573"/>
        <v/>
      </c>
      <c r="DK231" s="66" t="str">
        <f t="shared" si="3574"/>
        <v/>
      </c>
      <c r="DL231" s="66" t="str">
        <f t="shared" si="3575"/>
        <v/>
      </c>
      <c r="DM231" s="66" t="str">
        <f t="shared" si="3576"/>
        <v/>
      </c>
      <c r="DN231" s="66" t="str">
        <f t="shared" si="3577"/>
        <v/>
      </c>
      <c r="DO231" s="66" t="str">
        <f t="shared" si="3578"/>
        <v/>
      </c>
      <c r="DP231" s="66" t="str">
        <f t="shared" si="3579"/>
        <v/>
      </c>
      <c r="DQ231" s="66" t="str">
        <f t="shared" si="3580"/>
        <v/>
      </c>
      <c r="DR231" s="66" t="str">
        <f t="shared" si="3581"/>
        <v/>
      </c>
      <c r="DS231" s="66" t="str">
        <f t="shared" si="3582"/>
        <v/>
      </c>
      <c r="DT231" s="66" t="str">
        <f t="shared" si="3583"/>
        <v/>
      </c>
      <c r="DU231" s="66" t="str">
        <f t="shared" si="3584"/>
        <v/>
      </c>
      <c r="DV231" s="66" t="str">
        <f t="shared" si="3585"/>
        <v/>
      </c>
      <c r="DW231" s="66" t="str">
        <f t="shared" si="3586"/>
        <v/>
      </c>
      <c r="DX231" s="66" t="str">
        <f t="shared" si="3587"/>
        <v/>
      </c>
      <c r="DY231" s="66" t="str">
        <f t="shared" si="3588"/>
        <v/>
      </c>
      <c r="DZ231" s="66" t="str">
        <f t="shared" si="3589"/>
        <v/>
      </c>
      <c r="EA231" s="66" t="str">
        <f t="shared" si="3590"/>
        <v/>
      </c>
      <c r="EB231" s="66" t="str">
        <f t="shared" si="3591"/>
        <v/>
      </c>
      <c r="EC231" s="66" t="str">
        <f t="shared" si="3592"/>
        <v/>
      </c>
      <c r="ED231" s="66" t="str">
        <f t="shared" si="3593"/>
        <v/>
      </c>
      <c r="EE231" s="66" t="str">
        <f t="shared" si="3594"/>
        <v/>
      </c>
      <c r="EF231" s="66" t="str">
        <f t="shared" si="3595"/>
        <v/>
      </c>
      <c r="EG231" s="66" t="str">
        <f t="shared" si="3596"/>
        <v/>
      </c>
      <c r="EH231" s="66" t="str">
        <f t="shared" si="3597"/>
        <v/>
      </c>
      <c r="EI231" s="66" t="str">
        <f t="shared" si="3598"/>
        <v/>
      </c>
      <c r="EJ231" s="66" t="str">
        <f t="shared" si="3599"/>
        <v/>
      </c>
      <c r="EK231" s="66" t="str">
        <f t="shared" si="3600"/>
        <v/>
      </c>
      <c r="EL231" s="66" t="str">
        <f t="shared" si="3601"/>
        <v/>
      </c>
      <c r="EM231" s="66" t="str">
        <f t="shared" si="3602"/>
        <v/>
      </c>
      <c r="EN231" s="66" t="str">
        <f t="shared" si="3603"/>
        <v/>
      </c>
      <c r="EO231" s="66" t="str">
        <f t="shared" si="3604"/>
        <v/>
      </c>
      <c r="EP231" s="66" t="str">
        <f t="shared" si="3605"/>
        <v/>
      </c>
      <c r="EQ231" s="66" t="str">
        <f t="shared" si="3606"/>
        <v/>
      </c>
      <c r="ER231" s="66" t="str">
        <f t="shared" si="3607"/>
        <v/>
      </c>
      <c r="ES231" s="66" t="str">
        <f t="shared" si="3608"/>
        <v/>
      </c>
      <c r="ET231" s="66" t="str">
        <f t="shared" si="3609"/>
        <v/>
      </c>
      <c r="EU231" s="66" t="str">
        <f t="shared" si="3610"/>
        <v/>
      </c>
      <c r="EV231" s="66" t="str">
        <f t="shared" si="3611"/>
        <v/>
      </c>
      <c r="EW231" s="66" t="str">
        <f t="shared" si="3612"/>
        <v/>
      </c>
      <c r="EX231" s="66" t="str">
        <f t="shared" si="3613"/>
        <v/>
      </c>
      <c r="EY231" s="66" t="str">
        <f t="shared" si="3614"/>
        <v/>
      </c>
      <c r="EZ231" s="66" t="str">
        <f t="shared" si="3615"/>
        <v/>
      </c>
      <c r="FA231" s="66" t="str">
        <f t="shared" si="3616"/>
        <v/>
      </c>
      <c r="FB231" s="66" t="str">
        <f t="shared" si="3617"/>
        <v/>
      </c>
      <c r="FC231" s="66" t="str">
        <f t="shared" si="3618"/>
        <v/>
      </c>
      <c r="FD231" s="66" t="str">
        <f t="shared" si="3619"/>
        <v/>
      </c>
      <c r="FE231" s="66" t="str">
        <f t="shared" si="3620"/>
        <v/>
      </c>
      <c r="FF231" s="66" t="str">
        <f t="shared" si="3621"/>
        <v/>
      </c>
      <c r="FG231" s="66" t="str">
        <f t="shared" si="3622"/>
        <v/>
      </c>
      <c r="FH231" s="66" t="str">
        <f t="shared" si="3623"/>
        <v/>
      </c>
      <c r="FI231" s="66" t="str">
        <f t="shared" si="3624"/>
        <v/>
      </c>
      <c r="FJ231" s="66" t="str">
        <f t="shared" si="3625"/>
        <v/>
      </c>
      <c r="FK231" s="66" t="str">
        <f t="shared" si="3626"/>
        <v/>
      </c>
      <c r="FL231" s="66" t="str">
        <f t="shared" si="3627"/>
        <v/>
      </c>
      <c r="FM231" s="66" t="str">
        <f t="shared" si="3628"/>
        <v/>
      </c>
      <c r="FN231" s="66" t="str">
        <f t="shared" si="3629"/>
        <v/>
      </c>
      <c r="FO231" s="66" t="str">
        <f t="shared" si="3630"/>
        <v/>
      </c>
      <c r="FP231" s="66" t="str">
        <f t="shared" si="3631"/>
        <v/>
      </c>
      <c r="FQ231" s="66" t="str">
        <f t="shared" si="3632"/>
        <v/>
      </c>
      <c r="FR231" s="66" t="str">
        <f t="shared" si="3633"/>
        <v/>
      </c>
      <c r="FS231" s="66" t="str">
        <f t="shared" si="3634"/>
        <v/>
      </c>
    </row>
    <row r="232" spans="1:175" ht="16.5">
      <c r="A232" s="109"/>
      <c r="B232" s="27" t="s">
        <v>764</v>
      </c>
      <c r="C232" s="29" t="s">
        <v>748</v>
      </c>
      <c r="T232" s="117"/>
      <c r="U232" s="77"/>
      <c r="CN232" s="36" t="str">
        <f t="shared" si="3559"/>
        <v>InitUnitState('IF17',,,,,,,,,,)</v>
      </c>
      <c r="CO232" s="36" t="str">
        <f t="shared" si="3560"/>
        <v>InitUnitNormal('IF17',,,,,,,,,,)</v>
      </c>
      <c r="CP232" s="36" t="str">
        <f t="shared" si="3561"/>
        <v>InitUnitMagic('IF17',,,,,,,,,,)</v>
      </c>
      <c r="CQ232" s="36" t="str">
        <f t="shared" si="3562"/>
        <v>InitUnitAdd('IF17',,,,,,,,,,)</v>
      </c>
      <c r="CR232" s="36" t="str">
        <f t="shared" si="3563"/>
        <v>InitEquipData('IF17',,"",,,,,'','','','','','',"")</v>
      </c>
      <c r="CU232" s="88" t="str">
        <f t="shared" si="3564"/>
        <v>|n</v>
      </c>
      <c r="CW232" s="33"/>
      <c r="CX232" s="33"/>
      <c r="CY232" s="33"/>
      <c r="CZ232" s="33"/>
      <c r="DA232" s="33"/>
      <c r="DB232" s="66" t="str">
        <f t="shared" si="3565"/>
        <v/>
      </c>
      <c r="DC232" s="66" t="str">
        <f t="shared" si="3566"/>
        <v/>
      </c>
      <c r="DD232" s="66" t="str">
        <f t="shared" si="3567"/>
        <v/>
      </c>
      <c r="DE232" s="66" t="str">
        <f t="shared" si="3568"/>
        <v/>
      </c>
      <c r="DF232" s="66" t="str">
        <f t="shared" si="3569"/>
        <v/>
      </c>
      <c r="DG232" s="66" t="str">
        <f t="shared" si="3570"/>
        <v/>
      </c>
      <c r="DH232" s="66" t="str">
        <f t="shared" si="3571"/>
        <v/>
      </c>
      <c r="DI232" s="66" t="str">
        <f t="shared" si="3572"/>
        <v/>
      </c>
      <c r="DJ232" s="66" t="str">
        <f t="shared" si="3573"/>
        <v/>
      </c>
      <c r="DK232" s="66" t="str">
        <f t="shared" si="3574"/>
        <v/>
      </c>
      <c r="DL232" s="66" t="str">
        <f t="shared" si="3575"/>
        <v/>
      </c>
      <c r="DM232" s="66" t="str">
        <f t="shared" si="3576"/>
        <v/>
      </c>
      <c r="DN232" s="66" t="str">
        <f t="shared" si="3577"/>
        <v/>
      </c>
      <c r="DO232" s="66" t="str">
        <f t="shared" si="3578"/>
        <v/>
      </c>
      <c r="DP232" s="66" t="str">
        <f t="shared" si="3579"/>
        <v/>
      </c>
      <c r="DQ232" s="66" t="str">
        <f t="shared" si="3580"/>
        <v/>
      </c>
      <c r="DR232" s="66" t="str">
        <f t="shared" si="3581"/>
        <v/>
      </c>
      <c r="DS232" s="66" t="str">
        <f t="shared" si="3582"/>
        <v/>
      </c>
      <c r="DT232" s="66" t="str">
        <f t="shared" si="3583"/>
        <v/>
      </c>
      <c r="DU232" s="66" t="str">
        <f t="shared" si="3584"/>
        <v/>
      </c>
      <c r="DV232" s="66" t="str">
        <f t="shared" si="3585"/>
        <v/>
      </c>
      <c r="DW232" s="66" t="str">
        <f t="shared" si="3586"/>
        <v/>
      </c>
      <c r="DX232" s="66" t="str">
        <f t="shared" si="3587"/>
        <v/>
      </c>
      <c r="DY232" s="66" t="str">
        <f t="shared" si="3588"/>
        <v/>
      </c>
      <c r="DZ232" s="66" t="str">
        <f t="shared" si="3589"/>
        <v/>
      </c>
      <c r="EA232" s="66" t="str">
        <f t="shared" si="3590"/>
        <v/>
      </c>
      <c r="EB232" s="66" t="str">
        <f t="shared" si="3591"/>
        <v/>
      </c>
      <c r="EC232" s="66" t="str">
        <f t="shared" si="3592"/>
        <v/>
      </c>
      <c r="ED232" s="66" t="str">
        <f t="shared" si="3593"/>
        <v/>
      </c>
      <c r="EE232" s="66" t="str">
        <f t="shared" si="3594"/>
        <v/>
      </c>
      <c r="EF232" s="66" t="str">
        <f t="shared" si="3595"/>
        <v/>
      </c>
      <c r="EG232" s="66" t="str">
        <f t="shared" si="3596"/>
        <v/>
      </c>
      <c r="EH232" s="66" t="str">
        <f t="shared" si="3597"/>
        <v/>
      </c>
      <c r="EI232" s="66" t="str">
        <f t="shared" si="3598"/>
        <v/>
      </c>
      <c r="EJ232" s="66" t="str">
        <f t="shared" si="3599"/>
        <v/>
      </c>
      <c r="EK232" s="66" t="str">
        <f t="shared" si="3600"/>
        <v/>
      </c>
      <c r="EL232" s="66" t="str">
        <f t="shared" si="3601"/>
        <v/>
      </c>
      <c r="EM232" s="66" t="str">
        <f t="shared" si="3602"/>
        <v/>
      </c>
      <c r="EN232" s="66" t="str">
        <f t="shared" si="3603"/>
        <v/>
      </c>
      <c r="EO232" s="66" t="str">
        <f t="shared" si="3604"/>
        <v/>
      </c>
      <c r="EP232" s="66" t="str">
        <f t="shared" si="3605"/>
        <v/>
      </c>
      <c r="EQ232" s="66" t="str">
        <f t="shared" si="3606"/>
        <v/>
      </c>
      <c r="ER232" s="66" t="str">
        <f t="shared" si="3607"/>
        <v/>
      </c>
      <c r="ES232" s="66" t="str">
        <f t="shared" si="3608"/>
        <v/>
      </c>
      <c r="ET232" s="66" t="str">
        <f t="shared" si="3609"/>
        <v/>
      </c>
      <c r="EU232" s="66" t="str">
        <f t="shared" si="3610"/>
        <v/>
      </c>
      <c r="EV232" s="66" t="str">
        <f t="shared" si="3611"/>
        <v/>
      </c>
      <c r="EW232" s="66" t="str">
        <f t="shared" si="3612"/>
        <v/>
      </c>
      <c r="EX232" s="66" t="str">
        <f t="shared" si="3613"/>
        <v/>
      </c>
      <c r="EY232" s="66" t="str">
        <f t="shared" si="3614"/>
        <v/>
      </c>
      <c r="EZ232" s="66" t="str">
        <f t="shared" si="3615"/>
        <v/>
      </c>
      <c r="FA232" s="66" t="str">
        <f t="shared" si="3616"/>
        <v/>
      </c>
      <c r="FB232" s="66" t="str">
        <f t="shared" si="3617"/>
        <v/>
      </c>
      <c r="FC232" s="66" t="str">
        <f t="shared" si="3618"/>
        <v/>
      </c>
      <c r="FD232" s="66" t="str">
        <f t="shared" si="3619"/>
        <v/>
      </c>
      <c r="FE232" s="66" t="str">
        <f t="shared" si="3620"/>
        <v/>
      </c>
      <c r="FF232" s="66" t="str">
        <f t="shared" si="3621"/>
        <v/>
      </c>
      <c r="FG232" s="66" t="str">
        <f t="shared" si="3622"/>
        <v/>
      </c>
      <c r="FH232" s="66" t="str">
        <f t="shared" si="3623"/>
        <v/>
      </c>
      <c r="FI232" s="66" t="str">
        <f t="shared" si="3624"/>
        <v/>
      </c>
      <c r="FJ232" s="66" t="str">
        <f t="shared" si="3625"/>
        <v/>
      </c>
      <c r="FK232" s="66" t="str">
        <f t="shared" si="3626"/>
        <v/>
      </c>
      <c r="FL232" s="66" t="str">
        <f t="shared" si="3627"/>
        <v/>
      </c>
      <c r="FM232" s="66" t="str">
        <f t="shared" si="3628"/>
        <v/>
      </c>
      <c r="FN232" s="66" t="str">
        <f t="shared" si="3629"/>
        <v/>
      </c>
      <c r="FO232" s="66" t="str">
        <f t="shared" si="3630"/>
        <v/>
      </c>
      <c r="FP232" s="66" t="str">
        <f t="shared" si="3631"/>
        <v/>
      </c>
      <c r="FQ232" s="66" t="str">
        <f t="shared" si="3632"/>
        <v/>
      </c>
      <c r="FR232" s="66" t="str">
        <f t="shared" si="3633"/>
        <v/>
      </c>
      <c r="FS232" s="66" t="str">
        <f t="shared" si="3634"/>
        <v/>
      </c>
    </row>
    <row r="233" spans="1:175" ht="16.5">
      <c r="A233" s="109"/>
      <c r="B233" s="27" t="s">
        <v>765</v>
      </c>
      <c r="C233" s="29" t="s">
        <v>748</v>
      </c>
      <c r="T233" s="118"/>
      <c r="U233" s="77"/>
      <c r="CN233" s="36" t="str">
        <f t="shared" si="3559"/>
        <v>InitUnitState('IF18',,,,,,,,,,)</v>
      </c>
      <c r="CO233" s="36" t="str">
        <f t="shared" si="3560"/>
        <v>InitUnitNormal('IF18',,,,,,,,,,)</v>
      </c>
      <c r="CP233" s="36" t="str">
        <f t="shared" si="3561"/>
        <v>InitUnitMagic('IF18',,,,,,,,,,)</v>
      </c>
      <c r="CQ233" s="36" t="str">
        <f t="shared" si="3562"/>
        <v>InitUnitAdd('IF18',,,,,,,,,,)</v>
      </c>
      <c r="CR233" s="36" t="str">
        <f t="shared" si="3563"/>
        <v>InitEquipData('IF18',,"",,,,,'','','','','','',"")</v>
      </c>
      <c r="CU233" s="88" t="str">
        <f t="shared" si="3564"/>
        <v>|n</v>
      </c>
      <c r="CW233" s="33"/>
      <c r="CX233" s="33"/>
      <c r="CY233" s="33"/>
      <c r="CZ233" s="33"/>
      <c r="DA233" s="33"/>
      <c r="DB233" s="66" t="str">
        <f t="shared" si="3565"/>
        <v/>
      </c>
      <c r="DC233" s="66" t="str">
        <f t="shared" si="3566"/>
        <v/>
      </c>
      <c r="DD233" s="66" t="str">
        <f t="shared" si="3567"/>
        <v/>
      </c>
      <c r="DE233" s="66" t="str">
        <f t="shared" si="3568"/>
        <v/>
      </c>
      <c r="DF233" s="66" t="str">
        <f t="shared" si="3569"/>
        <v/>
      </c>
      <c r="DG233" s="66" t="str">
        <f t="shared" si="3570"/>
        <v/>
      </c>
      <c r="DH233" s="66" t="str">
        <f t="shared" si="3571"/>
        <v/>
      </c>
      <c r="DI233" s="66" t="str">
        <f t="shared" si="3572"/>
        <v/>
      </c>
      <c r="DJ233" s="66" t="str">
        <f t="shared" si="3573"/>
        <v/>
      </c>
      <c r="DK233" s="66" t="str">
        <f t="shared" si="3574"/>
        <v/>
      </c>
      <c r="DL233" s="66" t="str">
        <f t="shared" si="3575"/>
        <v/>
      </c>
      <c r="DM233" s="66" t="str">
        <f t="shared" si="3576"/>
        <v/>
      </c>
      <c r="DN233" s="66" t="str">
        <f t="shared" si="3577"/>
        <v/>
      </c>
      <c r="DO233" s="66" t="str">
        <f t="shared" si="3578"/>
        <v/>
      </c>
      <c r="DP233" s="66" t="str">
        <f t="shared" si="3579"/>
        <v/>
      </c>
      <c r="DQ233" s="66" t="str">
        <f t="shared" si="3580"/>
        <v/>
      </c>
      <c r="DR233" s="66" t="str">
        <f t="shared" si="3581"/>
        <v/>
      </c>
      <c r="DS233" s="66" t="str">
        <f t="shared" si="3582"/>
        <v/>
      </c>
      <c r="DT233" s="66" t="str">
        <f t="shared" si="3583"/>
        <v/>
      </c>
      <c r="DU233" s="66" t="str">
        <f t="shared" si="3584"/>
        <v/>
      </c>
      <c r="DV233" s="66" t="str">
        <f t="shared" si="3585"/>
        <v/>
      </c>
      <c r="DW233" s="66" t="str">
        <f t="shared" si="3586"/>
        <v/>
      </c>
      <c r="DX233" s="66" t="str">
        <f t="shared" si="3587"/>
        <v/>
      </c>
      <c r="DY233" s="66" t="str">
        <f t="shared" si="3588"/>
        <v/>
      </c>
      <c r="DZ233" s="66" t="str">
        <f t="shared" si="3589"/>
        <v/>
      </c>
      <c r="EA233" s="66" t="str">
        <f t="shared" si="3590"/>
        <v/>
      </c>
      <c r="EB233" s="66" t="str">
        <f t="shared" si="3591"/>
        <v/>
      </c>
      <c r="EC233" s="66" t="str">
        <f t="shared" si="3592"/>
        <v/>
      </c>
      <c r="ED233" s="66" t="str">
        <f t="shared" si="3593"/>
        <v/>
      </c>
      <c r="EE233" s="66" t="str">
        <f t="shared" si="3594"/>
        <v/>
      </c>
      <c r="EF233" s="66" t="str">
        <f t="shared" si="3595"/>
        <v/>
      </c>
      <c r="EG233" s="66" t="str">
        <f t="shared" si="3596"/>
        <v/>
      </c>
      <c r="EH233" s="66" t="str">
        <f t="shared" si="3597"/>
        <v/>
      </c>
      <c r="EI233" s="66" t="str">
        <f t="shared" si="3598"/>
        <v/>
      </c>
      <c r="EJ233" s="66" t="str">
        <f t="shared" si="3599"/>
        <v/>
      </c>
      <c r="EK233" s="66" t="str">
        <f t="shared" si="3600"/>
        <v/>
      </c>
      <c r="EL233" s="66" t="str">
        <f t="shared" si="3601"/>
        <v/>
      </c>
      <c r="EM233" s="66" t="str">
        <f t="shared" si="3602"/>
        <v/>
      </c>
      <c r="EN233" s="66" t="str">
        <f t="shared" si="3603"/>
        <v/>
      </c>
      <c r="EO233" s="66" t="str">
        <f t="shared" si="3604"/>
        <v/>
      </c>
      <c r="EP233" s="66" t="str">
        <f t="shared" si="3605"/>
        <v/>
      </c>
      <c r="EQ233" s="66" t="str">
        <f t="shared" si="3606"/>
        <v/>
      </c>
      <c r="ER233" s="66" t="str">
        <f t="shared" si="3607"/>
        <v/>
      </c>
      <c r="ES233" s="66" t="str">
        <f t="shared" si="3608"/>
        <v/>
      </c>
      <c r="ET233" s="66" t="str">
        <f t="shared" si="3609"/>
        <v/>
      </c>
      <c r="EU233" s="66" t="str">
        <f t="shared" si="3610"/>
        <v/>
      </c>
      <c r="EV233" s="66" t="str">
        <f t="shared" si="3611"/>
        <v/>
      </c>
      <c r="EW233" s="66" t="str">
        <f t="shared" si="3612"/>
        <v/>
      </c>
      <c r="EX233" s="66" t="str">
        <f t="shared" si="3613"/>
        <v/>
      </c>
      <c r="EY233" s="66" t="str">
        <f t="shared" si="3614"/>
        <v/>
      </c>
      <c r="EZ233" s="66" t="str">
        <f t="shared" si="3615"/>
        <v/>
      </c>
      <c r="FA233" s="66" t="str">
        <f t="shared" si="3616"/>
        <v/>
      </c>
      <c r="FB233" s="66" t="str">
        <f t="shared" si="3617"/>
        <v/>
      </c>
      <c r="FC233" s="66" t="str">
        <f t="shared" si="3618"/>
        <v/>
      </c>
      <c r="FD233" s="66" t="str">
        <f t="shared" si="3619"/>
        <v/>
      </c>
      <c r="FE233" s="66" t="str">
        <f t="shared" si="3620"/>
        <v/>
      </c>
      <c r="FF233" s="66" t="str">
        <f t="shared" si="3621"/>
        <v/>
      </c>
      <c r="FG233" s="66" t="str">
        <f t="shared" si="3622"/>
        <v/>
      </c>
      <c r="FH233" s="66" t="str">
        <f t="shared" si="3623"/>
        <v/>
      </c>
      <c r="FI233" s="66" t="str">
        <f t="shared" si="3624"/>
        <v/>
      </c>
      <c r="FJ233" s="66" t="str">
        <f t="shared" si="3625"/>
        <v/>
      </c>
      <c r="FK233" s="66" t="str">
        <f t="shared" si="3626"/>
        <v/>
      </c>
      <c r="FL233" s="66" t="str">
        <f t="shared" si="3627"/>
        <v/>
      </c>
      <c r="FM233" s="66" t="str">
        <f t="shared" si="3628"/>
        <v/>
      </c>
      <c r="FN233" s="66" t="str">
        <f t="shared" si="3629"/>
        <v/>
      </c>
      <c r="FO233" s="66" t="str">
        <f t="shared" si="3630"/>
        <v/>
      </c>
      <c r="FP233" s="66" t="str">
        <f t="shared" si="3631"/>
        <v/>
      </c>
      <c r="FQ233" s="66" t="str">
        <f t="shared" si="3632"/>
        <v/>
      </c>
      <c r="FR233" s="66" t="str">
        <f t="shared" si="3633"/>
        <v/>
      </c>
      <c r="FS233" s="66" t="str">
        <f t="shared" si="3634"/>
        <v/>
      </c>
    </row>
    <row r="234" spans="1:175" ht="16.5">
      <c r="A234" s="109"/>
      <c r="B234" s="27" t="s">
        <v>766</v>
      </c>
      <c r="C234" s="29" t="s">
        <v>748</v>
      </c>
      <c r="T234" s="118"/>
      <c r="U234" s="77"/>
      <c r="CN234" s="36" t="str">
        <f t="shared" si="3559"/>
        <v>InitUnitState('IF19',,,,,,,,,,)</v>
      </c>
      <c r="CO234" s="36" t="str">
        <f t="shared" si="3560"/>
        <v>InitUnitNormal('IF19',,,,,,,,,,)</v>
      </c>
      <c r="CP234" s="36" t="str">
        <f t="shared" si="3561"/>
        <v>InitUnitMagic('IF19',,,,,,,,,,)</v>
      </c>
      <c r="CQ234" s="36" t="str">
        <f t="shared" si="3562"/>
        <v>InitUnitAdd('IF19',,,,,,,,,,)</v>
      </c>
      <c r="CR234" s="36" t="str">
        <f t="shared" si="3563"/>
        <v>InitEquipData('IF19',,"",,,,,'','','','','','',"")</v>
      </c>
      <c r="CU234" s="88" t="str">
        <f t="shared" si="3564"/>
        <v>|n</v>
      </c>
      <c r="CW234" s="33"/>
      <c r="CX234" s="33"/>
      <c r="CY234" s="33"/>
      <c r="CZ234" s="33"/>
      <c r="DA234" s="33"/>
      <c r="DB234" s="66" t="str">
        <f t="shared" si="3565"/>
        <v/>
      </c>
      <c r="DC234" s="66" t="str">
        <f t="shared" si="3566"/>
        <v/>
      </c>
      <c r="DD234" s="66" t="str">
        <f t="shared" si="3567"/>
        <v/>
      </c>
      <c r="DE234" s="66" t="str">
        <f t="shared" si="3568"/>
        <v/>
      </c>
      <c r="DF234" s="66" t="str">
        <f t="shared" si="3569"/>
        <v/>
      </c>
      <c r="DG234" s="66" t="str">
        <f t="shared" si="3570"/>
        <v/>
      </c>
      <c r="DH234" s="66" t="str">
        <f t="shared" si="3571"/>
        <v/>
      </c>
      <c r="DI234" s="66" t="str">
        <f t="shared" si="3572"/>
        <v/>
      </c>
      <c r="DJ234" s="66" t="str">
        <f t="shared" si="3573"/>
        <v/>
      </c>
      <c r="DK234" s="66" t="str">
        <f t="shared" si="3574"/>
        <v/>
      </c>
      <c r="DL234" s="66" t="str">
        <f t="shared" si="3575"/>
        <v/>
      </c>
      <c r="DM234" s="66" t="str">
        <f t="shared" si="3576"/>
        <v/>
      </c>
      <c r="DN234" s="66" t="str">
        <f t="shared" si="3577"/>
        <v/>
      </c>
      <c r="DO234" s="66" t="str">
        <f t="shared" si="3578"/>
        <v/>
      </c>
      <c r="DP234" s="66" t="str">
        <f t="shared" si="3579"/>
        <v/>
      </c>
      <c r="DQ234" s="66" t="str">
        <f t="shared" si="3580"/>
        <v/>
      </c>
      <c r="DR234" s="66" t="str">
        <f t="shared" si="3581"/>
        <v/>
      </c>
      <c r="DS234" s="66" t="str">
        <f t="shared" si="3582"/>
        <v/>
      </c>
      <c r="DT234" s="66" t="str">
        <f t="shared" si="3583"/>
        <v/>
      </c>
      <c r="DU234" s="66" t="str">
        <f t="shared" si="3584"/>
        <v/>
      </c>
      <c r="DV234" s="66" t="str">
        <f t="shared" si="3585"/>
        <v/>
      </c>
      <c r="DW234" s="66" t="str">
        <f t="shared" si="3586"/>
        <v/>
      </c>
      <c r="DX234" s="66" t="str">
        <f t="shared" si="3587"/>
        <v/>
      </c>
      <c r="DY234" s="66" t="str">
        <f t="shared" si="3588"/>
        <v/>
      </c>
      <c r="DZ234" s="66" t="str">
        <f t="shared" si="3589"/>
        <v/>
      </c>
      <c r="EA234" s="66" t="str">
        <f t="shared" si="3590"/>
        <v/>
      </c>
      <c r="EB234" s="66" t="str">
        <f t="shared" si="3591"/>
        <v/>
      </c>
      <c r="EC234" s="66" t="str">
        <f t="shared" si="3592"/>
        <v/>
      </c>
      <c r="ED234" s="66" t="str">
        <f t="shared" si="3593"/>
        <v/>
      </c>
      <c r="EE234" s="66" t="str">
        <f t="shared" si="3594"/>
        <v/>
      </c>
      <c r="EF234" s="66" t="str">
        <f t="shared" si="3595"/>
        <v/>
      </c>
      <c r="EG234" s="66" t="str">
        <f t="shared" si="3596"/>
        <v/>
      </c>
      <c r="EH234" s="66" t="str">
        <f t="shared" si="3597"/>
        <v/>
      </c>
      <c r="EI234" s="66" t="str">
        <f t="shared" si="3598"/>
        <v/>
      </c>
      <c r="EJ234" s="66" t="str">
        <f t="shared" si="3599"/>
        <v/>
      </c>
      <c r="EK234" s="66" t="str">
        <f t="shared" si="3600"/>
        <v/>
      </c>
      <c r="EL234" s="66" t="str">
        <f t="shared" si="3601"/>
        <v/>
      </c>
      <c r="EM234" s="66" t="str">
        <f t="shared" si="3602"/>
        <v/>
      </c>
      <c r="EN234" s="66" t="str">
        <f t="shared" si="3603"/>
        <v/>
      </c>
      <c r="EO234" s="66" t="str">
        <f t="shared" si="3604"/>
        <v/>
      </c>
      <c r="EP234" s="66" t="str">
        <f t="shared" si="3605"/>
        <v/>
      </c>
      <c r="EQ234" s="66" t="str">
        <f t="shared" si="3606"/>
        <v/>
      </c>
      <c r="ER234" s="66" t="str">
        <f t="shared" si="3607"/>
        <v/>
      </c>
      <c r="ES234" s="66" t="str">
        <f t="shared" si="3608"/>
        <v/>
      </c>
      <c r="ET234" s="66" t="str">
        <f t="shared" si="3609"/>
        <v/>
      </c>
      <c r="EU234" s="66" t="str">
        <f t="shared" si="3610"/>
        <v/>
      </c>
      <c r="EV234" s="66" t="str">
        <f t="shared" si="3611"/>
        <v/>
      </c>
      <c r="EW234" s="66" t="str">
        <f t="shared" si="3612"/>
        <v/>
      </c>
      <c r="EX234" s="66" t="str">
        <f t="shared" si="3613"/>
        <v/>
      </c>
      <c r="EY234" s="66" t="str">
        <f t="shared" si="3614"/>
        <v/>
      </c>
      <c r="EZ234" s="66" t="str">
        <f t="shared" si="3615"/>
        <v/>
      </c>
      <c r="FA234" s="66" t="str">
        <f t="shared" si="3616"/>
        <v/>
      </c>
      <c r="FB234" s="66" t="str">
        <f t="shared" si="3617"/>
        <v/>
      </c>
      <c r="FC234" s="66" t="str">
        <f t="shared" si="3618"/>
        <v/>
      </c>
      <c r="FD234" s="66" t="str">
        <f t="shared" si="3619"/>
        <v/>
      </c>
      <c r="FE234" s="66" t="str">
        <f t="shared" si="3620"/>
        <v/>
      </c>
      <c r="FF234" s="66" t="str">
        <f t="shared" si="3621"/>
        <v/>
      </c>
      <c r="FG234" s="66" t="str">
        <f t="shared" si="3622"/>
        <v/>
      </c>
      <c r="FH234" s="66" t="str">
        <f t="shared" si="3623"/>
        <v/>
      </c>
      <c r="FI234" s="66" t="str">
        <f t="shared" si="3624"/>
        <v/>
      </c>
      <c r="FJ234" s="66" t="str">
        <f t="shared" si="3625"/>
        <v/>
      </c>
      <c r="FK234" s="66" t="str">
        <f t="shared" si="3626"/>
        <v/>
      </c>
      <c r="FL234" s="66" t="str">
        <f t="shared" si="3627"/>
        <v/>
      </c>
      <c r="FM234" s="66" t="str">
        <f t="shared" si="3628"/>
        <v/>
      </c>
      <c r="FN234" s="66" t="str">
        <f t="shared" si="3629"/>
        <v/>
      </c>
      <c r="FO234" s="66" t="str">
        <f t="shared" si="3630"/>
        <v/>
      </c>
      <c r="FP234" s="66" t="str">
        <f t="shared" si="3631"/>
        <v/>
      </c>
      <c r="FQ234" s="66" t="str">
        <f t="shared" si="3632"/>
        <v/>
      </c>
      <c r="FR234" s="66" t="str">
        <f t="shared" si="3633"/>
        <v/>
      </c>
      <c r="FS234" s="66" t="str">
        <f t="shared" si="3634"/>
        <v/>
      </c>
    </row>
    <row r="235" spans="1:175" ht="16.5">
      <c r="A235" s="109"/>
      <c r="B235" s="27" t="s">
        <v>767</v>
      </c>
      <c r="C235" s="29" t="s">
        <v>748</v>
      </c>
      <c r="T235" s="118"/>
      <c r="U235" s="77"/>
      <c r="CN235" s="36" t="str">
        <f t="shared" si="3559"/>
        <v>InitUnitState('IF20',,,,,,,,,,)</v>
      </c>
      <c r="CO235" s="36" t="str">
        <f t="shared" si="3560"/>
        <v>InitUnitNormal('IF20',,,,,,,,,,)</v>
      </c>
      <c r="CP235" s="36" t="str">
        <f t="shared" si="3561"/>
        <v>InitUnitMagic('IF20',,,,,,,,,,)</v>
      </c>
      <c r="CQ235" s="36" t="str">
        <f t="shared" si="3562"/>
        <v>InitUnitAdd('IF20',,,,,,,,,,)</v>
      </c>
      <c r="CR235" s="36" t="str">
        <f t="shared" si="3563"/>
        <v>InitEquipData('IF20',,"",,,,,'','','','','','',"")</v>
      </c>
      <c r="CU235" s="88" t="str">
        <f t="shared" si="3564"/>
        <v>|n</v>
      </c>
      <c r="CW235" s="33"/>
      <c r="CX235" s="33"/>
      <c r="CY235" s="33"/>
      <c r="CZ235" s="33"/>
      <c r="DA235" s="33"/>
      <c r="DB235" s="66" t="str">
        <f t="shared" si="3565"/>
        <v/>
      </c>
      <c r="DC235" s="66" t="str">
        <f t="shared" si="3566"/>
        <v/>
      </c>
      <c r="DD235" s="66" t="str">
        <f t="shared" si="3567"/>
        <v/>
      </c>
      <c r="DE235" s="66" t="str">
        <f t="shared" si="3568"/>
        <v/>
      </c>
      <c r="DF235" s="66" t="str">
        <f t="shared" si="3569"/>
        <v/>
      </c>
      <c r="DG235" s="66" t="str">
        <f t="shared" si="3570"/>
        <v/>
      </c>
      <c r="DH235" s="66" t="str">
        <f t="shared" si="3571"/>
        <v/>
      </c>
      <c r="DI235" s="66" t="str">
        <f t="shared" si="3572"/>
        <v/>
      </c>
      <c r="DJ235" s="66" t="str">
        <f t="shared" si="3573"/>
        <v/>
      </c>
      <c r="DK235" s="66" t="str">
        <f t="shared" si="3574"/>
        <v/>
      </c>
      <c r="DL235" s="66" t="str">
        <f t="shared" si="3575"/>
        <v/>
      </c>
      <c r="DM235" s="66" t="str">
        <f t="shared" si="3576"/>
        <v/>
      </c>
      <c r="DN235" s="66" t="str">
        <f t="shared" si="3577"/>
        <v/>
      </c>
      <c r="DO235" s="66" t="str">
        <f t="shared" si="3578"/>
        <v/>
      </c>
      <c r="DP235" s="66" t="str">
        <f t="shared" si="3579"/>
        <v/>
      </c>
      <c r="DQ235" s="66" t="str">
        <f t="shared" si="3580"/>
        <v/>
      </c>
      <c r="DR235" s="66" t="str">
        <f t="shared" si="3581"/>
        <v/>
      </c>
      <c r="DS235" s="66" t="str">
        <f t="shared" si="3582"/>
        <v/>
      </c>
      <c r="DT235" s="66" t="str">
        <f t="shared" si="3583"/>
        <v/>
      </c>
      <c r="DU235" s="66" t="str">
        <f t="shared" si="3584"/>
        <v/>
      </c>
      <c r="DV235" s="66" t="str">
        <f t="shared" si="3585"/>
        <v/>
      </c>
      <c r="DW235" s="66" t="str">
        <f t="shared" si="3586"/>
        <v/>
      </c>
      <c r="DX235" s="66" t="str">
        <f t="shared" si="3587"/>
        <v/>
      </c>
      <c r="DY235" s="66" t="str">
        <f t="shared" si="3588"/>
        <v/>
      </c>
      <c r="DZ235" s="66" t="str">
        <f t="shared" si="3589"/>
        <v/>
      </c>
      <c r="EA235" s="66" t="str">
        <f t="shared" si="3590"/>
        <v/>
      </c>
      <c r="EB235" s="66" t="str">
        <f t="shared" si="3591"/>
        <v/>
      </c>
      <c r="EC235" s="66" t="str">
        <f t="shared" si="3592"/>
        <v/>
      </c>
      <c r="ED235" s="66" t="str">
        <f t="shared" si="3593"/>
        <v/>
      </c>
      <c r="EE235" s="66" t="str">
        <f t="shared" si="3594"/>
        <v/>
      </c>
      <c r="EF235" s="66" t="str">
        <f t="shared" si="3595"/>
        <v/>
      </c>
      <c r="EG235" s="66" t="str">
        <f t="shared" si="3596"/>
        <v/>
      </c>
      <c r="EH235" s="66" t="str">
        <f t="shared" si="3597"/>
        <v/>
      </c>
      <c r="EI235" s="66" t="str">
        <f t="shared" si="3598"/>
        <v/>
      </c>
      <c r="EJ235" s="66" t="str">
        <f t="shared" si="3599"/>
        <v/>
      </c>
      <c r="EK235" s="66" t="str">
        <f t="shared" si="3600"/>
        <v/>
      </c>
      <c r="EL235" s="66" t="str">
        <f t="shared" si="3601"/>
        <v/>
      </c>
      <c r="EM235" s="66" t="str">
        <f t="shared" si="3602"/>
        <v/>
      </c>
      <c r="EN235" s="66" t="str">
        <f t="shared" si="3603"/>
        <v/>
      </c>
      <c r="EO235" s="66" t="str">
        <f t="shared" si="3604"/>
        <v/>
      </c>
      <c r="EP235" s="66" t="str">
        <f t="shared" si="3605"/>
        <v/>
      </c>
      <c r="EQ235" s="66" t="str">
        <f t="shared" si="3606"/>
        <v/>
      </c>
      <c r="ER235" s="66" t="str">
        <f t="shared" si="3607"/>
        <v/>
      </c>
      <c r="ES235" s="66" t="str">
        <f t="shared" si="3608"/>
        <v/>
      </c>
      <c r="ET235" s="66" t="str">
        <f t="shared" si="3609"/>
        <v/>
      </c>
      <c r="EU235" s="66" t="str">
        <f t="shared" si="3610"/>
        <v/>
      </c>
      <c r="EV235" s="66" t="str">
        <f t="shared" si="3611"/>
        <v/>
      </c>
      <c r="EW235" s="66" t="str">
        <f t="shared" si="3612"/>
        <v/>
      </c>
      <c r="EX235" s="66" t="str">
        <f t="shared" si="3613"/>
        <v/>
      </c>
      <c r="EY235" s="66" t="str">
        <f t="shared" si="3614"/>
        <v/>
      </c>
      <c r="EZ235" s="66" t="str">
        <f t="shared" si="3615"/>
        <v/>
      </c>
      <c r="FA235" s="66" t="str">
        <f t="shared" si="3616"/>
        <v/>
      </c>
      <c r="FB235" s="66" t="str">
        <f t="shared" si="3617"/>
        <v/>
      </c>
      <c r="FC235" s="66" t="str">
        <f t="shared" si="3618"/>
        <v/>
      </c>
      <c r="FD235" s="66" t="str">
        <f t="shared" si="3619"/>
        <v/>
      </c>
      <c r="FE235" s="66" t="str">
        <f t="shared" si="3620"/>
        <v/>
      </c>
      <c r="FF235" s="66" t="str">
        <f t="shared" si="3621"/>
        <v/>
      </c>
      <c r="FG235" s="66" t="str">
        <f t="shared" si="3622"/>
        <v/>
      </c>
      <c r="FH235" s="66" t="str">
        <f t="shared" si="3623"/>
        <v/>
      </c>
      <c r="FI235" s="66" t="str">
        <f t="shared" si="3624"/>
        <v/>
      </c>
      <c r="FJ235" s="66" t="str">
        <f t="shared" si="3625"/>
        <v/>
      </c>
      <c r="FK235" s="66" t="str">
        <f t="shared" si="3626"/>
        <v/>
      </c>
      <c r="FL235" s="66" t="str">
        <f t="shared" si="3627"/>
        <v/>
      </c>
      <c r="FM235" s="66" t="str">
        <f t="shared" si="3628"/>
        <v/>
      </c>
      <c r="FN235" s="66" t="str">
        <f t="shared" si="3629"/>
        <v/>
      </c>
      <c r="FO235" s="66" t="str">
        <f t="shared" si="3630"/>
        <v/>
      </c>
      <c r="FP235" s="66" t="str">
        <f t="shared" si="3631"/>
        <v/>
      </c>
      <c r="FQ235" s="66" t="str">
        <f t="shared" si="3632"/>
        <v/>
      </c>
      <c r="FR235" s="66" t="str">
        <f t="shared" si="3633"/>
        <v/>
      </c>
      <c r="FS235" s="66" t="str">
        <f t="shared" si="3634"/>
        <v/>
      </c>
    </row>
    <row r="236" spans="1:175">
      <c r="A236" s="27"/>
      <c r="B236" s="27" t="s">
        <v>768</v>
      </c>
      <c r="C236" s="29" t="s">
        <v>748</v>
      </c>
      <c r="T236" s="119"/>
      <c r="U236" s="77"/>
      <c r="CN236" s="36" t="str">
        <f t="shared" si="3559"/>
        <v>InitUnitState('IF21',,,,,,,,,,)</v>
      </c>
      <c r="CO236" s="36" t="str">
        <f t="shared" si="3560"/>
        <v>InitUnitNormal('IF21',,,,,,,,,,)</v>
      </c>
      <c r="CP236" s="36" t="str">
        <f t="shared" si="3561"/>
        <v>InitUnitMagic('IF21',,,,,,,,,,)</v>
      </c>
      <c r="CQ236" s="36" t="str">
        <f t="shared" si="3562"/>
        <v>InitUnitAdd('IF21',,,,,,,,,,)</v>
      </c>
      <c r="CR236" s="36" t="str">
        <f t="shared" si="3563"/>
        <v>InitEquipData('IF21',,"",,,,,'','','','','','',"")</v>
      </c>
      <c r="CU236" s="88" t="str">
        <f t="shared" si="3564"/>
        <v>|n</v>
      </c>
      <c r="CW236" s="33"/>
      <c r="CX236" s="33"/>
      <c r="CY236" s="33"/>
      <c r="CZ236" s="33"/>
      <c r="DA236" s="33"/>
      <c r="DB236" s="66" t="str">
        <f t="shared" si="3565"/>
        <v/>
      </c>
      <c r="DC236" s="66" t="str">
        <f t="shared" si="3566"/>
        <v/>
      </c>
      <c r="DD236" s="66" t="str">
        <f t="shared" si="3567"/>
        <v/>
      </c>
      <c r="DE236" s="66" t="str">
        <f t="shared" si="3568"/>
        <v/>
      </c>
      <c r="DF236" s="66" t="str">
        <f t="shared" si="3569"/>
        <v/>
      </c>
      <c r="DG236" s="66" t="str">
        <f t="shared" si="3570"/>
        <v/>
      </c>
      <c r="DH236" s="66" t="str">
        <f t="shared" si="3571"/>
        <v/>
      </c>
      <c r="DI236" s="66" t="str">
        <f t="shared" si="3572"/>
        <v/>
      </c>
      <c r="DJ236" s="66" t="str">
        <f t="shared" si="3573"/>
        <v/>
      </c>
      <c r="DK236" s="66" t="str">
        <f t="shared" si="3574"/>
        <v/>
      </c>
      <c r="DL236" s="66" t="str">
        <f t="shared" si="3575"/>
        <v/>
      </c>
      <c r="DM236" s="66" t="str">
        <f t="shared" si="3576"/>
        <v/>
      </c>
      <c r="DN236" s="66" t="str">
        <f t="shared" si="3577"/>
        <v/>
      </c>
      <c r="DO236" s="66" t="str">
        <f t="shared" si="3578"/>
        <v/>
      </c>
      <c r="DP236" s="66" t="str">
        <f t="shared" si="3579"/>
        <v/>
      </c>
      <c r="DQ236" s="66" t="str">
        <f t="shared" si="3580"/>
        <v/>
      </c>
      <c r="DR236" s="66" t="str">
        <f t="shared" si="3581"/>
        <v/>
      </c>
      <c r="DS236" s="66" t="str">
        <f t="shared" si="3582"/>
        <v/>
      </c>
      <c r="DT236" s="66" t="str">
        <f t="shared" si="3583"/>
        <v/>
      </c>
      <c r="DU236" s="66" t="str">
        <f t="shared" si="3584"/>
        <v/>
      </c>
      <c r="DV236" s="66" t="str">
        <f t="shared" si="3585"/>
        <v/>
      </c>
      <c r="DW236" s="66" t="str">
        <f t="shared" si="3586"/>
        <v/>
      </c>
      <c r="DX236" s="66" t="str">
        <f t="shared" si="3587"/>
        <v/>
      </c>
      <c r="DY236" s="66" t="str">
        <f t="shared" si="3588"/>
        <v/>
      </c>
      <c r="DZ236" s="66" t="str">
        <f t="shared" si="3589"/>
        <v/>
      </c>
      <c r="EA236" s="66" t="str">
        <f t="shared" si="3590"/>
        <v/>
      </c>
      <c r="EB236" s="66" t="str">
        <f t="shared" si="3591"/>
        <v/>
      </c>
      <c r="EC236" s="66" t="str">
        <f t="shared" si="3592"/>
        <v/>
      </c>
      <c r="ED236" s="66" t="str">
        <f t="shared" si="3593"/>
        <v/>
      </c>
      <c r="EE236" s="66" t="str">
        <f t="shared" si="3594"/>
        <v/>
      </c>
      <c r="EF236" s="66" t="str">
        <f t="shared" si="3595"/>
        <v/>
      </c>
      <c r="EG236" s="66" t="str">
        <f t="shared" si="3596"/>
        <v/>
      </c>
      <c r="EH236" s="66" t="str">
        <f t="shared" si="3597"/>
        <v/>
      </c>
      <c r="EI236" s="66" t="str">
        <f t="shared" si="3598"/>
        <v/>
      </c>
      <c r="EJ236" s="66" t="str">
        <f t="shared" si="3599"/>
        <v/>
      </c>
      <c r="EK236" s="66" t="str">
        <f t="shared" si="3600"/>
        <v/>
      </c>
      <c r="EL236" s="66" t="str">
        <f t="shared" si="3601"/>
        <v/>
      </c>
      <c r="EM236" s="66" t="str">
        <f t="shared" si="3602"/>
        <v/>
      </c>
      <c r="EN236" s="66" t="str">
        <f t="shared" si="3603"/>
        <v/>
      </c>
      <c r="EO236" s="66" t="str">
        <f t="shared" si="3604"/>
        <v/>
      </c>
      <c r="EP236" s="66" t="str">
        <f t="shared" si="3605"/>
        <v/>
      </c>
      <c r="EQ236" s="66" t="str">
        <f t="shared" si="3606"/>
        <v/>
      </c>
      <c r="ER236" s="66" t="str">
        <f t="shared" si="3607"/>
        <v/>
      </c>
      <c r="ES236" s="66" t="str">
        <f t="shared" si="3608"/>
        <v/>
      </c>
      <c r="ET236" s="66" t="str">
        <f t="shared" si="3609"/>
        <v/>
      </c>
      <c r="EU236" s="66" t="str">
        <f t="shared" si="3610"/>
        <v/>
      </c>
      <c r="EV236" s="66" t="str">
        <f t="shared" si="3611"/>
        <v/>
      </c>
      <c r="EW236" s="66" t="str">
        <f t="shared" si="3612"/>
        <v/>
      </c>
      <c r="EX236" s="66" t="str">
        <f t="shared" si="3613"/>
        <v/>
      </c>
      <c r="EY236" s="66" t="str">
        <f t="shared" si="3614"/>
        <v/>
      </c>
      <c r="EZ236" s="66" t="str">
        <f t="shared" si="3615"/>
        <v/>
      </c>
      <c r="FA236" s="66" t="str">
        <f t="shared" si="3616"/>
        <v/>
      </c>
      <c r="FB236" s="66" t="str">
        <f t="shared" si="3617"/>
        <v/>
      </c>
      <c r="FC236" s="66" t="str">
        <f t="shared" si="3618"/>
        <v/>
      </c>
      <c r="FD236" s="66" t="str">
        <f t="shared" si="3619"/>
        <v/>
      </c>
      <c r="FE236" s="66" t="str">
        <f t="shared" si="3620"/>
        <v/>
      </c>
      <c r="FF236" s="66" t="str">
        <f t="shared" si="3621"/>
        <v/>
      </c>
      <c r="FG236" s="66" t="str">
        <f t="shared" si="3622"/>
        <v/>
      </c>
      <c r="FH236" s="66" t="str">
        <f t="shared" si="3623"/>
        <v/>
      </c>
      <c r="FI236" s="66" t="str">
        <f t="shared" si="3624"/>
        <v/>
      </c>
      <c r="FJ236" s="66" t="str">
        <f t="shared" si="3625"/>
        <v/>
      </c>
      <c r="FK236" s="66" t="str">
        <f t="shared" si="3626"/>
        <v/>
      </c>
      <c r="FL236" s="66" t="str">
        <f t="shared" si="3627"/>
        <v/>
      </c>
      <c r="FM236" s="66" t="str">
        <f t="shared" si="3628"/>
        <v/>
      </c>
      <c r="FN236" s="66" t="str">
        <f t="shared" si="3629"/>
        <v/>
      </c>
      <c r="FO236" s="66" t="str">
        <f t="shared" si="3630"/>
        <v/>
      </c>
      <c r="FP236" s="66" t="str">
        <f t="shared" si="3631"/>
        <v/>
      </c>
      <c r="FQ236" s="66" t="str">
        <f t="shared" si="3632"/>
        <v/>
      </c>
      <c r="FR236" s="66" t="str">
        <f t="shared" si="3633"/>
        <v/>
      </c>
      <c r="FS236" s="66" t="str">
        <f t="shared" si="3634"/>
        <v/>
      </c>
    </row>
    <row r="237" spans="1:175">
      <c r="A237" s="27"/>
      <c r="B237" s="27" t="s">
        <v>769</v>
      </c>
      <c r="C237" s="29" t="s">
        <v>748</v>
      </c>
      <c r="T237" s="119"/>
      <c r="U237" s="77"/>
      <c r="CN237" s="36" t="str">
        <f t="shared" si="3559"/>
        <v>InitUnitState('IF22',,,,,,,,,,)</v>
      </c>
      <c r="CO237" s="36" t="str">
        <f t="shared" si="3560"/>
        <v>InitUnitNormal('IF22',,,,,,,,,,)</v>
      </c>
      <c r="CP237" s="36" t="str">
        <f t="shared" si="3561"/>
        <v>InitUnitMagic('IF22',,,,,,,,,,)</v>
      </c>
      <c r="CQ237" s="36" t="str">
        <f t="shared" si="3562"/>
        <v>InitUnitAdd('IF22',,,,,,,,,,)</v>
      </c>
      <c r="CR237" s="36" t="str">
        <f t="shared" si="3563"/>
        <v>InitEquipData('IF22',,"",,,,,'','','','','','',"")</v>
      </c>
      <c r="CU237" s="88" t="str">
        <f t="shared" si="3564"/>
        <v>|n</v>
      </c>
      <c r="CW237" s="33"/>
      <c r="CX237" s="33"/>
      <c r="CY237" s="33"/>
      <c r="CZ237" s="33"/>
      <c r="DA237" s="33"/>
      <c r="DB237" s="66" t="str">
        <f t="shared" si="3565"/>
        <v/>
      </c>
      <c r="DC237" s="66" t="str">
        <f t="shared" si="3566"/>
        <v/>
      </c>
      <c r="DD237" s="66" t="str">
        <f t="shared" si="3567"/>
        <v/>
      </c>
      <c r="DE237" s="66" t="str">
        <f t="shared" si="3568"/>
        <v/>
      </c>
      <c r="DF237" s="66" t="str">
        <f t="shared" si="3569"/>
        <v/>
      </c>
      <c r="DG237" s="66" t="str">
        <f t="shared" si="3570"/>
        <v/>
      </c>
      <c r="DH237" s="66" t="str">
        <f t="shared" si="3571"/>
        <v/>
      </c>
      <c r="DI237" s="66" t="str">
        <f t="shared" si="3572"/>
        <v/>
      </c>
      <c r="DJ237" s="66" t="str">
        <f t="shared" si="3573"/>
        <v/>
      </c>
      <c r="DK237" s="66" t="str">
        <f t="shared" si="3574"/>
        <v/>
      </c>
      <c r="DL237" s="66" t="str">
        <f t="shared" si="3575"/>
        <v/>
      </c>
      <c r="DM237" s="66" t="str">
        <f t="shared" si="3576"/>
        <v/>
      </c>
      <c r="DN237" s="66" t="str">
        <f t="shared" si="3577"/>
        <v/>
      </c>
      <c r="DO237" s="66" t="str">
        <f t="shared" si="3578"/>
        <v/>
      </c>
      <c r="DP237" s="66" t="str">
        <f t="shared" si="3579"/>
        <v/>
      </c>
      <c r="DQ237" s="66" t="str">
        <f t="shared" si="3580"/>
        <v/>
      </c>
      <c r="DR237" s="66" t="str">
        <f t="shared" si="3581"/>
        <v/>
      </c>
      <c r="DS237" s="66" t="str">
        <f t="shared" si="3582"/>
        <v/>
      </c>
      <c r="DT237" s="66" t="str">
        <f t="shared" si="3583"/>
        <v/>
      </c>
      <c r="DU237" s="66" t="str">
        <f t="shared" si="3584"/>
        <v/>
      </c>
      <c r="DV237" s="66" t="str">
        <f t="shared" si="3585"/>
        <v/>
      </c>
      <c r="DW237" s="66" t="str">
        <f t="shared" si="3586"/>
        <v/>
      </c>
      <c r="DX237" s="66" t="str">
        <f t="shared" si="3587"/>
        <v/>
      </c>
      <c r="DY237" s="66" t="str">
        <f t="shared" si="3588"/>
        <v/>
      </c>
      <c r="DZ237" s="66" t="str">
        <f t="shared" si="3589"/>
        <v/>
      </c>
      <c r="EA237" s="66" t="str">
        <f t="shared" si="3590"/>
        <v/>
      </c>
      <c r="EB237" s="66" t="str">
        <f t="shared" si="3591"/>
        <v/>
      </c>
      <c r="EC237" s="66" t="str">
        <f t="shared" si="3592"/>
        <v/>
      </c>
      <c r="ED237" s="66" t="str">
        <f t="shared" si="3593"/>
        <v/>
      </c>
      <c r="EE237" s="66" t="str">
        <f t="shared" si="3594"/>
        <v/>
      </c>
      <c r="EF237" s="66" t="str">
        <f t="shared" si="3595"/>
        <v/>
      </c>
      <c r="EG237" s="66" t="str">
        <f t="shared" si="3596"/>
        <v/>
      </c>
      <c r="EH237" s="66" t="str">
        <f t="shared" si="3597"/>
        <v/>
      </c>
      <c r="EI237" s="66" t="str">
        <f t="shared" si="3598"/>
        <v/>
      </c>
      <c r="EJ237" s="66" t="str">
        <f t="shared" si="3599"/>
        <v/>
      </c>
      <c r="EK237" s="66" t="str">
        <f t="shared" si="3600"/>
        <v/>
      </c>
      <c r="EL237" s="66" t="str">
        <f t="shared" si="3601"/>
        <v/>
      </c>
      <c r="EM237" s="66" t="str">
        <f t="shared" si="3602"/>
        <v/>
      </c>
      <c r="EN237" s="66" t="str">
        <f t="shared" si="3603"/>
        <v/>
      </c>
      <c r="EO237" s="66" t="str">
        <f t="shared" si="3604"/>
        <v/>
      </c>
      <c r="EP237" s="66" t="str">
        <f t="shared" si="3605"/>
        <v/>
      </c>
      <c r="EQ237" s="66" t="str">
        <f t="shared" si="3606"/>
        <v/>
      </c>
      <c r="ER237" s="66" t="str">
        <f t="shared" si="3607"/>
        <v/>
      </c>
      <c r="ES237" s="66" t="str">
        <f t="shared" si="3608"/>
        <v/>
      </c>
      <c r="ET237" s="66" t="str">
        <f t="shared" si="3609"/>
        <v/>
      </c>
      <c r="EU237" s="66" t="str">
        <f t="shared" si="3610"/>
        <v/>
      </c>
      <c r="EV237" s="66" t="str">
        <f t="shared" si="3611"/>
        <v/>
      </c>
      <c r="EW237" s="66" t="str">
        <f t="shared" si="3612"/>
        <v/>
      </c>
      <c r="EX237" s="66" t="str">
        <f t="shared" si="3613"/>
        <v/>
      </c>
      <c r="EY237" s="66" t="str">
        <f t="shared" si="3614"/>
        <v/>
      </c>
      <c r="EZ237" s="66" t="str">
        <f t="shared" si="3615"/>
        <v/>
      </c>
      <c r="FA237" s="66" t="str">
        <f t="shared" si="3616"/>
        <v/>
      </c>
      <c r="FB237" s="66" t="str">
        <f t="shared" si="3617"/>
        <v/>
      </c>
      <c r="FC237" s="66" t="str">
        <f t="shared" si="3618"/>
        <v/>
      </c>
      <c r="FD237" s="66" t="str">
        <f t="shared" si="3619"/>
        <v/>
      </c>
      <c r="FE237" s="66" t="str">
        <f t="shared" si="3620"/>
        <v/>
      </c>
      <c r="FF237" s="66" t="str">
        <f t="shared" si="3621"/>
        <v/>
      </c>
      <c r="FG237" s="66" t="str">
        <f t="shared" si="3622"/>
        <v/>
      </c>
      <c r="FH237" s="66" t="str">
        <f t="shared" si="3623"/>
        <v/>
      </c>
      <c r="FI237" s="66" t="str">
        <f t="shared" si="3624"/>
        <v/>
      </c>
      <c r="FJ237" s="66" t="str">
        <f t="shared" si="3625"/>
        <v/>
      </c>
      <c r="FK237" s="66" t="str">
        <f t="shared" si="3626"/>
        <v/>
      </c>
      <c r="FL237" s="66" t="str">
        <f t="shared" si="3627"/>
        <v/>
      </c>
      <c r="FM237" s="66" t="str">
        <f t="shared" si="3628"/>
        <v/>
      </c>
      <c r="FN237" s="66" t="str">
        <f t="shared" si="3629"/>
        <v/>
      </c>
      <c r="FO237" s="66" t="str">
        <f t="shared" si="3630"/>
        <v/>
      </c>
      <c r="FP237" s="66" t="str">
        <f t="shared" si="3631"/>
        <v/>
      </c>
      <c r="FQ237" s="66" t="str">
        <f t="shared" si="3632"/>
        <v/>
      </c>
      <c r="FR237" s="66" t="str">
        <f t="shared" si="3633"/>
        <v/>
      </c>
      <c r="FS237" s="66" t="str">
        <f t="shared" si="3634"/>
        <v/>
      </c>
    </row>
    <row r="238" spans="1:175">
      <c r="A238" s="27"/>
      <c r="B238" s="27" t="s">
        <v>770</v>
      </c>
      <c r="C238" s="29" t="s">
        <v>748</v>
      </c>
      <c r="T238" s="119"/>
      <c r="U238" s="77"/>
      <c r="CN238" s="36" t="str">
        <f t="shared" si="3559"/>
        <v>InitUnitState('IF23',,,,,,,,,,)</v>
      </c>
      <c r="CO238" s="36" t="str">
        <f t="shared" si="3560"/>
        <v>InitUnitNormal('IF23',,,,,,,,,,)</v>
      </c>
      <c r="CP238" s="36" t="str">
        <f t="shared" si="3561"/>
        <v>InitUnitMagic('IF23',,,,,,,,,,)</v>
      </c>
      <c r="CQ238" s="36" t="str">
        <f t="shared" si="3562"/>
        <v>InitUnitAdd('IF23',,,,,,,,,,)</v>
      </c>
      <c r="CR238" s="36" t="str">
        <f t="shared" si="3563"/>
        <v>InitEquipData('IF23',,"",,,,,'','','','','','',"")</v>
      </c>
      <c r="CU238" s="88" t="str">
        <f t="shared" si="3564"/>
        <v>|n</v>
      </c>
      <c r="CW238" s="33"/>
      <c r="CX238" s="33"/>
      <c r="CY238" s="33"/>
      <c r="CZ238" s="33"/>
      <c r="DA238" s="33"/>
      <c r="DB238" s="66" t="str">
        <f t="shared" si="3565"/>
        <v/>
      </c>
      <c r="DC238" s="66" t="str">
        <f t="shared" si="3566"/>
        <v/>
      </c>
      <c r="DD238" s="66" t="str">
        <f t="shared" si="3567"/>
        <v/>
      </c>
      <c r="DE238" s="66" t="str">
        <f t="shared" si="3568"/>
        <v/>
      </c>
      <c r="DF238" s="66" t="str">
        <f t="shared" si="3569"/>
        <v/>
      </c>
      <c r="DG238" s="66" t="str">
        <f t="shared" si="3570"/>
        <v/>
      </c>
      <c r="DH238" s="66" t="str">
        <f t="shared" si="3571"/>
        <v/>
      </c>
      <c r="DI238" s="66" t="str">
        <f t="shared" si="3572"/>
        <v/>
      </c>
      <c r="DJ238" s="66" t="str">
        <f t="shared" si="3573"/>
        <v/>
      </c>
      <c r="DK238" s="66" t="str">
        <f t="shared" si="3574"/>
        <v/>
      </c>
      <c r="DL238" s="66" t="str">
        <f t="shared" si="3575"/>
        <v/>
      </c>
      <c r="DM238" s="66" t="str">
        <f t="shared" si="3576"/>
        <v/>
      </c>
      <c r="DN238" s="66" t="str">
        <f t="shared" si="3577"/>
        <v/>
      </c>
      <c r="DO238" s="66" t="str">
        <f t="shared" si="3578"/>
        <v/>
      </c>
      <c r="DP238" s="66" t="str">
        <f t="shared" si="3579"/>
        <v/>
      </c>
      <c r="DQ238" s="66" t="str">
        <f t="shared" si="3580"/>
        <v/>
      </c>
      <c r="DR238" s="66" t="str">
        <f t="shared" si="3581"/>
        <v/>
      </c>
      <c r="DS238" s="66" t="str">
        <f t="shared" si="3582"/>
        <v/>
      </c>
      <c r="DT238" s="66" t="str">
        <f t="shared" si="3583"/>
        <v/>
      </c>
      <c r="DU238" s="66" t="str">
        <f t="shared" si="3584"/>
        <v/>
      </c>
      <c r="DV238" s="66" t="str">
        <f t="shared" si="3585"/>
        <v/>
      </c>
      <c r="DW238" s="66" t="str">
        <f t="shared" si="3586"/>
        <v/>
      </c>
      <c r="DX238" s="66" t="str">
        <f t="shared" si="3587"/>
        <v/>
      </c>
      <c r="DY238" s="66" t="str">
        <f t="shared" si="3588"/>
        <v/>
      </c>
      <c r="DZ238" s="66" t="str">
        <f t="shared" si="3589"/>
        <v/>
      </c>
      <c r="EA238" s="66" t="str">
        <f t="shared" si="3590"/>
        <v/>
      </c>
      <c r="EB238" s="66" t="str">
        <f t="shared" si="3591"/>
        <v/>
      </c>
      <c r="EC238" s="66" t="str">
        <f t="shared" si="3592"/>
        <v/>
      </c>
      <c r="ED238" s="66" t="str">
        <f t="shared" si="3593"/>
        <v/>
      </c>
      <c r="EE238" s="66" t="str">
        <f t="shared" si="3594"/>
        <v/>
      </c>
      <c r="EF238" s="66" t="str">
        <f t="shared" si="3595"/>
        <v/>
      </c>
      <c r="EG238" s="66" t="str">
        <f t="shared" si="3596"/>
        <v/>
      </c>
      <c r="EH238" s="66" t="str">
        <f t="shared" si="3597"/>
        <v/>
      </c>
      <c r="EI238" s="66" t="str">
        <f t="shared" si="3598"/>
        <v/>
      </c>
      <c r="EJ238" s="66" t="str">
        <f t="shared" si="3599"/>
        <v/>
      </c>
      <c r="EK238" s="66" t="str">
        <f t="shared" si="3600"/>
        <v/>
      </c>
      <c r="EL238" s="66" t="str">
        <f t="shared" si="3601"/>
        <v/>
      </c>
      <c r="EM238" s="66" t="str">
        <f t="shared" si="3602"/>
        <v/>
      </c>
      <c r="EN238" s="66" t="str">
        <f t="shared" si="3603"/>
        <v/>
      </c>
      <c r="EO238" s="66" t="str">
        <f t="shared" si="3604"/>
        <v/>
      </c>
      <c r="EP238" s="66" t="str">
        <f t="shared" si="3605"/>
        <v/>
      </c>
      <c r="EQ238" s="66" t="str">
        <f t="shared" si="3606"/>
        <v/>
      </c>
      <c r="ER238" s="66" t="str">
        <f t="shared" si="3607"/>
        <v/>
      </c>
      <c r="ES238" s="66" t="str">
        <f t="shared" si="3608"/>
        <v/>
      </c>
      <c r="ET238" s="66" t="str">
        <f t="shared" si="3609"/>
        <v/>
      </c>
      <c r="EU238" s="66" t="str">
        <f t="shared" si="3610"/>
        <v/>
      </c>
      <c r="EV238" s="66" t="str">
        <f t="shared" si="3611"/>
        <v/>
      </c>
      <c r="EW238" s="66" t="str">
        <f t="shared" si="3612"/>
        <v/>
      </c>
      <c r="EX238" s="66" t="str">
        <f t="shared" si="3613"/>
        <v/>
      </c>
      <c r="EY238" s="66" t="str">
        <f t="shared" si="3614"/>
        <v/>
      </c>
      <c r="EZ238" s="66" t="str">
        <f t="shared" si="3615"/>
        <v/>
      </c>
      <c r="FA238" s="66" t="str">
        <f t="shared" si="3616"/>
        <v/>
      </c>
      <c r="FB238" s="66" t="str">
        <f t="shared" si="3617"/>
        <v/>
      </c>
      <c r="FC238" s="66" t="str">
        <f t="shared" si="3618"/>
        <v/>
      </c>
      <c r="FD238" s="66" t="str">
        <f t="shared" si="3619"/>
        <v/>
      </c>
      <c r="FE238" s="66" t="str">
        <f t="shared" si="3620"/>
        <v/>
      </c>
      <c r="FF238" s="66" t="str">
        <f t="shared" si="3621"/>
        <v/>
      </c>
      <c r="FG238" s="66" t="str">
        <f t="shared" si="3622"/>
        <v/>
      </c>
      <c r="FH238" s="66" t="str">
        <f t="shared" si="3623"/>
        <v/>
      </c>
      <c r="FI238" s="66" t="str">
        <f t="shared" si="3624"/>
        <v/>
      </c>
      <c r="FJ238" s="66" t="str">
        <f t="shared" si="3625"/>
        <v/>
      </c>
      <c r="FK238" s="66" t="str">
        <f t="shared" si="3626"/>
        <v/>
      </c>
      <c r="FL238" s="66" t="str">
        <f t="shared" si="3627"/>
        <v/>
      </c>
      <c r="FM238" s="66" t="str">
        <f t="shared" si="3628"/>
        <v/>
      </c>
      <c r="FN238" s="66" t="str">
        <f t="shared" si="3629"/>
        <v/>
      </c>
      <c r="FO238" s="66" t="str">
        <f t="shared" si="3630"/>
        <v/>
      </c>
      <c r="FP238" s="66" t="str">
        <f t="shared" si="3631"/>
        <v/>
      </c>
      <c r="FQ238" s="66" t="str">
        <f t="shared" si="3632"/>
        <v/>
      </c>
      <c r="FR238" s="66" t="str">
        <f t="shared" si="3633"/>
        <v/>
      </c>
      <c r="FS238" s="66" t="str">
        <f t="shared" si="3634"/>
        <v/>
      </c>
    </row>
    <row r="239" spans="1:175">
      <c r="A239" s="27"/>
      <c r="B239" s="27" t="s">
        <v>771</v>
      </c>
      <c r="C239" s="29" t="s">
        <v>748</v>
      </c>
      <c r="T239" s="119"/>
      <c r="U239" s="77"/>
      <c r="CN239" s="36" t="str">
        <f t="shared" si="3559"/>
        <v>InitUnitState('IF24',,,,,,,,,,)</v>
      </c>
      <c r="CO239" s="36" t="str">
        <f t="shared" si="3560"/>
        <v>InitUnitNormal('IF24',,,,,,,,,,)</v>
      </c>
      <c r="CP239" s="36" t="str">
        <f t="shared" si="3561"/>
        <v>InitUnitMagic('IF24',,,,,,,,,,)</v>
      </c>
      <c r="CQ239" s="36" t="str">
        <f t="shared" si="3562"/>
        <v>InitUnitAdd('IF24',,,,,,,,,,)</v>
      </c>
      <c r="CR239" s="36" t="str">
        <f t="shared" si="3563"/>
        <v>InitEquipData('IF24',,"",,,,,'','','','','','',"")</v>
      </c>
      <c r="CU239" s="88" t="str">
        <f t="shared" ref="CU239:CU286" si="3635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W239" s="33"/>
      <c r="CX239" s="33"/>
      <c r="CY239" s="33"/>
      <c r="CZ239" s="33"/>
      <c r="DA239" s="33"/>
      <c r="DB239" s="66" t="str">
        <f t="shared" ref="DB239:DB286" si="3636">IF(V239="","","|n"&amp;DB$2&amp;"+"&amp;V239&amp;DB$1)</f>
        <v/>
      </c>
      <c r="DC239" s="66" t="str">
        <f t="shared" ref="DC239:DC286" si="3637">IF(W239="","","|n"&amp;DC$2&amp;"+"&amp;W239&amp;DC$1)</f>
        <v/>
      </c>
      <c r="DD239" s="66" t="str">
        <f t="shared" ref="DD239:DD286" si="3638">IF(X239="","","|n"&amp;DD$2&amp;"+"&amp;X239&amp;DD$1)</f>
        <v/>
      </c>
      <c r="DE239" s="66" t="str">
        <f t="shared" ref="DE239:DE286" si="3639">IF(Y239="","","|n"&amp;DE$2&amp;"+"&amp;Y239&amp;DE$1)</f>
        <v/>
      </c>
      <c r="DF239" s="66" t="str">
        <f t="shared" ref="DF239:DF286" si="3640">IF(Z239="","","|n"&amp;DF$2&amp;"+"&amp;Z239&amp;DF$1)</f>
        <v/>
      </c>
      <c r="DG239" s="66" t="str">
        <f t="shared" ref="DG239:DG286" si="3641">IF(AA239="","","|n"&amp;DG$2&amp;"+"&amp;AA239&amp;DG$1)</f>
        <v/>
      </c>
      <c r="DH239" s="66" t="str">
        <f t="shared" ref="DH239:DH286" si="3642">IF(AB239="","","|n"&amp;DH$2&amp;"+"&amp;AB239&amp;DH$1)</f>
        <v/>
      </c>
      <c r="DI239" s="66" t="str">
        <f t="shared" ref="DI239:DI286" si="3643">IF(AC239="","","|n"&amp;DI$2&amp;"+"&amp;AC239&amp;DI$1)</f>
        <v/>
      </c>
      <c r="DJ239" s="66" t="str">
        <f t="shared" ref="DJ239:DJ286" si="3644">IF(AD239="","","|n"&amp;DJ$2&amp;"+"&amp;AD239&amp;DJ$1)</f>
        <v/>
      </c>
      <c r="DK239" s="66" t="str">
        <f t="shared" ref="DK239:DK286" si="3645">IF(AE239="","","|n"&amp;DK$2&amp;"+"&amp;AE239&amp;DK$1)</f>
        <v/>
      </c>
      <c r="DL239" s="66" t="str">
        <f t="shared" ref="DL239:DL286" si="3646">IF(AF239="","","|n"&amp;DL$2&amp;"+"&amp;AF239&amp;DL$1)</f>
        <v/>
      </c>
      <c r="DM239" s="66" t="str">
        <f t="shared" ref="DM239:DM286" si="3647">IF(AG239="","","|n"&amp;DM$2&amp;"+"&amp;AG239&amp;DM$1)</f>
        <v/>
      </c>
      <c r="DN239" s="66" t="str">
        <f t="shared" ref="DN239:DN286" si="3648">IF(AH239="","","|n"&amp;DN$2&amp;"+"&amp;AH239&amp;DN$1)</f>
        <v/>
      </c>
      <c r="DO239" s="66" t="str">
        <f t="shared" ref="DO239:DO286" si="3649">IF(AI239="","","|n"&amp;DO$2&amp;"+"&amp;AI239&amp;DO$1)</f>
        <v/>
      </c>
      <c r="DP239" s="66" t="str">
        <f t="shared" ref="DP239:DP286" si="3650">IF(AJ239="","","|n"&amp;DP$2&amp;"+"&amp;AJ239&amp;DP$1)</f>
        <v/>
      </c>
      <c r="DQ239" s="66" t="str">
        <f t="shared" ref="DQ239:DQ286" si="3651">IF(AK239="","","|n"&amp;DQ$2&amp;"+"&amp;AK239&amp;DQ$1)</f>
        <v/>
      </c>
      <c r="DR239" s="66" t="str">
        <f t="shared" ref="DR239:DR286" si="3652">IF(AL239="","","|n"&amp;DR$2&amp;"+"&amp;AL239&amp;DR$1)</f>
        <v/>
      </c>
      <c r="DS239" s="66" t="str">
        <f t="shared" ref="DS239:DS286" si="3653">IF(AM239="","","|n"&amp;DS$2&amp;"+"&amp;AM239&amp;DS$1)</f>
        <v/>
      </c>
      <c r="DT239" s="66" t="str">
        <f t="shared" ref="DT239:DT286" si="3654">IF(AN239="","","|n"&amp;DT$2&amp;"+"&amp;AN239&amp;DT$1)</f>
        <v/>
      </c>
      <c r="DU239" s="66" t="str">
        <f t="shared" ref="DU239:DU286" si="3655">IF(AO239="","","|n"&amp;DU$2&amp;"+"&amp;AO239&amp;DU$1)</f>
        <v/>
      </c>
      <c r="DV239" s="66" t="str">
        <f t="shared" ref="DV239:DV286" si="3656">IF(AP239="","","|n"&amp;DV$2&amp;"+"&amp;AP239&amp;DV$1)</f>
        <v/>
      </c>
      <c r="DW239" s="66" t="str">
        <f t="shared" ref="DW239:DW286" si="3657">IF(AQ239="","","|n"&amp;DW$2&amp;"+"&amp;AQ239&amp;DW$1)</f>
        <v/>
      </c>
      <c r="DX239" s="66" t="str">
        <f t="shared" ref="DX239:DX286" si="3658">IF(AR239="","","|n"&amp;DX$2&amp;"+"&amp;AR239&amp;DX$1)</f>
        <v/>
      </c>
      <c r="DY239" s="66" t="str">
        <f t="shared" ref="DY239:DY286" si="3659">IF(AS239="","","|n"&amp;DY$2&amp;"+"&amp;AS239&amp;DY$1)</f>
        <v/>
      </c>
      <c r="DZ239" s="66" t="str">
        <f t="shared" ref="DZ239:DZ286" si="3660">IF(AT239="","","|n"&amp;DZ$2&amp;"+"&amp;AT239&amp;DZ$1)</f>
        <v/>
      </c>
      <c r="EA239" s="66" t="str">
        <f t="shared" ref="EA239:EA286" si="3661">IF(AU239="","","|n"&amp;EA$2&amp;"+"&amp;AU239&amp;EA$1)</f>
        <v/>
      </c>
      <c r="EB239" s="66" t="str">
        <f t="shared" ref="EB239:EB286" si="3662">IF(AV239="","","|n"&amp;EB$2&amp;"+"&amp;AV239&amp;EB$1)</f>
        <v/>
      </c>
      <c r="EC239" s="66" t="str">
        <f t="shared" ref="EC239:EC286" si="3663">IF(AW239="","","|n"&amp;EC$2&amp;"+"&amp;AW239&amp;EC$1)</f>
        <v/>
      </c>
      <c r="ED239" s="66" t="str">
        <f t="shared" ref="ED239:ED286" si="3664">IF(AX239="","","|n"&amp;ED$2&amp;"+"&amp;AX239&amp;ED$1)</f>
        <v/>
      </c>
      <c r="EE239" s="66" t="str">
        <f t="shared" ref="EE239:EE286" si="3665">IF(AY239="","","|n"&amp;EE$2&amp;"+"&amp;AY239&amp;EE$1)</f>
        <v/>
      </c>
      <c r="EF239" s="66" t="str">
        <f t="shared" ref="EF239:EF286" si="3666">IF(AZ239="","","|n"&amp;EF$2&amp;"+"&amp;AZ239&amp;EF$1)</f>
        <v/>
      </c>
      <c r="EG239" s="66" t="str">
        <f t="shared" ref="EG239:EG286" si="3667">IF(BA239="","","|n"&amp;EG$2&amp;"+"&amp;BA239&amp;EG$1)</f>
        <v/>
      </c>
      <c r="EH239" s="66" t="str">
        <f t="shared" ref="EH239:EH286" si="3668">IF(BB239="","","|n"&amp;EH$2&amp;"+"&amp;BB239&amp;EH$1)</f>
        <v/>
      </c>
      <c r="EI239" s="66" t="str">
        <f t="shared" ref="EI239:EI286" si="3669">IF(BC239="","","|n"&amp;EI$2&amp;"+"&amp;BC239&amp;EI$1)</f>
        <v/>
      </c>
      <c r="EJ239" s="66" t="str">
        <f t="shared" ref="EJ239:EJ286" si="3670">IF(BD239="","","|n"&amp;EJ$2&amp;"+"&amp;BD239&amp;EJ$1)</f>
        <v/>
      </c>
      <c r="EK239" s="66" t="str">
        <f t="shared" ref="EK239:EK286" si="3671">IF(BE239="","","|n"&amp;EK$2&amp;"+"&amp;BE239&amp;EK$1)</f>
        <v/>
      </c>
      <c r="EL239" s="66" t="str">
        <f t="shared" ref="EL239:EL286" si="3672">IF(BF239="","","|n"&amp;EL$2&amp;"+"&amp;BF239&amp;EL$1)</f>
        <v/>
      </c>
      <c r="EM239" s="66" t="str">
        <f t="shared" ref="EM239:EM286" si="3673">IF(BG239="","","|n"&amp;EM$2&amp;"+"&amp;BG239&amp;EM$1)</f>
        <v/>
      </c>
      <c r="EN239" s="66" t="str">
        <f t="shared" ref="EN239:EN286" si="3674">IF(BH239="","","|n"&amp;EN$2&amp;"+"&amp;BH239&amp;EN$1)</f>
        <v/>
      </c>
      <c r="EO239" s="66" t="str">
        <f t="shared" ref="EO239:EO286" si="3675">IF(BI239="","","|n"&amp;EO$2&amp;"+"&amp;BI239&amp;EO$1)</f>
        <v/>
      </c>
      <c r="EP239" s="66" t="str">
        <f t="shared" ref="EP239:EP286" si="3676">IF(BJ239="","","|n"&amp;EP$2&amp;"+"&amp;BJ239&amp;EP$1)</f>
        <v/>
      </c>
      <c r="EQ239" s="66" t="str">
        <f t="shared" ref="EQ239:EQ286" si="3677">IF(BK239="","","|n"&amp;EQ$2&amp;"+"&amp;BK239&amp;EQ$1)</f>
        <v/>
      </c>
      <c r="ER239" s="66" t="str">
        <f t="shared" ref="ER239:ER286" si="3678">IF(BL239="","","|n"&amp;ER$2&amp;"+"&amp;BL239&amp;ER$1)</f>
        <v/>
      </c>
      <c r="ES239" s="66" t="str">
        <f t="shared" ref="ES239:ES286" si="3679">IF(BM239="","","|n"&amp;ES$2&amp;"+"&amp;BM239&amp;ES$1)</f>
        <v/>
      </c>
      <c r="ET239" s="66" t="str">
        <f t="shared" ref="ET239:ET286" si="3680">IF(BN239="","","|n"&amp;ET$2&amp;"+"&amp;BN239&amp;ET$1)</f>
        <v/>
      </c>
      <c r="EU239" s="66" t="str">
        <f t="shared" ref="EU239:EU286" si="3681">IF(BO239="","","|n"&amp;EU$2&amp;"+"&amp;BO239&amp;EU$1)</f>
        <v/>
      </c>
      <c r="EV239" s="66" t="str">
        <f t="shared" ref="EV239:EV286" si="3682">IF(BP239="","","|n"&amp;EV$2&amp;"+"&amp;BP239&amp;EV$1)</f>
        <v/>
      </c>
      <c r="EW239" s="66" t="str">
        <f t="shared" ref="EW239:EW286" si="3683">IF(BQ239="","","|n"&amp;EW$2&amp;"+"&amp;BQ239&amp;EW$1)</f>
        <v/>
      </c>
      <c r="EX239" s="66" t="str">
        <f t="shared" ref="EX239:EX286" si="3684">IF(BR239="","","|n"&amp;EX$2&amp;"+"&amp;BR239&amp;EX$1)</f>
        <v/>
      </c>
      <c r="EY239" s="66" t="str">
        <f t="shared" ref="EY239:EY286" si="3685">IF(BS239="","","|n"&amp;EY$2&amp;"+"&amp;BS239&amp;EY$1)</f>
        <v/>
      </c>
      <c r="EZ239" s="66" t="str">
        <f t="shared" ref="EZ239:EZ286" si="3686">IF(BT239="","","|n"&amp;EZ$2&amp;"+"&amp;BT239&amp;EZ$1)</f>
        <v/>
      </c>
      <c r="FA239" s="66" t="str">
        <f t="shared" ref="FA239:FA286" si="3687">IF(BU239="","","|n"&amp;FA$2&amp;"+"&amp;BU239&amp;FA$1)</f>
        <v/>
      </c>
      <c r="FB239" s="66" t="str">
        <f t="shared" ref="FB239:FB286" si="3688">IF(BV239="","","|n"&amp;FB$2&amp;"+"&amp;BV239&amp;FB$1)</f>
        <v/>
      </c>
      <c r="FC239" s="66" t="str">
        <f t="shared" ref="FC239:FC286" si="3689">IF(BW239="","","|n"&amp;FC$2&amp;"+"&amp;BW239&amp;FC$1)</f>
        <v/>
      </c>
      <c r="FD239" s="66" t="str">
        <f t="shared" ref="FD239:FD286" si="3690">IF(BX239="","","|n"&amp;FD$2&amp;"+"&amp;BX239&amp;FD$1)</f>
        <v/>
      </c>
      <c r="FE239" s="66" t="str">
        <f t="shared" ref="FE239:FE286" si="3691">IF(BY239="","","|n"&amp;FE$2&amp;"+"&amp;BY239&amp;FE$1)</f>
        <v/>
      </c>
      <c r="FF239" s="66" t="str">
        <f t="shared" ref="FF239:FF286" si="3692">IF(BZ239="","","|n"&amp;FF$2&amp;"+"&amp;BZ239&amp;FF$1)</f>
        <v/>
      </c>
      <c r="FG239" s="66" t="str">
        <f t="shared" ref="FG239:FG286" si="3693">IF(CA239="","","|n"&amp;FG$2&amp;"+"&amp;CA239&amp;FG$1)</f>
        <v/>
      </c>
      <c r="FH239" s="66" t="str">
        <f t="shared" ref="FH239:FH286" si="3694">IF(CB239="","","|n"&amp;FH$2&amp;"+"&amp;CB239&amp;FH$1)</f>
        <v/>
      </c>
      <c r="FI239" s="66" t="str">
        <f t="shared" ref="FI239:FI286" si="3695">IF(CC239="","","|n"&amp;FI$2&amp;"+"&amp;CC239&amp;FI$1)</f>
        <v/>
      </c>
      <c r="FJ239" s="66" t="str">
        <f t="shared" ref="FJ239:FJ286" si="3696">IF(CD239="","","|n"&amp;FJ$2&amp;"+"&amp;CD239&amp;FJ$1)</f>
        <v/>
      </c>
      <c r="FK239" s="66" t="str">
        <f t="shared" ref="FK239:FK286" si="3697">IF(CE239="","","|n"&amp;FK$2&amp;"+"&amp;CE239&amp;FK$1)</f>
        <v/>
      </c>
      <c r="FL239" s="66" t="str">
        <f t="shared" ref="FL239:FL286" si="3698">IF(CF239="","","|n"&amp;FL$2&amp;"+"&amp;CF239&amp;FL$1)</f>
        <v/>
      </c>
      <c r="FM239" s="66" t="str">
        <f t="shared" ref="FM239:FM286" si="3699">IF(CG239="","","|n"&amp;FM$2&amp;"+"&amp;CG239&amp;FM$1)</f>
        <v/>
      </c>
      <c r="FN239" s="66" t="str">
        <f t="shared" ref="FN239:FN286" si="3700">IF(CH239="","","|n"&amp;FN$2&amp;"+"&amp;CH239&amp;FN$1)</f>
        <v/>
      </c>
      <c r="FO239" s="66" t="str">
        <f t="shared" ref="FO239:FO286" si="3701">IF(CI239="","","|n"&amp;FO$2&amp;"+"&amp;CI239&amp;FO$1)</f>
        <v/>
      </c>
      <c r="FP239" s="66" t="str">
        <f t="shared" ref="FP239:FP286" si="3702">IF(CJ239="","","|n"&amp;FP$2&amp;"+"&amp;CJ239&amp;FP$1)</f>
        <v/>
      </c>
      <c r="FQ239" s="66" t="str">
        <f t="shared" ref="FQ239:FQ286" si="3703">IF(CK239="","","|n"&amp;FQ$2&amp;"+"&amp;CK239&amp;FQ$1)</f>
        <v/>
      </c>
      <c r="FR239" s="66" t="str">
        <f t="shared" ref="FR239:FR286" si="3704">IF(CL239="","","|n"&amp;FR$2&amp;"+"&amp;CL239&amp;FR$1)</f>
        <v/>
      </c>
      <c r="FS239" s="66" t="str">
        <f t="shared" ref="FS239:FS286" si="3705">IF(CM239="","","|n"&amp;FS$2&amp;"+"&amp;CM239&amp;FS$1)</f>
        <v/>
      </c>
    </row>
    <row r="240" spans="1:175">
      <c r="A240" s="27"/>
      <c r="B240" s="27" t="s">
        <v>772</v>
      </c>
      <c r="C240" s="29" t="s">
        <v>748</v>
      </c>
      <c r="T240" s="119"/>
      <c r="U240" s="77"/>
      <c r="CN240" s="36" t="str">
        <f t="shared" si="3559"/>
        <v>InitUnitState('IF25',,,,,,,,,,)</v>
      </c>
      <c r="CO240" s="36" t="str">
        <f t="shared" si="3560"/>
        <v>InitUnitNormal('IF25',,,,,,,,,,)</v>
      </c>
      <c r="CP240" s="36" t="str">
        <f t="shared" si="3561"/>
        <v>InitUnitMagic('IF25',,,,,,,,,,)</v>
      </c>
      <c r="CQ240" s="36" t="str">
        <f t="shared" si="3562"/>
        <v>InitUnitAdd('IF25',,,,,,,,,,)</v>
      </c>
      <c r="CR240" s="36" t="str">
        <f t="shared" si="3563"/>
        <v>InitEquipData('IF25',,"",,,,,'','','','','','',"")</v>
      </c>
      <c r="CU240" s="88" t="str">
        <f t="shared" si="3635"/>
        <v>|n</v>
      </c>
      <c r="CW240" s="33"/>
      <c r="CX240" s="33"/>
      <c r="CY240" s="33"/>
      <c r="CZ240" s="33"/>
      <c r="DA240" s="33"/>
      <c r="DB240" s="66" t="str">
        <f t="shared" si="3636"/>
        <v/>
      </c>
      <c r="DC240" s="66" t="str">
        <f t="shared" si="3637"/>
        <v/>
      </c>
      <c r="DD240" s="66" t="str">
        <f t="shared" si="3638"/>
        <v/>
      </c>
      <c r="DE240" s="66" t="str">
        <f t="shared" si="3639"/>
        <v/>
      </c>
      <c r="DF240" s="66" t="str">
        <f t="shared" si="3640"/>
        <v/>
      </c>
      <c r="DG240" s="66" t="str">
        <f t="shared" si="3641"/>
        <v/>
      </c>
      <c r="DH240" s="66" t="str">
        <f t="shared" si="3642"/>
        <v/>
      </c>
      <c r="DI240" s="66" t="str">
        <f t="shared" si="3643"/>
        <v/>
      </c>
      <c r="DJ240" s="66" t="str">
        <f t="shared" si="3644"/>
        <v/>
      </c>
      <c r="DK240" s="66" t="str">
        <f t="shared" si="3645"/>
        <v/>
      </c>
      <c r="DL240" s="66" t="str">
        <f t="shared" si="3646"/>
        <v/>
      </c>
      <c r="DM240" s="66" t="str">
        <f t="shared" si="3647"/>
        <v/>
      </c>
      <c r="DN240" s="66" t="str">
        <f t="shared" si="3648"/>
        <v/>
      </c>
      <c r="DO240" s="66" t="str">
        <f t="shared" si="3649"/>
        <v/>
      </c>
      <c r="DP240" s="66" t="str">
        <f t="shared" si="3650"/>
        <v/>
      </c>
      <c r="DQ240" s="66" t="str">
        <f t="shared" si="3651"/>
        <v/>
      </c>
      <c r="DR240" s="66" t="str">
        <f t="shared" si="3652"/>
        <v/>
      </c>
      <c r="DS240" s="66" t="str">
        <f t="shared" si="3653"/>
        <v/>
      </c>
      <c r="DT240" s="66" t="str">
        <f t="shared" si="3654"/>
        <v/>
      </c>
      <c r="DU240" s="66" t="str">
        <f t="shared" si="3655"/>
        <v/>
      </c>
      <c r="DV240" s="66" t="str">
        <f t="shared" si="3656"/>
        <v/>
      </c>
      <c r="DW240" s="66" t="str">
        <f t="shared" si="3657"/>
        <v/>
      </c>
      <c r="DX240" s="66" t="str">
        <f t="shared" si="3658"/>
        <v/>
      </c>
      <c r="DY240" s="66" t="str">
        <f t="shared" si="3659"/>
        <v/>
      </c>
      <c r="DZ240" s="66" t="str">
        <f t="shared" si="3660"/>
        <v/>
      </c>
      <c r="EA240" s="66" t="str">
        <f t="shared" si="3661"/>
        <v/>
      </c>
      <c r="EB240" s="66" t="str">
        <f t="shared" si="3662"/>
        <v/>
      </c>
      <c r="EC240" s="66" t="str">
        <f t="shared" si="3663"/>
        <v/>
      </c>
      <c r="ED240" s="66" t="str">
        <f t="shared" si="3664"/>
        <v/>
      </c>
      <c r="EE240" s="66" t="str">
        <f t="shared" si="3665"/>
        <v/>
      </c>
      <c r="EF240" s="66" t="str">
        <f t="shared" si="3666"/>
        <v/>
      </c>
      <c r="EG240" s="66" t="str">
        <f t="shared" si="3667"/>
        <v/>
      </c>
      <c r="EH240" s="66" t="str">
        <f t="shared" si="3668"/>
        <v/>
      </c>
      <c r="EI240" s="66" t="str">
        <f t="shared" si="3669"/>
        <v/>
      </c>
      <c r="EJ240" s="66" t="str">
        <f t="shared" si="3670"/>
        <v/>
      </c>
      <c r="EK240" s="66" t="str">
        <f t="shared" si="3671"/>
        <v/>
      </c>
      <c r="EL240" s="66" t="str">
        <f t="shared" si="3672"/>
        <v/>
      </c>
      <c r="EM240" s="66" t="str">
        <f t="shared" si="3673"/>
        <v/>
      </c>
      <c r="EN240" s="66" t="str">
        <f t="shared" si="3674"/>
        <v/>
      </c>
      <c r="EO240" s="66" t="str">
        <f t="shared" si="3675"/>
        <v/>
      </c>
      <c r="EP240" s="66" t="str">
        <f t="shared" si="3676"/>
        <v/>
      </c>
      <c r="EQ240" s="66" t="str">
        <f t="shared" si="3677"/>
        <v/>
      </c>
      <c r="ER240" s="66" t="str">
        <f t="shared" si="3678"/>
        <v/>
      </c>
      <c r="ES240" s="66" t="str">
        <f t="shared" si="3679"/>
        <v/>
      </c>
      <c r="ET240" s="66" t="str">
        <f t="shared" si="3680"/>
        <v/>
      </c>
      <c r="EU240" s="66" t="str">
        <f t="shared" si="3681"/>
        <v/>
      </c>
      <c r="EV240" s="66" t="str">
        <f t="shared" si="3682"/>
        <v/>
      </c>
      <c r="EW240" s="66" t="str">
        <f t="shared" si="3683"/>
        <v/>
      </c>
      <c r="EX240" s="66" t="str">
        <f t="shared" si="3684"/>
        <v/>
      </c>
      <c r="EY240" s="66" t="str">
        <f t="shared" si="3685"/>
        <v/>
      </c>
      <c r="EZ240" s="66" t="str">
        <f t="shared" si="3686"/>
        <v/>
      </c>
      <c r="FA240" s="66" t="str">
        <f t="shared" si="3687"/>
        <v/>
      </c>
      <c r="FB240" s="66" t="str">
        <f t="shared" si="3688"/>
        <v/>
      </c>
      <c r="FC240" s="66" t="str">
        <f t="shared" si="3689"/>
        <v/>
      </c>
      <c r="FD240" s="66" t="str">
        <f t="shared" si="3690"/>
        <v/>
      </c>
      <c r="FE240" s="66" t="str">
        <f t="shared" si="3691"/>
        <v/>
      </c>
      <c r="FF240" s="66" t="str">
        <f t="shared" si="3692"/>
        <v/>
      </c>
      <c r="FG240" s="66" t="str">
        <f t="shared" si="3693"/>
        <v/>
      </c>
      <c r="FH240" s="66" t="str">
        <f t="shared" si="3694"/>
        <v/>
      </c>
      <c r="FI240" s="66" t="str">
        <f t="shared" si="3695"/>
        <v/>
      </c>
      <c r="FJ240" s="66" t="str">
        <f t="shared" si="3696"/>
        <v/>
      </c>
      <c r="FK240" s="66" t="str">
        <f t="shared" si="3697"/>
        <v/>
      </c>
      <c r="FL240" s="66" t="str">
        <f t="shared" si="3698"/>
        <v/>
      </c>
      <c r="FM240" s="66" t="str">
        <f t="shared" si="3699"/>
        <v/>
      </c>
      <c r="FN240" s="66" t="str">
        <f t="shared" si="3700"/>
        <v/>
      </c>
      <c r="FO240" s="66" t="str">
        <f t="shared" si="3701"/>
        <v/>
      </c>
      <c r="FP240" s="66" t="str">
        <f t="shared" si="3702"/>
        <v/>
      </c>
      <c r="FQ240" s="66" t="str">
        <f t="shared" si="3703"/>
        <v/>
      </c>
      <c r="FR240" s="66" t="str">
        <f t="shared" si="3704"/>
        <v/>
      </c>
      <c r="FS240" s="66" t="str">
        <f t="shared" si="3705"/>
        <v/>
      </c>
    </row>
    <row r="241" spans="1:175">
      <c r="A241" s="27"/>
      <c r="B241" s="27" t="s">
        <v>773</v>
      </c>
      <c r="C241" s="29" t="s">
        <v>748</v>
      </c>
      <c r="T241" s="119"/>
      <c r="U241" s="77"/>
      <c r="CN241" s="36" t="str">
        <f t="shared" si="3559"/>
        <v>InitUnitState('IF26',,,,,,,,,,)</v>
      </c>
      <c r="CO241" s="36" t="str">
        <f t="shared" si="3560"/>
        <v>InitUnitNormal('IF26',,,,,,,,,,)</v>
      </c>
      <c r="CP241" s="36" t="str">
        <f t="shared" si="3561"/>
        <v>InitUnitMagic('IF26',,,,,,,,,,)</v>
      </c>
      <c r="CQ241" s="36" t="str">
        <f t="shared" si="3562"/>
        <v>InitUnitAdd('IF26',,,,,,,,,,)</v>
      </c>
      <c r="CR241" s="36" t="str">
        <f t="shared" si="3563"/>
        <v>InitEquipData('IF26',,"",,,,,'','','','','','',"")</v>
      </c>
      <c r="CU241" s="88" t="str">
        <f t="shared" si="3635"/>
        <v>|n</v>
      </c>
      <c r="CW241" s="33"/>
      <c r="CX241" s="33"/>
      <c r="CY241" s="33"/>
      <c r="CZ241" s="33"/>
      <c r="DA241" s="33"/>
      <c r="DB241" s="66" t="str">
        <f t="shared" si="3636"/>
        <v/>
      </c>
      <c r="DC241" s="66" t="str">
        <f t="shared" si="3637"/>
        <v/>
      </c>
      <c r="DD241" s="66" t="str">
        <f t="shared" si="3638"/>
        <v/>
      </c>
      <c r="DE241" s="66" t="str">
        <f t="shared" si="3639"/>
        <v/>
      </c>
      <c r="DF241" s="66" t="str">
        <f t="shared" si="3640"/>
        <v/>
      </c>
      <c r="DG241" s="66" t="str">
        <f t="shared" si="3641"/>
        <v/>
      </c>
      <c r="DH241" s="66" t="str">
        <f t="shared" si="3642"/>
        <v/>
      </c>
      <c r="DI241" s="66" t="str">
        <f t="shared" si="3643"/>
        <v/>
      </c>
      <c r="DJ241" s="66" t="str">
        <f t="shared" si="3644"/>
        <v/>
      </c>
      <c r="DK241" s="66" t="str">
        <f t="shared" si="3645"/>
        <v/>
      </c>
      <c r="DL241" s="66" t="str">
        <f t="shared" si="3646"/>
        <v/>
      </c>
      <c r="DM241" s="66" t="str">
        <f t="shared" si="3647"/>
        <v/>
      </c>
      <c r="DN241" s="66" t="str">
        <f t="shared" si="3648"/>
        <v/>
      </c>
      <c r="DO241" s="66" t="str">
        <f t="shared" si="3649"/>
        <v/>
      </c>
      <c r="DP241" s="66" t="str">
        <f t="shared" si="3650"/>
        <v/>
      </c>
      <c r="DQ241" s="66" t="str">
        <f t="shared" si="3651"/>
        <v/>
      </c>
      <c r="DR241" s="66" t="str">
        <f t="shared" si="3652"/>
        <v/>
      </c>
      <c r="DS241" s="66" t="str">
        <f t="shared" si="3653"/>
        <v/>
      </c>
      <c r="DT241" s="66" t="str">
        <f t="shared" si="3654"/>
        <v/>
      </c>
      <c r="DU241" s="66" t="str">
        <f t="shared" si="3655"/>
        <v/>
      </c>
      <c r="DV241" s="66" t="str">
        <f t="shared" si="3656"/>
        <v/>
      </c>
      <c r="DW241" s="66" t="str">
        <f t="shared" si="3657"/>
        <v/>
      </c>
      <c r="DX241" s="66" t="str">
        <f t="shared" si="3658"/>
        <v/>
      </c>
      <c r="DY241" s="66" t="str">
        <f t="shared" si="3659"/>
        <v/>
      </c>
      <c r="DZ241" s="66" t="str">
        <f t="shared" si="3660"/>
        <v/>
      </c>
      <c r="EA241" s="66" t="str">
        <f t="shared" si="3661"/>
        <v/>
      </c>
      <c r="EB241" s="66" t="str">
        <f t="shared" si="3662"/>
        <v/>
      </c>
      <c r="EC241" s="66" t="str">
        <f t="shared" si="3663"/>
        <v/>
      </c>
      <c r="ED241" s="66" t="str">
        <f t="shared" si="3664"/>
        <v/>
      </c>
      <c r="EE241" s="66" t="str">
        <f t="shared" si="3665"/>
        <v/>
      </c>
      <c r="EF241" s="66" t="str">
        <f t="shared" si="3666"/>
        <v/>
      </c>
      <c r="EG241" s="66" t="str">
        <f t="shared" si="3667"/>
        <v/>
      </c>
      <c r="EH241" s="66" t="str">
        <f t="shared" si="3668"/>
        <v/>
      </c>
      <c r="EI241" s="66" t="str">
        <f t="shared" si="3669"/>
        <v/>
      </c>
      <c r="EJ241" s="66" t="str">
        <f t="shared" si="3670"/>
        <v/>
      </c>
      <c r="EK241" s="66" t="str">
        <f t="shared" si="3671"/>
        <v/>
      </c>
      <c r="EL241" s="66" t="str">
        <f t="shared" si="3672"/>
        <v/>
      </c>
      <c r="EM241" s="66" t="str">
        <f t="shared" si="3673"/>
        <v/>
      </c>
      <c r="EN241" s="66" t="str">
        <f t="shared" si="3674"/>
        <v/>
      </c>
      <c r="EO241" s="66" t="str">
        <f t="shared" si="3675"/>
        <v/>
      </c>
      <c r="EP241" s="66" t="str">
        <f t="shared" si="3676"/>
        <v/>
      </c>
      <c r="EQ241" s="66" t="str">
        <f t="shared" si="3677"/>
        <v/>
      </c>
      <c r="ER241" s="66" t="str">
        <f t="shared" si="3678"/>
        <v/>
      </c>
      <c r="ES241" s="66" t="str">
        <f t="shared" si="3679"/>
        <v/>
      </c>
      <c r="ET241" s="66" t="str">
        <f t="shared" si="3680"/>
        <v/>
      </c>
      <c r="EU241" s="66" t="str">
        <f t="shared" si="3681"/>
        <v/>
      </c>
      <c r="EV241" s="66" t="str">
        <f t="shared" si="3682"/>
        <v/>
      </c>
      <c r="EW241" s="66" t="str">
        <f t="shared" si="3683"/>
        <v/>
      </c>
      <c r="EX241" s="66" t="str">
        <f t="shared" si="3684"/>
        <v/>
      </c>
      <c r="EY241" s="66" t="str">
        <f t="shared" si="3685"/>
        <v/>
      </c>
      <c r="EZ241" s="66" t="str">
        <f t="shared" si="3686"/>
        <v/>
      </c>
      <c r="FA241" s="66" t="str">
        <f t="shared" si="3687"/>
        <v/>
      </c>
      <c r="FB241" s="66" t="str">
        <f t="shared" si="3688"/>
        <v/>
      </c>
      <c r="FC241" s="66" t="str">
        <f t="shared" si="3689"/>
        <v/>
      </c>
      <c r="FD241" s="66" t="str">
        <f t="shared" si="3690"/>
        <v/>
      </c>
      <c r="FE241" s="66" t="str">
        <f t="shared" si="3691"/>
        <v/>
      </c>
      <c r="FF241" s="66" t="str">
        <f t="shared" si="3692"/>
        <v/>
      </c>
      <c r="FG241" s="66" t="str">
        <f t="shared" si="3693"/>
        <v/>
      </c>
      <c r="FH241" s="66" t="str">
        <f t="shared" si="3694"/>
        <v/>
      </c>
      <c r="FI241" s="66" t="str">
        <f t="shared" si="3695"/>
        <v/>
      </c>
      <c r="FJ241" s="66" t="str">
        <f t="shared" si="3696"/>
        <v/>
      </c>
      <c r="FK241" s="66" t="str">
        <f t="shared" si="3697"/>
        <v/>
      </c>
      <c r="FL241" s="66" t="str">
        <f t="shared" si="3698"/>
        <v/>
      </c>
      <c r="FM241" s="66" t="str">
        <f t="shared" si="3699"/>
        <v/>
      </c>
      <c r="FN241" s="66" t="str">
        <f t="shared" si="3700"/>
        <v/>
      </c>
      <c r="FO241" s="66" t="str">
        <f t="shared" si="3701"/>
        <v/>
      </c>
      <c r="FP241" s="66" t="str">
        <f t="shared" si="3702"/>
        <v/>
      </c>
      <c r="FQ241" s="66" t="str">
        <f t="shared" si="3703"/>
        <v/>
      </c>
      <c r="FR241" s="66" t="str">
        <f t="shared" si="3704"/>
        <v/>
      </c>
      <c r="FS241" s="66" t="str">
        <f t="shared" si="3705"/>
        <v/>
      </c>
    </row>
    <row r="242" spans="1:175">
      <c r="A242" s="27"/>
      <c r="B242" s="27" t="s">
        <v>774</v>
      </c>
      <c r="C242" s="29" t="s">
        <v>748</v>
      </c>
      <c r="T242" s="119"/>
      <c r="U242" s="77"/>
      <c r="CN242" s="36" t="str">
        <f t="shared" si="3559"/>
        <v>InitUnitState('IF27',,,,,,,,,,)</v>
      </c>
      <c r="CO242" s="36" t="str">
        <f t="shared" si="3560"/>
        <v>InitUnitNormal('IF27',,,,,,,,,,)</v>
      </c>
      <c r="CP242" s="36" t="str">
        <f t="shared" si="3561"/>
        <v>InitUnitMagic('IF27',,,,,,,,,,)</v>
      </c>
      <c r="CQ242" s="36" t="str">
        <f t="shared" si="3562"/>
        <v>InitUnitAdd('IF27',,,,,,,,,,)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InitEquipData('IF27',,"",,,,,'','','','','','',"")</v>
      </c>
      <c r="CU242" s="88" t="str">
        <f t="shared" si="3635"/>
        <v>|n</v>
      </c>
      <c r="CW242" s="33"/>
      <c r="CX242" s="33"/>
      <c r="CY242" s="33"/>
      <c r="CZ242" s="33"/>
      <c r="DA242" s="33"/>
      <c r="DB242" s="66" t="str">
        <f t="shared" si="3636"/>
        <v/>
      </c>
      <c r="DC242" s="66" t="str">
        <f t="shared" si="3637"/>
        <v/>
      </c>
      <c r="DD242" s="66" t="str">
        <f t="shared" si="3638"/>
        <v/>
      </c>
      <c r="DE242" s="66" t="str">
        <f t="shared" si="3639"/>
        <v/>
      </c>
      <c r="DF242" s="66" t="str">
        <f t="shared" si="3640"/>
        <v/>
      </c>
      <c r="DG242" s="66" t="str">
        <f t="shared" si="3641"/>
        <v/>
      </c>
      <c r="DH242" s="66" t="str">
        <f t="shared" si="3642"/>
        <v/>
      </c>
      <c r="DI242" s="66" t="str">
        <f t="shared" si="3643"/>
        <v/>
      </c>
      <c r="DJ242" s="66" t="str">
        <f t="shared" si="3644"/>
        <v/>
      </c>
      <c r="DK242" s="66" t="str">
        <f t="shared" si="3645"/>
        <v/>
      </c>
      <c r="DL242" s="66" t="str">
        <f t="shared" si="3646"/>
        <v/>
      </c>
      <c r="DM242" s="66" t="str">
        <f t="shared" si="3647"/>
        <v/>
      </c>
      <c r="DN242" s="66" t="str">
        <f t="shared" si="3648"/>
        <v/>
      </c>
      <c r="DO242" s="66" t="str">
        <f t="shared" si="3649"/>
        <v/>
      </c>
      <c r="DP242" s="66" t="str">
        <f t="shared" si="3650"/>
        <v/>
      </c>
      <c r="DQ242" s="66" t="str">
        <f t="shared" si="3651"/>
        <v/>
      </c>
      <c r="DR242" s="66" t="str">
        <f t="shared" si="3652"/>
        <v/>
      </c>
      <c r="DS242" s="66" t="str">
        <f t="shared" si="3653"/>
        <v/>
      </c>
      <c r="DT242" s="66" t="str">
        <f t="shared" si="3654"/>
        <v/>
      </c>
      <c r="DU242" s="66" t="str">
        <f t="shared" si="3655"/>
        <v/>
      </c>
      <c r="DV242" s="66" t="str">
        <f t="shared" si="3656"/>
        <v/>
      </c>
      <c r="DW242" s="66" t="str">
        <f t="shared" si="3657"/>
        <v/>
      </c>
      <c r="DX242" s="66" t="str">
        <f t="shared" si="3658"/>
        <v/>
      </c>
      <c r="DY242" s="66" t="str">
        <f t="shared" si="3659"/>
        <v/>
      </c>
      <c r="DZ242" s="66" t="str">
        <f t="shared" si="3660"/>
        <v/>
      </c>
      <c r="EA242" s="66" t="str">
        <f t="shared" si="3661"/>
        <v/>
      </c>
      <c r="EB242" s="66" t="str">
        <f t="shared" si="3662"/>
        <v/>
      </c>
      <c r="EC242" s="66" t="str">
        <f t="shared" si="3663"/>
        <v/>
      </c>
      <c r="ED242" s="66" t="str">
        <f t="shared" si="3664"/>
        <v/>
      </c>
      <c r="EE242" s="66" t="str">
        <f t="shared" si="3665"/>
        <v/>
      </c>
      <c r="EF242" s="66" t="str">
        <f t="shared" si="3666"/>
        <v/>
      </c>
      <c r="EG242" s="66" t="str">
        <f t="shared" si="3667"/>
        <v/>
      </c>
      <c r="EH242" s="66" t="str">
        <f t="shared" si="3668"/>
        <v/>
      </c>
      <c r="EI242" s="66" t="str">
        <f t="shared" si="3669"/>
        <v/>
      </c>
      <c r="EJ242" s="66" t="str">
        <f t="shared" si="3670"/>
        <v/>
      </c>
      <c r="EK242" s="66" t="str">
        <f t="shared" si="3671"/>
        <v/>
      </c>
      <c r="EL242" s="66" t="str">
        <f t="shared" si="3672"/>
        <v/>
      </c>
      <c r="EM242" s="66" t="str">
        <f t="shared" si="3673"/>
        <v/>
      </c>
      <c r="EN242" s="66" t="str">
        <f t="shared" si="3674"/>
        <v/>
      </c>
      <c r="EO242" s="66" t="str">
        <f t="shared" si="3675"/>
        <v/>
      </c>
      <c r="EP242" s="66" t="str">
        <f t="shared" si="3676"/>
        <v/>
      </c>
      <c r="EQ242" s="66" t="str">
        <f t="shared" si="3677"/>
        <v/>
      </c>
      <c r="ER242" s="66" t="str">
        <f t="shared" si="3678"/>
        <v/>
      </c>
      <c r="ES242" s="66" t="str">
        <f t="shared" si="3679"/>
        <v/>
      </c>
      <c r="ET242" s="66" t="str">
        <f t="shared" si="3680"/>
        <v/>
      </c>
      <c r="EU242" s="66" t="str">
        <f t="shared" si="3681"/>
        <v/>
      </c>
      <c r="EV242" s="66" t="str">
        <f t="shared" si="3682"/>
        <v/>
      </c>
      <c r="EW242" s="66" t="str">
        <f t="shared" si="3683"/>
        <v/>
      </c>
      <c r="EX242" s="66" t="str">
        <f t="shared" si="3684"/>
        <v/>
      </c>
      <c r="EY242" s="66" t="str">
        <f t="shared" si="3685"/>
        <v/>
      </c>
      <c r="EZ242" s="66" t="str">
        <f t="shared" si="3686"/>
        <v/>
      </c>
      <c r="FA242" s="66" t="str">
        <f t="shared" si="3687"/>
        <v/>
      </c>
      <c r="FB242" s="66" t="str">
        <f t="shared" si="3688"/>
        <v/>
      </c>
      <c r="FC242" s="66" t="str">
        <f t="shared" si="3689"/>
        <v/>
      </c>
      <c r="FD242" s="66" t="str">
        <f t="shared" si="3690"/>
        <v/>
      </c>
      <c r="FE242" s="66" t="str">
        <f t="shared" si="3691"/>
        <v/>
      </c>
      <c r="FF242" s="66" t="str">
        <f t="shared" si="3692"/>
        <v/>
      </c>
      <c r="FG242" s="66" t="str">
        <f t="shared" si="3693"/>
        <v/>
      </c>
      <c r="FH242" s="66" t="str">
        <f t="shared" si="3694"/>
        <v/>
      </c>
      <c r="FI242" s="66" t="str">
        <f t="shared" si="3695"/>
        <v/>
      </c>
      <c r="FJ242" s="66" t="str">
        <f t="shared" si="3696"/>
        <v/>
      </c>
      <c r="FK242" s="66" t="str">
        <f t="shared" si="3697"/>
        <v/>
      </c>
      <c r="FL242" s="66" t="str">
        <f t="shared" si="3698"/>
        <v/>
      </c>
      <c r="FM242" s="66" t="str">
        <f t="shared" si="3699"/>
        <v/>
      </c>
      <c r="FN242" s="66" t="str">
        <f t="shared" si="3700"/>
        <v/>
      </c>
      <c r="FO242" s="66" t="str">
        <f t="shared" si="3701"/>
        <v/>
      </c>
      <c r="FP242" s="66" t="str">
        <f t="shared" si="3702"/>
        <v/>
      </c>
      <c r="FQ242" s="66" t="str">
        <f t="shared" si="3703"/>
        <v/>
      </c>
      <c r="FR242" s="66" t="str">
        <f t="shared" si="3704"/>
        <v/>
      </c>
      <c r="FS242" s="66" t="str">
        <f t="shared" si="3705"/>
        <v/>
      </c>
    </row>
    <row r="243" spans="1:175">
      <c r="A243" s="27"/>
      <c r="B243" s="27" t="s">
        <v>775</v>
      </c>
      <c r="C243" s="29" t="s">
        <v>748</v>
      </c>
      <c r="T243" s="119"/>
      <c r="U243" s="77"/>
      <c r="CN243" s="36" t="str">
        <f t="shared" ref="CN243:CN248" si="3706">"InitUnitState('"&amp;B243&amp;"',"&amp;V243&amp;","&amp;W243&amp;","&amp;X243&amp;","&amp;Y243&amp;","&amp;Z243&amp;","&amp;AA243&amp;","&amp;AB243&amp;","&amp;AC243&amp;","&amp;AD243&amp;","&amp;AE243&amp;")"</f>
        <v>InitUnitState('IF28',,,,,,,,,,)</v>
      </c>
      <c r="CO243" s="36" t="str">
        <f t="shared" ref="CO243:CO248" si="3707">"InitUnitNormal('"&amp;B243&amp;"',"&amp;AF243&amp;","&amp;AG243&amp;","&amp;AH243&amp;","&amp;AI243&amp;","&amp;AJ243&amp;","&amp;AK243&amp;","&amp;AL243&amp;","&amp;AM243&amp;","&amp;AN243&amp;","&amp;AO243&amp;")"</f>
        <v>InitUnitNormal('IF28',,,,,,,,,,)</v>
      </c>
      <c r="CP243" s="36" t="str">
        <f t="shared" ref="CP243:CP248" si="3708">"InitUnitMagic('"&amp;B243&amp;"',"&amp;AP243&amp;","&amp;AQ243&amp;","&amp;AR243&amp;","&amp;AS243&amp;","&amp;AT243&amp;","&amp;AU243&amp;","&amp;AV243&amp;","&amp;AW243&amp;","&amp;BI243&amp;","&amp;BJ243&amp;")"</f>
        <v>InitUnitMagic('IF28',,,,,,,,,,)</v>
      </c>
      <c r="CQ243" s="36" t="str">
        <f t="shared" ref="CQ243:CQ248" si="3709">"InitUnitAdd('"&amp;B243&amp;"',"&amp;BK243&amp;","&amp;BL243&amp;","&amp;BM243&amp;","&amp;BN243&amp;","&amp;BO243&amp;","&amp;BP243&amp;","&amp;BQ243&amp;","&amp;BR243&amp;","&amp;BS243&amp;","&amp;BT243&amp;")"</f>
        <v>InitUnitAdd('IF28',,,,,,,,,,)</v>
      </c>
      <c r="CR243" s="36" t="str">
        <f t="shared" ref="CR243:CR245" si="3710"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InitEquipData('IF28',,"",,,,,'','','','','','',"")</v>
      </c>
      <c r="CU243" s="88" t="str">
        <f t="shared" ref="CU243:CU248" si="3711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W243" s="33"/>
      <c r="CX243" s="33"/>
      <c r="CY243" s="33"/>
      <c r="CZ243" s="33"/>
      <c r="DA243" s="33"/>
      <c r="DB243" s="66" t="str">
        <f t="shared" ref="DB243:DB248" si="3712">IF(V243="","","|n"&amp;DB$2&amp;"+"&amp;V243&amp;DB$1)</f>
        <v/>
      </c>
      <c r="DC243" s="66" t="str">
        <f t="shared" ref="DC243:DC248" si="3713">IF(W243="","","|n"&amp;DC$2&amp;"+"&amp;W243&amp;DC$1)</f>
        <v/>
      </c>
      <c r="DD243" s="66" t="str">
        <f t="shared" ref="DD243:DD248" si="3714">IF(X243="","","|n"&amp;DD$2&amp;"+"&amp;X243&amp;DD$1)</f>
        <v/>
      </c>
      <c r="DE243" s="66" t="str">
        <f t="shared" ref="DE243:DE248" si="3715">IF(Y243="","","|n"&amp;DE$2&amp;"+"&amp;Y243&amp;DE$1)</f>
        <v/>
      </c>
      <c r="DF243" s="66" t="str">
        <f t="shared" ref="DF243:DF248" si="3716">IF(Z243="","","|n"&amp;DF$2&amp;"+"&amp;Z243&amp;DF$1)</f>
        <v/>
      </c>
      <c r="DG243" s="66" t="str">
        <f t="shared" ref="DG243:DG248" si="3717">IF(AA243="","","|n"&amp;DG$2&amp;"+"&amp;AA243&amp;DG$1)</f>
        <v/>
      </c>
      <c r="DH243" s="66" t="str">
        <f t="shared" ref="DH243:DH248" si="3718">IF(AB243="","","|n"&amp;DH$2&amp;"+"&amp;AB243&amp;DH$1)</f>
        <v/>
      </c>
      <c r="DI243" s="66" t="str">
        <f t="shared" ref="DI243:DI248" si="3719">IF(AC243="","","|n"&amp;DI$2&amp;"+"&amp;AC243&amp;DI$1)</f>
        <v/>
      </c>
      <c r="DJ243" s="66" t="str">
        <f t="shared" ref="DJ243:DJ248" si="3720">IF(AD243="","","|n"&amp;DJ$2&amp;"+"&amp;AD243&amp;DJ$1)</f>
        <v/>
      </c>
      <c r="DK243" s="66" t="str">
        <f t="shared" ref="DK243:DK248" si="3721">IF(AE243="","","|n"&amp;DK$2&amp;"+"&amp;AE243&amp;DK$1)</f>
        <v/>
      </c>
      <c r="DL243" s="66" t="str">
        <f t="shared" ref="DL243:DL248" si="3722">IF(AF243="","","|n"&amp;DL$2&amp;"+"&amp;AF243&amp;DL$1)</f>
        <v/>
      </c>
      <c r="DM243" s="66" t="str">
        <f t="shared" ref="DM243:DM248" si="3723">IF(AG243="","","|n"&amp;DM$2&amp;"+"&amp;AG243&amp;DM$1)</f>
        <v/>
      </c>
      <c r="DN243" s="66" t="str">
        <f t="shared" ref="DN243:DN248" si="3724">IF(AH243="","","|n"&amp;DN$2&amp;"+"&amp;AH243&amp;DN$1)</f>
        <v/>
      </c>
      <c r="DO243" s="66" t="str">
        <f t="shared" ref="DO243:DO248" si="3725">IF(AI243="","","|n"&amp;DO$2&amp;"+"&amp;AI243&amp;DO$1)</f>
        <v/>
      </c>
      <c r="DP243" s="66" t="str">
        <f t="shared" ref="DP243:DP248" si="3726">IF(AJ243="","","|n"&amp;DP$2&amp;"+"&amp;AJ243&amp;DP$1)</f>
        <v/>
      </c>
      <c r="DQ243" s="66" t="str">
        <f t="shared" ref="DQ243:DQ248" si="3727">IF(AK243="","","|n"&amp;DQ$2&amp;"+"&amp;AK243&amp;DQ$1)</f>
        <v/>
      </c>
      <c r="DR243" s="66" t="str">
        <f t="shared" ref="DR243:DR248" si="3728">IF(AL243="","","|n"&amp;DR$2&amp;"+"&amp;AL243&amp;DR$1)</f>
        <v/>
      </c>
      <c r="DS243" s="66" t="str">
        <f t="shared" ref="DS243:DS248" si="3729">IF(AM243="","","|n"&amp;DS$2&amp;"+"&amp;AM243&amp;DS$1)</f>
        <v/>
      </c>
      <c r="DT243" s="66" t="str">
        <f t="shared" ref="DT243:DT248" si="3730">IF(AN243="","","|n"&amp;DT$2&amp;"+"&amp;AN243&amp;DT$1)</f>
        <v/>
      </c>
      <c r="DU243" s="66" t="str">
        <f t="shared" ref="DU243:DU248" si="3731">IF(AO243="","","|n"&amp;DU$2&amp;"+"&amp;AO243&amp;DU$1)</f>
        <v/>
      </c>
      <c r="DV243" s="66" t="str">
        <f t="shared" ref="DV243:DV248" si="3732">IF(AP243="","","|n"&amp;DV$2&amp;"+"&amp;AP243&amp;DV$1)</f>
        <v/>
      </c>
      <c r="DW243" s="66" t="str">
        <f t="shared" ref="DW243:DW248" si="3733">IF(AQ243="","","|n"&amp;DW$2&amp;"+"&amp;AQ243&amp;DW$1)</f>
        <v/>
      </c>
      <c r="DX243" s="66" t="str">
        <f t="shared" ref="DX243:DX248" si="3734">IF(AR243="","","|n"&amp;DX$2&amp;"+"&amp;AR243&amp;DX$1)</f>
        <v/>
      </c>
      <c r="DY243" s="66" t="str">
        <f t="shared" ref="DY243:DY248" si="3735">IF(AS243="","","|n"&amp;DY$2&amp;"+"&amp;AS243&amp;DY$1)</f>
        <v/>
      </c>
      <c r="DZ243" s="66" t="str">
        <f t="shared" ref="DZ243:DZ248" si="3736">IF(AT243="","","|n"&amp;DZ$2&amp;"+"&amp;AT243&amp;DZ$1)</f>
        <v/>
      </c>
      <c r="EA243" s="66" t="str">
        <f t="shared" ref="EA243:EA248" si="3737">IF(AU243="","","|n"&amp;EA$2&amp;"+"&amp;AU243&amp;EA$1)</f>
        <v/>
      </c>
      <c r="EB243" s="66" t="str">
        <f t="shared" ref="EB243:EB248" si="3738">IF(AV243="","","|n"&amp;EB$2&amp;"+"&amp;AV243&amp;EB$1)</f>
        <v/>
      </c>
      <c r="EC243" s="66" t="str">
        <f t="shared" ref="EC243:EC248" si="3739">IF(AW243="","","|n"&amp;EC$2&amp;"+"&amp;AW243&amp;EC$1)</f>
        <v/>
      </c>
      <c r="ED243" s="66" t="str">
        <f t="shared" ref="ED243:ED248" si="3740">IF(AX243="","","|n"&amp;ED$2&amp;"+"&amp;AX243&amp;ED$1)</f>
        <v/>
      </c>
      <c r="EE243" s="66" t="str">
        <f t="shared" ref="EE243:EE248" si="3741">IF(AY243="","","|n"&amp;EE$2&amp;"+"&amp;AY243&amp;EE$1)</f>
        <v/>
      </c>
      <c r="EF243" s="66" t="str">
        <f t="shared" ref="EF243:EF248" si="3742">IF(AZ243="","","|n"&amp;EF$2&amp;"+"&amp;AZ243&amp;EF$1)</f>
        <v/>
      </c>
      <c r="EG243" s="66" t="str">
        <f t="shared" ref="EG243:EG248" si="3743">IF(BA243="","","|n"&amp;EG$2&amp;"+"&amp;BA243&amp;EG$1)</f>
        <v/>
      </c>
      <c r="EH243" s="66" t="str">
        <f t="shared" ref="EH243:EH248" si="3744">IF(BB243="","","|n"&amp;EH$2&amp;"+"&amp;BB243&amp;EH$1)</f>
        <v/>
      </c>
      <c r="EI243" s="66" t="str">
        <f t="shared" ref="EI243:EI248" si="3745">IF(BC243="","","|n"&amp;EI$2&amp;"+"&amp;BC243&amp;EI$1)</f>
        <v/>
      </c>
      <c r="EJ243" s="66" t="str">
        <f t="shared" ref="EJ243:EJ248" si="3746">IF(BD243="","","|n"&amp;EJ$2&amp;"+"&amp;BD243&amp;EJ$1)</f>
        <v/>
      </c>
      <c r="EK243" s="66" t="str">
        <f t="shared" ref="EK243:EK248" si="3747">IF(BE243="","","|n"&amp;EK$2&amp;"+"&amp;BE243&amp;EK$1)</f>
        <v/>
      </c>
      <c r="EL243" s="66" t="str">
        <f t="shared" ref="EL243:EL248" si="3748">IF(BF243="","","|n"&amp;EL$2&amp;"+"&amp;BF243&amp;EL$1)</f>
        <v/>
      </c>
      <c r="EM243" s="66" t="str">
        <f t="shared" ref="EM243:EM248" si="3749">IF(BG243="","","|n"&amp;EM$2&amp;"+"&amp;BG243&amp;EM$1)</f>
        <v/>
      </c>
      <c r="EN243" s="66" t="str">
        <f t="shared" ref="EN243:EN248" si="3750">IF(BH243="","","|n"&amp;EN$2&amp;"+"&amp;BH243&amp;EN$1)</f>
        <v/>
      </c>
      <c r="EO243" s="66" t="str">
        <f t="shared" ref="EO243:EO248" si="3751">IF(BI243="","","|n"&amp;EO$2&amp;"+"&amp;BI243&amp;EO$1)</f>
        <v/>
      </c>
      <c r="EP243" s="66" t="str">
        <f t="shared" ref="EP243:EP248" si="3752">IF(BJ243="","","|n"&amp;EP$2&amp;"+"&amp;BJ243&amp;EP$1)</f>
        <v/>
      </c>
      <c r="EQ243" s="66" t="str">
        <f t="shared" ref="EQ243:EQ248" si="3753">IF(BK243="","","|n"&amp;EQ$2&amp;"+"&amp;BK243&amp;EQ$1)</f>
        <v/>
      </c>
      <c r="ER243" s="66" t="str">
        <f t="shared" ref="ER243:ER248" si="3754">IF(BL243="","","|n"&amp;ER$2&amp;"+"&amp;BL243&amp;ER$1)</f>
        <v/>
      </c>
      <c r="ES243" s="66" t="str">
        <f t="shared" ref="ES243:ES248" si="3755">IF(BM243="","","|n"&amp;ES$2&amp;"+"&amp;BM243&amp;ES$1)</f>
        <v/>
      </c>
      <c r="ET243" s="66" t="str">
        <f t="shared" ref="ET243:ET248" si="3756">IF(BN243="","","|n"&amp;ET$2&amp;"+"&amp;BN243&amp;ET$1)</f>
        <v/>
      </c>
      <c r="EU243" s="66" t="str">
        <f t="shared" ref="EU243:EU248" si="3757">IF(BO243="","","|n"&amp;EU$2&amp;"+"&amp;BO243&amp;EU$1)</f>
        <v/>
      </c>
      <c r="EV243" s="66" t="str">
        <f t="shared" ref="EV243:EV248" si="3758">IF(BP243="","","|n"&amp;EV$2&amp;"+"&amp;BP243&amp;EV$1)</f>
        <v/>
      </c>
      <c r="EW243" s="66" t="str">
        <f t="shared" ref="EW243:EW248" si="3759">IF(BQ243="","","|n"&amp;EW$2&amp;"+"&amp;BQ243&amp;EW$1)</f>
        <v/>
      </c>
      <c r="EX243" s="66" t="str">
        <f t="shared" ref="EX243:EX248" si="3760">IF(BR243="","","|n"&amp;EX$2&amp;"+"&amp;BR243&amp;EX$1)</f>
        <v/>
      </c>
      <c r="EY243" s="66" t="str">
        <f t="shared" ref="EY243:EY248" si="3761">IF(BS243="","","|n"&amp;EY$2&amp;"+"&amp;BS243&amp;EY$1)</f>
        <v/>
      </c>
      <c r="EZ243" s="66" t="str">
        <f t="shared" ref="EZ243:EZ248" si="3762">IF(BT243="","","|n"&amp;EZ$2&amp;"+"&amp;BT243&amp;EZ$1)</f>
        <v/>
      </c>
      <c r="FA243" s="66" t="str">
        <f t="shared" ref="FA243:FA248" si="3763">IF(BU243="","","|n"&amp;FA$2&amp;"+"&amp;BU243&amp;FA$1)</f>
        <v/>
      </c>
      <c r="FB243" s="66" t="str">
        <f t="shared" ref="FB243:FB248" si="3764">IF(BV243="","","|n"&amp;FB$2&amp;"+"&amp;BV243&amp;FB$1)</f>
        <v/>
      </c>
      <c r="FC243" s="66" t="str">
        <f t="shared" ref="FC243:FC248" si="3765">IF(BW243="","","|n"&amp;FC$2&amp;"+"&amp;BW243&amp;FC$1)</f>
        <v/>
      </c>
      <c r="FD243" s="66" t="str">
        <f t="shared" ref="FD243:FD248" si="3766">IF(BX243="","","|n"&amp;FD$2&amp;"+"&amp;BX243&amp;FD$1)</f>
        <v/>
      </c>
      <c r="FE243" s="66" t="str">
        <f t="shared" ref="FE243:FE248" si="3767">IF(BY243="","","|n"&amp;FE$2&amp;"+"&amp;BY243&amp;FE$1)</f>
        <v/>
      </c>
      <c r="FF243" s="66" t="str">
        <f t="shared" ref="FF243:FF248" si="3768">IF(BZ243="","","|n"&amp;FF$2&amp;"+"&amp;BZ243&amp;FF$1)</f>
        <v/>
      </c>
      <c r="FG243" s="66" t="str">
        <f t="shared" ref="FG243:FG248" si="3769">IF(CA243="","","|n"&amp;FG$2&amp;"+"&amp;CA243&amp;FG$1)</f>
        <v/>
      </c>
      <c r="FH243" s="66" t="str">
        <f t="shared" ref="FH243:FH248" si="3770">IF(CB243="","","|n"&amp;FH$2&amp;"+"&amp;CB243&amp;FH$1)</f>
        <v/>
      </c>
      <c r="FI243" s="66" t="str">
        <f t="shared" ref="FI243:FI248" si="3771">IF(CC243="","","|n"&amp;FI$2&amp;"+"&amp;CC243&amp;FI$1)</f>
        <v/>
      </c>
      <c r="FJ243" s="66" t="str">
        <f t="shared" ref="FJ243:FJ248" si="3772">IF(CD243="","","|n"&amp;FJ$2&amp;"+"&amp;CD243&amp;FJ$1)</f>
        <v/>
      </c>
      <c r="FK243" s="66" t="str">
        <f t="shared" ref="FK243:FK248" si="3773">IF(CE243="","","|n"&amp;FK$2&amp;"+"&amp;CE243&amp;FK$1)</f>
        <v/>
      </c>
      <c r="FL243" s="66" t="str">
        <f t="shared" ref="FL243:FL248" si="3774">IF(CF243="","","|n"&amp;FL$2&amp;"+"&amp;CF243&amp;FL$1)</f>
        <v/>
      </c>
      <c r="FM243" s="66" t="str">
        <f t="shared" ref="FM243:FM248" si="3775">IF(CG243="","","|n"&amp;FM$2&amp;"+"&amp;CG243&amp;FM$1)</f>
        <v/>
      </c>
      <c r="FN243" s="66" t="str">
        <f t="shared" ref="FN243:FN248" si="3776">IF(CH243="","","|n"&amp;FN$2&amp;"+"&amp;CH243&amp;FN$1)</f>
        <v/>
      </c>
      <c r="FO243" s="66" t="str">
        <f t="shared" ref="FO243:FO248" si="3777">IF(CI243="","","|n"&amp;FO$2&amp;"+"&amp;CI243&amp;FO$1)</f>
        <v/>
      </c>
      <c r="FP243" s="66" t="str">
        <f t="shared" ref="FP243:FP248" si="3778">IF(CJ243="","","|n"&amp;FP$2&amp;"+"&amp;CJ243&amp;FP$1)</f>
        <v/>
      </c>
      <c r="FQ243" s="66" t="str">
        <f t="shared" ref="FQ243:FQ248" si="3779">IF(CK243="","","|n"&amp;FQ$2&amp;"+"&amp;CK243&amp;FQ$1)</f>
        <v/>
      </c>
      <c r="FR243" s="66" t="str">
        <f t="shared" ref="FR243:FR248" si="3780">IF(CL243="","","|n"&amp;FR$2&amp;"+"&amp;CL243&amp;FR$1)</f>
        <v/>
      </c>
      <c r="FS243" s="66" t="str">
        <f t="shared" ref="FS243:FS248" si="3781">IF(CM243="","","|n"&amp;FS$2&amp;"+"&amp;CM243&amp;FS$1)</f>
        <v/>
      </c>
    </row>
    <row r="244" spans="1:175">
      <c r="A244" s="27"/>
      <c r="B244" s="27" t="s">
        <v>776</v>
      </c>
      <c r="C244" s="29" t="s">
        <v>748</v>
      </c>
      <c r="T244" s="119"/>
      <c r="U244" s="77"/>
      <c r="CN244" s="36" t="str">
        <f t="shared" si="3706"/>
        <v>InitUnitState('IF29',,,,,,,,,,)</v>
      </c>
      <c r="CO244" s="36" t="str">
        <f t="shared" si="3707"/>
        <v>InitUnitNormal('IF29',,,,,,,,,,)</v>
      </c>
      <c r="CP244" s="36" t="str">
        <f t="shared" si="3708"/>
        <v>InitUnitMagic('IF29',,,,,,,,,,)</v>
      </c>
      <c r="CQ244" s="36" t="str">
        <f t="shared" si="3709"/>
        <v>InitUnitAdd('IF29',,,,,,,,,,)</v>
      </c>
      <c r="CR244" s="36" t="str">
        <f t="shared" si="3710"/>
        <v>InitEquipData('IF29',,"",,,,,'','','','','','',"")</v>
      </c>
      <c r="CU244" s="88" t="str">
        <f t="shared" si="3711"/>
        <v>|n</v>
      </c>
      <c r="CW244" s="33"/>
      <c r="CX244" s="33"/>
      <c r="CY244" s="33"/>
      <c r="CZ244" s="33"/>
      <c r="DA244" s="33"/>
      <c r="DB244" s="66" t="str">
        <f t="shared" si="3712"/>
        <v/>
      </c>
      <c r="DC244" s="66" t="str">
        <f t="shared" si="3713"/>
        <v/>
      </c>
      <c r="DD244" s="66" t="str">
        <f t="shared" si="3714"/>
        <v/>
      </c>
      <c r="DE244" s="66" t="str">
        <f t="shared" si="3715"/>
        <v/>
      </c>
      <c r="DF244" s="66" t="str">
        <f t="shared" si="3716"/>
        <v/>
      </c>
      <c r="DG244" s="66" t="str">
        <f t="shared" si="3717"/>
        <v/>
      </c>
      <c r="DH244" s="66" t="str">
        <f t="shared" si="3718"/>
        <v/>
      </c>
      <c r="DI244" s="66" t="str">
        <f t="shared" si="3719"/>
        <v/>
      </c>
      <c r="DJ244" s="66" t="str">
        <f t="shared" si="3720"/>
        <v/>
      </c>
      <c r="DK244" s="66" t="str">
        <f t="shared" si="3721"/>
        <v/>
      </c>
      <c r="DL244" s="66" t="str">
        <f t="shared" si="3722"/>
        <v/>
      </c>
      <c r="DM244" s="66" t="str">
        <f t="shared" si="3723"/>
        <v/>
      </c>
      <c r="DN244" s="66" t="str">
        <f t="shared" si="3724"/>
        <v/>
      </c>
      <c r="DO244" s="66" t="str">
        <f t="shared" si="3725"/>
        <v/>
      </c>
      <c r="DP244" s="66" t="str">
        <f t="shared" si="3726"/>
        <v/>
      </c>
      <c r="DQ244" s="66" t="str">
        <f t="shared" si="3727"/>
        <v/>
      </c>
      <c r="DR244" s="66" t="str">
        <f t="shared" si="3728"/>
        <v/>
      </c>
      <c r="DS244" s="66" t="str">
        <f t="shared" si="3729"/>
        <v/>
      </c>
      <c r="DT244" s="66" t="str">
        <f t="shared" si="3730"/>
        <v/>
      </c>
      <c r="DU244" s="66" t="str">
        <f t="shared" si="3731"/>
        <v/>
      </c>
      <c r="DV244" s="66" t="str">
        <f t="shared" si="3732"/>
        <v/>
      </c>
      <c r="DW244" s="66" t="str">
        <f t="shared" si="3733"/>
        <v/>
      </c>
      <c r="DX244" s="66" t="str">
        <f t="shared" si="3734"/>
        <v/>
      </c>
      <c r="DY244" s="66" t="str">
        <f t="shared" si="3735"/>
        <v/>
      </c>
      <c r="DZ244" s="66" t="str">
        <f t="shared" si="3736"/>
        <v/>
      </c>
      <c r="EA244" s="66" t="str">
        <f t="shared" si="3737"/>
        <v/>
      </c>
      <c r="EB244" s="66" t="str">
        <f t="shared" si="3738"/>
        <v/>
      </c>
      <c r="EC244" s="66" t="str">
        <f t="shared" si="3739"/>
        <v/>
      </c>
      <c r="ED244" s="66" t="str">
        <f t="shared" si="3740"/>
        <v/>
      </c>
      <c r="EE244" s="66" t="str">
        <f t="shared" si="3741"/>
        <v/>
      </c>
      <c r="EF244" s="66" t="str">
        <f t="shared" si="3742"/>
        <v/>
      </c>
      <c r="EG244" s="66" t="str">
        <f t="shared" si="3743"/>
        <v/>
      </c>
      <c r="EH244" s="66" t="str">
        <f t="shared" si="3744"/>
        <v/>
      </c>
      <c r="EI244" s="66" t="str">
        <f t="shared" si="3745"/>
        <v/>
      </c>
      <c r="EJ244" s="66" t="str">
        <f t="shared" si="3746"/>
        <v/>
      </c>
      <c r="EK244" s="66" t="str">
        <f t="shared" si="3747"/>
        <v/>
      </c>
      <c r="EL244" s="66" t="str">
        <f t="shared" si="3748"/>
        <v/>
      </c>
      <c r="EM244" s="66" t="str">
        <f t="shared" si="3749"/>
        <v/>
      </c>
      <c r="EN244" s="66" t="str">
        <f t="shared" si="3750"/>
        <v/>
      </c>
      <c r="EO244" s="66" t="str">
        <f t="shared" si="3751"/>
        <v/>
      </c>
      <c r="EP244" s="66" t="str">
        <f t="shared" si="3752"/>
        <v/>
      </c>
      <c r="EQ244" s="66" t="str">
        <f t="shared" si="3753"/>
        <v/>
      </c>
      <c r="ER244" s="66" t="str">
        <f t="shared" si="3754"/>
        <v/>
      </c>
      <c r="ES244" s="66" t="str">
        <f t="shared" si="3755"/>
        <v/>
      </c>
      <c r="ET244" s="66" t="str">
        <f t="shared" si="3756"/>
        <v/>
      </c>
      <c r="EU244" s="66" t="str">
        <f t="shared" si="3757"/>
        <v/>
      </c>
      <c r="EV244" s="66" t="str">
        <f t="shared" si="3758"/>
        <v/>
      </c>
      <c r="EW244" s="66" t="str">
        <f t="shared" si="3759"/>
        <v/>
      </c>
      <c r="EX244" s="66" t="str">
        <f t="shared" si="3760"/>
        <v/>
      </c>
      <c r="EY244" s="66" t="str">
        <f t="shared" si="3761"/>
        <v/>
      </c>
      <c r="EZ244" s="66" t="str">
        <f t="shared" si="3762"/>
        <v/>
      </c>
      <c r="FA244" s="66" t="str">
        <f t="shared" si="3763"/>
        <v/>
      </c>
      <c r="FB244" s="66" t="str">
        <f t="shared" si="3764"/>
        <v/>
      </c>
      <c r="FC244" s="66" t="str">
        <f t="shared" si="3765"/>
        <v/>
      </c>
      <c r="FD244" s="66" t="str">
        <f t="shared" si="3766"/>
        <v/>
      </c>
      <c r="FE244" s="66" t="str">
        <f t="shared" si="3767"/>
        <v/>
      </c>
      <c r="FF244" s="66" t="str">
        <f t="shared" si="3768"/>
        <v/>
      </c>
      <c r="FG244" s="66" t="str">
        <f t="shared" si="3769"/>
        <v/>
      </c>
      <c r="FH244" s="66" t="str">
        <f t="shared" si="3770"/>
        <v/>
      </c>
      <c r="FI244" s="66" t="str">
        <f t="shared" si="3771"/>
        <v/>
      </c>
      <c r="FJ244" s="66" t="str">
        <f t="shared" si="3772"/>
        <v/>
      </c>
      <c r="FK244" s="66" t="str">
        <f t="shared" si="3773"/>
        <v/>
      </c>
      <c r="FL244" s="66" t="str">
        <f t="shared" si="3774"/>
        <v/>
      </c>
      <c r="FM244" s="66" t="str">
        <f t="shared" si="3775"/>
        <v/>
      </c>
      <c r="FN244" s="66" t="str">
        <f t="shared" si="3776"/>
        <v/>
      </c>
      <c r="FO244" s="66" t="str">
        <f t="shared" si="3777"/>
        <v/>
      </c>
      <c r="FP244" s="66" t="str">
        <f t="shared" si="3778"/>
        <v/>
      </c>
      <c r="FQ244" s="66" t="str">
        <f t="shared" si="3779"/>
        <v/>
      </c>
      <c r="FR244" s="66" t="str">
        <f t="shared" si="3780"/>
        <v/>
      </c>
      <c r="FS244" s="66" t="str">
        <f t="shared" si="3781"/>
        <v/>
      </c>
    </row>
    <row r="245" spans="1:175">
      <c r="A245" s="27"/>
      <c r="B245" s="27" t="s">
        <v>777</v>
      </c>
      <c r="C245" s="29" t="s">
        <v>748</v>
      </c>
      <c r="T245" s="119"/>
      <c r="U245" s="77"/>
      <c r="CN245" s="36" t="str">
        <f t="shared" si="3706"/>
        <v>InitUnitState('IF30',,,,,,,,,,)</v>
      </c>
      <c r="CO245" s="36" t="str">
        <f t="shared" si="3707"/>
        <v>InitUnitNormal('IF30',,,,,,,,,,)</v>
      </c>
      <c r="CP245" s="36" t="str">
        <f t="shared" si="3708"/>
        <v>InitUnitMagic('IF30',,,,,,,,,,)</v>
      </c>
      <c r="CQ245" s="36" t="str">
        <f t="shared" si="3709"/>
        <v>InitUnitAdd('IF30',,,,,,,,,,)</v>
      </c>
      <c r="CR245" s="36" t="str">
        <f t="shared" si="3710"/>
        <v>InitEquipData('IF30',,"",,,,,'','','','','','',"")</v>
      </c>
      <c r="CU245" s="88" t="str">
        <f t="shared" si="3711"/>
        <v>|n</v>
      </c>
      <c r="CW245" s="33"/>
      <c r="CX245" s="33"/>
      <c r="CY245" s="33"/>
      <c r="CZ245" s="33"/>
      <c r="DA245" s="33"/>
      <c r="DB245" s="66" t="str">
        <f t="shared" si="3712"/>
        <v/>
      </c>
      <c r="DC245" s="66" t="str">
        <f t="shared" si="3713"/>
        <v/>
      </c>
      <c r="DD245" s="66" t="str">
        <f t="shared" si="3714"/>
        <v/>
      </c>
      <c r="DE245" s="66" t="str">
        <f t="shared" si="3715"/>
        <v/>
      </c>
      <c r="DF245" s="66" t="str">
        <f t="shared" si="3716"/>
        <v/>
      </c>
      <c r="DG245" s="66" t="str">
        <f t="shared" si="3717"/>
        <v/>
      </c>
      <c r="DH245" s="66" t="str">
        <f t="shared" si="3718"/>
        <v/>
      </c>
      <c r="DI245" s="66" t="str">
        <f t="shared" si="3719"/>
        <v/>
      </c>
      <c r="DJ245" s="66" t="str">
        <f t="shared" si="3720"/>
        <v/>
      </c>
      <c r="DK245" s="66" t="str">
        <f t="shared" si="3721"/>
        <v/>
      </c>
      <c r="DL245" s="66" t="str">
        <f t="shared" si="3722"/>
        <v/>
      </c>
      <c r="DM245" s="66" t="str">
        <f t="shared" si="3723"/>
        <v/>
      </c>
      <c r="DN245" s="66" t="str">
        <f t="shared" si="3724"/>
        <v/>
      </c>
      <c r="DO245" s="66" t="str">
        <f t="shared" si="3725"/>
        <v/>
      </c>
      <c r="DP245" s="66" t="str">
        <f t="shared" si="3726"/>
        <v/>
      </c>
      <c r="DQ245" s="66" t="str">
        <f t="shared" si="3727"/>
        <v/>
      </c>
      <c r="DR245" s="66" t="str">
        <f t="shared" si="3728"/>
        <v/>
      </c>
      <c r="DS245" s="66" t="str">
        <f t="shared" si="3729"/>
        <v/>
      </c>
      <c r="DT245" s="66" t="str">
        <f t="shared" si="3730"/>
        <v/>
      </c>
      <c r="DU245" s="66" t="str">
        <f t="shared" si="3731"/>
        <v/>
      </c>
      <c r="DV245" s="66" t="str">
        <f t="shared" si="3732"/>
        <v/>
      </c>
      <c r="DW245" s="66" t="str">
        <f t="shared" si="3733"/>
        <v/>
      </c>
      <c r="DX245" s="66" t="str">
        <f t="shared" si="3734"/>
        <v/>
      </c>
      <c r="DY245" s="66" t="str">
        <f t="shared" si="3735"/>
        <v/>
      </c>
      <c r="DZ245" s="66" t="str">
        <f t="shared" si="3736"/>
        <v/>
      </c>
      <c r="EA245" s="66" t="str">
        <f t="shared" si="3737"/>
        <v/>
      </c>
      <c r="EB245" s="66" t="str">
        <f t="shared" si="3738"/>
        <v/>
      </c>
      <c r="EC245" s="66" t="str">
        <f t="shared" si="3739"/>
        <v/>
      </c>
      <c r="ED245" s="66" t="str">
        <f t="shared" si="3740"/>
        <v/>
      </c>
      <c r="EE245" s="66" t="str">
        <f t="shared" si="3741"/>
        <v/>
      </c>
      <c r="EF245" s="66" t="str">
        <f t="shared" si="3742"/>
        <v/>
      </c>
      <c r="EG245" s="66" t="str">
        <f t="shared" si="3743"/>
        <v/>
      </c>
      <c r="EH245" s="66" t="str">
        <f t="shared" si="3744"/>
        <v/>
      </c>
      <c r="EI245" s="66" t="str">
        <f t="shared" si="3745"/>
        <v/>
      </c>
      <c r="EJ245" s="66" t="str">
        <f t="shared" si="3746"/>
        <v/>
      </c>
      <c r="EK245" s="66" t="str">
        <f t="shared" si="3747"/>
        <v/>
      </c>
      <c r="EL245" s="66" t="str">
        <f t="shared" si="3748"/>
        <v/>
      </c>
      <c r="EM245" s="66" t="str">
        <f t="shared" si="3749"/>
        <v/>
      </c>
      <c r="EN245" s="66" t="str">
        <f t="shared" si="3750"/>
        <v/>
      </c>
      <c r="EO245" s="66" t="str">
        <f t="shared" si="3751"/>
        <v/>
      </c>
      <c r="EP245" s="66" t="str">
        <f t="shared" si="3752"/>
        <v/>
      </c>
      <c r="EQ245" s="66" t="str">
        <f t="shared" si="3753"/>
        <v/>
      </c>
      <c r="ER245" s="66" t="str">
        <f t="shared" si="3754"/>
        <v/>
      </c>
      <c r="ES245" s="66" t="str">
        <f t="shared" si="3755"/>
        <v/>
      </c>
      <c r="ET245" s="66" t="str">
        <f t="shared" si="3756"/>
        <v/>
      </c>
      <c r="EU245" s="66" t="str">
        <f t="shared" si="3757"/>
        <v/>
      </c>
      <c r="EV245" s="66" t="str">
        <f t="shared" si="3758"/>
        <v/>
      </c>
      <c r="EW245" s="66" t="str">
        <f t="shared" si="3759"/>
        <v/>
      </c>
      <c r="EX245" s="66" t="str">
        <f t="shared" si="3760"/>
        <v/>
      </c>
      <c r="EY245" s="66" t="str">
        <f t="shared" si="3761"/>
        <v/>
      </c>
      <c r="EZ245" s="66" t="str">
        <f t="shared" si="3762"/>
        <v/>
      </c>
      <c r="FA245" s="66" t="str">
        <f t="shared" si="3763"/>
        <v/>
      </c>
      <c r="FB245" s="66" t="str">
        <f t="shared" si="3764"/>
        <v/>
      </c>
      <c r="FC245" s="66" t="str">
        <f t="shared" si="3765"/>
        <v/>
      </c>
      <c r="FD245" s="66" t="str">
        <f t="shared" si="3766"/>
        <v/>
      </c>
      <c r="FE245" s="66" t="str">
        <f t="shared" si="3767"/>
        <v/>
      </c>
      <c r="FF245" s="66" t="str">
        <f t="shared" si="3768"/>
        <v/>
      </c>
      <c r="FG245" s="66" t="str">
        <f t="shared" si="3769"/>
        <v/>
      </c>
      <c r="FH245" s="66" t="str">
        <f t="shared" si="3770"/>
        <v/>
      </c>
      <c r="FI245" s="66" t="str">
        <f t="shared" si="3771"/>
        <v/>
      </c>
      <c r="FJ245" s="66" t="str">
        <f t="shared" si="3772"/>
        <v/>
      </c>
      <c r="FK245" s="66" t="str">
        <f t="shared" si="3773"/>
        <v/>
      </c>
      <c r="FL245" s="66" t="str">
        <f t="shared" si="3774"/>
        <v/>
      </c>
      <c r="FM245" s="66" t="str">
        <f t="shared" si="3775"/>
        <v/>
      </c>
      <c r="FN245" s="66" t="str">
        <f t="shared" si="3776"/>
        <v/>
      </c>
      <c r="FO245" s="66" t="str">
        <f t="shared" si="3777"/>
        <v/>
      </c>
      <c r="FP245" s="66" t="str">
        <f t="shared" si="3778"/>
        <v/>
      </c>
      <c r="FQ245" s="66" t="str">
        <f t="shared" si="3779"/>
        <v/>
      </c>
      <c r="FR245" s="66" t="str">
        <f t="shared" si="3780"/>
        <v/>
      </c>
      <c r="FS245" s="66" t="str">
        <f t="shared" si="3781"/>
        <v/>
      </c>
    </row>
    <row r="246" spans="1:175">
      <c r="A246" s="27"/>
      <c r="B246" s="27" t="s">
        <v>778</v>
      </c>
      <c r="C246" s="29" t="s">
        <v>748</v>
      </c>
      <c r="T246" s="119"/>
      <c r="U246" s="77"/>
      <c r="CN246" s="36" t="str">
        <f t="shared" si="3706"/>
        <v>InitUnitState('IF31',,,,,,,,,,)</v>
      </c>
      <c r="CO246" s="36" t="str">
        <f t="shared" si="3707"/>
        <v>InitUnitNormal('IF31',,,,,,,,,,)</v>
      </c>
      <c r="CP246" s="36" t="str">
        <f t="shared" si="3708"/>
        <v>InitUnitMagic('IF31',,,,,,,,,,)</v>
      </c>
      <c r="CQ246" s="36" t="str">
        <f t="shared" si="3709"/>
        <v>InitUnitAdd('IF31',,,,,,,,,,)</v>
      </c>
      <c r="CR246" s="36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253&amp;CR$1&amp;")"</f>
        <v>InitEquipData('IF31',,"",,,,,'','','','','','',"")</v>
      </c>
      <c r="CU246" s="88" t="str">
        <f t="shared" si="3711"/>
        <v>|n</v>
      </c>
      <c r="CW246" s="33"/>
      <c r="CX246" s="33"/>
      <c r="CY246" s="33"/>
      <c r="CZ246" s="33"/>
      <c r="DA246" s="33"/>
      <c r="DB246" s="66" t="str">
        <f t="shared" si="3712"/>
        <v/>
      </c>
      <c r="DC246" s="66" t="str">
        <f t="shared" si="3713"/>
        <v/>
      </c>
      <c r="DD246" s="66" t="str">
        <f t="shared" si="3714"/>
        <v/>
      </c>
      <c r="DE246" s="66" t="str">
        <f t="shared" si="3715"/>
        <v/>
      </c>
      <c r="DF246" s="66" t="str">
        <f t="shared" si="3716"/>
        <v/>
      </c>
      <c r="DG246" s="66" t="str">
        <f t="shared" si="3717"/>
        <v/>
      </c>
      <c r="DH246" s="66" t="str">
        <f t="shared" si="3718"/>
        <v/>
      </c>
      <c r="DI246" s="66" t="str">
        <f t="shared" si="3719"/>
        <v/>
      </c>
      <c r="DJ246" s="66" t="str">
        <f t="shared" si="3720"/>
        <v/>
      </c>
      <c r="DK246" s="66" t="str">
        <f t="shared" si="3721"/>
        <v/>
      </c>
      <c r="DL246" s="66" t="str">
        <f t="shared" si="3722"/>
        <v/>
      </c>
      <c r="DM246" s="66" t="str">
        <f t="shared" si="3723"/>
        <v/>
      </c>
      <c r="DN246" s="66" t="str">
        <f t="shared" si="3724"/>
        <v/>
      </c>
      <c r="DO246" s="66" t="str">
        <f t="shared" si="3725"/>
        <v/>
      </c>
      <c r="DP246" s="66" t="str">
        <f t="shared" si="3726"/>
        <v/>
      </c>
      <c r="DQ246" s="66" t="str">
        <f t="shared" si="3727"/>
        <v/>
      </c>
      <c r="DR246" s="66" t="str">
        <f t="shared" si="3728"/>
        <v/>
      </c>
      <c r="DS246" s="66" t="str">
        <f t="shared" si="3729"/>
        <v/>
      </c>
      <c r="DT246" s="66" t="str">
        <f t="shared" si="3730"/>
        <v/>
      </c>
      <c r="DU246" s="66" t="str">
        <f t="shared" si="3731"/>
        <v/>
      </c>
      <c r="DV246" s="66" t="str">
        <f t="shared" si="3732"/>
        <v/>
      </c>
      <c r="DW246" s="66" t="str">
        <f t="shared" si="3733"/>
        <v/>
      </c>
      <c r="DX246" s="66" t="str">
        <f t="shared" si="3734"/>
        <v/>
      </c>
      <c r="DY246" s="66" t="str">
        <f t="shared" si="3735"/>
        <v/>
      </c>
      <c r="DZ246" s="66" t="str">
        <f t="shared" si="3736"/>
        <v/>
      </c>
      <c r="EA246" s="66" t="str">
        <f t="shared" si="3737"/>
        <v/>
      </c>
      <c r="EB246" s="66" t="str">
        <f t="shared" si="3738"/>
        <v/>
      </c>
      <c r="EC246" s="66" t="str">
        <f t="shared" si="3739"/>
        <v/>
      </c>
      <c r="ED246" s="66" t="str">
        <f t="shared" si="3740"/>
        <v/>
      </c>
      <c r="EE246" s="66" t="str">
        <f t="shared" si="3741"/>
        <v/>
      </c>
      <c r="EF246" s="66" t="str">
        <f t="shared" si="3742"/>
        <v/>
      </c>
      <c r="EG246" s="66" t="str">
        <f t="shared" si="3743"/>
        <v/>
      </c>
      <c r="EH246" s="66" t="str">
        <f t="shared" si="3744"/>
        <v/>
      </c>
      <c r="EI246" s="66" t="str">
        <f t="shared" si="3745"/>
        <v/>
      </c>
      <c r="EJ246" s="66" t="str">
        <f t="shared" si="3746"/>
        <v/>
      </c>
      <c r="EK246" s="66" t="str">
        <f t="shared" si="3747"/>
        <v/>
      </c>
      <c r="EL246" s="66" t="str">
        <f t="shared" si="3748"/>
        <v/>
      </c>
      <c r="EM246" s="66" t="str">
        <f t="shared" si="3749"/>
        <v/>
      </c>
      <c r="EN246" s="66" t="str">
        <f t="shared" si="3750"/>
        <v/>
      </c>
      <c r="EO246" s="66" t="str">
        <f t="shared" si="3751"/>
        <v/>
      </c>
      <c r="EP246" s="66" t="str">
        <f t="shared" si="3752"/>
        <v/>
      </c>
      <c r="EQ246" s="66" t="str">
        <f t="shared" si="3753"/>
        <v/>
      </c>
      <c r="ER246" s="66" t="str">
        <f t="shared" si="3754"/>
        <v/>
      </c>
      <c r="ES246" s="66" t="str">
        <f t="shared" si="3755"/>
        <v/>
      </c>
      <c r="ET246" s="66" t="str">
        <f t="shared" si="3756"/>
        <v/>
      </c>
      <c r="EU246" s="66" t="str">
        <f t="shared" si="3757"/>
        <v/>
      </c>
      <c r="EV246" s="66" t="str">
        <f t="shared" si="3758"/>
        <v/>
      </c>
      <c r="EW246" s="66" t="str">
        <f t="shared" si="3759"/>
        <v/>
      </c>
      <c r="EX246" s="66" t="str">
        <f t="shared" si="3760"/>
        <v/>
      </c>
      <c r="EY246" s="66" t="str">
        <f t="shared" si="3761"/>
        <v/>
      </c>
      <c r="EZ246" s="66" t="str">
        <f t="shared" si="3762"/>
        <v/>
      </c>
      <c r="FA246" s="66" t="str">
        <f t="shared" si="3763"/>
        <v/>
      </c>
      <c r="FB246" s="66" t="str">
        <f t="shared" si="3764"/>
        <v/>
      </c>
      <c r="FC246" s="66" t="str">
        <f t="shared" si="3765"/>
        <v/>
      </c>
      <c r="FD246" s="66" t="str">
        <f t="shared" si="3766"/>
        <v/>
      </c>
      <c r="FE246" s="66" t="str">
        <f t="shared" si="3767"/>
        <v/>
      </c>
      <c r="FF246" s="66" t="str">
        <f t="shared" si="3768"/>
        <v/>
      </c>
      <c r="FG246" s="66" t="str">
        <f t="shared" si="3769"/>
        <v/>
      </c>
      <c r="FH246" s="66" t="str">
        <f t="shared" si="3770"/>
        <v/>
      </c>
      <c r="FI246" s="66" t="str">
        <f t="shared" si="3771"/>
        <v/>
      </c>
      <c r="FJ246" s="66" t="str">
        <f t="shared" si="3772"/>
        <v/>
      </c>
      <c r="FK246" s="66" t="str">
        <f t="shared" si="3773"/>
        <v/>
      </c>
      <c r="FL246" s="66" t="str">
        <f t="shared" si="3774"/>
        <v/>
      </c>
      <c r="FM246" s="66" t="str">
        <f t="shared" si="3775"/>
        <v/>
      </c>
      <c r="FN246" s="66" t="str">
        <f t="shared" si="3776"/>
        <v/>
      </c>
      <c r="FO246" s="66" t="str">
        <f t="shared" si="3777"/>
        <v/>
      </c>
      <c r="FP246" s="66" t="str">
        <f t="shared" si="3778"/>
        <v/>
      </c>
      <c r="FQ246" s="66" t="str">
        <f t="shared" si="3779"/>
        <v/>
      </c>
      <c r="FR246" s="66" t="str">
        <f t="shared" si="3780"/>
        <v/>
      </c>
      <c r="FS246" s="66" t="str">
        <f t="shared" si="3781"/>
        <v/>
      </c>
    </row>
    <row r="247" spans="1:175">
      <c r="A247" s="27"/>
      <c r="B247" s="27" t="s">
        <v>779</v>
      </c>
      <c r="C247" s="29" t="s">
        <v>748</v>
      </c>
      <c r="T247" s="119"/>
      <c r="U247" s="77"/>
      <c r="CN247" s="36" t="str">
        <f t="shared" ref="CN247" si="3782">"InitUnitState('"&amp;B247&amp;"',"&amp;V247&amp;","&amp;W247&amp;","&amp;X247&amp;","&amp;Y247&amp;","&amp;Z247&amp;","&amp;AA247&amp;","&amp;AB247&amp;","&amp;AC247&amp;","&amp;AD247&amp;","&amp;AE247&amp;")"</f>
        <v>InitUnitState('IF32',,,,,,,,,,)</v>
      </c>
      <c r="CO247" s="36" t="str">
        <f t="shared" ref="CO247" si="3783">"InitUnitNormal('"&amp;B247&amp;"',"&amp;AF247&amp;","&amp;AG247&amp;","&amp;AH247&amp;","&amp;AI247&amp;","&amp;AJ247&amp;","&amp;AK247&amp;","&amp;AL247&amp;","&amp;AM247&amp;","&amp;AN247&amp;","&amp;AO247&amp;")"</f>
        <v>InitUnitNormal('IF32',,,,,,,,,,)</v>
      </c>
      <c r="CP247" s="36" t="str">
        <f t="shared" ref="CP247" si="3784">"InitUnitMagic('"&amp;B247&amp;"',"&amp;AP247&amp;","&amp;AQ247&amp;","&amp;AR247&amp;","&amp;AS247&amp;","&amp;AT247&amp;","&amp;AU247&amp;","&amp;AV247&amp;","&amp;AW247&amp;","&amp;BI247&amp;","&amp;BJ247&amp;")"</f>
        <v>InitUnitMagic('IF32',,,,,,,,,,)</v>
      </c>
      <c r="CQ247" s="36" t="str">
        <f t="shared" ref="CQ247" si="3785">"InitUnitAdd('"&amp;B247&amp;"',"&amp;BK247&amp;","&amp;BL247&amp;","&amp;BM247&amp;","&amp;BN247&amp;","&amp;BO247&amp;","&amp;BP247&amp;","&amp;BQ247&amp;","&amp;BR247&amp;","&amp;BS247&amp;","&amp;BT247&amp;")"</f>
        <v>InitUnitAdd('IF32',,,,,,,,,,)</v>
      </c>
      <c r="CR247" s="36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254&amp;CR$1&amp;")"</f>
        <v>InitEquipData('IF32',,"",,,,,'','','','','','',"")</v>
      </c>
      <c r="CU247" s="88" t="str">
        <f t="shared" ref="CU247" si="3786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W247" s="33"/>
      <c r="CX247" s="33"/>
      <c r="CY247" s="33"/>
      <c r="CZ247" s="33"/>
      <c r="DA247" s="33"/>
      <c r="DB247" s="66" t="str">
        <f t="shared" ref="DB247" si="3787">IF(V247="","","|n"&amp;DB$2&amp;"+"&amp;V247&amp;DB$1)</f>
        <v/>
      </c>
      <c r="DC247" s="66" t="str">
        <f t="shared" ref="DC247" si="3788">IF(W247="","","|n"&amp;DC$2&amp;"+"&amp;W247&amp;DC$1)</f>
        <v/>
      </c>
      <c r="DD247" s="66" t="str">
        <f t="shared" ref="DD247" si="3789">IF(X247="","","|n"&amp;DD$2&amp;"+"&amp;X247&amp;DD$1)</f>
        <v/>
      </c>
      <c r="DE247" s="66" t="str">
        <f t="shared" ref="DE247" si="3790">IF(Y247="","","|n"&amp;DE$2&amp;"+"&amp;Y247&amp;DE$1)</f>
        <v/>
      </c>
      <c r="DF247" s="66" t="str">
        <f t="shared" ref="DF247" si="3791">IF(Z247="","","|n"&amp;DF$2&amp;"+"&amp;Z247&amp;DF$1)</f>
        <v/>
      </c>
      <c r="DG247" s="66" t="str">
        <f t="shared" ref="DG247" si="3792">IF(AA247="","","|n"&amp;DG$2&amp;"+"&amp;AA247&amp;DG$1)</f>
        <v/>
      </c>
      <c r="DH247" s="66" t="str">
        <f t="shared" ref="DH247" si="3793">IF(AB247="","","|n"&amp;DH$2&amp;"+"&amp;AB247&amp;DH$1)</f>
        <v/>
      </c>
      <c r="DI247" s="66" t="str">
        <f t="shared" ref="DI247" si="3794">IF(AC247="","","|n"&amp;DI$2&amp;"+"&amp;AC247&amp;DI$1)</f>
        <v/>
      </c>
      <c r="DJ247" s="66" t="str">
        <f t="shared" ref="DJ247" si="3795">IF(AD247="","","|n"&amp;DJ$2&amp;"+"&amp;AD247&amp;DJ$1)</f>
        <v/>
      </c>
      <c r="DK247" s="66" t="str">
        <f t="shared" ref="DK247" si="3796">IF(AE247="","","|n"&amp;DK$2&amp;"+"&amp;AE247&amp;DK$1)</f>
        <v/>
      </c>
      <c r="DL247" s="66" t="str">
        <f t="shared" ref="DL247" si="3797">IF(AF247="","","|n"&amp;DL$2&amp;"+"&amp;AF247&amp;DL$1)</f>
        <v/>
      </c>
      <c r="DM247" s="66" t="str">
        <f t="shared" ref="DM247" si="3798">IF(AG247="","","|n"&amp;DM$2&amp;"+"&amp;AG247&amp;DM$1)</f>
        <v/>
      </c>
      <c r="DN247" s="66" t="str">
        <f t="shared" ref="DN247" si="3799">IF(AH247="","","|n"&amp;DN$2&amp;"+"&amp;AH247&amp;DN$1)</f>
        <v/>
      </c>
      <c r="DO247" s="66" t="str">
        <f t="shared" ref="DO247" si="3800">IF(AI247="","","|n"&amp;DO$2&amp;"+"&amp;AI247&amp;DO$1)</f>
        <v/>
      </c>
      <c r="DP247" s="66" t="str">
        <f t="shared" ref="DP247" si="3801">IF(AJ247="","","|n"&amp;DP$2&amp;"+"&amp;AJ247&amp;DP$1)</f>
        <v/>
      </c>
      <c r="DQ247" s="66" t="str">
        <f t="shared" ref="DQ247" si="3802">IF(AK247="","","|n"&amp;DQ$2&amp;"+"&amp;AK247&amp;DQ$1)</f>
        <v/>
      </c>
      <c r="DR247" s="66" t="str">
        <f t="shared" ref="DR247" si="3803">IF(AL247="","","|n"&amp;DR$2&amp;"+"&amp;AL247&amp;DR$1)</f>
        <v/>
      </c>
      <c r="DS247" s="66" t="str">
        <f t="shared" ref="DS247" si="3804">IF(AM247="","","|n"&amp;DS$2&amp;"+"&amp;AM247&amp;DS$1)</f>
        <v/>
      </c>
      <c r="DT247" s="66" t="str">
        <f t="shared" ref="DT247" si="3805">IF(AN247="","","|n"&amp;DT$2&amp;"+"&amp;AN247&amp;DT$1)</f>
        <v/>
      </c>
      <c r="DU247" s="66" t="str">
        <f t="shared" ref="DU247" si="3806">IF(AO247="","","|n"&amp;DU$2&amp;"+"&amp;AO247&amp;DU$1)</f>
        <v/>
      </c>
      <c r="DV247" s="66" t="str">
        <f t="shared" ref="DV247" si="3807">IF(AP247="","","|n"&amp;DV$2&amp;"+"&amp;AP247&amp;DV$1)</f>
        <v/>
      </c>
      <c r="DW247" s="66" t="str">
        <f t="shared" ref="DW247" si="3808">IF(AQ247="","","|n"&amp;DW$2&amp;"+"&amp;AQ247&amp;DW$1)</f>
        <v/>
      </c>
      <c r="DX247" s="66" t="str">
        <f t="shared" ref="DX247" si="3809">IF(AR247="","","|n"&amp;DX$2&amp;"+"&amp;AR247&amp;DX$1)</f>
        <v/>
      </c>
      <c r="DY247" s="66" t="str">
        <f t="shared" ref="DY247" si="3810">IF(AS247="","","|n"&amp;DY$2&amp;"+"&amp;AS247&amp;DY$1)</f>
        <v/>
      </c>
      <c r="DZ247" s="66" t="str">
        <f t="shared" ref="DZ247" si="3811">IF(AT247="","","|n"&amp;DZ$2&amp;"+"&amp;AT247&amp;DZ$1)</f>
        <v/>
      </c>
      <c r="EA247" s="66" t="str">
        <f t="shared" ref="EA247" si="3812">IF(AU247="","","|n"&amp;EA$2&amp;"+"&amp;AU247&amp;EA$1)</f>
        <v/>
      </c>
      <c r="EB247" s="66" t="str">
        <f t="shared" ref="EB247" si="3813">IF(AV247="","","|n"&amp;EB$2&amp;"+"&amp;AV247&amp;EB$1)</f>
        <v/>
      </c>
      <c r="EC247" s="66" t="str">
        <f t="shared" ref="EC247" si="3814">IF(AW247="","","|n"&amp;EC$2&amp;"+"&amp;AW247&amp;EC$1)</f>
        <v/>
      </c>
      <c r="ED247" s="66" t="str">
        <f t="shared" ref="ED247" si="3815">IF(AX247="","","|n"&amp;ED$2&amp;"+"&amp;AX247&amp;ED$1)</f>
        <v/>
      </c>
      <c r="EE247" s="66" t="str">
        <f t="shared" ref="EE247" si="3816">IF(AY247="","","|n"&amp;EE$2&amp;"+"&amp;AY247&amp;EE$1)</f>
        <v/>
      </c>
      <c r="EF247" s="66" t="str">
        <f t="shared" ref="EF247" si="3817">IF(AZ247="","","|n"&amp;EF$2&amp;"+"&amp;AZ247&amp;EF$1)</f>
        <v/>
      </c>
      <c r="EG247" s="66" t="str">
        <f t="shared" ref="EG247" si="3818">IF(BA247="","","|n"&amp;EG$2&amp;"+"&amp;BA247&amp;EG$1)</f>
        <v/>
      </c>
      <c r="EH247" s="66" t="str">
        <f t="shared" ref="EH247" si="3819">IF(BB247="","","|n"&amp;EH$2&amp;"+"&amp;BB247&amp;EH$1)</f>
        <v/>
      </c>
      <c r="EI247" s="66" t="str">
        <f t="shared" ref="EI247" si="3820">IF(BC247="","","|n"&amp;EI$2&amp;"+"&amp;BC247&amp;EI$1)</f>
        <v/>
      </c>
      <c r="EJ247" s="66" t="str">
        <f t="shared" ref="EJ247" si="3821">IF(BD247="","","|n"&amp;EJ$2&amp;"+"&amp;BD247&amp;EJ$1)</f>
        <v/>
      </c>
      <c r="EK247" s="66" t="str">
        <f t="shared" ref="EK247" si="3822">IF(BE247="","","|n"&amp;EK$2&amp;"+"&amp;BE247&amp;EK$1)</f>
        <v/>
      </c>
      <c r="EL247" s="66" t="str">
        <f t="shared" ref="EL247" si="3823">IF(BF247="","","|n"&amp;EL$2&amp;"+"&amp;BF247&amp;EL$1)</f>
        <v/>
      </c>
      <c r="EM247" s="66" t="str">
        <f t="shared" ref="EM247" si="3824">IF(BG247="","","|n"&amp;EM$2&amp;"+"&amp;BG247&amp;EM$1)</f>
        <v/>
      </c>
      <c r="EN247" s="66" t="str">
        <f t="shared" ref="EN247" si="3825">IF(BH247="","","|n"&amp;EN$2&amp;"+"&amp;BH247&amp;EN$1)</f>
        <v/>
      </c>
      <c r="EO247" s="66" t="str">
        <f t="shared" ref="EO247" si="3826">IF(BI247="","","|n"&amp;EO$2&amp;"+"&amp;BI247&amp;EO$1)</f>
        <v/>
      </c>
      <c r="EP247" s="66" t="str">
        <f t="shared" ref="EP247" si="3827">IF(BJ247="","","|n"&amp;EP$2&amp;"+"&amp;BJ247&amp;EP$1)</f>
        <v/>
      </c>
      <c r="EQ247" s="66" t="str">
        <f t="shared" ref="EQ247" si="3828">IF(BK247="","","|n"&amp;EQ$2&amp;"+"&amp;BK247&amp;EQ$1)</f>
        <v/>
      </c>
      <c r="ER247" s="66" t="str">
        <f t="shared" ref="ER247" si="3829">IF(BL247="","","|n"&amp;ER$2&amp;"+"&amp;BL247&amp;ER$1)</f>
        <v/>
      </c>
      <c r="ES247" s="66" t="str">
        <f t="shared" ref="ES247" si="3830">IF(BM247="","","|n"&amp;ES$2&amp;"+"&amp;BM247&amp;ES$1)</f>
        <v/>
      </c>
      <c r="ET247" s="66" t="str">
        <f t="shared" ref="ET247" si="3831">IF(BN247="","","|n"&amp;ET$2&amp;"+"&amp;BN247&amp;ET$1)</f>
        <v/>
      </c>
      <c r="EU247" s="66" t="str">
        <f t="shared" ref="EU247" si="3832">IF(BO247="","","|n"&amp;EU$2&amp;"+"&amp;BO247&amp;EU$1)</f>
        <v/>
      </c>
      <c r="EV247" s="66" t="str">
        <f t="shared" ref="EV247" si="3833">IF(BP247="","","|n"&amp;EV$2&amp;"+"&amp;BP247&amp;EV$1)</f>
        <v/>
      </c>
      <c r="EW247" s="66" t="str">
        <f t="shared" ref="EW247" si="3834">IF(BQ247="","","|n"&amp;EW$2&amp;"+"&amp;BQ247&amp;EW$1)</f>
        <v/>
      </c>
      <c r="EX247" s="66" t="str">
        <f t="shared" ref="EX247" si="3835">IF(BR247="","","|n"&amp;EX$2&amp;"+"&amp;BR247&amp;EX$1)</f>
        <v/>
      </c>
      <c r="EY247" s="66" t="str">
        <f t="shared" ref="EY247" si="3836">IF(BS247="","","|n"&amp;EY$2&amp;"+"&amp;BS247&amp;EY$1)</f>
        <v/>
      </c>
      <c r="EZ247" s="66" t="str">
        <f t="shared" ref="EZ247" si="3837">IF(BT247="","","|n"&amp;EZ$2&amp;"+"&amp;BT247&amp;EZ$1)</f>
        <v/>
      </c>
      <c r="FA247" s="66" t="str">
        <f t="shared" ref="FA247" si="3838">IF(BU247="","","|n"&amp;FA$2&amp;"+"&amp;BU247&amp;FA$1)</f>
        <v/>
      </c>
      <c r="FB247" s="66" t="str">
        <f t="shared" ref="FB247" si="3839">IF(BV247="","","|n"&amp;FB$2&amp;"+"&amp;BV247&amp;FB$1)</f>
        <v/>
      </c>
      <c r="FC247" s="66" t="str">
        <f t="shared" ref="FC247" si="3840">IF(BW247="","","|n"&amp;FC$2&amp;"+"&amp;BW247&amp;FC$1)</f>
        <v/>
      </c>
      <c r="FD247" s="66" t="str">
        <f t="shared" ref="FD247" si="3841">IF(BX247="","","|n"&amp;FD$2&amp;"+"&amp;BX247&amp;FD$1)</f>
        <v/>
      </c>
      <c r="FE247" s="66" t="str">
        <f t="shared" ref="FE247" si="3842">IF(BY247="","","|n"&amp;FE$2&amp;"+"&amp;BY247&amp;FE$1)</f>
        <v/>
      </c>
      <c r="FF247" s="66" t="str">
        <f t="shared" ref="FF247" si="3843">IF(BZ247="","","|n"&amp;FF$2&amp;"+"&amp;BZ247&amp;FF$1)</f>
        <v/>
      </c>
      <c r="FG247" s="66" t="str">
        <f t="shared" ref="FG247" si="3844">IF(CA247="","","|n"&amp;FG$2&amp;"+"&amp;CA247&amp;FG$1)</f>
        <v/>
      </c>
      <c r="FH247" s="66" t="str">
        <f t="shared" ref="FH247" si="3845">IF(CB247="","","|n"&amp;FH$2&amp;"+"&amp;CB247&amp;FH$1)</f>
        <v/>
      </c>
      <c r="FI247" s="66" t="str">
        <f t="shared" ref="FI247" si="3846">IF(CC247="","","|n"&amp;FI$2&amp;"+"&amp;CC247&amp;FI$1)</f>
        <v/>
      </c>
      <c r="FJ247" s="66" t="str">
        <f t="shared" ref="FJ247" si="3847">IF(CD247="","","|n"&amp;FJ$2&amp;"+"&amp;CD247&amp;FJ$1)</f>
        <v/>
      </c>
      <c r="FK247" s="66" t="str">
        <f t="shared" ref="FK247" si="3848">IF(CE247="","","|n"&amp;FK$2&amp;"+"&amp;CE247&amp;FK$1)</f>
        <v/>
      </c>
      <c r="FL247" s="66" t="str">
        <f t="shared" ref="FL247" si="3849">IF(CF247="","","|n"&amp;FL$2&amp;"+"&amp;CF247&amp;FL$1)</f>
        <v/>
      </c>
      <c r="FM247" s="66" t="str">
        <f t="shared" ref="FM247" si="3850">IF(CG247="","","|n"&amp;FM$2&amp;"+"&amp;CG247&amp;FM$1)</f>
        <v/>
      </c>
      <c r="FN247" s="66" t="str">
        <f t="shared" ref="FN247" si="3851">IF(CH247="","","|n"&amp;FN$2&amp;"+"&amp;CH247&amp;FN$1)</f>
        <v/>
      </c>
      <c r="FO247" s="66" t="str">
        <f t="shared" ref="FO247" si="3852">IF(CI247="","","|n"&amp;FO$2&amp;"+"&amp;CI247&amp;FO$1)</f>
        <v/>
      </c>
      <c r="FP247" s="66" t="str">
        <f t="shared" ref="FP247" si="3853">IF(CJ247="","","|n"&amp;FP$2&amp;"+"&amp;CJ247&amp;FP$1)</f>
        <v/>
      </c>
      <c r="FQ247" s="66" t="str">
        <f t="shared" ref="FQ247" si="3854">IF(CK247="","","|n"&amp;FQ$2&amp;"+"&amp;CK247&amp;FQ$1)</f>
        <v/>
      </c>
      <c r="FR247" s="66" t="str">
        <f t="shared" ref="FR247" si="3855">IF(CL247="","","|n"&amp;FR$2&amp;"+"&amp;CL247&amp;FR$1)</f>
        <v/>
      </c>
      <c r="FS247" s="66" t="str">
        <f t="shared" ref="FS247" si="3856">IF(CM247="","","|n"&amp;FS$2&amp;"+"&amp;CM247&amp;FS$1)</f>
        <v/>
      </c>
    </row>
    <row r="248" spans="1:175" ht="16.5">
      <c r="A248" s="109"/>
      <c r="B248" s="9" t="s">
        <v>780</v>
      </c>
      <c r="C248" s="9" t="s">
        <v>781</v>
      </c>
      <c r="T248" s="115"/>
      <c r="U248" s="77"/>
      <c r="CN248" s="36" t="str">
        <f t="shared" si="3706"/>
        <v>InitUnitState('IC00',,,,,,,,,,)</v>
      </c>
      <c r="CO248" s="36" t="str">
        <f t="shared" si="3707"/>
        <v>InitUnitNormal('IC00',,,,,,,,,,)</v>
      </c>
      <c r="CP248" s="36" t="str">
        <f t="shared" si="3708"/>
        <v>InitUnitMagic('IC00',,,,,,,,,,)</v>
      </c>
      <c r="CQ248" s="36" t="str">
        <f t="shared" si="3709"/>
        <v>InitUnitAdd('IC00',,,,,,,,,,)</v>
      </c>
      <c r="CR248" s="36" t="str">
        <f t="shared" ref="CR248" si="3857"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InitEquipData('IC00',,"",,,,,'','','','','','',"")</v>
      </c>
      <c r="CU248" s="88" t="str">
        <f t="shared" si="3711"/>
        <v>|n</v>
      </c>
      <c r="CW248" s="33"/>
      <c r="CX248" s="33"/>
      <c r="CY248" s="33"/>
      <c r="CZ248" s="33"/>
      <c r="DA248" s="33"/>
      <c r="DB248" s="66" t="str">
        <f t="shared" si="3712"/>
        <v/>
      </c>
      <c r="DC248" s="66" t="str">
        <f t="shared" si="3713"/>
        <v/>
      </c>
      <c r="DD248" s="66" t="str">
        <f t="shared" si="3714"/>
        <v/>
      </c>
      <c r="DE248" s="66" t="str">
        <f t="shared" si="3715"/>
        <v/>
      </c>
      <c r="DF248" s="66" t="str">
        <f t="shared" si="3716"/>
        <v/>
      </c>
      <c r="DG248" s="66" t="str">
        <f t="shared" si="3717"/>
        <v/>
      </c>
      <c r="DH248" s="66" t="str">
        <f t="shared" si="3718"/>
        <v/>
      </c>
      <c r="DI248" s="66" t="str">
        <f t="shared" si="3719"/>
        <v/>
      </c>
      <c r="DJ248" s="66" t="str">
        <f t="shared" si="3720"/>
        <v/>
      </c>
      <c r="DK248" s="66" t="str">
        <f t="shared" si="3721"/>
        <v/>
      </c>
      <c r="DL248" s="66" t="str">
        <f t="shared" si="3722"/>
        <v/>
      </c>
      <c r="DM248" s="66" t="str">
        <f t="shared" si="3723"/>
        <v/>
      </c>
      <c r="DN248" s="66" t="str">
        <f t="shared" si="3724"/>
        <v/>
      </c>
      <c r="DO248" s="66" t="str">
        <f t="shared" si="3725"/>
        <v/>
      </c>
      <c r="DP248" s="66" t="str">
        <f t="shared" si="3726"/>
        <v/>
      </c>
      <c r="DQ248" s="66" t="str">
        <f t="shared" si="3727"/>
        <v/>
      </c>
      <c r="DR248" s="66" t="str">
        <f t="shared" si="3728"/>
        <v/>
      </c>
      <c r="DS248" s="66" t="str">
        <f t="shared" si="3729"/>
        <v/>
      </c>
      <c r="DT248" s="66" t="str">
        <f t="shared" si="3730"/>
        <v/>
      </c>
      <c r="DU248" s="66" t="str">
        <f t="shared" si="3731"/>
        <v/>
      </c>
      <c r="DV248" s="66" t="str">
        <f t="shared" si="3732"/>
        <v/>
      </c>
      <c r="DW248" s="66" t="str">
        <f t="shared" si="3733"/>
        <v/>
      </c>
      <c r="DX248" s="66" t="str">
        <f t="shared" si="3734"/>
        <v/>
      </c>
      <c r="DY248" s="66" t="str">
        <f t="shared" si="3735"/>
        <v/>
      </c>
      <c r="DZ248" s="66" t="str">
        <f t="shared" si="3736"/>
        <v/>
      </c>
      <c r="EA248" s="66" t="str">
        <f t="shared" si="3737"/>
        <v/>
      </c>
      <c r="EB248" s="66" t="str">
        <f t="shared" si="3738"/>
        <v/>
      </c>
      <c r="EC248" s="66" t="str">
        <f t="shared" si="3739"/>
        <v/>
      </c>
      <c r="ED248" s="66" t="str">
        <f t="shared" si="3740"/>
        <v/>
      </c>
      <c r="EE248" s="66" t="str">
        <f t="shared" si="3741"/>
        <v/>
      </c>
      <c r="EF248" s="66" t="str">
        <f t="shared" si="3742"/>
        <v/>
      </c>
      <c r="EG248" s="66" t="str">
        <f t="shared" si="3743"/>
        <v/>
      </c>
      <c r="EH248" s="66" t="str">
        <f t="shared" si="3744"/>
        <v/>
      </c>
      <c r="EI248" s="66" t="str">
        <f t="shared" si="3745"/>
        <v/>
      </c>
      <c r="EJ248" s="66" t="str">
        <f t="shared" si="3746"/>
        <v/>
      </c>
      <c r="EK248" s="66" t="str">
        <f t="shared" si="3747"/>
        <v/>
      </c>
      <c r="EL248" s="66" t="str">
        <f t="shared" si="3748"/>
        <v/>
      </c>
      <c r="EM248" s="66" t="str">
        <f t="shared" si="3749"/>
        <v/>
      </c>
      <c r="EN248" s="66" t="str">
        <f t="shared" si="3750"/>
        <v/>
      </c>
      <c r="EO248" s="66" t="str">
        <f t="shared" si="3751"/>
        <v/>
      </c>
      <c r="EP248" s="66" t="str">
        <f t="shared" si="3752"/>
        <v/>
      </c>
      <c r="EQ248" s="66" t="str">
        <f t="shared" si="3753"/>
        <v/>
      </c>
      <c r="ER248" s="66" t="str">
        <f t="shared" si="3754"/>
        <v/>
      </c>
      <c r="ES248" s="66" t="str">
        <f t="shared" si="3755"/>
        <v/>
      </c>
      <c r="ET248" s="66" t="str">
        <f t="shared" si="3756"/>
        <v/>
      </c>
      <c r="EU248" s="66" t="str">
        <f t="shared" si="3757"/>
        <v/>
      </c>
      <c r="EV248" s="66" t="str">
        <f t="shared" si="3758"/>
        <v/>
      </c>
      <c r="EW248" s="66" t="str">
        <f t="shared" si="3759"/>
        <v/>
      </c>
      <c r="EX248" s="66" t="str">
        <f t="shared" si="3760"/>
        <v/>
      </c>
      <c r="EY248" s="66" t="str">
        <f t="shared" si="3761"/>
        <v/>
      </c>
      <c r="EZ248" s="66" t="str">
        <f t="shared" si="3762"/>
        <v/>
      </c>
      <c r="FA248" s="66" t="str">
        <f t="shared" si="3763"/>
        <v/>
      </c>
      <c r="FB248" s="66" t="str">
        <f t="shared" si="3764"/>
        <v/>
      </c>
      <c r="FC248" s="66" t="str">
        <f t="shared" si="3765"/>
        <v/>
      </c>
      <c r="FD248" s="66" t="str">
        <f t="shared" si="3766"/>
        <v/>
      </c>
      <c r="FE248" s="66" t="str">
        <f t="shared" si="3767"/>
        <v/>
      </c>
      <c r="FF248" s="66" t="str">
        <f t="shared" si="3768"/>
        <v/>
      </c>
      <c r="FG248" s="66" t="str">
        <f t="shared" si="3769"/>
        <v/>
      </c>
      <c r="FH248" s="66" t="str">
        <f t="shared" si="3770"/>
        <v/>
      </c>
      <c r="FI248" s="66" t="str">
        <f t="shared" si="3771"/>
        <v/>
      </c>
      <c r="FJ248" s="66" t="str">
        <f t="shared" si="3772"/>
        <v/>
      </c>
      <c r="FK248" s="66" t="str">
        <f t="shared" si="3773"/>
        <v/>
      </c>
      <c r="FL248" s="66" t="str">
        <f t="shared" si="3774"/>
        <v/>
      </c>
      <c r="FM248" s="66" t="str">
        <f t="shared" si="3775"/>
        <v/>
      </c>
      <c r="FN248" s="66" t="str">
        <f t="shared" si="3776"/>
        <v/>
      </c>
      <c r="FO248" s="66" t="str">
        <f t="shared" si="3777"/>
        <v/>
      </c>
      <c r="FP248" s="66" t="str">
        <f t="shared" si="3778"/>
        <v/>
      </c>
      <c r="FQ248" s="66" t="str">
        <f t="shared" si="3779"/>
        <v/>
      </c>
      <c r="FR248" s="66" t="str">
        <f t="shared" si="3780"/>
        <v/>
      </c>
      <c r="FS248" s="66" t="str">
        <f t="shared" si="3781"/>
        <v/>
      </c>
    </row>
    <row r="249" spans="1:175" ht="16.5">
      <c r="A249" s="109"/>
      <c r="B249" s="9" t="s">
        <v>782</v>
      </c>
      <c r="C249" s="9" t="s">
        <v>783</v>
      </c>
      <c r="T249" s="115"/>
      <c r="U249" s="77"/>
      <c r="CN249" s="36" t="str">
        <f t="shared" ref="CN249" si="3858">"InitUnitState('"&amp;B249&amp;"',"&amp;V249&amp;","&amp;W249&amp;","&amp;X249&amp;","&amp;Y249&amp;","&amp;Z249&amp;","&amp;AA249&amp;","&amp;AB249&amp;","&amp;AC249&amp;","&amp;AD249&amp;","&amp;AE249&amp;")"</f>
        <v>InitUnitState('IC01',,,,,,,,,,)</v>
      </c>
      <c r="CO249" s="36" t="str">
        <f t="shared" ref="CO249" si="3859">"InitUnitNormal('"&amp;B249&amp;"',"&amp;AF249&amp;","&amp;AG249&amp;","&amp;AH249&amp;","&amp;AI249&amp;","&amp;AJ249&amp;","&amp;AK249&amp;","&amp;AL249&amp;","&amp;AM249&amp;","&amp;AN249&amp;","&amp;AO249&amp;")"</f>
        <v>InitUnitNormal('IC01',,,,,,,,,,)</v>
      </c>
      <c r="CP249" s="36" t="str">
        <f t="shared" ref="CP249" si="3860">"InitUnitMagic('"&amp;B249&amp;"',"&amp;AP249&amp;","&amp;AQ249&amp;","&amp;AR249&amp;","&amp;AS249&amp;","&amp;AT249&amp;","&amp;AU249&amp;","&amp;AV249&amp;","&amp;AW249&amp;","&amp;BI249&amp;","&amp;BJ249&amp;")"</f>
        <v>InitUnitMagic('IC01',,,,,,,,,,)</v>
      </c>
      <c r="CQ249" s="36" t="str">
        <f t="shared" ref="CQ249" si="3861">"InitUnitAdd('"&amp;B249&amp;"',"&amp;BK249&amp;","&amp;BL249&amp;","&amp;BM249&amp;","&amp;BN249&amp;","&amp;BO249&amp;","&amp;BP249&amp;","&amp;BQ249&amp;","&amp;BR249&amp;","&amp;BS249&amp;","&amp;BT249&amp;")"</f>
        <v>InitUnitAdd('IC01',,,,,,,,,,)</v>
      </c>
      <c r="CR249" s="36" t="str">
        <f t="shared" ref="CR249" si="3862"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InitEquipData('IC01',,"",,,,,'','','','','','',"")</v>
      </c>
      <c r="CU249" s="88" t="str">
        <f t="shared" si="3635"/>
        <v>|n</v>
      </c>
      <c r="CW249" s="33"/>
      <c r="CX249" s="33"/>
      <c r="CY249" s="33"/>
      <c r="CZ249" s="33"/>
      <c r="DA249" s="33"/>
      <c r="DB249" s="66" t="str">
        <f t="shared" si="3636"/>
        <v/>
      </c>
      <c r="DC249" s="66" t="str">
        <f t="shared" si="3637"/>
        <v/>
      </c>
      <c r="DD249" s="66" t="str">
        <f t="shared" si="3638"/>
        <v/>
      </c>
      <c r="DE249" s="66" t="str">
        <f t="shared" si="3639"/>
        <v/>
      </c>
      <c r="DF249" s="66" t="str">
        <f t="shared" si="3640"/>
        <v/>
      </c>
      <c r="DG249" s="66" t="str">
        <f t="shared" si="3641"/>
        <v/>
      </c>
      <c r="DH249" s="66" t="str">
        <f t="shared" si="3642"/>
        <v/>
      </c>
      <c r="DI249" s="66" t="str">
        <f t="shared" si="3643"/>
        <v/>
      </c>
      <c r="DJ249" s="66" t="str">
        <f t="shared" si="3644"/>
        <v/>
      </c>
      <c r="DK249" s="66" t="str">
        <f t="shared" si="3645"/>
        <v/>
      </c>
      <c r="DL249" s="66" t="str">
        <f t="shared" si="3646"/>
        <v/>
      </c>
      <c r="DM249" s="66" t="str">
        <f t="shared" si="3647"/>
        <v/>
      </c>
      <c r="DN249" s="66" t="str">
        <f t="shared" si="3648"/>
        <v/>
      </c>
      <c r="DO249" s="66" t="str">
        <f t="shared" si="3649"/>
        <v/>
      </c>
      <c r="DP249" s="66" t="str">
        <f t="shared" si="3650"/>
        <v/>
      </c>
      <c r="DQ249" s="66" t="str">
        <f t="shared" si="3651"/>
        <v/>
      </c>
      <c r="DR249" s="66" t="str">
        <f t="shared" si="3652"/>
        <v/>
      </c>
      <c r="DS249" s="66" t="str">
        <f t="shared" si="3653"/>
        <v/>
      </c>
      <c r="DT249" s="66" t="str">
        <f t="shared" si="3654"/>
        <v/>
      </c>
      <c r="DU249" s="66" t="str">
        <f t="shared" si="3655"/>
        <v/>
      </c>
      <c r="DV249" s="66" t="str">
        <f t="shared" si="3656"/>
        <v/>
      </c>
      <c r="DW249" s="66" t="str">
        <f t="shared" si="3657"/>
        <v/>
      </c>
      <c r="DX249" s="66" t="str">
        <f t="shared" si="3658"/>
        <v/>
      </c>
      <c r="DY249" s="66" t="str">
        <f t="shared" si="3659"/>
        <v/>
      </c>
      <c r="DZ249" s="66" t="str">
        <f t="shared" si="3660"/>
        <v/>
      </c>
      <c r="EA249" s="66" t="str">
        <f t="shared" si="3661"/>
        <v/>
      </c>
      <c r="EB249" s="66" t="str">
        <f t="shared" si="3662"/>
        <v/>
      </c>
      <c r="EC249" s="66" t="str">
        <f t="shared" si="3663"/>
        <v/>
      </c>
      <c r="ED249" s="66" t="str">
        <f t="shared" si="3664"/>
        <v/>
      </c>
      <c r="EE249" s="66" t="str">
        <f t="shared" si="3665"/>
        <v/>
      </c>
      <c r="EF249" s="66" t="str">
        <f t="shared" si="3666"/>
        <v/>
      </c>
      <c r="EG249" s="66" t="str">
        <f t="shared" si="3667"/>
        <v/>
      </c>
      <c r="EH249" s="66" t="str">
        <f t="shared" si="3668"/>
        <v/>
      </c>
      <c r="EI249" s="66" t="str">
        <f t="shared" si="3669"/>
        <v/>
      </c>
      <c r="EJ249" s="66" t="str">
        <f t="shared" si="3670"/>
        <v/>
      </c>
      <c r="EK249" s="66" t="str">
        <f t="shared" si="3671"/>
        <v/>
      </c>
      <c r="EL249" s="66" t="str">
        <f t="shared" si="3672"/>
        <v/>
      </c>
      <c r="EM249" s="66" t="str">
        <f t="shared" si="3673"/>
        <v/>
      </c>
      <c r="EN249" s="66" t="str">
        <f t="shared" si="3674"/>
        <v/>
      </c>
      <c r="EO249" s="66" t="str">
        <f t="shared" si="3675"/>
        <v/>
      </c>
      <c r="EP249" s="66" t="str">
        <f t="shared" si="3676"/>
        <v/>
      </c>
      <c r="EQ249" s="66" t="str">
        <f t="shared" si="3677"/>
        <v/>
      </c>
      <c r="ER249" s="66" t="str">
        <f t="shared" si="3678"/>
        <v/>
      </c>
      <c r="ES249" s="66" t="str">
        <f t="shared" si="3679"/>
        <v/>
      </c>
      <c r="ET249" s="66" t="str">
        <f t="shared" si="3680"/>
        <v/>
      </c>
      <c r="EU249" s="66" t="str">
        <f t="shared" si="3681"/>
        <v/>
      </c>
      <c r="EV249" s="66" t="str">
        <f t="shared" si="3682"/>
        <v/>
      </c>
      <c r="EW249" s="66" t="str">
        <f t="shared" si="3683"/>
        <v/>
      </c>
      <c r="EX249" s="66" t="str">
        <f t="shared" si="3684"/>
        <v/>
      </c>
      <c r="EY249" s="66" t="str">
        <f t="shared" si="3685"/>
        <v/>
      </c>
      <c r="EZ249" s="66" t="str">
        <f t="shared" si="3686"/>
        <v/>
      </c>
      <c r="FA249" s="66" t="str">
        <f t="shared" si="3687"/>
        <v/>
      </c>
      <c r="FB249" s="66" t="str">
        <f t="shared" si="3688"/>
        <v/>
      </c>
      <c r="FC249" s="66" t="str">
        <f t="shared" si="3689"/>
        <v/>
      </c>
      <c r="FD249" s="66" t="str">
        <f t="shared" si="3690"/>
        <v/>
      </c>
      <c r="FE249" s="66" t="str">
        <f t="shared" si="3691"/>
        <v/>
      </c>
      <c r="FF249" s="66" t="str">
        <f t="shared" si="3692"/>
        <v/>
      </c>
      <c r="FG249" s="66" t="str">
        <f t="shared" si="3693"/>
        <v/>
      </c>
      <c r="FH249" s="66" t="str">
        <f t="shared" si="3694"/>
        <v/>
      </c>
      <c r="FI249" s="66" t="str">
        <f t="shared" si="3695"/>
        <v/>
      </c>
      <c r="FJ249" s="66" t="str">
        <f t="shared" si="3696"/>
        <v/>
      </c>
      <c r="FK249" s="66" t="str">
        <f t="shared" si="3697"/>
        <v/>
      </c>
      <c r="FL249" s="66" t="str">
        <f t="shared" si="3698"/>
        <v/>
      </c>
      <c r="FM249" s="66" t="str">
        <f t="shared" si="3699"/>
        <v/>
      </c>
      <c r="FN249" s="66" t="str">
        <f t="shared" si="3700"/>
        <v/>
      </c>
      <c r="FO249" s="66" t="str">
        <f t="shared" si="3701"/>
        <v/>
      </c>
      <c r="FP249" s="66" t="str">
        <f t="shared" si="3702"/>
        <v/>
      </c>
      <c r="FQ249" s="66" t="str">
        <f t="shared" si="3703"/>
        <v/>
      </c>
      <c r="FR249" s="66" t="str">
        <f t="shared" si="3704"/>
        <v/>
      </c>
      <c r="FS249" s="66" t="str">
        <f t="shared" si="3705"/>
        <v/>
      </c>
    </row>
    <row r="250" spans="1:175" ht="16.5">
      <c r="A250" s="27"/>
      <c r="B250" s="9" t="s">
        <v>784</v>
      </c>
      <c r="C250" s="9" t="s">
        <v>114</v>
      </c>
      <c r="T250" s="119"/>
      <c r="U250" s="77"/>
      <c r="CN250" s="36" t="str">
        <f t="shared" ref="CN250:CN258" si="3863">"InitUnitState('"&amp;B250&amp;"',"&amp;V250&amp;","&amp;W250&amp;","&amp;X250&amp;","&amp;Y250&amp;","&amp;Z250&amp;","&amp;AA250&amp;","&amp;AB250&amp;","&amp;AC250&amp;","&amp;AD250&amp;","&amp;AE250&amp;")"</f>
        <v>InitUnitState('IC02',,,,,,,,,,)</v>
      </c>
      <c r="CO250" s="36" t="str">
        <f t="shared" ref="CO250:CO258" si="3864">"InitUnitNormal('"&amp;B250&amp;"',"&amp;AF250&amp;","&amp;AG250&amp;","&amp;AH250&amp;","&amp;AI250&amp;","&amp;AJ250&amp;","&amp;AK250&amp;","&amp;AL250&amp;","&amp;AM250&amp;","&amp;AN250&amp;","&amp;AO250&amp;")"</f>
        <v>InitUnitNormal('IC02',,,,,,,,,,)</v>
      </c>
      <c r="CP250" s="36" t="str">
        <f t="shared" ref="CP250:CP258" si="3865">"InitUnitMagic('"&amp;B250&amp;"',"&amp;AP250&amp;","&amp;AQ250&amp;","&amp;AR250&amp;","&amp;AS250&amp;","&amp;AT250&amp;","&amp;AU250&amp;","&amp;AV250&amp;","&amp;AW250&amp;","&amp;BI250&amp;","&amp;BJ250&amp;")"</f>
        <v>InitUnitMagic('IC02',,,,,,,,,,)</v>
      </c>
      <c r="CQ250" s="36" t="str">
        <f t="shared" ref="CQ250:CQ258" si="3866">"InitUnitAdd('"&amp;B250&amp;"',"&amp;BK250&amp;","&amp;BL250&amp;","&amp;BM250&amp;","&amp;BN250&amp;","&amp;BO250&amp;","&amp;BP250&amp;","&amp;BQ250&amp;","&amp;BR250&amp;","&amp;BS250&amp;","&amp;BT250&amp;")"</f>
        <v>InitUnitAdd('IC02',,,,,,,,,,)</v>
      </c>
      <c r="CR250" s="36" t="str">
        <f t="shared" si="3563"/>
        <v>InitEquipData('IC02',,"",,,,,'','','','','','',"")</v>
      </c>
      <c r="CU250" s="88" t="str">
        <f t="shared" si="3635"/>
        <v>|n</v>
      </c>
      <c r="CW250" s="33"/>
      <c r="CX250" s="33"/>
      <c r="CY250" s="33"/>
      <c r="CZ250" s="33"/>
      <c r="DA250" s="33"/>
      <c r="DB250" s="66" t="str">
        <f t="shared" si="3636"/>
        <v/>
      </c>
      <c r="DC250" s="66" t="str">
        <f t="shared" si="3637"/>
        <v/>
      </c>
      <c r="DD250" s="66" t="str">
        <f t="shared" si="3638"/>
        <v/>
      </c>
      <c r="DE250" s="66" t="str">
        <f t="shared" si="3639"/>
        <v/>
      </c>
      <c r="DF250" s="66" t="str">
        <f t="shared" si="3640"/>
        <v/>
      </c>
      <c r="DG250" s="66" t="str">
        <f t="shared" si="3641"/>
        <v/>
      </c>
      <c r="DH250" s="66" t="str">
        <f t="shared" si="3642"/>
        <v/>
      </c>
      <c r="DI250" s="66" t="str">
        <f t="shared" si="3643"/>
        <v/>
      </c>
      <c r="DJ250" s="66" t="str">
        <f t="shared" si="3644"/>
        <v/>
      </c>
      <c r="DK250" s="66" t="str">
        <f t="shared" si="3645"/>
        <v/>
      </c>
      <c r="DL250" s="66" t="str">
        <f t="shared" si="3646"/>
        <v/>
      </c>
      <c r="DM250" s="66" t="str">
        <f t="shared" si="3647"/>
        <v/>
      </c>
      <c r="DN250" s="66" t="str">
        <f t="shared" si="3648"/>
        <v/>
      </c>
      <c r="DO250" s="66" t="str">
        <f t="shared" si="3649"/>
        <v/>
      </c>
      <c r="DP250" s="66" t="str">
        <f t="shared" si="3650"/>
        <v/>
      </c>
      <c r="DQ250" s="66" t="str">
        <f t="shared" si="3651"/>
        <v/>
      </c>
      <c r="DR250" s="66" t="str">
        <f t="shared" si="3652"/>
        <v/>
      </c>
      <c r="DS250" s="66" t="str">
        <f t="shared" si="3653"/>
        <v/>
      </c>
      <c r="DT250" s="66" t="str">
        <f t="shared" si="3654"/>
        <v/>
      </c>
      <c r="DU250" s="66" t="str">
        <f t="shared" si="3655"/>
        <v/>
      </c>
      <c r="DV250" s="66" t="str">
        <f t="shared" si="3656"/>
        <v/>
      </c>
      <c r="DW250" s="66" t="str">
        <f t="shared" si="3657"/>
        <v/>
      </c>
      <c r="DX250" s="66" t="str">
        <f t="shared" si="3658"/>
        <v/>
      </c>
      <c r="DY250" s="66" t="str">
        <f t="shared" si="3659"/>
        <v/>
      </c>
      <c r="DZ250" s="66" t="str">
        <f t="shared" si="3660"/>
        <v/>
      </c>
      <c r="EA250" s="66" t="str">
        <f t="shared" si="3661"/>
        <v/>
      </c>
      <c r="EB250" s="66" t="str">
        <f t="shared" si="3662"/>
        <v/>
      </c>
      <c r="EC250" s="66" t="str">
        <f t="shared" si="3663"/>
        <v/>
      </c>
      <c r="ED250" s="66" t="str">
        <f t="shared" si="3664"/>
        <v/>
      </c>
      <c r="EE250" s="66" t="str">
        <f t="shared" si="3665"/>
        <v/>
      </c>
      <c r="EF250" s="66" t="str">
        <f t="shared" si="3666"/>
        <v/>
      </c>
      <c r="EG250" s="66" t="str">
        <f t="shared" si="3667"/>
        <v/>
      </c>
      <c r="EH250" s="66" t="str">
        <f t="shared" si="3668"/>
        <v/>
      </c>
      <c r="EI250" s="66" t="str">
        <f t="shared" si="3669"/>
        <v/>
      </c>
      <c r="EJ250" s="66" t="str">
        <f t="shared" si="3670"/>
        <v/>
      </c>
      <c r="EK250" s="66" t="str">
        <f t="shared" si="3671"/>
        <v/>
      </c>
      <c r="EL250" s="66" t="str">
        <f t="shared" si="3672"/>
        <v/>
      </c>
      <c r="EM250" s="66" t="str">
        <f t="shared" si="3673"/>
        <v/>
      </c>
      <c r="EN250" s="66" t="str">
        <f t="shared" si="3674"/>
        <v/>
      </c>
      <c r="EO250" s="66" t="str">
        <f t="shared" si="3675"/>
        <v/>
      </c>
      <c r="EP250" s="66" t="str">
        <f t="shared" si="3676"/>
        <v/>
      </c>
      <c r="EQ250" s="66" t="str">
        <f t="shared" si="3677"/>
        <v/>
      </c>
      <c r="ER250" s="66" t="str">
        <f t="shared" si="3678"/>
        <v/>
      </c>
      <c r="ES250" s="66" t="str">
        <f t="shared" si="3679"/>
        <v/>
      </c>
      <c r="ET250" s="66" t="str">
        <f t="shared" si="3680"/>
        <v/>
      </c>
      <c r="EU250" s="66" t="str">
        <f t="shared" si="3681"/>
        <v/>
      </c>
      <c r="EV250" s="66" t="str">
        <f t="shared" si="3682"/>
        <v/>
      </c>
      <c r="EW250" s="66" t="str">
        <f t="shared" si="3683"/>
        <v/>
      </c>
      <c r="EX250" s="66" t="str">
        <f t="shared" si="3684"/>
        <v/>
      </c>
      <c r="EY250" s="66" t="str">
        <f t="shared" si="3685"/>
        <v/>
      </c>
      <c r="EZ250" s="66" t="str">
        <f t="shared" si="3686"/>
        <v/>
      </c>
      <c r="FA250" s="66" t="str">
        <f t="shared" si="3687"/>
        <v/>
      </c>
      <c r="FB250" s="66" t="str">
        <f t="shared" si="3688"/>
        <v/>
      </c>
      <c r="FC250" s="66" t="str">
        <f t="shared" si="3689"/>
        <v/>
      </c>
      <c r="FD250" s="66" t="str">
        <f t="shared" si="3690"/>
        <v/>
      </c>
      <c r="FE250" s="66" t="str">
        <f t="shared" si="3691"/>
        <v/>
      </c>
      <c r="FF250" s="66" t="str">
        <f t="shared" si="3692"/>
        <v/>
      </c>
      <c r="FG250" s="66" t="str">
        <f t="shared" si="3693"/>
        <v/>
      </c>
      <c r="FH250" s="66" t="str">
        <f t="shared" si="3694"/>
        <v/>
      </c>
      <c r="FI250" s="66" t="str">
        <f t="shared" si="3695"/>
        <v/>
      </c>
      <c r="FJ250" s="66" t="str">
        <f t="shared" si="3696"/>
        <v/>
      </c>
      <c r="FK250" s="66" t="str">
        <f t="shared" si="3697"/>
        <v/>
      </c>
      <c r="FL250" s="66" t="str">
        <f t="shared" si="3698"/>
        <v/>
      </c>
      <c r="FM250" s="66" t="str">
        <f t="shared" si="3699"/>
        <v/>
      </c>
      <c r="FN250" s="66" t="str">
        <f t="shared" si="3700"/>
        <v/>
      </c>
      <c r="FO250" s="66" t="str">
        <f t="shared" si="3701"/>
        <v/>
      </c>
      <c r="FP250" s="66" t="str">
        <f t="shared" si="3702"/>
        <v/>
      </c>
      <c r="FQ250" s="66" t="str">
        <f t="shared" si="3703"/>
        <v/>
      </c>
      <c r="FR250" s="66" t="str">
        <f t="shared" si="3704"/>
        <v/>
      </c>
      <c r="FS250" s="66" t="str">
        <f t="shared" si="3705"/>
        <v/>
      </c>
    </row>
    <row r="251" spans="1:175" s="33" customFormat="1" ht="16.5">
      <c r="A251" s="111"/>
      <c r="B251" s="9" t="s">
        <v>785</v>
      </c>
      <c r="C251" s="9" t="s">
        <v>786</v>
      </c>
      <c r="D251" s="67"/>
      <c r="E251" s="68"/>
      <c r="F251" s="112"/>
      <c r="G251" s="113"/>
      <c r="H251" s="113"/>
      <c r="I251" s="113"/>
      <c r="J251" s="113"/>
      <c r="K251" s="113"/>
      <c r="L251" s="113"/>
      <c r="M251" s="113"/>
      <c r="N251" s="113"/>
      <c r="O251" s="113"/>
      <c r="P251" s="73"/>
      <c r="Q251" s="73"/>
      <c r="R251" s="73"/>
      <c r="S251" s="73"/>
      <c r="T251" s="80"/>
      <c r="U251" s="77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84"/>
      <c r="AS251" s="84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86" t="str">
        <f t="shared" si="3863"/>
        <v>InitUnitState('IC03',,,,,,,,,,)</v>
      </c>
      <c r="CO251" s="86" t="str">
        <f t="shared" si="3864"/>
        <v>InitUnitNormal('IC03',,,,,,,,,,)</v>
      </c>
      <c r="CP251" s="86" t="str">
        <f t="shared" si="3865"/>
        <v>InitUnitMagic('IC03',,,,,,,,,,)</v>
      </c>
      <c r="CQ251" s="86" t="str">
        <f t="shared" si="3866"/>
        <v>InitUnitAdd('IC03',,,,,,,,,,)</v>
      </c>
      <c r="CR251" s="86" t="str">
        <f t="shared" si="3563"/>
        <v>InitEquipData('IC03',,"",,,,,'','','','','','',"")</v>
      </c>
      <c r="CS251" s="86"/>
      <c r="CT251" s="86"/>
      <c r="CU251" s="88" t="str">
        <f t="shared" si="3635"/>
        <v>|n</v>
      </c>
      <c r="CV251" s="19"/>
      <c r="DB251" s="66" t="str">
        <f t="shared" si="3636"/>
        <v/>
      </c>
      <c r="DC251" s="66" t="str">
        <f t="shared" si="3637"/>
        <v/>
      </c>
      <c r="DD251" s="66" t="str">
        <f t="shared" si="3638"/>
        <v/>
      </c>
      <c r="DE251" s="66" t="str">
        <f t="shared" si="3639"/>
        <v/>
      </c>
      <c r="DF251" s="66" t="str">
        <f t="shared" si="3640"/>
        <v/>
      </c>
      <c r="DG251" s="66" t="str">
        <f t="shared" si="3641"/>
        <v/>
      </c>
      <c r="DH251" s="66" t="str">
        <f t="shared" si="3642"/>
        <v/>
      </c>
      <c r="DI251" s="66" t="str">
        <f t="shared" si="3643"/>
        <v/>
      </c>
      <c r="DJ251" s="66" t="str">
        <f t="shared" si="3644"/>
        <v/>
      </c>
      <c r="DK251" s="66" t="str">
        <f t="shared" si="3645"/>
        <v/>
      </c>
      <c r="DL251" s="66" t="str">
        <f t="shared" si="3646"/>
        <v/>
      </c>
      <c r="DM251" s="66" t="str">
        <f t="shared" si="3647"/>
        <v/>
      </c>
      <c r="DN251" s="66" t="str">
        <f t="shared" si="3648"/>
        <v/>
      </c>
      <c r="DO251" s="66" t="str">
        <f t="shared" si="3649"/>
        <v/>
      </c>
      <c r="DP251" s="66" t="str">
        <f t="shared" si="3650"/>
        <v/>
      </c>
      <c r="DQ251" s="66" t="str">
        <f t="shared" si="3651"/>
        <v/>
      </c>
      <c r="DR251" s="66" t="str">
        <f t="shared" si="3652"/>
        <v/>
      </c>
      <c r="DS251" s="66" t="str">
        <f t="shared" si="3653"/>
        <v/>
      </c>
      <c r="DT251" s="66" t="str">
        <f t="shared" si="3654"/>
        <v/>
      </c>
      <c r="DU251" s="66" t="str">
        <f t="shared" si="3655"/>
        <v/>
      </c>
      <c r="DV251" s="66" t="str">
        <f t="shared" si="3656"/>
        <v/>
      </c>
      <c r="DW251" s="66" t="str">
        <f t="shared" si="3657"/>
        <v/>
      </c>
      <c r="DX251" s="66" t="str">
        <f t="shared" si="3658"/>
        <v/>
      </c>
      <c r="DY251" s="66" t="str">
        <f t="shared" si="3659"/>
        <v/>
      </c>
      <c r="DZ251" s="66" t="str">
        <f t="shared" si="3660"/>
        <v/>
      </c>
      <c r="EA251" s="66" t="str">
        <f t="shared" si="3661"/>
        <v/>
      </c>
      <c r="EB251" s="66" t="str">
        <f t="shared" si="3662"/>
        <v/>
      </c>
      <c r="EC251" s="66" t="str">
        <f t="shared" si="3663"/>
        <v/>
      </c>
      <c r="ED251" s="66" t="str">
        <f t="shared" si="3664"/>
        <v/>
      </c>
      <c r="EE251" s="66" t="str">
        <f t="shared" si="3665"/>
        <v/>
      </c>
      <c r="EF251" s="66" t="str">
        <f t="shared" si="3666"/>
        <v/>
      </c>
      <c r="EG251" s="66" t="str">
        <f t="shared" si="3667"/>
        <v/>
      </c>
      <c r="EH251" s="66" t="str">
        <f t="shared" si="3668"/>
        <v/>
      </c>
      <c r="EI251" s="66" t="str">
        <f t="shared" si="3669"/>
        <v/>
      </c>
      <c r="EJ251" s="66" t="str">
        <f t="shared" si="3670"/>
        <v/>
      </c>
      <c r="EK251" s="66" t="str">
        <f t="shared" si="3671"/>
        <v/>
      </c>
      <c r="EL251" s="66" t="str">
        <f t="shared" si="3672"/>
        <v/>
      </c>
      <c r="EM251" s="66" t="str">
        <f t="shared" si="3673"/>
        <v/>
      </c>
      <c r="EN251" s="66" t="str">
        <f t="shared" si="3674"/>
        <v/>
      </c>
      <c r="EO251" s="66" t="str">
        <f t="shared" si="3675"/>
        <v/>
      </c>
      <c r="EP251" s="66" t="str">
        <f t="shared" si="3676"/>
        <v/>
      </c>
      <c r="EQ251" s="66" t="str">
        <f t="shared" si="3677"/>
        <v/>
      </c>
      <c r="ER251" s="66" t="str">
        <f t="shared" si="3678"/>
        <v/>
      </c>
      <c r="ES251" s="66" t="str">
        <f t="shared" si="3679"/>
        <v/>
      </c>
      <c r="ET251" s="66" t="str">
        <f t="shared" si="3680"/>
        <v/>
      </c>
      <c r="EU251" s="66" t="str">
        <f t="shared" si="3681"/>
        <v/>
      </c>
      <c r="EV251" s="66" t="str">
        <f t="shared" si="3682"/>
        <v/>
      </c>
      <c r="EW251" s="66" t="str">
        <f t="shared" si="3683"/>
        <v/>
      </c>
      <c r="EX251" s="66" t="str">
        <f t="shared" si="3684"/>
        <v/>
      </c>
      <c r="EY251" s="66" t="str">
        <f t="shared" si="3685"/>
        <v/>
      </c>
      <c r="EZ251" s="66" t="str">
        <f t="shared" si="3686"/>
        <v/>
      </c>
      <c r="FA251" s="66" t="str">
        <f t="shared" si="3687"/>
        <v/>
      </c>
      <c r="FB251" s="66" t="str">
        <f t="shared" si="3688"/>
        <v/>
      </c>
      <c r="FC251" s="66" t="str">
        <f t="shared" si="3689"/>
        <v/>
      </c>
      <c r="FD251" s="66" t="str">
        <f t="shared" si="3690"/>
        <v/>
      </c>
      <c r="FE251" s="66" t="str">
        <f t="shared" si="3691"/>
        <v/>
      </c>
      <c r="FF251" s="66" t="str">
        <f t="shared" si="3692"/>
        <v/>
      </c>
      <c r="FG251" s="66" t="str">
        <f t="shared" si="3693"/>
        <v/>
      </c>
      <c r="FH251" s="66" t="str">
        <f t="shared" si="3694"/>
        <v/>
      </c>
      <c r="FI251" s="66" t="str">
        <f t="shared" si="3695"/>
        <v/>
      </c>
      <c r="FJ251" s="66" t="str">
        <f t="shared" si="3696"/>
        <v/>
      </c>
      <c r="FK251" s="66" t="str">
        <f t="shared" si="3697"/>
        <v/>
      </c>
      <c r="FL251" s="66" t="str">
        <f t="shared" si="3698"/>
        <v/>
      </c>
      <c r="FM251" s="66" t="str">
        <f t="shared" si="3699"/>
        <v/>
      </c>
      <c r="FN251" s="66" t="str">
        <f t="shared" si="3700"/>
        <v/>
      </c>
      <c r="FO251" s="66" t="str">
        <f t="shared" si="3701"/>
        <v/>
      </c>
      <c r="FP251" s="66" t="str">
        <f t="shared" si="3702"/>
        <v/>
      </c>
      <c r="FQ251" s="66" t="str">
        <f t="shared" si="3703"/>
        <v/>
      </c>
      <c r="FR251" s="66" t="str">
        <f t="shared" si="3704"/>
        <v/>
      </c>
      <c r="FS251" s="66" t="str">
        <f t="shared" si="3705"/>
        <v/>
      </c>
    </row>
    <row r="252" spans="1:175" s="33" customFormat="1" ht="16.5">
      <c r="A252" s="111"/>
      <c r="B252" s="9" t="s">
        <v>787</v>
      </c>
      <c r="C252" s="9" t="s">
        <v>788</v>
      </c>
      <c r="D252" s="67"/>
      <c r="E252" s="68"/>
      <c r="F252" s="112"/>
      <c r="G252" s="113"/>
      <c r="H252" s="113"/>
      <c r="I252" s="113"/>
      <c r="J252" s="113"/>
      <c r="K252" s="113"/>
      <c r="L252" s="113"/>
      <c r="M252" s="113"/>
      <c r="N252" s="113"/>
      <c r="O252" s="113"/>
      <c r="P252" s="73"/>
      <c r="Q252" s="73"/>
      <c r="R252" s="73"/>
      <c r="S252" s="73"/>
      <c r="T252" s="80"/>
      <c r="U252" s="77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84"/>
      <c r="AS252" s="84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  <c r="BW252" s="78"/>
      <c r="BX252" s="78"/>
      <c r="BY252" s="78"/>
      <c r="BZ252" s="78"/>
      <c r="CA252" s="78"/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86" t="str">
        <f t="shared" si="3863"/>
        <v>InitUnitState('IC04',,,,,,,,,,)</v>
      </c>
      <c r="CO252" s="86" t="str">
        <f t="shared" si="3864"/>
        <v>InitUnitNormal('IC04',,,,,,,,,,)</v>
      </c>
      <c r="CP252" s="86" t="str">
        <f t="shared" si="3865"/>
        <v>InitUnitMagic('IC04',,,,,,,,,,)</v>
      </c>
      <c r="CQ252" s="86" t="str">
        <f t="shared" si="3866"/>
        <v>InitUnitAdd('IC04',,,,,,,,,,)</v>
      </c>
      <c r="CR252" s="86" t="str">
        <f t="shared" si="3563"/>
        <v>InitEquipData('IC04',,"",,,,,'','','','','','',"")</v>
      </c>
      <c r="CS252" s="86"/>
      <c r="CT252" s="86"/>
      <c r="CU252" s="88" t="str">
        <f t="shared" si="3635"/>
        <v>|n</v>
      </c>
      <c r="CV252" s="19"/>
      <c r="DB252" s="66" t="str">
        <f t="shared" si="3636"/>
        <v/>
      </c>
      <c r="DC252" s="66" t="str">
        <f t="shared" si="3637"/>
        <v/>
      </c>
      <c r="DD252" s="66" t="str">
        <f t="shared" si="3638"/>
        <v/>
      </c>
      <c r="DE252" s="66" t="str">
        <f t="shared" si="3639"/>
        <v/>
      </c>
      <c r="DF252" s="66" t="str">
        <f t="shared" si="3640"/>
        <v/>
      </c>
      <c r="DG252" s="66" t="str">
        <f t="shared" si="3641"/>
        <v/>
      </c>
      <c r="DH252" s="66" t="str">
        <f t="shared" si="3642"/>
        <v/>
      </c>
      <c r="DI252" s="66" t="str">
        <f t="shared" si="3643"/>
        <v/>
      </c>
      <c r="DJ252" s="66" t="str">
        <f t="shared" si="3644"/>
        <v/>
      </c>
      <c r="DK252" s="66" t="str">
        <f t="shared" si="3645"/>
        <v/>
      </c>
      <c r="DL252" s="66" t="str">
        <f t="shared" si="3646"/>
        <v/>
      </c>
      <c r="DM252" s="66" t="str">
        <f t="shared" si="3647"/>
        <v/>
      </c>
      <c r="DN252" s="66" t="str">
        <f t="shared" si="3648"/>
        <v/>
      </c>
      <c r="DO252" s="66" t="str">
        <f t="shared" si="3649"/>
        <v/>
      </c>
      <c r="DP252" s="66" t="str">
        <f t="shared" si="3650"/>
        <v/>
      </c>
      <c r="DQ252" s="66" t="str">
        <f t="shared" si="3651"/>
        <v/>
      </c>
      <c r="DR252" s="66" t="str">
        <f t="shared" si="3652"/>
        <v/>
      </c>
      <c r="DS252" s="66" t="str">
        <f t="shared" si="3653"/>
        <v/>
      </c>
      <c r="DT252" s="66" t="str">
        <f t="shared" si="3654"/>
        <v/>
      </c>
      <c r="DU252" s="66" t="str">
        <f t="shared" si="3655"/>
        <v/>
      </c>
      <c r="DV252" s="66" t="str">
        <f t="shared" si="3656"/>
        <v/>
      </c>
      <c r="DW252" s="66" t="str">
        <f t="shared" si="3657"/>
        <v/>
      </c>
      <c r="DX252" s="66" t="str">
        <f t="shared" si="3658"/>
        <v/>
      </c>
      <c r="DY252" s="66" t="str">
        <f t="shared" si="3659"/>
        <v/>
      </c>
      <c r="DZ252" s="66" t="str">
        <f t="shared" si="3660"/>
        <v/>
      </c>
      <c r="EA252" s="66" t="str">
        <f t="shared" si="3661"/>
        <v/>
      </c>
      <c r="EB252" s="66" t="str">
        <f t="shared" si="3662"/>
        <v/>
      </c>
      <c r="EC252" s="66" t="str">
        <f t="shared" si="3663"/>
        <v/>
      </c>
      <c r="ED252" s="66" t="str">
        <f t="shared" si="3664"/>
        <v/>
      </c>
      <c r="EE252" s="66" t="str">
        <f t="shared" si="3665"/>
        <v/>
      </c>
      <c r="EF252" s="66" t="str">
        <f t="shared" si="3666"/>
        <v/>
      </c>
      <c r="EG252" s="66" t="str">
        <f t="shared" si="3667"/>
        <v/>
      </c>
      <c r="EH252" s="66" t="str">
        <f t="shared" si="3668"/>
        <v/>
      </c>
      <c r="EI252" s="66" t="str">
        <f t="shared" si="3669"/>
        <v/>
      </c>
      <c r="EJ252" s="66" t="str">
        <f t="shared" si="3670"/>
        <v/>
      </c>
      <c r="EK252" s="66" t="str">
        <f t="shared" si="3671"/>
        <v/>
      </c>
      <c r="EL252" s="66" t="str">
        <f t="shared" si="3672"/>
        <v/>
      </c>
      <c r="EM252" s="66" t="str">
        <f t="shared" si="3673"/>
        <v/>
      </c>
      <c r="EN252" s="66" t="str">
        <f t="shared" si="3674"/>
        <v/>
      </c>
      <c r="EO252" s="66" t="str">
        <f t="shared" si="3675"/>
        <v/>
      </c>
      <c r="EP252" s="66" t="str">
        <f t="shared" si="3676"/>
        <v/>
      </c>
      <c r="EQ252" s="66" t="str">
        <f t="shared" si="3677"/>
        <v/>
      </c>
      <c r="ER252" s="66" t="str">
        <f t="shared" si="3678"/>
        <v/>
      </c>
      <c r="ES252" s="66" t="str">
        <f t="shared" si="3679"/>
        <v/>
      </c>
      <c r="ET252" s="66" t="str">
        <f t="shared" si="3680"/>
        <v/>
      </c>
      <c r="EU252" s="66" t="str">
        <f t="shared" si="3681"/>
        <v/>
      </c>
      <c r="EV252" s="66" t="str">
        <f t="shared" si="3682"/>
        <v/>
      </c>
      <c r="EW252" s="66" t="str">
        <f t="shared" si="3683"/>
        <v/>
      </c>
      <c r="EX252" s="66" t="str">
        <f t="shared" si="3684"/>
        <v/>
      </c>
      <c r="EY252" s="66" t="str">
        <f t="shared" si="3685"/>
        <v/>
      </c>
      <c r="EZ252" s="66" t="str">
        <f t="shared" si="3686"/>
        <v/>
      </c>
      <c r="FA252" s="66" t="str">
        <f t="shared" si="3687"/>
        <v/>
      </c>
      <c r="FB252" s="66" t="str">
        <f t="shared" si="3688"/>
        <v/>
      </c>
      <c r="FC252" s="66" t="str">
        <f t="shared" si="3689"/>
        <v/>
      </c>
      <c r="FD252" s="66" t="str">
        <f t="shared" si="3690"/>
        <v/>
      </c>
      <c r="FE252" s="66" t="str">
        <f t="shared" si="3691"/>
        <v/>
      </c>
      <c r="FF252" s="66" t="str">
        <f t="shared" si="3692"/>
        <v/>
      </c>
      <c r="FG252" s="66" t="str">
        <f t="shared" si="3693"/>
        <v/>
      </c>
      <c r="FH252" s="66" t="str">
        <f t="shared" si="3694"/>
        <v/>
      </c>
      <c r="FI252" s="66" t="str">
        <f t="shared" si="3695"/>
        <v/>
      </c>
      <c r="FJ252" s="66" t="str">
        <f t="shared" si="3696"/>
        <v/>
      </c>
      <c r="FK252" s="66" t="str">
        <f t="shared" si="3697"/>
        <v/>
      </c>
      <c r="FL252" s="66" t="str">
        <f t="shared" si="3698"/>
        <v/>
      </c>
      <c r="FM252" s="66" t="str">
        <f t="shared" si="3699"/>
        <v/>
      </c>
      <c r="FN252" s="66" t="str">
        <f t="shared" si="3700"/>
        <v/>
      </c>
      <c r="FO252" s="66" t="str">
        <f t="shared" si="3701"/>
        <v/>
      </c>
      <c r="FP252" s="66" t="str">
        <f t="shared" si="3702"/>
        <v/>
      </c>
      <c r="FQ252" s="66" t="str">
        <f t="shared" si="3703"/>
        <v/>
      </c>
      <c r="FR252" s="66" t="str">
        <f t="shared" si="3704"/>
        <v/>
      </c>
      <c r="FS252" s="66" t="str">
        <f t="shared" si="3705"/>
        <v/>
      </c>
    </row>
    <row r="253" spans="1:175" s="33" customFormat="1" ht="16.5">
      <c r="A253" s="111"/>
      <c r="B253" s="9" t="s">
        <v>789</v>
      </c>
      <c r="C253" s="9" t="s">
        <v>790</v>
      </c>
      <c r="D253" s="67"/>
      <c r="E253" s="68"/>
      <c r="F253" s="112"/>
      <c r="G253" s="113"/>
      <c r="H253" s="113"/>
      <c r="I253" s="113"/>
      <c r="J253" s="113"/>
      <c r="K253" s="113"/>
      <c r="L253" s="113"/>
      <c r="M253" s="113"/>
      <c r="N253" s="113"/>
      <c r="O253" s="113"/>
      <c r="P253" s="73"/>
      <c r="Q253" s="73"/>
      <c r="R253" s="73"/>
      <c r="S253" s="73"/>
      <c r="T253" s="80"/>
      <c r="U253" s="77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84"/>
      <c r="AS253" s="84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  <c r="BW253" s="78"/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86" t="str">
        <f t="shared" si="3863"/>
        <v>InitUnitState('IC05',,,,,,,,,,)</v>
      </c>
      <c r="CO253" s="86" t="str">
        <f t="shared" si="3864"/>
        <v>InitUnitNormal('IC05',,,,,,,,,,)</v>
      </c>
      <c r="CP253" s="86" t="str">
        <f t="shared" si="3865"/>
        <v>InitUnitMagic('IC05',,,,,,,,,,)</v>
      </c>
      <c r="CQ253" s="86" t="str">
        <f t="shared" si="3866"/>
        <v>InitUnitAdd('IC05',,,,,,,,,,)</v>
      </c>
      <c r="CR253" s="86" t="str">
        <f t="shared" si="3563"/>
        <v>InitEquipData('IC05',,"",,,,,'','','','','','',"")</v>
      </c>
      <c r="CS253" s="86"/>
      <c r="CT253" s="86"/>
      <c r="CU253" s="88" t="str">
        <f t="shared" si="3635"/>
        <v>|n</v>
      </c>
      <c r="CV253" s="19"/>
      <c r="DB253" s="66" t="str">
        <f t="shared" si="3636"/>
        <v/>
      </c>
      <c r="DC253" s="66" t="str">
        <f t="shared" si="3637"/>
        <v/>
      </c>
      <c r="DD253" s="66" t="str">
        <f t="shared" si="3638"/>
        <v/>
      </c>
      <c r="DE253" s="66" t="str">
        <f t="shared" si="3639"/>
        <v/>
      </c>
      <c r="DF253" s="66" t="str">
        <f t="shared" si="3640"/>
        <v/>
      </c>
      <c r="DG253" s="66" t="str">
        <f t="shared" si="3641"/>
        <v/>
      </c>
      <c r="DH253" s="66" t="str">
        <f t="shared" si="3642"/>
        <v/>
      </c>
      <c r="DI253" s="66" t="str">
        <f t="shared" si="3643"/>
        <v/>
      </c>
      <c r="DJ253" s="66" t="str">
        <f t="shared" si="3644"/>
        <v/>
      </c>
      <c r="DK253" s="66" t="str">
        <f t="shared" si="3645"/>
        <v/>
      </c>
      <c r="DL253" s="66" t="str">
        <f t="shared" si="3646"/>
        <v/>
      </c>
      <c r="DM253" s="66" t="str">
        <f t="shared" si="3647"/>
        <v/>
      </c>
      <c r="DN253" s="66" t="str">
        <f t="shared" si="3648"/>
        <v/>
      </c>
      <c r="DO253" s="66" t="str">
        <f t="shared" si="3649"/>
        <v/>
      </c>
      <c r="DP253" s="66" t="str">
        <f t="shared" si="3650"/>
        <v/>
      </c>
      <c r="DQ253" s="66" t="str">
        <f t="shared" si="3651"/>
        <v/>
      </c>
      <c r="DR253" s="66" t="str">
        <f t="shared" si="3652"/>
        <v/>
      </c>
      <c r="DS253" s="66" t="str">
        <f t="shared" si="3653"/>
        <v/>
      </c>
      <c r="DT253" s="66" t="str">
        <f t="shared" si="3654"/>
        <v/>
      </c>
      <c r="DU253" s="66" t="str">
        <f t="shared" si="3655"/>
        <v/>
      </c>
      <c r="DV253" s="66" t="str">
        <f t="shared" si="3656"/>
        <v/>
      </c>
      <c r="DW253" s="66" t="str">
        <f t="shared" si="3657"/>
        <v/>
      </c>
      <c r="DX253" s="66" t="str">
        <f t="shared" si="3658"/>
        <v/>
      </c>
      <c r="DY253" s="66" t="str">
        <f t="shared" si="3659"/>
        <v/>
      </c>
      <c r="DZ253" s="66" t="str">
        <f t="shared" si="3660"/>
        <v/>
      </c>
      <c r="EA253" s="66" t="str">
        <f t="shared" si="3661"/>
        <v/>
      </c>
      <c r="EB253" s="66" t="str">
        <f t="shared" si="3662"/>
        <v/>
      </c>
      <c r="EC253" s="66" t="str">
        <f t="shared" si="3663"/>
        <v/>
      </c>
      <c r="ED253" s="66" t="str">
        <f t="shared" si="3664"/>
        <v/>
      </c>
      <c r="EE253" s="66" t="str">
        <f t="shared" si="3665"/>
        <v/>
      </c>
      <c r="EF253" s="66" t="str">
        <f t="shared" si="3666"/>
        <v/>
      </c>
      <c r="EG253" s="66" t="str">
        <f t="shared" si="3667"/>
        <v/>
      </c>
      <c r="EH253" s="66" t="str">
        <f t="shared" si="3668"/>
        <v/>
      </c>
      <c r="EI253" s="66" t="str">
        <f t="shared" si="3669"/>
        <v/>
      </c>
      <c r="EJ253" s="66" t="str">
        <f t="shared" si="3670"/>
        <v/>
      </c>
      <c r="EK253" s="66" t="str">
        <f t="shared" si="3671"/>
        <v/>
      </c>
      <c r="EL253" s="66" t="str">
        <f t="shared" si="3672"/>
        <v/>
      </c>
      <c r="EM253" s="66" t="str">
        <f t="shared" si="3673"/>
        <v/>
      </c>
      <c r="EN253" s="66" t="str">
        <f t="shared" si="3674"/>
        <v/>
      </c>
      <c r="EO253" s="66" t="str">
        <f t="shared" si="3675"/>
        <v/>
      </c>
      <c r="EP253" s="66" t="str">
        <f t="shared" si="3676"/>
        <v/>
      </c>
      <c r="EQ253" s="66" t="str">
        <f t="shared" si="3677"/>
        <v/>
      </c>
      <c r="ER253" s="66" t="str">
        <f t="shared" si="3678"/>
        <v/>
      </c>
      <c r="ES253" s="66" t="str">
        <f t="shared" si="3679"/>
        <v/>
      </c>
      <c r="ET253" s="66" t="str">
        <f t="shared" si="3680"/>
        <v/>
      </c>
      <c r="EU253" s="66" t="str">
        <f t="shared" si="3681"/>
        <v/>
      </c>
      <c r="EV253" s="66" t="str">
        <f t="shared" si="3682"/>
        <v/>
      </c>
      <c r="EW253" s="66" t="str">
        <f t="shared" si="3683"/>
        <v/>
      </c>
      <c r="EX253" s="66" t="str">
        <f t="shared" si="3684"/>
        <v/>
      </c>
      <c r="EY253" s="66" t="str">
        <f t="shared" si="3685"/>
        <v/>
      </c>
      <c r="EZ253" s="66" t="str">
        <f t="shared" si="3686"/>
        <v/>
      </c>
      <c r="FA253" s="66" t="str">
        <f t="shared" si="3687"/>
        <v/>
      </c>
      <c r="FB253" s="66" t="str">
        <f t="shared" si="3688"/>
        <v/>
      </c>
      <c r="FC253" s="66" t="str">
        <f t="shared" si="3689"/>
        <v/>
      </c>
      <c r="FD253" s="66" t="str">
        <f t="shared" si="3690"/>
        <v/>
      </c>
      <c r="FE253" s="66" t="str">
        <f t="shared" si="3691"/>
        <v/>
      </c>
      <c r="FF253" s="66" t="str">
        <f t="shared" si="3692"/>
        <v/>
      </c>
      <c r="FG253" s="66" t="str">
        <f t="shared" si="3693"/>
        <v/>
      </c>
      <c r="FH253" s="66" t="str">
        <f t="shared" si="3694"/>
        <v/>
      </c>
      <c r="FI253" s="66" t="str">
        <f t="shared" si="3695"/>
        <v/>
      </c>
      <c r="FJ253" s="66" t="str">
        <f t="shared" si="3696"/>
        <v/>
      </c>
      <c r="FK253" s="66" t="str">
        <f t="shared" si="3697"/>
        <v/>
      </c>
      <c r="FL253" s="66" t="str">
        <f t="shared" si="3698"/>
        <v/>
      </c>
      <c r="FM253" s="66" t="str">
        <f t="shared" si="3699"/>
        <v/>
      </c>
      <c r="FN253" s="66" t="str">
        <f t="shared" si="3700"/>
        <v/>
      </c>
      <c r="FO253" s="66" t="str">
        <f t="shared" si="3701"/>
        <v/>
      </c>
      <c r="FP253" s="66" t="str">
        <f t="shared" si="3702"/>
        <v/>
      </c>
      <c r="FQ253" s="66" t="str">
        <f t="shared" si="3703"/>
        <v/>
      </c>
      <c r="FR253" s="66" t="str">
        <f t="shared" si="3704"/>
        <v/>
      </c>
      <c r="FS253" s="66" t="str">
        <f t="shared" si="3705"/>
        <v/>
      </c>
    </row>
    <row r="254" spans="1:175" s="33" customFormat="1" ht="16.5">
      <c r="A254" s="111"/>
      <c r="B254" s="9" t="s">
        <v>791</v>
      </c>
      <c r="C254" s="9" t="s">
        <v>792</v>
      </c>
      <c r="D254" s="67"/>
      <c r="E254" s="68"/>
      <c r="F254" s="112"/>
      <c r="G254" s="113"/>
      <c r="H254" s="113"/>
      <c r="I254" s="113"/>
      <c r="J254" s="113"/>
      <c r="K254" s="113"/>
      <c r="L254" s="113"/>
      <c r="M254" s="113"/>
      <c r="N254" s="113"/>
      <c r="O254" s="113"/>
      <c r="P254" s="73"/>
      <c r="Q254" s="73"/>
      <c r="R254" s="73"/>
      <c r="S254" s="73"/>
      <c r="T254" s="80"/>
      <c r="U254" s="77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84"/>
      <c r="AS254" s="84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  <c r="BW254" s="78"/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86" t="str">
        <f t="shared" si="3863"/>
        <v>InitUnitState('IC06',,,,,,,,,,)</v>
      </c>
      <c r="CO254" s="86" t="str">
        <f t="shared" si="3864"/>
        <v>InitUnitNormal('IC06',,,,,,,,,,)</v>
      </c>
      <c r="CP254" s="86" t="str">
        <f t="shared" si="3865"/>
        <v>InitUnitMagic('IC06',,,,,,,,,,)</v>
      </c>
      <c r="CQ254" s="86" t="str">
        <f t="shared" si="3866"/>
        <v>InitUnitAdd('IC06',,,,,,,,,,)</v>
      </c>
      <c r="CR254" s="86" t="str">
        <f t="shared" si="3563"/>
        <v>InitEquipData('IC06',,"",,,,,'','','','','','',"")</v>
      </c>
      <c r="CS254" s="86"/>
      <c r="CT254" s="86"/>
      <c r="CU254" s="88" t="str">
        <f t="shared" si="3635"/>
        <v>|n</v>
      </c>
      <c r="CV254" s="19"/>
      <c r="DB254" s="66" t="str">
        <f t="shared" si="3636"/>
        <v/>
      </c>
      <c r="DC254" s="66" t="str">
        <f t="shared" si="3637"/>
        <v/>
      </c>
      <c r="DD254" s="66" t="str">
        <f t="shared" si="3638"/>
        <v/>
      </c>
      <c r="DE254" s="66" t="str">
        <f t="shared" si="3639"/>
        <v/>
      </c>
      <c r="DF254" s="66" t="str">
        <f t="shared" si="3640"/>
        <v/>
      </c>
      <c r="DG254" s="66" t="str">
        <f t="shared" si="3641"/>
        <v/>
      </c>
      <c r="DH254" s="66" t="str">
        <f t="shared" si="3642"/>
        <v/>
      </c>
      <c r="DI254" s="66" t="str">
        <f t="shared" si="3643"/>
        <v/>
      </c>
      <c r="DJ254" s="66" t="str">
        <f t="shared" si="3644"/>
        <v/>
      </c>
      <c r="DK254" s="66" t="str">
        <f t="shared" si="3645"/>
        <v/>
      </c>
      <c r="DL254" s="66" t="str">
        <f t="shared" si="3646"/>
        <v/>
      </c>
      <c r="DM254" s="66" t="str">
        <f t="shared" si="3647"/>
        <v/>
      </c>
      <c r="DN254" s="66" t="str">
        <f t="shared" si="3648"/>
        <v/>
      </c>
      <c r="DO254" s="66" t="str">
        <f t="shared" si="3649"/>
        <v/>
      </c>
      <c r="DP254" s="66" t="str">
        <f t="shared" si="3650"/>
        <v/>
      </c>
      <c r="DQ254" s="66" t="str">
        <f t="shared" si="3651"/>
        <v/>
      </c>
      <c r="DR254" s="66" t="str">
        <f t="shared" si="3652"/>
        <v/>
      </c>
      <c r="DS254" s="66" t="str">
        <f t="shared" si="3653"/>
        <v/>
      </c>
      <c r="DT254" s="66" t="str">
        <f t="shared" si="3654"/>
        <v/>
      </c>
      <c r="DU254" s="66" t="str">
        <f t="shared" si="3655"/>
        <v/>
      </c>
      <c r="DV254" s="66" t="str">
        <f t="shared" si="3656"/>
        <v/>
      </c>
      <c r="DW254" s="66" t="str">
        <f t="shared" si="3657"/>
        <v/>
      </c>
      <c r="DX254" s="66" t="str">
        <f t="shared" si="3658"/>
        <v/>
      </c>
      <c r="DY254" s="66" t="str">
        <f t="shared" si="3659"/>
        <v/>
      </c>
      <c r="DZ254" s="66" t="str">
        <f t="shared" si="3660"/>
        <v/>
      </c>
      <c r="EA254" s="66" t="str">
        <f t="shared" si="3661"/>
        <v/>
      </c>
      <c r="EB254" s="66" t="str">
        <f t="shared" si="3662"/>
        <v/>
      </c>
      <c r="EC254" s="66" t="str">
        <f t="shared" si="3663"/>
        <v/>
      </c>
      <c r="ED254" s="66" t="str">
        <f t="shared" si="3664"/>
        <v/>
      </c>
      <c r="EE254" s="66" t="str">
        <f t="shared" si="3665"/>
        <v/>
      </c>
      <c r="EF254" s="66" t="str">
        <f t="shared" si="3666"/>
        <v/>
      </c>
      <c r="EG254" s="66" t="str">
        <f t="shared" si="3667"/>
        <v/>
      </c>
      <c r="EH254" s="66" t="str">
        <f t="shared" si="3668"/>
        <v/>
      </c>
      <c r="EI254" s="66" t="str">
        <f t="shared" si="3669"/>
        <v/>
      </c>
      <c r="EJ254" s="66" t="str">
        <f t="shared" si="3670"/>
        <v/>
      </c>
      <c r="EK254" s="66" t="str">
        <f t="shared" si="3671"/>
        <v/>
      </c>
      <c r="EL254" s="66" t="str">
        <f t="shared" si="3672"/>
        <v/>
      </c>
      <c r="EM254" s="66" t="str">
        <f t="shared" si="3673"/>
        <v/>
      </c>
      <c r="EN254" s="66" t="str">
        <f t="shared" si="3674"/>
        <v/>
      </c>
      <c r="EO254" s="66" t="str">
        <f t="shared" si="3675"/>
        <v/>
      </c>
      <c r="EP254" s="66" t="str">
        <f t="shared" si="3676"/>
        <v/>
      </c>
      <c r="EQ254" s="66" t="str">
        <f t="shared" si="3677"/>
        <v/>
      </c>
      <c r="ER254" s="66" t="str">
        <f t="shared" si="3678"/>
        <v/>
      </c>
      <c r="ES254" s="66" t="str">
        <f t="shared" si="3679"/>
        <v/>
      </c>
      <c r="ET254" s="66" t="str">
        <f t="shared" si="3680"/>
        <v/>
      </c>
      <c r="EU254" s="66" t="str">
        <f t="shared" si="3681"/>
        <v/>
      </c>
      <c r="EV254" s="66" t="str">
        <f t="shared" si="3682"/>
        <v/>
      </c>
      <c r="EW254" s="66" t="str">
        <f t="shared" si="3683"/>
        <v/>
      </c>
      <c r="EX254" s="66" t="str">
        <f t="shared" si="3684"/>
        <v/>
      </c>
      <c r="EY254" s="66" t="str">
        <f t="shared" si="3685"/>
        <v/>
      </c>
      <c r="EZ254" s="66" t="str">
        <f t="shared" si="3686"/>
        <v/>
      </c>
      <c r="FA254" s="66" t="str">
        <f t="shared" si="3687"/>
        <v/>
      </c>
      <c r="FB254" s="66" t="str">
        <f t="shared" si="3688"/>
        <v/>
      </c>
      <c r="FC254" s="66" t="str">
        <f t="shared" si="3689"/>
        <v/>
      </c>
      <c r="FD254" s="66" t="str">
        <f t="shared" si="3690"/>
        <v/>
      </c>
      <c r="FE254" s="66" t="str">
        <f t="shared" si="3691"/>
        <v/>
      </c>
      <c r="FF254" s="66" t="str">
        <f t="shared" si="3692"/>
        <v/>
      </c>
      <c r="FG254" s="66" t="str">
        <f t="shared" si="3693"/>
        <v/>
      </c>
      <c r="FH254" s="66" t="str">
        <f t="shared" si="3694"/>
        <v/>
      </c>
      <c r="FI254" s="66" t="str">
        <f t="shared" si="3695"/>
        <v/>
      </c>
      <c r="FJ254" s="66" t="str">
        <f t="shared" si="3696"/>
        <v/>
      </c>
      <c r="FK254" s="66" t="str">
        <f t="shared" si="3697"/>
        <v/>
      </c>
      <c r="FL254" s="66" t="str">
        <f t="shared" si="3698"/>
        <v/>
      </c>
      <c r="FM254" s="66" t="str">
        <f t="shared" si="3699"/>
        <v/>
      </c>
      <c r="FN254" s="66" t="str">
        <f t="shared" si="3700"/>
        <v/>
      </c>
      <c r="FO254" s="66" t="str">
        <f t="shared" si="3701"/>
        <v/>
      </c>
      <c r="FP254" s="66" t="str">
        <f t="shared" si="3702"/>
        <v/>
      </c>
      <c r="FQ254" s="66" t="str">
        <f t="shared" si="3703"/>
        <v/>
      </c>
      <c r="FR254" s="66" t="str">
        <f t="shared" si="3704"/>
        <v/>
      </c>
      <c r="FS254" s="66" t="str">
        <f t="shared" si="3705"/>
        <v/>
      </c>
    </row>
    <row r="255" spans="1:175" s="33" customFormat="1" ht="16.5">
      <c r="A255" s="111"/>
      <c r="B255" s="9" t="s">
        <v>793</v>
      </c>
      <c r="C255" s="9" t="s">
        <v>794</v>
      </c>
      <c r="D255" s="67"/>
      <c r="E255" s="68"/>
      <c r="F255" s="112"/>
      <c r="G255" s="113"/>
      <c r="H255" s="113"/>
      <c r="I255" s="113"/>
      <c r="J255" s="113"/>
      <c r="K255" s="113"/>
      <c r="L255" s="113"/>
      <c r="M255" s="113"/>
      <c r="N255" s="113"/>
      <c r="O255" s="113"/>
      <c r="P255" s="73"/>
      <c r="Q255" s="73"/>
      <c r="R255" s="73"/>
      <c r="S255" s="73"/>
      <c r="T255" s="80"/>
      <c r="U255" s="77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  <c r="AK255" s="78"/>
      <c r="AL255" s="78"/>
      <c r="AM255" s="78"/>
      <c r="AN255" s="78"/>
      <c r="AO255" s="78"/>
      <c r="AP255" s="78"/>
      <c r="AQ255" s="78"/>
      <c r="AR255" s="84"/>
      <c r="AS255" s="84"/>
      <c r="AT255" s="78"/>
      <c r="AU255" s="78"/>
      <c r="AV255" s="78"/>
      <c r="AW255" s="78"/>
      <c r="AX255" s="78"/>
      <c r="AY255" s="78"/>
      <c r="AZ255" s="78"/>
      <c r="BA255" s="78"/>
      <c r="BB255" s="78"/>
      <c r="BC255" s="78"/>
      <c r="BD255" s="78"/>
      <c r="BE255" s="78"/>
      <c r="BF255" s="78"/>
      <c r="BG255" s="78"/>
      <c r="BH255" s="78"/>
      <c r="BI255" s="78"/>
      <c r="BJ255" s="78"/>
      <c r="BK255" s="78"/>
      <c r="BL255" s="78"/>
      <c r="BM255" s="78"/>
      <c r="BN255" s="78"/>
      <c r="BO255" s="78"/>
      <c r="BP255" s="78"/>
      <c r="BQ255" s="78"/>
      <c r="BR255" s="78"/>
      <c r="BS255" s="78"/>
      <c r="BT255" s="78"/>
      <c r="BU255" s="78"/>
      <c r="BV255" s="78"/>
      <c r="BW255" s="78"/>
      <c r="BX255" s="78"/>
      <c r="BY255" s="78"/>
      <c r="BZ255" s="78"/>
      <c r="CA255" s="78"/>
      <c r="CB255" s="78"/>
      <c r="CC255" s="78"/>
      <c r="CD255" s="78"/>
      <c r="CE255" s="78"/>
      <c r="CF255" s="78"/>
      <c r="CG255" s="78"/>
      <c r="CH255" s="78"/>
      <c r="CI255" s="78"/>
      <c r="CJ255" s="78"/>
      <c r="CK255" s="78"/>
      <c r="CL255" s="78"/>
      <c r="CM255" s="78"/>
      <c r="CN255" s="86" t="str">
        <f t="shared" si="3863"/>
        <v>InitUnitState('IC07',,,,,,,,,,)</v>
      </c>
      <c r="CO255" s="86" t="str">
        <f t="shared" si="3864"/>
        <v>InitUnitNormal('IC07',,,,,,,,,,)</v>
      </c>
      <c r="CP255" s="86" t="str">
        <f t="shared" si="3865"/>
        <v>InitUnitMagic('IC07',,,,,,,,,,)</v>
      </c>
      <c r="CQ255" s="86" t="str">
        <f t="shared" si="3866"/>
        <v>InitUnitAdd('IC07',,,,,,,,,,)</v>
      </c>
      <c r="CR255" s="86" t="str">
        <f t="shared" si="3563"/>
        <v>InitEquipData('IC07',,"",,,,,'','','','','','',"")</v>
      </c>
      <c r="CS255" s="86"/>
      <c r="CT255" s="86"/>
      <c r="CU255" s="88" t="str">
        <f t="shared" si="3635"/>
        <v>|n</v>
      </c>
      <c r="CV255" s="19"/>
      <c r="DB255" s="66" t="str">
        <f t="shared" si="3636"/>
        <v/>
      </c>
      <c r="DC255" s="66" t="str">
        <f t="shared" si="3637"/>
        <v/>
      </c>
      <c r="DD255" s="66" t="str">
        <f t="shared" si="3638"/>
        <v/>
      </c>
      <c r="DE255" s="66" t="str">
        <f t="shared" si="3639"/>
        <v/>
      </c>
      <c r="DF255" s="66" t="str">
        <f t="shared" si="3640"/>
        <v/>
      </c>
      <c r="DG255" s="66" t="str">
        <f t="shared" si="3641"/>
        <v/>
      </c>
      <c r="DH255" s="66" t="str">
        <f t="shared" si="3642"/>
        <v/>
      </c>
      <c r="DI255" s="66" t="str">
        <f t="shared" si="3643"/>
        <v/>
      </c>
      <c r="DJ255" s="66" t="str">
        <f t="shared" si="3644"/>
        <v/>
      </c>
      <c r="DK255" s="66" t="str">
        <f t="shared" si="3645"/>
        <v/>
      </c>
      <c r="DL255" s="66" t="str">
        <f t="shared" si="3646"/>
        <v/>
      </c>
      <c r="DM255" s="66" t="str">
        <f t="shared" si="3647"/>
        <v/>
      </c>
      <c r="DN255" s="66" t="str">
        <f t="shared" si="3648"/>
        <v/>
      </c>
      <c r="DO255" s="66" t="str">
        <f t="shared" si="3649"/>
        <v/>
      </c>
      <c r="DP255" s="66" t="str">
        <f t="shared" si="3650"/>
        <v/>
      </c>
      <c r="DQ255" s="66" t="str">
        <f t="shared" si="3651"/>
        <v/>
      </c>
      <c r="DR255" s="66" t="str">
        <f t="shared" si="3652"/>
        <v/>
      </c>
      <c r="DS255" s="66" t="str">
        <f t="shared" si="3653"/>
        <v/>
      </c>
      <c r="DT255" s="66" t="str">
        <f t="shared" si="3654"/>
        <v/>
      </c>
      <c r="DU255" s="66" t="str">
        <f t="shared" si="3655"/>
        <v/>
      </c>
      <c r="DV255" s="66" t="str">
        <f t="shared" si="3656"/>
        <v/>
      </c>
      <c r="DW255" s="66" t="str">
        <f t="shared" si="3657"/>
        <v/>
      </c>
      <c r="DX255" s="66" t="str">
        <f t="shared" si="3658"/>
        <v/>
      </c>
      <c r="DY255" s="66" t="str">
        <f t="shared" si="3659"/>
        <v/>
      </c>
      <c r="DZ255" s="66" t="str">
        <f t="shared" si="3660"/>
        <v/>
      </c>
      <c r="EA255" s="66" t="str">
        <f t="shared" si="3661"/>
        <v/>
      </c>
      <c r="EB255" s="66" t="str">
        <f t="shared" si="3662"/>
        <v/>
      </c>
      <c r="EC255" s="66" t="str">
        <f t="shared" si="3663"/>
        <v/>
      </c>
      <c r="ED255" s="66" t="str">
        <f t="shared" si="3664"/>
        <v/>
      </c>
      <c r="EE255" s="66" t="str">
        <f t="shared" si="3665"/>
        <v/>
      </c>
      <c r="EF255" s="66" t="str">
        <f t="shared" si="3666"/>
        <v/>
      </c>
      <c r="EG255" s="66" t="str">
        <f t="shared" si="3667"/>
        <v/>
      </c>
      <c r="EH255" s="66" t="str">
        <f t="shared" si="3668"/>
        <v/>
      </c>
      <c r="EI255" s="66" t="str">
        <f t="shared" si="3669"/>
        <v/>
      </c>
      <c r="EJ255" s="66" t="str">
        <f t="shared" si="3670"/>
        <v/>
      </c>
      <c r="EK255" s="66" t="str">
        <f t="shared" si="3671"/>
        <v/>
      </c>
      <c r="EL255" s="66" t="str">
        <f t="shared" si="3672"/>
        <v/>
      </c>
      <c r="EM255" s="66" t="str">
        <f t="shared" si="3673"/>
        <v/>
      </c>
      <c r="EN255" s="66" t="str">
        <f t="shared" si="3674"/>
        <v/>
      </c>
      <c r="EO255" s="66" t="str">
        <f t="shared" si="3675"/>
        <v/>
      </c>
      <c r="EP255" s="66" t="str">
        <f t="shared" si="3676"/>
        <v/>
      </c>
      <c r="EQ255" s="66" t="str">
        <f t="shared" si="3677"/>
        <v/>
      </c>
      <c r="ER255" s="66" t="str">
        <f t="shared" si="3678"/>
        <v/>
      </c>
      <c r="ES255" s="66" t="str">
        <f t="shared" si="3679"/>
        <v/>
      </c>
      <c r="ET255" s="66" t="str">
        <f t="shared" si="3680"/>
        <v/>
      </c>
      <c r="EU255" s="66" t="str">
        <f t="shared" si="3681"/>
        <v/>
      </c>
      <c r="EV255" s="66" t="str">
        <f t="shared" si="3682"/>
        <v/>
      </c>
      <c r="EW255" s="66" t="str">
        <f t="shared" si="3683"/>
        <v/>
      </c>
      <c r="EX255" s="66" t="str">
        <f t="shared" si="3684"/>
        <v/>
      </c>
      <c r="EY255" s="66" t="str">
        <f t="shared" si="3685"/>
        <v/>
      </c>
      <c r="EZ255" s="66" t="str">
        <f t="shared" si="3686"/>
        <v/>
      </c>
      <c r="FA255" s="66" t="str">
        <f t="shared" si="3687"/>
        <v/>
      </c>
      <c r="FB255" s="66" t="str">
        <f t="shared" si="3688"/>
        <v/>
      </c>
      <c r="FC255" s="66" t="str">
        <f t="shared" si="3689"/>
        <v/>
      </c>
      <c r="FD255" s="66" t="str">
        <f t="shared" si="3690"/>
        <v/>
      </c>
      <c r="FE255" s="66" t="str">
        <f t="shared" si="3691"/>
        <v/>
      </c>
      <c r="FF255" s="66" t="str">
        <f t="shared" si="3692"/>
        <v/>
      </c>
      <c r="FG255" s="66" t="str">
        <f t="shared" si="3693"/>
        <v/>
      </c>
      <c r="FH255" s="66" t="str">
        <f t="shared" si="3694"/>
        <v/>
      </c>
      <c r="FI255" s="66" t="str">
        <f t="shared" si="3695"/>
        <v/>
      </c>
      <c r="FJ255" s="66" t="str">
        <f t="shared" si="3696"/>
        <v/>
      </c>
      <c r="FK255" s="66" t="str">
        <f t="shared" si="3697"/>
        <v/>
      </c>
      <c r="FL255" s="66" t="str">
        <f t="shared" si="3698"/>
        <v/>
      </c>
      <c r="FM255" s="66" t="str">
        <f t="shared" si="3699"/>
        <v/>
      </c>
      <c r="FN255" s="66" t="str">
        <f t="shared" si="3700"/>
        <v/>
      </c>
      <c r="FO255" s="66" t="str">
        <f t="shared" si="3701"/>
        <v/>
      </c>
      <c r="FP255" s="66" t="str">
        <f t="shared" si="3702"/>
        <v/>
      </c>
      <c r="FQ255" s="66" t="str">
        <f t="shared" si="3703"/>
        <v/>
      </c>
      <c r="FR255" s="66" t="str">
        <f t="shared" si="3704"/>
        <v/>
      </c>
      <c r="FS255" s="66" t="str">
        <f t="shared" si="3705"/>
        <v/>
      </c>
    </row>
    <row r="256" spans="1:175" s="33" customFormat="1" ht="16.5">
      <c r="A256" s="111"/>
      <c r="B256" s="9" t="s">
        <v>795</v>
      </c>
      <c r="C256" s="9" t="s">
        <v>796</v>
      </c>
      <c r="D256" s="67"/>
      <c r="E256" s="68"/>
      <c r="F256" s="112"/>
      <c r="G256" s="113"/>
      <c r="H256" s="113"/>
      <c r="I256" s="113"/>
      <c r="J256" s="113"/>
      <c r="K256" s="113"/>
      <c r="L256" s="113"/>
      <c r="M256" s="113"/>
      <c r="N256" s="113"/>
      <c r="O256" s="113"/>
      <c r="P256" s="73"/>
      <c r="Q256" s="73"/>
      <c r="R256" s="73"/>
      <c r="S256" s="73"/>
      <c r="T256" s="80"/>
      <c r="U256" s="77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  <c r="AK256" s="78"/>
      <c r="AL256" s="78"/>
      <c r="AM256" s="78"/>
      <c r="AN256" s="78"/>
      <c r="AO256" s="78"/>
      <c r="AP256" s="78"/>
      <c r="AQ256" s="78"/>
      <c r="AR256" s="84"/>
      <c r="AS256" s="84"/>
      <c r="AT256" s="78"/>
      <c r="AU256" s="78"/>
      <c r="AV256" s="78"/>
      <c r="AW256" s="78"/>
      <c r="AX256" s="78"/>
      <c r="AY256" s="78"/>
      <c r="AZ256" s="78"/>
      <c r="BA256" s="78"/>
      <c r="BB256" s="78"/>
      <c r="BC256" s="78"/>
      <c r="BD256" s="78"/>
      <c r="BE256" s="78"/>
      <c r="BF256" s="78"/>
      <c r="BG256" s="78"/>
      <c r="BH256" s="78"/>
      <c r="BI256" s="78"/>
      <c r="BJ256" s="78"/>
      <c r="BK256" s="78"/>
      <c r="BL256" s="78"/>
      <c r="BM256" s="78"/>
      <c r="BN256" s="78"/>
      <c r="BO256" s="78"/>
      <c r="BP256" s="78"/>
      <c r="BQ256" s="78"/>
      <c r="BR256" s="78"/>
      <c r="BS256" s="78"/>
      <c r="BT256" s="78"/>
      <c r="BU256" s="78"/>
      <c r="BV256" s="78"/>
      <c r="BW256" s="78"/>
      <c r="BX256" s="78"/>
      <c r="BY256" s="78"/>
      <c r="BZ256" s="78"/>
      <c r="CA256" s="78"/>
      <c r="CB256" s="78"/>
      <c r="CC256" s="78"/>
      <c r="CD256" s="78"/>
      <c r="CE256" s="78"/>
      <c r="CF256" s="78"/>
      <c r="CG256" s="78"/>
      <c r="CH256" s="78"/>
      <c r="CI256" s="78"/>
      <c r="CJ256" s="78"/>
      <c r="CK256" s="78"/>
      <c r="CL256" s="78"/>
      <c r="CM256" s="78"/>
      <c r="CN256" s="86" t="str">
        <f t="shared" si="3863"/>
        <v>InitUnitState('IC08',,,,,,,,,,)</v>
      </c>
      <c r="CO256" s="86" t="str">
        <f t="shared" si="3864"/>
        <v>InitUnitNormal('IC08',,,,,,,,,,)</v>
      </c>
      <c r="CP256" s="86" t="str">
        <f t="shared" si="3865"/>
        <v>InitUnitMagic('IC08',,,,,,,,,,)</v>
      </c>
      <c r="CQ256" s="86" t="str">
        <f t="shared" si="3866"/>
        <v>InitUnitAdd('IC08',,,,,,,,,,)</v>
      </c>
      <c r="CR256" s="86" t="str">
        <f t="shared" si="3563"/>
        <v>InitEquipData('IC08',,"",,,,,'','','','','','',"")</v>
      </c>
      <c r="CS256" s="86"/>
      <c r="CT256" s="86"/>
      <c r="CU256" s="88" t="str">
        <f t="shared" si="3635"/>
        <v>|n</v>
      </c>
      <c r="CV256" s="19"/>
      <c r="DB256" s="66" t="str">
        <f t="shared" si="3636"/>
        <v/>
      </c>
      <c r="DC256" s="66" t="str">
        <f t="shared" si="3637"/>
        <v/>
      </c>
      <c r="DD256" s="66" t="str">
        <f t="shared" si="3638"/>
        <v/>
      </c>
      <c r="DE256" s="66" t="str">
        <f t="shared" si="3639"/>
        <v/>
      </c>
      <c r="DF256" s="66" t="str">
        <f t="shared" si="3640"/>
        <v/>
      </c>
      <c r="DG256" s="66" t="str">
        <f t="shared" si="3641"/>
        <v/>
      </c>
      <c r="DH256" s="66" t="str">
        <f t="shared" si="3642"/>
        <v/>
      </c>
      <c r="DI256" s="66" t="str">
        <f t="shared" si="3643"/>
        <v/>
      </c>
      <c r="DJ256" s="66" t="str">
        <f t="shared" si="3644"/>
        <v/>
      </c>
      <c r="DK256" s="66" t="str">
        <f t="shared" si="3645"/>
        <v/>
      </c>
      <c r="DL256" s="66" t="str">
        <f t="shared" si="3646"/>
        <v/>
      </c>
      <c r="DM256" s="66" t="str">
        <f t="shared" si="3647"/>
        <v/>
      </c>
      <c r="DN256" s="66" t="str">
        <f t="shared" si="3648"/>
        <v/>
      </c>
      <c r="DO256" s="66" t="str">
        <f t="shared" si="3649"/>
        <v/>
      </c>
      <c r="DP256" s="66" t="str">
        <f t="shared" si="3650"/>
        <v/>
      </c>
      <c r="DQ256" s="66" t="str">
        <f t="shared" si="3651"/>
        <v/>
      </c>
      <c r="DR256" s="66" t="str">
        <f t="shared" si="3652"/>
        <v/>
      </c>
      <c r="DS256" s="66" t="str">
        <f t="shared" si="3653"/>
        <v/>
      </c>
      <c r="DT256" s="66" t="str">
        <f t="shared" si="3654"/>
        <v/>
      </c>
      <c r="DU256" s="66" t="str">
        <f t="shared" si="3655"/>
        <v/>
      </c>
      <c r="DV256" s="66" t="str">
        <f t="shared" si="3656"/>
        <v/>
      </c>
      <c r="DW256" s="66" t="str">
        <f t="shared" si="3657"/>
        <v/>
      </c>
      <c r="DX256" s="66" t="str">
        <f t="shared" si="3658"/>
        <v/>
      </c>
      <c r="DY256" s="66" t="str">
        <f t="shared" si="3659"/>
        <v/>
      </c>
      <c r="DZ256" s="66" t="str">
        <f t="shared" si="3660"/>
        <v/>
      </c>
      <c r="EA256" s="66" t="str">
        <f t="shared" si="3661"/>
        <v/>
      </c>
      <c r="EB256" s="66" t="str">
        <f t="shared" si="3662"/>
        <v/>
      </c>
      <c r="EC256" s="66" t="str">
        <f t="shared" si="3663"/>
        <v/>
      </c>
      <c r="ED256" s="66" t="str">
        <f t="shared" si="3664"/>
        <v/>
      </c>
      <c r="EE256" s="66" t="str">
        <f t="shared" si="3665"/>
        <v/>
      </c>
      <c r="EF256" s="66" t="str">
        <f t="shared" si="3666"/>
        <v/>
      </c>
      <c r="EG256" s="66" t="str">
        <f t="shared" si="3667"/>
        <v/>
      </c>
      <c r="EH256" s="66" t="str">
        <f t="shared" si="3668"/>
        <v/>
      </c>
      <c r="EI256" s="66" t="str">
        <f t="shared" si="3669"/>
        <v/>
      </c>
      <c r="EJ256" s="66" t="str">
        <f t="shared" si="3670"/>
        <v/>
      </c>
      <c r="EK256" s="66" t="str">
        <f t="shared" si="3671"/>
        <v/>
      </c>
      <c r="EL256" s="66" t="str">
        <f t="shared" si="3672"/>
        <v/>
      </c>
      <c r="EM256" s="66" t="str">
        <f t="shared" si="3673"/>
        <v/>
      </c>
      <c r="EN256" s="66" t="str">
        <f t="shared" si="3674"/>
        <v/>
      </c>
      <c r="EO256" s="66" t="str">
        <f t="shared" si="3675"/>
        <v/>
      </c>
      <c r="EP256" s="66" t="str">
        <f t="shared" si="3676"/>
        <v/>
      </c>
      <c r="EQ256" s="66" t="str">
        <f t="shared" si="3677"/>
        <v/>
      </c>
      <c r="ER256" s="66" t="str">
        <f t="shared" si="3678"/>
        <v/>
      </c>
      <c r="ES256" s="66" t="str">
        <f t="shared" si="3679"/>
        <v/>
      </c>
      <c r="ET256" s="66" t="str">
        <f t="shared" si="3680"/>
        <v/>
      </c>
      <c r="EU256" s="66" t="str">
        <f t="shared" si="3681"/>
        <v/>
      </c>
      <c r="EV256" s="66" t="str">
        <f t="shared" si="3682"/>
        <v/>
      </c>
      <c r="EW256" s="66" t="str">
        <f t="shared" si="3683"/>
        <v/>
      </c>
      <c r="EX256" s="66" t="str">
        <f t="shared" si="3684"/>
        <v/>
      </c>
      <c r="EY256" s="66" t="str">
        <f t="shared" si="3685"/>
        <v/>
      </c>
      <c r="EZ256" s="66" t="str">
        <f t="shared" si="3686"/>
        <v/>
      </c>
      <c r="FA256" s="66" t="str">
        <f t="shared" si="3687"/>
        <v/>
      </c>
      <c r="FB256" s="66" t="str">
        <f t="shared" si="3688"/>
        <v/>
      </c>
      <c r="FC256" s="66" t="str">
        <f t="shared" si="3689"/>
        <v/>
      </c>
      <c r="FD256" s="66" t="str">
        <f t="shared" si="3690"/>
        <v/>
      </c>
      <c r="FE256" s="66" t="str">
        <f t="shared" si="3691"/>
        <v/>
      </c>
      <c r="FF256" s="66" t="str">
        <f t="shared" si="3692"/>
        <v/>
      </c>
      <c r="FG256" s="66" t="str">
        <f t="shared" si="3693"/>
        <v/>
      </c>
      <c r="FH256" s="66" t="str">
        <f t="shared" si="3694"/>
        <v/>
      </c>
      <c r="FI256" s="66" t="str">
        <f t="shared" si="3695"/>
        <v/>
      </c>
      <c r="FJ256" s="66" t="str">
        <f t="shared" si="3696"/>
        <v/>
      </c>
      <c r="FK256" s="66" t="str">
        <f t="shared" si="3697"/>
        <v/>
      </c>
      <c r="FL256" s="66" t="str">
        <f t="shared" si="3698"/>
        <v/>
      </c>
      <c r="FM256" s="66" t="str">
        <f t="shared" si="3699"/>
        <v/>
      </c>
      <c r="FN256" s="66" t="str">
        <f t="shared" si="3700"/>
        <v/>
      </c>
      <c r="FO256" s="66" t="str">
        <f t="shared" si="3701"/>
        <v/>
      </c>
      <c r="FP256" s="66" t="str">
        <f t="shared" si="3702"/>
        <v/>
      </c>
      <c r="FQ256" s="66" t="str">
        <f t="shared" si="3703"/>
        <v/>
      </c>
      <c r="FR256" s="66" t="str">
        <f t="shared" si="3704"/>
        <v/>
      </c>
      <c r="FS256" s="66" t="str">
        <f t="shared" si="3705"/>
        <v/>
      </c>
    </row>
    <row r="257" spans="1:175" s="33" customFormat="1" ht="16.5">
      <c r="A257" s="111"/>
      <c r="B257" s="9" t="s">
        <v>797</v>
      </c>
      <c r="C257" s="9" t="s">
        <v>798</v>
      </c>
      <c r="D257" s="67"/>
      <c r="E257" s="68"/>
      <c r="F257" s="112"/>
      <c r="G257" s="113"/>
      <c r="H257" s="113"/>
      <c r="I257" s="113"/>
      <c r="J257" s="113"/>
      <c r="K257" s="113"/>
      <c r="L257" s="113"/>
      <c r="M257" s="113"/>
      <c r="N257" s="113"/>
      <c r="O257" s="113"/>
      <c r="P257" s="73"/>
      <c r="Q257" s="73"/>
      <c r="R257" s="73"/>
      <c r="S257" s="73"/>
      <c r="T257" s="80"/>
      <c r="U257" s="77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  <c r="AJ257" s="78"/>
      <c r="AK257" s="78"/>
      <c r="AL257" s="78"/>
      <c r="AM257" s="78"/>
      <c r="AN257" s="78"/>
      <c r="AO257" s="78"/>
      <c r="AP257" s="78"/>
      <c r="AQ257" s="78"/>
      <c r="AR257" s="84"/>
      <c r="AS257" s="84"/>
      <c r="AT257" s="78"/>
      <c r="AU257" s="78"/>
      <c r="AV257" s="78"/>
      <c r="AW257" s="78"/>
      <c r="AX257" s="78"/>
      <c r="AY257" s="78"/>
      <c r="AZ257" s="78"/>
      <c r="BA257" s="78"/>
      <c r="BB257" s="78"/>
      <c r="BC257" s="78"/>
      <c r="BD257" s="78"/>
      <c r="BE257" s="78"/>
      <c r="BF257" s="78"/>
      <c r="BG257" s="78"/>
      <c r="BH257" s="78"/>
      <c r="BI257" s="78"/>
      <c r="BJ257" s="78"/>
      <c r="BK257" s="78"/>
      <c r="BL257" s="78"/>
      <c r="BM257" s="78"/>
      <c r="BN257" s="78"/>
      <c r="BO257" s="78"/>
      <c r="BP257" s="78"/>
      <c r="BQ257" s="78"/>
      <c r="BR257" s="78"/>
      <c r="BS257" s="78"/>
      <c r="BT257" s="78"/>
      <c r="BU257" s="78"/>
      <c r="BV257" s="78"/>
      <c r="BW257" s="78"/>
      <c r="BX257" s="78"/>
      <c r="BY257" s="78"/>
      <c r="BZ257" s="78"/>
      <c r="CA257" s="78"/>
      <c r="CB257" s="78"/>
      <c r="CC257" s="78"/>
      <c r="CD257" s="78"/>
      <c r="CE257" s="78"/>
      <c r="CF257" s="78"/>
      <c r="CG257" s="78"/>
      <c r="CH257" s="78"/>
      <c r="CI257" s="78"/>
      <c r="CJ257" s="78"/>
      <c r="CK257" s="78"/>
      <c r="CL257" s="78"/>
      <c r="CM257" s="78"/>
      <c r="CN257" s="86" t="str">
        <f t="shared" si="3863"/>
        <v>InitUnitState('IC09',,,,,,,,,,)</v>
      </c>
      <c r="CO257" s="86" t="str">
        <f t="shared" si="3864"/>
        <v>InitUnitNormal('IC09',,,,,,,,,,)</v>
      </c>
      <c r="CP257" s="86" t="str">
        <f t="shared" si="3865"/>
        <v>InitUnitMagic('IC09',,,,,,,,,,)</v>
      </c>
      <c r="CQ257" s="86" t="str">
        <f t="shared" si="3866"/>
        <v>InitUnitAdd('IC09',,,,,,,,,,)</v>
      </c>
      <c r="CR257" s="86" t="str">
        <f t="shared" si="3563"/>
        <v>InitEquipData('IC09',,"",,,,,'','','','','','',"")</v>
      </c>
      <c r="CS257" s="86"/>
      <c r="CT257" s="86"/>
      <c r="CU257" s="88" t="str">
        <f t="shared" si="3635"/>
        <v>|n</v>
      </c>
      <c r="CV257" s="19"/>
      <c r="DB257" s="66" t="str">
        <f t="shared" si="3636"/>
        <v/>
      </c>
      <c r="DC257" s="66" t="str">
        <f t="shared" si="3637"/>
        <v/>
      </c>
      <c r="DD257" s="66" t="str">
        <f t="shared" si="3638"/>
        <v/>
      </c>
      <c r="DE257" s="66" t="str">
        <f t="shared" si="3639"/>
        <v/>
      </c>
      <c r="DF257" s="66" t="str">
        <f t="shared" si="3640"/>
        <v/>
      </c>
      <c r="DG257" s="66" t="str">
        <f t="shared" si="3641"/>
        <v/>
      </c>
      <c r="DH257" s="66" t="str">
        <f t="shared" si="3642"/>
        <v/>
      </c>
      <c r="DI257" s="66" t="str">
        <f t="shared" si="3643"/>
        <v/>
      </c>
      <c r="DJ257" s="66" t="str">
        <f t="shared" si="3644"/>
        <v/>
      </c>
      <c r="DK257" s="66" t="str">
        <f t="shared" si="3645"/>
        <v/>
      </c>
      <c r="DL257" s="66" t="str">
        <f t="shared" si="3646"/>
        <v/>
      </c>
      <c r="DM257" s="66" t="str">
        <f t="shared" si="3647"/>
        <v/>
      </c>
      <c r="DN257" s="66" t="str">
        <f t="shared" si="3648"/>
        <v/>
      </c>
      <c r="DO257" s="66" t="str">
        <f t="shared" si="3649"/>
        <v/>
      </c>
      <c r="DP257" s="66" t="str">
        <f t="shared" si="3650"/>
        <v/>
      </c>
      <c r="DQ257" s="66" t="str">
        <f t="shared" si="3651"/>
        <v/>
      </c>
      <c r="DR257" s="66" t="str">
        <f t="shared" si="3652"/>
        <v/>
      </c>
      <c r="DS257" s="66" t="str">
        <f t="shared" si="3653"/>
        <v/>
      </c>
      <c r="DT257" s="66" t="str">
        <f t="shared" si="3654"/>
        <v/>
      </c>
      <c r="DU257" s="66" t="str">
        <f t="shared" si="3655"/>
        <v/>
      </c>
      <c r="DV257" s="66" t="str">
        <f t="shared" si="3656"/>
        <v/>
      </c>
      <c r="DW257" s="66" t="str">
        <f t="shared" si="3657"/>
        <v/>
      </c>
      <c r="DX257" s="66" t="str">
        <f t="shared" si="3658"/>
        <v/>
      </c>
      <c r="DY257" s="66" t="str">
        <f t="shared" si="3659"/>
        <v/>
      </c>
      <c r="DZ257" s="66" t="str">
        <f t="shared" si="3660"/>
        <v/>
      </c>
      <c r="EA257" s="66" t="str">
        <f t="shared" si="3661"/>
        <v/>
      </c>
      <c r="EB257" s="66" t="str">
        <f t="shared" si="3662"/>
        <v/>
      </c>
      <c r="EC257" s="66" t="str">
        <f t="shared" si="3663"/>
        <v/>
      </c>
      <c r="ED257" s="66" t="str">
        <f t="shared" si="3664"/>
        <v/>
      </c>
      <c r="EE257" s="66" t="str">
        <f t="shared" si="3665"/>
        <v/>
      </c>
      <c r="EF257" s="66" t="str">
        <f t="shared" si="3666"/>
        <v/>
      </c>
      <c r="EG257" s="66" t="str">
        <f t="shared" si="3667"/>
        <v/>
      </c>
      <c r="EH257" s="66" t="str">
        <f t="shared" si="3668"/>
        <v/>
      </c>
      <c r="EI257" s="66" t="str">
        <f t="shared" si="3669"/>
        <v/>
      </c>
      <c r="EJ257" s="66" t="str">
        <f t="shared" si="3670"/>
        <v/>
      </c>
      <c r="EK257" s="66" t="str">
        <f t="shared" si="3671"/>
        <v/>
      </c>
      <c r="EL257" s="66" t="str">
        <f t="shared" si="3672"/>
        <v/>
      </c>
      <c r="EM257" s="66" t="str">
        <f t="shared" si="3673"/>
        <v/>
      </c>
      <c r="EN257" s="66" t="str">
        <f t="shared" si="3674"/>
        <v/>
      </c>
      <c r="EO257" s="66" t="str">
        <f t="shared" si="3675"/>
        <v/>
      </c>
      <c r="EP257" s="66" t="str">
        <f t="shared" si="3676"/>
        <v/>
      </c>
      <c r="EQ257" s="66" t="str">
        <f t="shared" si="3677"/>
        <v/>
      </c>
      <c r="ER257" s="66" t="str">
        <f t="shared" si="3678"/>
        <v/>
      </c>
      <c r="ES257" s="66" t="str">
        <f t="shared" si="3679"/>
        <v/>
      </c>
      <c r="ET257" s="66" t="str">
        <f t="shared" si="3680"/>
        <v/>
      </c>
      <c r="EU257" s="66" t="str">
        <f t="shared" si="3681"/>
        <v/>
      </c>
      <c r="EV257" s="66" t="str">
        <f t="shared" si="3682"/>
        <v/>
      </c>
      <c r="EW257" s="66" t="str">
        <f t="shared" si="3683"/>
        <v/>
      </c>
      <c r="EX257" s="66" t="str">
        <f t="shared" si="3684"/>
        <v/>
      </c>
      <c r="EY257" s="66" t="str">
        <f t="shared" si="3685"/>
        <v/>
      </c>
      <c r="EZ257" s="66" t="str">
        <f t="shared" si="3686"/>
        <v/>
      </c>
      <c r="FA257" s="66" t="str">
        <f t="shared" si="3687"/>
        <v/>
      </c>
      <c r="FB257" s="66" t="str">
        <f t="shared" si="3688"/>
        <v/>
      </c>
      <c r="FC257" s="66" t="str">
        <f t="shared" si="3689"/>
        <v/>
      </c>
      <c r="FD257" s="66" t="str">
        <f t="shared" si="3690"/>
        <v/>
      </c>
      <c r="FE257" s="66" t="str">
        <f t="shared" si="3691"/>
        <v/>
      </c>
      <c r="FF257" s="66" t="str">
        <f t="shared" si="3692"/>
        <v/>
      </c>
      <c r="FG257" s="66" t="str">
        <f t="shared" si="3693"/>
        <v/>
      </c>
      <c r="FH257" s="66" t="str">
        <f t="shared" si="3694"/>
        <v/>
      </c>
      <c r="FI257" s="66" t="str">
        <f t="shared" si="3695"/>
        <v/>
      </c>
      <c r="FJ257" s="66" t="str">
        <f t="shared" si="3696"/>
        <v/>
      </c>
      <c r="FK257" s="66" t="str">
        <f t="shared" si="3697"/>
        <v/>
      </c>
      <c r="FL257" s="66" t="str">
        <f t="shared" si="3698"/>
        <v/>
      </c>
      <c r="FM257" s="66" t="str">
        <f t="shared" si="3699"/>
        <v/>
      </c>
      <c r="FN257" s="66" t="str">
        <f t="shared" si="3700"/>
        <v/>
      </c>
      <c r="FO257" s="66" t="str">
        <f t="shared" si="3701"/>
        <v/>
      </c>
      <c r="FP257" s="66" t="str">
        <f t="shared" si="3702"/>
        <v/>
      </c>
      <c r="FQ257" s="66" t="str">
        <f t="shared" si="3703"/>
        <v/>
      </c>
      <c r="FR257" s="66" t="str">
        <f t="shared" si="3704"/>
        <v/>
      </c>
      <c r="FS257" s="66" t="str">
        <f t="shared" si="3705"/>
        <v/>
      </c>
    </row>
    <row r="258" spans="1:175" s="33" customFormat="1" ht="16.5">
      <c r="A258" s="111"/>
      <c r="B258" s="9" t="s">
        <v>799</v>
      </c>
      <c r="C258" s="9" t="s">
        <v>800</v>
      </c>
      <c r="D258" s="67"/>
      <c r="E258" s="68"/>
      <c r="F258" s="112"/>
      <c r="G258" s="113"/>
      <c r="H258" s="113"/>
      <c r="I258" s="113"/>
      <c r="J258" s="113"/>
      <c r="K258" s="113"/>
      <c r="L258" s="113"/>
      <c r="M258" s="113"/>
      <c r="N258" s="113"/>
      <c r="O258" s="113"/>
      <c r="P258" s="73"/>
      <c r="Q258" s="73"/>
      <c r="R258" s="73"/>
      <c r="S258" s="73"/>
      <c r="T258" s="80"/>
      <c r="U258" s="77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  <c r="AJ258" s="78"/>
      <c r="AK258" s="78"/>
      <c r="AL258" s="78"/>
      <c r="AM258" s="78"/>
      <c r="AN258" s="78"/>
      <c r="AO258" s="78"/>
      <c r="AP258" s="78"/>
      <c r="AQ258" s="78"/>
      <c r="AR258" s="84"/>
      <c r="AS258" s="84"/>
      <c r="AT258" s="78"/>
      <c r="AU258" s="78"/>
      <c r="AV258" s="78"/>
      <c r="AW258" s="78"/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  <c r="BK258" s="78"/>
      <c r="BL258" s="78"/>
      <c r="BM258" s="78"/>
      <c r="BN258" s="78"/>
      <c r="BO258" s="78"/>
      <c r="BP258" s="78"/>
      <c r="BQ258" s="78"/>
      <c r="BR258" s="78"/>
      <c r="BS258" s="78"/>
      <c r="BT258" s="78"/>
      <c r="BU258" s="78"/>
      <c r="BV258" s="78"/>
      <c r="BW258" s="78"/>
      <c r="BX258" s="78"/>
      <c r="BY258" s="78"/>
      <c r="BZ258" s="78"/>
      <c r="CA258" s="78"/>
      <c r="CB258" s="78"/>
      <c r="CC258" s="78"/>
      <c r="CD258" s="78"/>
      <c r="CE258" s="78"/>
      <c r="CF258" s="78"/>
      <c r="CG258" s="78"/>
      <c r="CH258" s="78"/>
      <c r="CI258" s="78"/>
      <c r="CJ258" s="78"/>
      <c r="CK258" s="78"/>
      <c r="CL258" s="78"/>
      <c r="CM258" s="78"/>
      <c r="CN258" s="86" t="str">
        <f t="shared" si="3863"/>
        <v>InitUnitState('IC10',,,,,,,,,,)</v>
      </c>
      <c r="CO258" s="86" t="str">
        <f t="shared" si="3864"/>
        <v>InitUnitNormal('IC10',,,,,,,,,,)</v>
      </c>
      <c r="CP258" s="86" t="str">
        <f t="shared" si="3865"/>
        <v>InitUnitMagic('IC10',,,,,,,,,,)</v>
      </c>
      <c r="CQ258" s="86" t="str">
        <f t="shared" si="3866"/>
        <v>InitUnitAdd('IC10',,,,,,,,,,)</v>
      </c>
      <c r="CR258" s="86" t="str">
        <f t="shared" si="3563"/>
        <v>InitEquipData('IC10',,"",,,,,'','','','','','',"")</v>
      </c>
      <c r="CS258" s="86"/>
      <c r="CT258" s="86"/>
      <c r="CU258" s="88" t="str">
        <f t="shared" si="3635"/>
        <v>|n</v>
      </c>
      <c r="CV258" s="19"/>
      <c r="DB258" s="66" t="str">
        <f t="shared" si="3636"/>
        <v/>
      </c>
      <c r="DC258" s="66" t="str">
        <f t="shared" si="3637"/>
        <v/>
      </c>
      <c r="DD258" s="66" t="str">
        <f t="shared" si="3638"/>
        <v/>
      </c>
      <c r="DE258" s="66" t="str">
        <f t="shared" si="3639"/>
        <v/>
      </c>
      <c r="DF258" s="66" t="str">
        <f t="shared" si="3640"/>
        <v/>
      </c>
      <c r="DG258" s="66" t="str">
        <f t="shared" si="3641"/>
        <v/>
      </c>
      <c r="DH258" s="66" t="str">
        <f t="shared" si="3642"/>
        <v/>
      </c>
      <c r="DI258" s="66" t="str">
        <f t="shared" si="3643"/>
        <v/>
      </c>
      <c r="DJ258" s="66" t="str">
        <f t="shared" si="3644"/>
        <v/>
      </c>
      <c r="DK258" s="66" t="str">
        <f t="shared" si="3645"/>
        <v/>
      </c>
      <c r="DL258" s="66" t="str">
        <f t="shared" si="3646"/>
        <v/>
      </c>
      <c r="DM258" s="66" t="str">
        <f t="shared" si="3647"/>
        <v/>
      </c>
      <c r="DN258" s="66" t="str">
        <f t="shared" si="3648"/>
        <v/>
      </c>
      <c r="DO258" s="66" t="str">
        <f t="shared" si="3649"/>
        <v/>
      </c>
      <c r="DP258" s="66" t="str">
        <f t="shared" si="3650"/>
        <v/>
      </c>
      <c r="DQ258" s="66" t="str">
        <f t="shared" si="3651"/>
        <v/>
      </c>
      <c r="DR258" s="66" t="str">
        <f t="shared" si="3652"/>
        <v/>
      </c>
      <c r="DS258" s="66" t="str">
        <f t="shared" si="3653"/>
        <v/>
      </c>
      <c r="DT258" s="66" t="str">
        <f t="shared" si="3654"/>
        <v/>
      </c>
      <c r="DU258" s="66" t="str">
        <f t="shared" si="3655"/>
        <v/>
      </c>
      <c r="DV258" s="66" t="str">
        <f t="shared" si="3656"/>
        <v/>
      </c>
      <c r="DW258" s="66" t="str">
        <f t="shared" si="3657"/>
        <v/>
      </c>
      <c r="DX258" s="66" t="str">
        <f t="shared" si="3658"/>
        <v/>
      </c>
      <c r="DY258" s="66" t="str">
        <f t="shared" si="3659"/>
        <v/>
      </c>
      <c r="DZ258" s="66" t="str">
        <f t="shared" si="3660"/>
        <v/>
      </c>
      <c r="EA258" s="66" t="str">
        <f t="shared" si="3661"/>
        <v/>
      </c>
      <c r="EB258" s="66" t="str">
        <f t="shared" si="3662"/>
        <v/>
      </c>
      <c r="EC258" s="66" t="str">
        <f t="shared" si="3663"/>
        <v/>
      </c>
      <c r="ED258" s="66" t="str">
        <f t="shared" si="3664"/>
        <v/>
      </c>
      <c r="EE258" s="66" t="str">
        <f t="shared" si="3665"/>
        <v/>
      </c>
      <c r="EF258" s="66" t="str">
        <f t="shared" si="3666"/>
        <v/>
      </c>
      <c r="EG258" s="66" t="str">
        <f t="shared" si="3667"/>
        <v/>
      </c>
      <c r="EH258" s="66" t="str">
        <f t="shared" si="3668"/>
        <v/>
      </c>
      <c r="EI258" s="66" t="str">
        <f t="shared" si="3669"/>
        <v/>
      </c>
      <c r="EJ258" s="66" t="str">
        <f t="shared" si="3670"/>
        <v/>
      </c>
      <c r="EK258" s="66" t="str">
        <f t="shared" si="3671"/>
        <v/>
      </c>
      <c r="EL258" s="66" t="str">
        <f t="shared" si="3672"/>
        <v/>
      </c>
      <c r="EM258" s="66" t="str">
        <f t="shared" si="3673"/>
        <v/>
      </c>
      <c r="EN258" s="66" t="str">
        <f t="shared" si="3674"/>
        <v/>
      </c>
      <c r="EO258" s="66" t="str">
        <f t="shared" si="3675"/>
        <v/>
      </c>
      <c r="EP258" s="66" t="str">
        <f t="shared" si="3676"/>
        <v/>
      </c>
      <c r="EQ258" s="66" t="str">
        <f t="shared" si="3677"/>
        <v/>
      </c>
      <c r="ER258" s="66" t="str">
        <f t="shared" si="3678"/>
        <v/>
      </c>
      <c r="ES258" s="66" t="str">
        <f t="shared" si="3679"/>
        <v/>
      </c>
      <c r="ET258" s="66" t="str">
        <f t="shared" si="3680"/>
        <v/>
      </c>
      <c r="EU258" s="66" t="str">
        <f t="shared" si="3681"/>
        <v/>
      </c>
      <c r="EV258" s="66" t="str">
        <f t="shared" si="3682"/>
        <v/>
      </c>
      <c r="EW258" s="66" t="str">
        <f t="shared" si="3683"/>
        <v/>
      </c>
      <c r="EX258" s="66" t="str">
        <f t="shared" si="3684"/>
        <v/>
      </c>
      <c r="EY258" s="66" t="str">
        <f t="shared" si="3685"/>
        <v/>
      </c>
      <c r="EZ258" s="66" t="str">
        <f t="shared" si="3686"/>
        <v/>
      </c>
      <c r="FA258" s="66" t="str">
        <f t="shared" si="3687"/>
        <v/>
      </c>
      <c r="FB258" s="66" t="str">
        <f t="shared" si="3688"/>
        <v/>
      </c>
      <c r="FC258" s="66" t="str">
        <f t="shared" si="3689"/>
        <v/>
      </c>
      <c r="FD258" s="66" t="str">
        <f t="shared" si="3690"/>
        <v/>
      </c>
      <c r="FE258" s="66" t="str">
        <f t="shared" si="3691"/>
        <v/>
      </c>
      <c r="FF258" s="66" t="str">
        <f t="shared" si="3692"/>
        <v/>
      </c>
      <c r="FG258" s="66" t="str">
        <f t="shared" si="3693"/>
        <v/>
      </c>
      <c r="FH258" s="66" t="str">
        <f t="shared" si="3694"/>
        <v/>
      </c>
      <c r="FI258" s="66" t="str">
        <f t="shared" si="3695"/>
        <v/>
      </c>
      <c r="FJ258" s="66" t="str">
        <f t="shared" si="3696"/>
        <v/>
      </c>
      <c r="FK258" s="66" t="str">
        <f t="shared" si="3697"/>
        <v/>
      </c>
      <c r="FL258" s="66" t="str">
        <f t="shared" si="3698"/>
        <v/>
      </c>
      <c r="FM258" s="66" t="str">
        <f t="shared" si="3699"/>
        <v/>
      </c>
      <c r="FN258" s="66" t="str">
        <f t="shared" si="3700"/>
        <v/>
      </c>
      <c r="FO258" s="66" t="str">
        <f t="shared" si="3701"/>
        <v/>
      </c>
      <c r="FP258" s="66" t="str">
        <f t="shared" si="3702"/>
        <v/>
      </c>
      <c r="FQ258" s="66" t="str">
        <f t="shared" si="3703"/>
        <v/>
      </c>
      <c r="FR258" s="66" t="str">
        <f t="shared" si="3704"/>
        <v/>
      </c>
      <c r="FS258" s="66" t="str">
        <f t="shared" si="3705"/>
        <v/>
      </c>
    </row>
    <row r="259" spans="1:175" ht="16.5">
      <c r="A259" s="2"/>
      <c r="B259" s="9" t="s">
        <v>801</v>
      </c>
      <c r="C259" s="9" t="s">
        <v>802</v>
      </c>
      <c r="E259" s="114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2"/>
      <c r="Q259" s="92"/>
      <c r="R259" s="92"/>
      <c r="S259" s="92"/>
      <c r="T259" s="120"/>
      <c r="U259" s="77"/>
      <c r="CU259" s="88" t="str">
        <f t="shared" si="3635"/>
        <v>|n</v>
      </c>
      <c r="CW259" s="33"/>
      <c r="CX259" s="33"/>
      <c r="CY259" s="33"/>
      <c r="CZ259" s="33"/>
      <c r="DA259" s="33"/>
      <c r="DB259" s="66" t="str">
        <f t="shared" si="3636"/>
        <v/>
      </c>
      <c r="DC259" s="66" t="str">
        <f t="shared" si="3637"/>
        <v/>
      </c>
      <c r="DD259" s="66" t="str">
        <f t="shared" si="3638"/>
        <v/>
      </c>
      <c r="DE259" s="66" t="str">
        <f t="shared" si="3639"/>
        <v/>
      </c>
      <c r="DF259" s="66" t="str">
        <f t="shared" si="3640"/>
        <v/>
      </c>
      <c r="DG259" s="66" t="str">
        <f t="shared" si="3641"/>
        <v/>
      </c>
      <c r="DH259" s="66" t="str">
        <f t="shared" si="3642"/>
        <v/>
      </c>
      <c r="DI259" s="66" t="str">
        <f t="shared" si="3643"/>
        <v/>
      </c>
      <c r="DJ259" s="66" t="str">
        <f t="shared" si="3644"/>
        <v/>
      </c>
      <c r="DK259" s="66" t="str">
        <f t="shared" si="3645"/>
        <v/>
      </c>
      <c r="DL259" s="66" t="str">
        <f t="shared" si="3646"/>
        <v/>
      </c>
      <c r="DM259" s="66" t="str">
        <f t="shared" si="3647"/>
        <v/>
      </c>
      <c r="DN259" s="66" t="str">
        <f t="shared" si="3648"/>
        <v/>
      </c>
      <c r="DO259" s="66" t="str">
        <f t="shared" si="3649"/>
        <v/>
      </c>
      <c r="DP259" s="66" t="str">
        <f t="shared" si="3650"/>
        <v/>
      </c>
      <c r="DQ259" s="66" t="str">
        <f t="shared" si="3651"/>
        <v/>
      </c>
      <c r="DR259" s="66" t="str">
        <f t="shared" si="3652"/>
        <v/>
      </c>
      <c r="DS259" s="66" t="str">
        <f t="shared" si="3653"/>
        <v/>
      </c>
      <c r="DT259" s="66" t="str">
        <f t="shared" si="3654"/>
        <v/>
      </c>
      <c r="DU259" s="66" t="str">
        <f t="shared" si="3655"/>
        <v/>
      </c>
      <c r="DV259" s="66" t="str">
        <f t="shared" si="3656"/>
        <v/>
      </c>
      <c r="DW259" s="66" t="str">
        <f t="shared" si="3657"/>
        <v/>
      </c>
      <c r="DX259" s="66" t="str">
        <f t="shared" si="3658"/>
        <v/>
      </c>
      <c r="DY259" s="66" t="str">
        <f t="shared" si="3659"/>
        <v/>
      </c>
      <c r="DZ259" s="66" t="str">
        <f t="shared" si="3660"/>
        <v/>
      </c>
      <c r="EA259" s="66" t="str">
        <f t="shared" si="3661"/>
        <v/>
      </c>
      <c r="EB259" s="66" t="str">
        <f t="shared" si="3662"/>
        <v/>
      </c>
      <c r="EC259" s="66" t="str">
        <f t="shared" si="3663"/>
        <v/>
      </c>
      <c r="ED259" s="66" t="str">
        <f t="shared" si="3664"/>
        <v/>
      </c>
      <c r="EE259" s="66" t="str">
        <f t="shared" si="3665"/>
        <v/>
      </c>
      <c r="EF259" s="66" t="str">
        <f t="shared" si="3666"/>
        <v/>
      </c>
      <c r="EG259" s="66" t="str">
        <f t="shared" si="3667"/>
        <v/>
      </c>
      <c r="EH259" s="66" t="str">
        <f t="shared" si="3668"/>
        <v/>
      </c>
      <c r="EI259" s="66" t="str">
        <f t="shared" si="3669"/>
        <v/>
      </c>
      <c r="EJ259" s="66" t="str">
        <f t="shared" si="3670"/>
        <v/>
      </c>
      <c r="EK259" s="66" t="str">
        <f t="shared" si="3671"/>
        <v/>
      </c>
      <c r="EL259" s="66" t="str">
        <f t="shared" si="3672"/>
        <v/>
      </c>
      <c r="EM259" s="66" t="str">
        <f t="shared" si="3673"/>
        <v/>
      </c>
      <c r="EN259" s="66" t="str">
        <f t="shared" si="3674"/>
        <v/>
      </c>
      <c r="EO259" s="66" t="str">
        <f t="shared" si="3675"/>
        <v/>
      </c>
      <c r="EP259" s="66" t="str">
        <f t="shared" si="3676"/>
        <v/>
      </c>
      <c r="EQ259" s="66" t="str">
        <f t="shared" si="3677"/>
        <v/>
      </c>
      <c r="ER259" s="66" t="str">
        <f t="shared" si="3678"/>
        <v/>
      </c>
      <c r="ES259" s="66" t="str">
        <f t="shared" si="3679"/>
        <v/>
      </c>
      <c r="ET259" s="66" t="str">
        <f t="shared" si="3680"/>
        <v/>
      </c>
      <c r="EU259" s="66" t="str">
        <f t="shared" si="3681"/>
        <v/>
      </c>
      <c r="EV259" s="66" t="str">
        <f t="shared" si="3682"/>
        <v/>
      </c>
      <c r="EW259" s="66" t="str">
        <f t="shared" si="3683"/>
        <v/>
      </c>
      <c r="EX259" s="66" t="str">
        <f t="shared" si="3684"/>
        <v/>
      </c>
      <c r="EY259" s="66" t="str">
        <f t="shared" si="3685"/>
        <v/>
      </c>
      <c r="EZ259" s="66" t="str">
        <f t="shared" si="3686"/>
        <v/>
      </c>
      <c r="FA259" s="66" t="str">
        <f t="shared" si="3687"/>
        <v/>
      </c>
      <c r="FB259" s="66" t="str">
        <f t="shared" si="3688"/>
        <v/>
      </c>
      <c r="FC259" s="66" t="str">
        <f t="shared" si="3689"/>
        <v/>
      </c>
      <c r="FD259" s="66" t="str">
        <f t="shared" si="3690"/>
        <v/>
      </c>
      <c r="FE259" s="66" t="str">
        <f t="shared" si="3691"/>
        <v/>
      </c>
      <c r="FF259" s="66" t="str">
        <f t="shared" si="3692"/>
        <v/>
      </c>
      <c r="FG259" s="66" t="str">
        <f t="shared" si="3693"/>
        <v/>
      </c>
      <c r="FH259" s="66" t="str">
        <f t="shared" si="3694"/>
        <v/>
      </c>
      <c r="FI259" s="66" t="str">
        <f t="shared" si="3695"/>
        <v/>
      </c>
      <c r="FJ259" s="66" t="str">
        <f t="shared" si="3696"/>
        <v/>
      </c>
      <c r="FK259" s="66" t="str">
        <f t="shared" si="3697"/>
        <v/>
      </c>
      <c r="FL259" s="66" t="str">
        <f t="shared" si="3698"/>
        <v/>
      </c>
      <c r="FM259" s="66" t="str">
        <f t="shared" si="3699"/>
        <v/>
      </c>
      <c r="FN259" s="66" t="str">
        <f t="shared" si="3700"/>
        <v/>
      </c>
      <c r="FO259" s="66" t="str">
        <f t="shared" si="3701"/>
        <v/>
      </c>
      <c r="FP259" s="66" t="str">
        <f t="shared" si="3702"/>
        <v/>
      </c>
      <c r="FQ259" s="66" t="str">
        <f t="shared" si="3703"/>
        <v/>
      </c>
      <c r="FR259" s="66" t="str">
        <f t="shared" si="3704"/>
        <v/>
      </c>
      <c r="FS259" s="66" t="str">
        <f t="shared" si="3705"/>
        <v/>
      </c>
    </row>
    <row r="260" spans="1:175" ht="16.5">
      <c r="A260" s="2"/>
      <c r="B260" s="1"/>
      <c r="C260" s="2"/>
      <c r="E260" s="114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2"/>
      <c r="Q260" s="92"/>
      <c r="R260" s="92"/>
      <c r="S260" s="92"/>
      <c r="T260" s="120"/>
      <c r="U260" s="77"/>
      <c r="CU260" s="88" t="str">
        <f t="shared" si="3635"/>
        <v>|n</v>
      </c>
      <c r="CW260" s="33"/>
      <c r="CX260" s="33"/>
      <c r="CY260" s="33"/>
      <c r="CZ260" s="33"/>
      <c r="DA260" s="33"/>
      <c r="DB260" s="66" t="str">
        <f t="shared" si="3636"/>
        <v/>
      </c>
      <c r="DC260" s="66" t="str">
        <f t="shared" si="3637"/>
        <v/>
      </c>
      <c r="DD260" s="66" t="str">
        <f t="shared" si="3638"/>
        <v/>
      </c>
      <c r="DE260" s="66" t="str">
        <f t="shared" si="3639"/>
        <v/>
      </c>
      <c r="DF260" s="66" t="str">
        <f t="shared" si="3640"/>
        <v/>
      </c>
      <c r="DG260" s="66" t="str">
        <f t="shared" si="3641"/>
        <v/>
      </c>
      <c r="DH260" s="66" t="str">
        <f t="shared" si="3642"/>
        <v/>
      </c>
      <c r="DI260" s="66" t="str">
        <f t="shared" si="3643"/>
        <v/>
      </c>
      <c r="DJ260" s="66" t="str">
        <f t="shared" si="3644"/>
        <v/>
      </c>
      <c r="DK260" s="66" t="str">
        <f t="shared" si="3645"/>
        <v/>
      </c>
      <c r="DL260" s="66" t="str">
        <f t="shared" si="3646"/>
        <v/>
      </c>
      <c r="DM260" s="66" t="str">
        <f t="shared" si="3647"/>
        <v/>
      </c>
      <c r="DN260" s="66" t="str">
        <f t="shared" si="3648"/>
        <v/>
      </c>
      <c r="DO260" s="66" t="str">
        <f t="shared" si="3649"/>
        <v/>
      </c>
      <c r="DP260" s="66" t="str">
        <f t="shared" si="3650"/>
        <v/>
      </c>
      <c r="DQ260" s="66" t="str">
        <f t="shared" si="3651"/>
        <v/>
      </c>
      <c r="DR260" s="66" t="str">
        <f t="shared" si="3652"/>
        <v/>
      </c>
      <c r="DS260" s="66" t="str">
        <f t="shared" si="3653"/>
        <v/>
      </c>
      <c r="DT260" s="66" t="str">
        <f t="shared" si="3654"/>
        <v/>
      </c>
      <c r="DU260" s="66" t="str">
        <f t="shared" si="3655"/>
        <v/>
      </c>
      <c r="DV260" s="66" t="str">
        <f t="shared" si="3656"/>
        <v/>
      </c>
      <c r="DW260" s="66" t="str">
        <f t="shared" si="3657"/>
        <v/>
      </c>
      <c r="DX260" s="66" t="str">
        <f t="shared" si="3658"/>
        <v/>
      </c>
      <c r="DY260" s="66" t="str">
        <f t="shared" si="3659"/>
        <v/>
      </c>
      <c r="DZ260" s="66" t="str">
        <f t="shared" si="3660"/>
        <v/>
      </c>
      <c r="EA260" s="66" t="str">
        <f t="shared" si="3661"/>
        <v/>
      </c>
      <c r="EB260" s="66" t="str">
        <f t="shared" si="3662"/>
        <v/>
      </c>
      <c r="EC260" s="66" t="str">
        <f t="shared" si="3663"/>
        <v/>
      </c>
      <c r="ED260" s="66" t="str">
        <f t="shared" si="3664"/>
        <v/>
      </c>
      <c r="EE260" s="66" t="str">
        <f t="shared" si="3665"/>
        <v/>
      </c>
      <c r="EF260" s="66" t="str">
        <f t="shared" si="3666"/>
        <v/>
      </c>
      <c r="EG260" s="66" t="str">
        <f t="shared" si="3667"/>
        <v/>
      </c>
      <c r="EH260" s="66" t="str">
        <f t="shared" si="3668"/>
        <v/>
      </c>
      <c r="EI260" s="66" t="str">
        <f t="shared" si="3669"/>
        <v/>
      </c>
      <c r="EJ260" s="66" t="str">
        <f t="shared" si="3670"/>
        <v/>
      </c>
      <c r="EK260" s="66" t="str">
        <f t="shared" si="3671"/>
        <v/>
      </c>
      <c r="EL260" s="66" t="str">
        <f t="shared" si="3672"/>
        <v/>
      </c>
      <c r="EM260" s="66" t="str">
        <f t="shared" si="3673"/>
        <v/>
      </c>
      <c r="EN260" s="66" t="str">
        <f t="shared" si="3674"/>
        <v/>
      </c>
      <c r="EO260" s="66" t="str">
        <f t="shared" si="3675"/>
        <v/>
      </c>
      <c r="EP260" s="66" t="str">
        <f t="shared" si="3676"/>
        <v/>
      </c>
      <c r="EQ260" s="66" t="str">
        <f t="shared" si="3677"/>
        <v/>
      </c>
      <c r="ER260" s="66" t="str">
        <f t="shared" si="3678"/>
        <v/>
      </c>
      <c r="ES260" s="66" t="str">
        <f t="shared" si="3679"/>
        <v/>
      </c>
      <c r="ET260" s="66" t="str">
        <f t="shared" si="3680"/>
        <v/>
      </c>
      <c r="EU260" s="66" t="str">
        <f t="shared" si="3681"/>
        <v/>
      </c>
      <c r="EV260" s="66" t="str">
        <f t="shared" si="3682"/>
        <v/>
      </c>
      <c r="EW260" s="66" t="str">
        <f t="shared" si="3683"/>
        <v/>
      </c>
      <c r="EX260" s="66" t="str">
        <f t="shared" si="3684"/>
        <v/>
      </c>
      <c r="EY260" s="66" t="str">
        <f t="shared" si="3685"/>
        <v/>
      </c>
      <c r="EZ260" s="66" t="str">
        <f t="shared" si="3686"/>
        <v/>
      </c>
      <c r="FA260" s="66" t="str">
        <f t="shared" si="3687"/>
        <v/>
      </c>
      <c r="FB260" s="66" t="str">
        <f t="shared" si="3688"/>
        <v/>
      </c>
      <c r="FC260" s="66" t="str">
        <f t="shared" si="3689"/>
        <v/>
      </c>
      <c r="FD260" s="66" t="str">
        <f t="shared" si="3690"/>
        <v/>
      </c>
      <c r="FE260" s="66" t="str">
        <f t="shared" si="3691"/>
        <v/>
      </c>
      <c r="FF260" s="66" t="str">
        <f t="shared" si="3692"/>
        <v/>
      </c>
      <c r="FG260" s="66" t="str">
        <f t="shared" si="3693"/>
        <v/>
      </c>
      <c r="FH260" s="66" t="str">
        <f t="shared" si="3694"/>
        <v/>
      </c>
      <c r="FI260" s="66" t="str">
        <f t="shared" si="3695"/>
        <v/>
      </c>
      <c r="FJ260" s="66" t="str">
        <f t="shared" si="3696"/>
        <v/>
      </c>
      <c r="FK260" s="66" t="str">
        <f t="shared" si="3697"/>
        <v/>
      </c>
      <c r="FL260" s="66" t="str">
        <f t="shared" si="3698"/>
        <v/>
      </c>
      <c r="FM260" s="66" t="str">
        <f t="shared" si="3699"/>
        <v/>
      </c>
      <c r="FN260" s="66" t="str">
        <f t="shared" si="3700"/>
        <v/>
      </c>
      <c r="FO260" s="66" t="str">
        <f t="shared" si="3701"/>
        <v/>
      </c>
      <c r="FP260" s="66" t="str">
        <f t="shared" si="3702"/>
        <v/>
      </c>
      <c r="FQ260" s="66" t="str">
        <f t="shared" si="3703"/>
        <v/>
      </c>
      <c r="FR260" s="66" t="str">
        <f t="shared" si="3704"/>
        <v/>
      </c>
      <c r="FS260" s="66" t="str">
        <f t="shared" si="3705"/>
        <v/>
      </c>
    </row>
    <row r="261" spans="1:175" ht="16.5">
      <c r="A261" s="2"/>
      <c r="B261" s="1"/>
      <c r="C261" s="2"/>
      <c r="E261" s="114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2"/>
      <c r="Q261" s="92"/>
      <c r="R261" s="92"/>
      <c r="S261" s="92"/>
      <c r="T261" s="120"/>
      <c r="U261" s="77"/>
      <c r="CU261" s="88" t="str">
        <f t="shared" si="3635"/>
        <v>|n</v>
      </c>
      <c r="CW261" s="33"/>
      <c r="CX261" s="33"/>
      <c r="CY261" s="33"/>
      <c r="CZ261" s="33"/>
      <c r="DA261" s="33"/>
      <c r="DB261" s="66" t="str">
        <f t="shared" si="3636"/>
        <v/>
      </c>
      <c r="DC261" s="66" t="str">
        <f t="shared" si="3637"/>
        <v/>
      </c>
      <c r="DD261" s="66" t="str">
        <f t="shared" si="3638"/>
        <v/>
      </c>
      <c r="DE261" s="66" t="str">
        <f t="shared" si="3639"/>
        <v/>
      </c>
      <c r="DF261" s="66" t="str">
        <f t="shared" si="3640"/>
        <v/>
      </c>
      <c r="DG261" s="66" t="str">
        <f t="shared" si="3641"/>
        <v/>
      </c>
      <c r="DH261" s="66" t="str">
        <f t="shared" si="3642"/>
        <v/>
      </c>
      <c r="DI261" s="66" t="str">
        <f t="shared" si="3643"/>
        <v/>
      </c>
      <c r="DJ261" s="66" t="str">
        <f t="shared" si="3644"/>
        <v/>
      </c>
      <c r="DK261" s="66" t="str">
        <f t="shared" si="3645"/>
        <v/>
      </c>
      <c r="DL261" s="66" t="str">
        <f t="shared" si="3646"/>
        <v/>
      </c>
      <c r="DM261" s="66" t="str">
        <f t="shared" si="3647"/>
        <v/>
      </c>
      <c r="DN261" s="66" t="str">
        <f t="shared" si="3648"/>
        <v/>
      </c>
      <c r="DO261" s="66" t="str">
        <f t="shared" si="3649"/>
        <v/>
      </c>
      <c r="DP261" s="66" t="str">
        <f t="shared" si="3650"/>
        <v/>
      </c>
      <c r="DQ261" s="66" t="str">
        <f t="shared" si="3651"/>
        <v/>
      </c>
      <c r="DR261" s="66" t="str">
        <f t="shared" si="3652"/>
        <v/>
      </c>
      <c r="DS261" s="66" t="str">
        <f t="shared" si="3653"/>
        <v/>
      </c>
      <c r="DT261" s="66" t="str">
        <f t="shared" si="3654"/>
        <v/>
      </c>
      <c r="DU261" s="66" t="str">
        <f t="shared" si="3655"/>
        <v/>
      </c>
      <c r="DV261" s="66" t="str">
        <f t="shared" si="3656"/>
        <v/>
      </c>
      <c r="DW261" s="66" t="str">
        <f t="shared" si="3657"/>
        <v/>
      </c>
      <c r="DX261" s="66" t="str">
        <f t="shared" si="3658"/>
        <v/>
      </c>
      <c r="DY261" s="66" t="str">
        <f t="shared" si="3659"/>
        <v/>
      </c>
      <c r="DZ261" s="66" t="str">
        <f t="shared" si="3660"/>
        <v/>
      </c>
      <c r="EA261" s="66" t="str">
        <f t="shared" si="3661"/>
        <v/>
      </c>
      <c r="EB261" s="66" t="str">
        <f t="shared" si="3662"/>
        <v/>
      </c>
      <c r="EC261" s="66" t="str">
        <f t="shared" si="3663"/>
        <v/>
      </c>
      <c r="ED261" s="66" t="str">
        <f t="shared" si="3664"/>
        <v/>
      </c>
      <c r="EE261" s="66" t="str">
        <f t="shared" si="3665"/>
        <v/>
      </c>
      <c r="EF261" s="66" t="str">
        <f t="shared" si="3666"/>
        <v/>
      </c>
      <c r="EG261" s="66" t="str">
        <f t="shared" si="3667"/>
        <v/>
      </c>
      <c r="EH261" s="66" t="str">
        <f t="shared" si="3668"/>
        <v/>
      </c>
      <c r="EI261" s="66" t="str">
        <f t="shared" si="3669"/>
        <v/>
      </c>
      <c r="EJ261" s="66" t="str">
        <f t="shared" si="3670"/>
        <v/>
      </c>
      <c r="EK261" s="66" t="str">
        <f t="shared" si="3671"/>
        <v/>
      </c>
      <c r="EL261" s="66" t="str">
        <f t="shared" si="3672"/>
        <v/>
      </c>
      <c r="EM261" s="66" t="str">
        <f t="shared" si="3673"/>
        <v/>
      </c>
      <c r="EN261" s="66" t="str">
        <f t="shared" si="3674"/>
        <v/>
      </c>
      <c r="EO261" s="66" t="str">
        <f t="shared" si="3675"/>
        <v/>
      </c>
      <c r="EP261" s="66" t="str">
        <f t="shared" si="3676"/>
        <v/>
      </c>
      <c r="EQ261" s="66" t="str">
        <f t="shared" si="3677"/>
        <v/>
      </c>
      <c r="ER261" s="66" t="str">
        <f t="shared" si="3678"/>
        <v/>
      </c>
      <c r="ES261" s="66" t="str">
        <f t="shared" si="3679"/>
        <v/>
      </c>
      <c r="ET261" s="66" t="str">
        <f t="shared" si="3680"/>
        <v/>
      </c>
      <c r="EU261" s="66" t="str">
        <f t="shared" si="3681"/>
        <v/>
      </c>
      <c r="EV261" s="66" t="str">
        <f t="shared" si="3682"/>
        <v/>
      </c>
      <c r="EW261" s="66" t="str">
        <f t="shared" si="3683"/>
        <v/>
      </c>
      <c r="EX261" s="66" t="str">
        <f t="shared" si="3684"/>
        <v/>
      </c>
      <c r="EY261" s="66" t="str">
        <f t="shared" si="3685"/>
        <v/>
      </c>
      <c r="EZ261" s="66" t="str">
        <f t="shared" si="3686"/>
        <v/>
      </c>
      <c r="FA261" s="66" t="str">
        <f t="shared" si="3687"/>
        <v/>
      </c>
      <c r="FB261" s="66" t="str">
        <f t="shared" si="3688"/>
        <v/>
      </c>
      <c r="FC261" s="66" t="str">
        <f t="shared" si="3689"/>
        <v/>
      </c>
      <c r="FD261" s="66" t="str">
        <f t="shared" si="3690"/>
        <v/>
      </c>
      <c r="FE261" s="66" t="str">
        <f t="shared" si="3691"/>
        <v/>
      </c>
      <c r="FF261" s="66" t="str">
        <f t="shared" si="3692"/>
        <v/>
      </c>
      <c r="FG261" s="66" t="str">
        <f t="shared" si="3693"/>
        <v/>
      </c>
      <c r="FH261" s="66" t="str">
        <f t="shared" si="3694"/>
        <v/>
      </c>
      <c r="FI261" s="66" t="str">
        <f t="shared" si="3695"/>
        <v/>
      </c>
      <c r="FJ261" s="66" t="str">
        <f t="shared" si="3696"/>
        <v/>
      </c>
      <c r="FK261" s="66" t="str">
        <f t="shared" si="3697"/>
        <v/>
      </c>
      <c r="FL261" s="66" t="str">
        <f t="shared" si="3698"/>
        <v/>
      </c>
      <c r="FM261" s="66" t="str">
        <f t="shared" si="3699"/>
        <v/>
      </c>
      <c r="FN261" s="66" t="str">
        <f t="shared" si="3700"/>
        <v/>
      </c>
      <c r="FO261" s="66" t="str">
        <f t="shared" si="3701"/>
        <v/>
      </c>
      <c r="FP261" s="66" t="str">
        <f t="shared" si="3702"/>
        <v/>
      </c>
      <c r="FQ261" s="66" t="str">
        <f t="shared" si="3703"/>
        <v/>
      </c>
      <c r="FR261" s="66" t="str">
        <f t="shared" si="3704"/>
        <v/>
      </c>
      <c r="FS261" s="66" t="str">
        <f t="shared" si="3705"/>
        <v/>
      </c>
    </row>
    <row r="262" spans="1:175" ht="16.5">
      <c r="A262" s="2"/>
      <c r="B262" s="1"/>
      <c r="C262" s="2"/>
      <c r="E262" s="114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92"/>
      <c r="Q262" s="92"/>
      <c r="R262" s="92"/>
      <c r="S262" s="92"/>
      <c r="T262" s="120"/>
      <c r="U262" s="77"/>
      <c r="CU262" s="88" t="str">
        <f t="shared" si="3635"/>
        <v>|n</v>
      </c>
      <c r="CW262" s="33"/>
      <c r="CX262" s="33"/>
      <c r="CY262" s="33"/>
      <c r="CZ262" s="33"/>
      <c r="DA262" s="33"/>
      <c r="DB262" s="66" t="str">
        <f t="shared" si="3636"/>
        <v/>
      </c>
      <c r="DC262" s="66" t="str">
        <f t="shared" si="3637"/>
        <v/>
      </c>
      <c r="DD262" s="66" t="str">
        <f t="shared" si="3638"/>
        <v/>
      </c>
      <c r="DE262" s="66" t="str">
        <f t="shared" si="3639"/>
        <v/>
      </c>
      <c r="DF262" s="66" t="str">
        <f t="shared" si="3640"/>
        <v/>
      </c>
      <c r="DG262" s="66" t="str">
        <f t="shared" si="3641"/>
        <v/>
      </c>
      <c r="DH262" s="66" t="str">
        <f t="shared" si="3642"/>
        <v/>
      </c>
      <c r="DI262" s="66" t="str">
        <f t="shared" si="3643"/>
        <v/>
      </c>
      <c r="DJ262" s="66" t="str">
        <f t="shared" si="3644"/>
        <v/>
      </c>
      <c r="DK262" s="66" t="str">
        <f t="shared" si="3645"/>
        <v/>
      </c>
      <c r="DL262" s="66" t="str">
        <f t="shared" si="3646"/>
        <v/>
      </c>
      <c r="DM262" s="66" t="str">
        <f t="shared" si="3647"/>
        <v/>
      </c>
      <c r="DN262" s="66" t="str">
        <f t="shared" si="3648"/>
        <v/>
      </c>
      <c r="DO262" s="66" t="str">
        <f t="shared" si="3649"/>
        <v/>
      </c>
      <c r="DP262" s="66" t="str">
        <f t="shared" si="3650"/>
        <v/>
      </c>
      <c r="DQ262" s="66" t="str">
        <f t="shared" si="3651"/>
        <v/>
      </c>
      <c r="DR262" s="66" t="str">
        <f t="shared" si="3652"/>
        <v/>
      </c>
      <c r="DS262" s="66" t="str">
        <f t="shared" si="3653"/>
        <v/>
      </c>
      <c r="DT262" s="66" t="str">
        <f t="shared" si="3654"/>
        <v/>
      </c>
      <c r="DU262" s="66" t="str">
        <f t="shared" si="3655"/>
        <v/>
      </c>
      <c r="DV262" s="66" t="str">
        <f t="shared" si="3656"/>
        <v/>
      </c>
      <c r="DW262" s="66" t="str">
        <f t="shared" si="3657"/>
        <v/>
      </c>
      <c r="DX262" s="66" t="str">
        <f t="shared" si="3658"/>
        <v/>
      </c>
      <c r="DY262" s="66" t="str">
        <f t="shared" si="3659"/>
        <v/>
      </c>
      <c r="DZ262" s="66" t="str">
        <f t="shared" si="3660"/>
        <v/>
      </c>
      <c r="EA262" s="66" t="str">
        <f t="shared" si="3661"/>
        <v/>
      </c>
      <c r="EB262" s="66" t="str">
        <f t="shared" si="3662"/>
        <v/>
      </c>
      <c r="EC262" s="66" t="str">
        <f t="shared" si="3663"/>
        <v/>
      </c>
      <c r="ED262" s="66" t="str">
        <f t="shared" si="3664"/>
        <v/>
      </c>
      <c r="EE262" s="66" t="str">
        <f t="shared" si="3665"/>
        <v/>
      </c>
      <c r="EF262" s="66" t="str">
        <f t="shared" si="3666"/>
        <v/>
      </c>
      <c r="EG262" s="66" t="str">
        <f t="shared" si="3667"/>
        <v/>
      </c>
      <c r="EH262" s="66" t="str">
        <f t="shared" si="3668"/>
        <v/>
      </c>
      <c r="EI262" s="66" t="str">
        <f t="shared" si="3669"/>
        <v/>
      </c>
      <c r="EJ262" s="66" t="str">
        <f t="shared" si="3670"/>
        <v/>
      </c>
      <c r="EK262" s="66" t="str">
        <f t="shared" si="3671"/>
        <v/>
      </c>
      <c r="EL262" s="66" t="str">
        <f t="shared" si="3672"/>
        <v/>
      </c>
      <c r="EM262" s="66" t="str">
        <f t="shared" si="3673"/>
        <v/>
      </c>
      <c r="EN262" s="66" t="str">
        <f t="shared" si="3674"/>
        <v/>
      </c>
      <c r="EO262" s="66" t="str">
        <f t="shared" si="3675"/>
        <v/>
      </c>
      <c r="EP262" s="66" t="str">
        <f t="shared" si="3676"/>
        <v/>
      </c>
      <c r="EQ262" s="66" t="str">
        <f t="shared" si="3677"/>
        <v/>
      </c>
      <c r="ER262" s="66" t="str">
        <f t="shared" si="3678"/>
        <v/>
      </c>
      <c r="ES262" s="66" t="str">
        <f t="shared" si="3679"/>
        <v/>
      </c>
      <c r="ET262" s="66" t="str">
        <f t="shared" si="3680"/>
        <v/>
      </c>
      <c r="EU262" s="66" t="str">
        <f t="shared" si="3681"/>
        <v/>
      </c>
      <c r="EV262" s="66" t="str">
        <f t="shared" si="3682"/>
        <v/>
      </c>
      <c r="EW262" s="66" t="str">
        <f t="shared" si="3683"/>
        <v/>
      </c>
      <c r="EX262" s="66" t="str">
        <f t="shared" si="3684"/>
        <v/>
      </c>
      <c r="EY262" s="66" t="str">
        <f t="shared" si="3685"/>
        <v/>
      </c>
      <c r="EZ262" s="66" t="str">
        <f t="shared" si="3686"/>
        <v/>
      </c>
      <c r="FA262" s="66" t="str">
        <f t="shared" si="3687"/>
        <v/>
      </c>
      <c r="FB262" s="66" t="str">
        <f t="shared" si="3688"/>
        <v/>
      </c>
      <c r="FC262" s="66" t="str">
        <f t="shared" si="3689"/>
        <v/>
      </c>
      <c r="FD262" s="66" t="str">
        <f t="shared" si="3690"/>
        <v/>
      </c>
      <c r="FE262" s="66" t="str">
        <f t="shared" si="3691"/>
        <v/>
      </c>
      <c r="FF262" s="66" t="str">
        <f t="shared" si="3692"/>
        <v/>
      </c>
      <c r="FG262" s="66" t="str">
        <f t="shared" si="3693"/>
        <v/>
      </c>
      <c r="FH262" s="66" t="str">
        <f t="shared" si="3694"/>
        <v/>
      </c>
      <c r="FI262" s="66" t="str">
        <f t="shared" si="3695"/>
        <v/>
      </c>
      <c r="FJ262" s="66" t="str">
        <f t="shared" si="3696"/>
        <v/>
      </c>
      <c r="FK262" s="66" t="str">
        <f t="shared" si="3697"/>
        <v/>
      </c>
      <c r="FL262" s="66" t="str">
        <f t="shared" si="3698"/>
        <v/>
      </c>
      <c r="FM262" s="66" t="str">
        <f t="shared" si="3699"/>
        <v/>
      </c>
      <c r="FN262" s="66" t="str">
        <f t="shared" si="3700"/>
        <v/>
      </c>
      <c r="FO262" s="66" t="str">
        <f t="shared" si="3701"/>
        <v/>
      </c>
      <c r="FP262" s="66" t="str">
        <f t="shared" si="3702"/>
        <v/>
      </c>
      <c r="FQ262" s="66" t="str">
        <f t="shared" si="3703"/>
        <v/>
      </c>
      <c r="FR262" s="66" t="str">
        <f t="shared" si="3704"/>
        <v/>
      </c>
      <c r="FS262" s="66" t="str">
        <f t="shared" si="3705"/>
        <v/>
      </c>
    </row>
    <row r="263" spans="1:175" ht="16.5">
      <c r="A263" s="2"/>
      <c r="B263" s="1"/>
      <c r="C263" s="2"/>
      <c r="E263" s="114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92"/>
      <c r="Q263" s="92"/>
      <c r="R263" s="92"/>
      <c r="S263" s="92"/>
      <c r="T263" s="120"/>
      <c r="U263" s="77"/>
      <c r="CU263" s="88" t="str">
        <f t="shared" si="3635"/>
        <v>|n</v>
      </c>
      <c r="CW263" s="33"/>
      <c r="CX263" s="33"/>
      <c r="CY263" s="33"/>
      <c r="CZ263" s="33"/>
      <c r="DA263" s="33"/>
      <c r="DB263" s="66" t="str">
        <f t="shared" si="3636"/>
        <v/>
      </c>
      <c r="DC263" s="66" t="str">
        <f t="shared" si="3637"/>
        <v/>
      </c>
      <c r="DD263" s="66" t="str">
        <f t="shared" si="3638"/>
        <v/>
      </c>
      <c r="DE263" s="66" t="str">
        <f t="shared" si="3639"/>
        <v/>
      </c>
      <c r="DF263" s="66" t="str">
        <f t="shared" si="3640"/>
        <v/>
      </c>
      <c r="DG263" s="66" t="str">
        <f t="shared" si="3641"/>
        <v/>
      </c>
      <c r="DH263" s="66" t="str">
        <f t="shared" si="3642"/>
        <v/>
      </c>
      <c r="DI263" s="66" t="str">
        <f t="shared" si="3643"/>
        <v/>
      </c>
      <c r="DJ263" s="66" t="str">
        <f t="shared" si="3644"/>
        <v/>
      </c>
      <c r="DK263" s="66" t="str">
        <f t="shared" si="3645"/>
        <v/>
      </c>
      <c r="DL263" s="66" t="str">
        <f t="shared" si="3646"/>
        <v/>
      </c>
      <c r="DM263" s="66" t="str">
        <f t="shared" si="3647"/>
        <v/>
      </c>
      <c r="DN263" s="66" t="str">
        <f t="shared" si="3648"/>
        <v/>
      </c>
      <c r="DO263" s="66" t="str">
        <f t="shared" si="3649"/>
        <v/>
      </c>
      <c r="DP263" s="66" t="str">
        <f t="shared" si="3650"/>
        <v/>
      </c>
      <c r="DQ263" s="66" t="str">
        <f t="shared" si="3651"/>
        <v/>
      </c>
      <c r="DR263" s="66" t="str">
        <f t="shared" si="3652"/>
        <v/>
      </c>
      <c r="DS263" s="66" t="str">
        <f t="shared" si="3653"/>
        <v/>
      </c>
      <c r="DT263" s="66" t="str">
        <f t="shared" si="3654"/>
        <v/>
      </c>
      <c r="DU263" s="66" t="str">
        <f t="shared" si="3655"/>
        <v/>
      </c>
      <c r="DV263" s="66" t="str">
        <f t="shared" si="3656"/>
        <v/>
      </c>
      <c r="DW263" s="66" t="str">
        <f t="shared" si="3657"/>
        <v/>
      </c>
      <c r="DX263" s="66" t="str">
        <f t="shared" si="3658"/>
        <v/>
      </c>
      <c r="DY263" s="66" t="str">
        <f t="shared" si="3659"/>
        <v/>
      </c>
      <c r="DZ263" s="66" t="str">
        <f t="shared" si="3660"/>
        <v/>
      </c>
      <c r="EA263" s="66" t="str">
        <f t="shared" si="3661"/>
        <v/>
      </c>
      <c r="EB263" s="66" t="str">
        <f t="shared" si="3662"/>
        <v/>
      </c>
      <c r="EC263" s="66" t="str">
        <f t="shared" si="3663"/>
        <v/>
      </c>
      <c r="ED263" s="66" t="str">
        <f t="shared" si="3664"/>
        <v/>
      </c>
      <c r="EE263" s="66" t="str">
        <f t="shared" si="3665"/>
        <v/>
      </c>
      <c r="EF263" s="66" t="str">
        <f t="shared" si="3666"/>
        <v/>
      </c>
      <c r="EG263" s="66" t="str">
        <f t="shared" si="3667"/>
        <v/>
      </c>
      <c r="EH263" s="66" t="str">
        <f t="shared" si="3668"/>
        <v/>
      </c>
      <c r="EI263" s="66" t="str">
        <f t="shared" si="3669"/>
        <v/>
      </c>
      <c r="EJ263" s="66" t="str">
        <f t="shared" si="3670"/>
        <v/>
      </c>
      <c r="EK263" s="66" t="str">
        <f t="shared" si="3671"/>
        <v/>
      </c>
      <c r="EL263" s="66" t="str">
        <f t="shared" si="3672"/>
        <v/>
      </c>
      <c r="EM263" s="66" t="str">
        <f t="shared" si="3673"/>
        <v/>
      </c>
      <c r="EN263" s="66" t="str">
        <f t="shared" si="3674"/>
        <v/>
      </c>
      <c r="EO263" s="66" t="str">
        <f t="shared" si="3675"/>
        <v/>
      </c>
      <c r="EP263" s="66" t="str">
        <f t="shared" si="3676"/>
        <v/>
      </c>
      <c r="EQ263" s="66" t="str">
        <f t="shared" si="3677"/>
        <v/>
      </c>
      <c r="ER263" s="66" t="str">
        <f t="shared" si="3678"/>
        <v/>
      </c>
      <c r="ES263" s="66" t="str">
        <f t="shared" si="3679"/>
        <v/>
      </c>
      <c r="ET263" s="66" t="str">
        <f t="shared" si="3680"/>
        <v/>
      </c>
      <c r="EU263" s="66" t="str">
        <f t="shared" si="3681"/>
        <v/>
      </c>
      <c r="EV263" s="66" t="str">
        <f t="shared" si="3682"/>
        <v/>
      </c>
      <c r="EW263" s="66" t="str">
        <f t="shared" si="3683"/>
        <v/>
      </c>
      <c r="EX263" s="66" t="str">
        <f t="shared" si="3684"/>
        <v/>
      </c>
      <c r="EY263" s="66" t="str">
        <f t="shared" si="3685"/>
        <v/>
      </c>
      <c r="EZ263" s="66" t="str">
        <f t="shared" si="3686"/>
        <v/>
      </c>
      <c r="FA263" s="66" t="str">
        <f t="shared" si="3687"/>
        <v/>
      </c>
      <c r="FB263" s="66" t="str">
        <f t="shared" si="3688"/>
        <v/>
      </c>
      <c r="FC263" s="66" t="str">
        <f t="shared" si="3689"/>
        <v/>
      </c>
      <c r="FD263" s="66" t="str">
        <f t="shared" si="3690"/>
        <v/>
      </c>
      <c r="FE263" s="66" t="str">
        <f t="shared" si="3691"/>
        <v/>
      </c>
      <c r="FF263" s="66" t="str">
        <f t="shared" si="3692"/>
        <v/>
      </c>
      <c r="FG263" s="66" t="str">
        <f t="shared" si="3693"/>
        <v/>
      </c>
      <c r="FH263" s="66" t="str">
        <f t="shared" si="3694"/>
        <v/>
      </c>
      <c r="FI263" s="66" t="str">
        <f t="shared" si="3695"/>
        <v/>
      </c>
      <c r="FJ263" s="66" t="str">
        <f t="shared" si="3696"/>
        <v/>
      </c>
      <c r="FK263" s="66" t="str">
        <f t="shared" si="3697"/>
        <v/>
      </c>
      <c r="FL263" s="66" t="str">
        <f t="shared" si="3698"/>
        <v/>
      </c>
      <c r="FM263" s="66" t="str">
        <f t="shared" si="3699"/>
        <v/>
      </c>
      <c r="FN263" s="66" t="str">
        <f t="shared" si="3700"/>
        <v/>
      </c>
      <c r="FO263" s="66" t="str">
        <f t="shared" si="3701"/>
        <v/>
      </c>
      <c r="FP263" s="66" t="str">
        <f t="shared" si="3702"/>
        <v/>
      </c>
      <c r="FQ263" s="66" t="str">
        <f t="shared" si="3703"/>
        <v/>
      </c>
      <c r="FR263" s="66" t="str">
        <f t="shared" si="3704"/>
        <v/>
      </c>
      <c r="FS263" s="66" t="str">
        <f t="shared" si="3705"/>
        <v/>
      </c>
    </row>
    <row r="264" spans="1:175" ht="16.5">
      <c r="A264" s="2"/>
      <c r="B264" s="1"/>
      <c r="C264" s="2"/>
      <c r="E264" s="114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92"/>
      <c r="Q264" s="92"/>
      <c r="R264" s="92"/>
      <c r="S264" s="92"/>
      <c r="T264" s="120"/>
      <c r="U264" s="77"/>
      <c r="CU264" s="88" t="str">
        <f t="shared" si="3635"/>
        <v>|n</v>
      </c>
      <c r="CW264" s="33"/>
      <c r="CX264" s="33"/>
      <c r="CY264" s="33"/>
      <c r="CZ264" s="33"/>
      <c r="DA264" s="33"/>
      <c r="DB264" s="66" t="str">
        <f t="shared" si="3636"/>
        <v/>
      </c>
      <c r="DC264" s="66" t="str">
        <f t="shared" si="3637"/>
        <v/>
      </c>
      <c r="DD264" s="66" t="str">
        <f t="shared" si="3638"/>
        <v/>
      </c>
      <c r="DE264" s="66" t="str">
        <f t="shared" si="3639"/>
        <v/>
      </c>
      <c r="DF264" s="66" t="str">
        <f t="shared" si="3640"/>
        <v/>
      </c>
      <c r="DG264" s="66" t="str">
        <f t="shared" si="3641"/>
        <v/>
      </c>
      <c r="DH264" s="66" t="str">
        <f t="shared" si="3642"/>
        <v/>
      </c>
      <c r="DI264" s="66" t="str">
        <f t="shared" si="3643"/>
        <v/>
      </c>
      <c r="DJ264" s="66" t="str">
        <f t="shared" si="3644"/>
        <v/>
      </c>
      <c r="DK264" s="66" t="str">
        <f t="shared" si="3645"/>
        <v/>
      </c>
      <c r="DL264" s="66" t="str">
        <f t="shared" si="3646"/>
        <v/>
      </c>
      <c r="DM264" s="66" t="str">
        <f t="shared" si="3647"/>
        <v/>
      </c>
      <c r="DN264" s="66" t="str">
        <f t="shared" si="3648"/>
        <v/>
      </c>
      <c r="DO264" s="66" t="str">
        <f t="shared" si="3649"/>
        <v/>
      </c>
      <c r="DP264" s="66" t="str">
        <f t="shared" si="3650"/>
        <v/>
      </c>
      <c r="DQ264" s="66" t="str">
        <f t="shared" si="3651"/>
        <v/>
      </c>
      <c r="DR264" s="66" t="str">
        <f t="shared" si="3652"/>
        <v/>
      </c>
      <c r="DS264" s="66" t="str">
        <f t="shared" si="3653"/>
        <v/>
      </c>
      <c r="DT264" s="66" t="str">
        <f t="shared" si="3654"/>
        <v/>
      </c>
      <c r="DU264" s="66" t="str">
        <f t="shared" si="3655"/>
        <v/>
      </c>
      <c r="DV264" s="66" t="str">
        <f t="shared" si="3656"/>
        <v/>
      </c>
      <c r="DW264" s="66" t="str">
        <f t="shared" si="3657"/>
        <v/>
      </c>
      <c r="DX264" s="66" t="str">
        <f t="shared" si="3658"/>
        <v/>
      </c>
      <c r="DY264" s="66" t="str">
        <f t="shared" si="3659"/>
        <v/>
      </c>
      <c r="DZ264" s="66" t="str">
        <f t="shared" si="3660"/>
        <v/>
      </c>
      <c r="EA264" s="66" t="str">
        <f t="shared" si="3661"/>
        <v/>
      </c>
      <c r="EB264" s="66" t="str">
        <f t="shared" si="3662"/>
        <v/>
      </c>
      <c r="EC264" s="66" t="str">
        <f t="shared" si="3663"/>
        <v/>
      </c>
      <c r="ED264" s="66" t="str">
        <f t="shared" si="3664"/>
        <v/>
      </c>
      <c r="EE264" s="66" t="str">
        <f t="shared" si="3665"/>
        <v/>
      </c>
      <c r="EF264" s="66" t="str">
        <f t="shared" si="3666"/>
        <v/>
      </c>
      <c r="EG264" s="66" t="str">
        <f t="shared" si="3667"/>
        <v/>
      </c>
      <c r="EH264" s="66" t="str">
        <f t="shared" si="3668"/>
        <v/>
      </c>
      <c r="EI264" s="66" t="str">
        <f t="shared" si="3669"/>
        <v/>
      </c>
      <c r="EJ264" s="66" t="str">
        <f t="shared" si="3670"/>
        <v/>
      </c>
      <c r="EK264" s="66" t="str">
        <f t="shared" si="3671"/>
        <v/>
      </c>
      <c r="EL264" s="66" t="str">
        <f t="shared" si="3672"/>
        <v/>
      </c>
      <c r="EM264" s="66" t="str">
        <f t="shared" si="3673"/>
        <v/>
      </c>
      <c r="EN264" s="66" t="str">
        <f t="shared" si="3674"/>
        <v/>
      </c>
      <c r="EO264" s="66" t="str">
        <f t="shared" si="3675"/>
        <v/>
      </c>
      <c r="EP264" s="66" t="str">
        <f t="shared" si="3676"/>
        <v/>
      </c>
      <c r="EQ264" s="66" t="str">
        <f t="shared" si="3677"/>
        <v/>
      </c>
      <c r="ER264" s="66" t="str">
        <f t="shared" si="3678"/>
        <v/>
      </c>
      <c r="ES264" s="66" t="str">
        <f t="shared" si="3679"/>
        <v/>
      </c>
      <c r="ET264" s="66" t="str">
        <f t="shared" si="3680"/>
        <v/>
      </c>
      <c r="EU264" s="66" t="str">
        <f t="shared" si="3681"/>
        <v/>
      </c>
      <c r="EV264" s="66" t="str">
        <f t="shared" si="3682"/>
        <v/>
      </c>
      <c r="EW264" s="66" t="str">
        <f t="shared" si="3683"/>
        <v/>
      </c>
      <c r="EX264" s="66" t="str">
        <f t="shared" si="3684"/>
        <v/>
      </c>
      <c r="EY264" s="66" t="str">
        <f t="shared" si="3685"/>
        <v/>
      </c>
      <c r="EZ264" s="66" t="str">
        <f t="shared" si="3686"/>
        <v/>
      </c>
      <c r="FA264" s="66" t="str">
        <f t="shared" si="3687"/>
        <v/>
      </c>
      <c r="FB264" s="66" t="str">
        <f t="shared" si="3688"/>
        <v/>
      </c>
      <c r="FC264" s="66" t="str">
        <f t="shared" si="3689"/>
        <v/>
      </c>
      <c r="FD264" s="66" t="str">
        <f t="shared" si="3690"/>
        <v/>
      </c>
      <c r="FE264" s="66" t="str">
        <f t="shared" si="3691"/>
        <v/>
      </c>
      <c r="FF264" s="66" t="str">
        <f t="shared" si="3692"/>
        <v/>
      </c>
      <c r="FG264" s="66" t="str">
        <f t="shared" si="3693"/>
        <v/>
      </c>
      <c r="FH264" s="66" t="str">
        <f t="shared" si="3694"/>
        <v/>
      </c>
      <c r="FI264" s="66" t="str">
        <f t="shared" si="3695"/>
        <v/>
      </c>
      <c r="FJ264" s="66" t="str">
        <f t="shared" si="3696"/>
        <v/>
      </c>
      <c r="FK264" s="66" t="str">
        <f t="shared" si="3697"/>
        <v/>
      </c>
      <c r="FL264" s="66" t="str">
        <f t="shared" si="3698"/>
        <v/>
      </c>
      <c r="FM264" s="66" t="str">
        <f t="shared" si="3699"/>
        <v/>
      </c>
      <c r="FN264" s="66" t="str">
        <f t="shared" si="3700"/>
        <v/>
      </c>
      <c r="FO264" s="66" t="str">
        <f t="shared" si="3701"/>
        <v/>
      </c>
      <c r="FP264" s="66" t="str">
        <f t="shared" si="3702"/>
        <v/>
      </c>
      <c r="FQ264" s="66" t="str">
        <f t="shared" si="3703"/>
        <v/>
      </c>
      <c r="FR264" s="66" t="str">
        <f t="shared" si="3704"/>
        <v/>
      </c>
      <c r="FS264" s="66" t="str">
        <f t="shared" si="3705"/>
        <v/>
      </c>
    </row>
    <row r="265" spans="1:175" ht="16.5">
      <c r="A265" s="2"/>
      <c r="B265" s="1"/>
      <c r="C265" s="2"/>
      <c r="E265" s="114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92"/>
      <c r="Q265" s="92"/>
      <c r="R265" s="92"/>
      <c r="S265" s="92"/>
      <c r="T265" s="120"/>
      <c r="U265" s="77"/>
      <c r="CU265" s="88" t="str">
        <f t="shared" si="3635"/>
        <v>|n</v>
      </c>
      <c r="CW265" s="33"/>
      <c r="CX265" s="33"/>
      <c r="CY265" s="33"/>
      <c r="CZ265" s="33"/>
      <c r="DA265" s="33"/>
      <c r="DB265" s="66" t="str">
        <f t="shared" si="3636"/>
        <v/>
      </c>
      <c r="DC265" s="66" t="str">
        <f t="shared" si="3637"/>
        <v/>
      </c>
      <c r="DD265" s="66" t="str">
        <f t="shared" si="3638"/>
        <v/>
      </c>
      <c r="DE265" s="66" t="str">
        <f t="shared" si="3639"/>
        <v/>
      </c>
      <c r="DF265" s="66" t="str">
        <f t="shared" si="3640"/>
        <v/>
      </c>
      <c r="DG265" s="66" t="str">
        <f t="shared" si="3641"/>
        <v/>
      </c>
      <c r="DH265" s="66" t="str">
        <f t="shared" si="3642"/>
        <v/>
      </c>
      <c r="DI265" s="66" t="str">
        <f t="shared" si="3643"/>
        <v/>
      </c>
      <c r="DJ265" s="66" t="str">
        <f t="shared" si="3644"/>
        <v/>
      </c>
      <c r="DK265" s="66" t="str">
        <f t="shared" si="3645"/>
        <v/>
      </c>
      <c r="DL265" s="66" t="str">
        <f t="shared" si="3646"/>
        <v/>
      </c>
      <c r="DM265" s="66" t="str">
        <f t="shared" si="3647"/>
        <v/>
      </c>
      <c r="DN265" s="66" t="str">
        <f t="shared" si="3648"/>
        <v/>
      </c>
      <c r="DO265" s="66" t="str">
        <f t="shared" si="3649"/>
        <v/>
      </c>
      <c r="DP265" s="66" t="str">
        <f t="shared" si="3650"/>
        <v/>
      </c>
      <c r="DQ265" s="66" t="str">
        <f t="shared" si="3651"/>
        <v/>
      </c>
      <c r="DR265" s="66" t="str">
        <f t="shared" si="3652"/>
        <v/>
      </c>
      <c r="DS265" s="66" t="str">
        <f t="shared" si="3653"/>
        <v/>
      </c>
      <c r="DT265" s="66" t="str">
        <f t="shared" si="3654"/>
        <v/>
      </c>
      <c r="DU265" s="66" t="str">
        <f t="shared" si="3655"/>
        <v/>
      </c>
      <c r="DV265" s="66" t="str">
        <f t="shared" si="3656"/>
        <v/>
      </c>
      <c r="DW265" s="66" t="str">
        <f t="shared" si="3657"/>
        <v/>
      </c>
      <c r="DX265" s="66" t="str">
        <f t="shared" si="3658"/>
        <v/>
      </c>
      <c r="DY265" s="66" t="str">
        <f t="shared" si="3659"/>
        <v/>
      </c>
      <c r="DZ265" s="66" t="str">
        <f t="shared" si="3660"/>
        <v/>
      </c>
      <c r="EA265" s="66" t="str">
        <f t="shared" si="3661"/>
        <v/>
      </c>
      <c r="EB265" s="66" t="str">
        <f t="shared" si="3662"/>
        <v/>
      </c>
      <c r="EC265" s="66" t="str">
        <f t="shared" si="3663"/>
        <v/>
      </c>
      <c r="ED265" s="66" t="str">
        <f t="shared" si="3664"/>
        <v/>
      </c>
      <c r="EE265" s="66" t="str">
        <f t="shared" si="3665"/>
        <v/>
      </c>
      <c r="EF265" s="66" t="str">
        <f t="shared" si="3666"/>
        <v/>
      </c>
      <c r="EG265" s="66" t="str">
        <f t="shared" si="3667"/>
        <v/>
      </c>
      <c r="EH265" s="66" t="str">
        <f t="shared" si="3668"/>
        <v/>
      </c>
      <c r="EI265" s="66" t="str">
        <f t="shared" si="3669"/>
        <v/>
      </c>
      <c r="EJ265" s="66" t="str">
        <f t="shared" si="3670"/>
        <v/>
      </c>
      <c r="EK265" s="66" t="str">
        <f t="shared" si="3671"/>
        <v/>
      </c>
      <c r="EL265" s="66" t="str">
        <f t="shared" si="3672"/>
        <v/>
      </c>
      <c r="EM265" s="66" t="str">
        <f t="shared" si="3673"/>
        <v/>
      </c>
      <c r="EN265" s="66" t="str">
        <f t="shared" si="3674"/>
        <v/>
      </c>
      <c r="EO265" s="66" t="str">
        <f t="shared" si="3675"/>
        <v/>
      </c>
      <c r="EP265" s="66" t="str">
        <f t="shared" si="3676"/>
        <v/>
      </c>
      <c r="EQ265" s="66" t="str">
        <f t="shared" si="3677"/>
        <v/>
      </c>
      <c r="ER265" s="66" t="str">
        <f t="shared" si="3678"/>
        <v/>
      </c>
      <c r="ES265" s="66" t="str">
        <f t="shared" si="3679"/>
        <v/>
      </c>
      <c r="ET265" s="66" t="str">
        <f t="shared" si="3680"/>
        <v/>
      </c>
      <c r="EU265" s="66" t="str">
        <f t="shared" si="3681"/>
        <v/>
      </c>
      <c r="EV265" s="66" t="str">
        <f t="shared" si="3682"/>
        <v/>
      </c>
      <c r="EW265" s="66" t="str">
        <f t="shared" si="3683"/>
        <v/>
      </c>
      <c r="EX265" s="66" t="str">
        <f t="shared" si="3684"/>
        <v/>
      </c>
      <c r="EY265" s="66" t="str">
        <f t="shared" si="3685"/>
        <v/>
      </c>
      <c r="EZ265" s="66" t="str">
        <f t="shared" si="3686"/>
        <v/>
      </c>
      <c r="FA265" s="66" t="str">
        <f t="shared" si="3687"/>
        <v/>
      </c>
      <c r="FB265" s="66" t="str">
        <f t="shared" si="3688"/>
        <v/>
      </c>
      <c r="FC265" s="66" t="str">
        <f t="shared" si="3689"/>
        <v/>
      </c>
      <c r="FD265" s="66" t="str">
        <f t="shared" si="3690"/>
        <v/>
      </c>
      <c r="FE265" s="66" t="str">
        <f t="shared" si="3691"/>
        <v/>
      </c>
      <c r="FF265" s="66" t="str">
        <f t="shared" si="3692"/>
        <v/>
      </c>
      <c r="FG265" s="66" t="str">
        <f t="shared" si="3693"/>
        <v/>
      </c>
      <c r="FH265" s="66" t="str">
        <f t="shared" si="3694"/>
        <v/>
      </c>
      <c r="FI265" s="66" t="str">
        <f t="shared" si="3695"/>
        <v/>
      </c>
      <c r="FJ265" s="66" t="str">
        <f t="shared" si="3696"/>
        <v/>
      </c>
      <c r="FK265" s="66" t="str">
        <f t="shared" si="3697"/>
        <v/>
      </c>
      <c r="FL265" s="66" t="str">
        <f t="shared" si="3698"/>
        <v/>
      </c>
      <c r="FM265" s="66" t="str">
        <f t="shared" si="3699"/>
        <v/>
      </c>
      <c r="FN265" s="66" t="str">
        <f t="shared" si="3700"/>
        <v/>
      </c>
      <c r="FO265" s="66" t="str">
        <f t="shared" si="3701"/>
        <v/>
      </c>
      <c r="FP265" s="66" t="str">
        <f t="shared" si="3702"/>
        <v/>
      </c>
      <c r="FQ265" s="66" t="str">
        <f t="shared" si="3703"/>
        <v/>
      </c>
      <c r="FR265" s="66" t="str">
        <f t="shared" si="3704"/>
        <v/>
      </c>
      <c r="FS265" s="66" t="str">
        <f t="shared" si="3705"/>
        <v/>
      </c>
    </row>
    <row r="266" spans="1:175" ht="16.5">
      <c r="A266" s="2"/>
      <c r="B266" s="1"/>
      <c r="C266" s="2"/>
      <c r="E266" s="114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92"/>
      <c r="Q266" s="92"/>
      <c r="R266" s="92"/>
      <c r="S266" s="92"/>
      <c r="T266" s="120"/>
      <c r="U266" s="77"/>
      <c r="CU266" s="88" t="str">
        <f t="shared" si="3635"/>
        <v>|n</v>
      </c>
      <c r="CW266" s="33"/>
      <c r="CX266" s="33"/>
      <c r="CY266" s="33"/>
      <c r="CZ266" s="33"/>
      <c r="DA266" s="33"/>
      <c r="DB266" s="66" t="str">
        <f t="shared" si="3636"/>
        <v/>
      </c>
      <c r="DC266" s="66" t="str">
        <f t="shared" si="3637"/>
        <v/>
      </c>
      <c r="DD266" s="66" t="str">
        <f t="shared" si="3638"/>
        <v/>
      </c>
      <c r="DE266" s="66" t="str">
        <f t="shared" si="3639"/>
        <v/>
      </c>
      <c r="DF266" s="66" t="str">
        <f t="shared" si="3640"/>
        <v/>
      </c>
      <c r="DG266" s="66" t="str">
        <f t="shared" si="3641"/>
        <v/>
      </c>
      <c r="DH266" s="66" t="str">
        <f t="shared" si="3642"/>
        <v/>
      </c>
      <c r="DI266" s="66" t="str">
        <f t="shared" si="3643"/>
        <v/>
      </c>
      <c r="DJ266" s="66" t="str">
        <f t="shared" si="3644"/>
        <v/>
      </c>
      <c r="DK266" s="66" t="str">
        <f t="shared" si="3645"/>
        <v/>
      </c>
      <c r="DL266" s="66" t="str">
        <f t="shared" si="3646"/>
        <v/>
      </c>
      <c r="DM266" s="66" t="str">
        <f t="shared" si="3647"/>
        <v/>
      </c>
      <c r="DN266" s="66" t="str">
        <f t="shared" si="3648"/>
        <v/>
      </c>
      <c r="DO266" s="66" t="str">
        <f t="shared" si="3649"/>
        <v/>
      </c>
      <c r="DP266" s="66" t="str">
        <f t="shared" si="3650"/>
        <v/>
      </c>
      <c r="DQ266" s="66" t="str">
        <f t="shared" si="3651"/>
        <v/>
      </c>
      <c r="DR266" s="66" t="str">
        <f t="shared" si="3652"/>
        <v/>
      </c>
      <c r="DS266" s="66" t="str">
        <f t="shared" si="3653"/>
        <v/>
      </c>
      <c r="DT266" s="66" t="str">
        <f t="shared" si="3654"/>
        <v/>
      </c>
      <c r="DU266" s="66" t="str">
        <f t="shared" si="3655"/>
        <v/>
      </c>
      <c r="DV266" s="66" t="str">
        <f t="shared" si="3656"/>
        <v/>
      </c>
      <c r="DW266" s="66" t="str">
        <f t="shared" si="3657"/>
        <v/>
      </c>
      <c r="DX266" s="66" t="str">
        <f t="shared" si="3658"/>
        <v/>
      </c>
      <c r="DY266" s="66" t="str">
        <f t="shared" si="3659"/>
        <v/>
      </c>
      <c r="DZ266" s="66" t="str">
        <f t="shared" si="3660"/>
        <v/>
      </c>
      <c r="EA266" s="66" t="str">
        <f t="shared" si="3661"/>
        <v/>
      </c>
      <c r="EB266" s="66" t="str">
        <f t="shared" si="3662"/>
        <v/>
      </c>
      <c r="EC266" s="66" t="str">
        <f t="shared" si="3663"/>
        <v/>
      </c>
      <c r="ED266" s="66" t="str">
        <f t="shared" si="3664"/>
        <v/>
      </c>
      <c r="EE266" s="66" t="str">
        <f t="shared" si="3665"/>
        <v/>
      </c>
      <c r="EF266" s="66" t="str">
        <f t="shared" si="3666"/>
        <v/>
      </c>
      <c r="EG266" s="66" t="str">
        <f t="shared" si="3667"/>
        <v/>
      </c>
      <c r="EH266" s="66" t="str">
        <f t="shared" si="3668"/>
        <v/>
      </c>
      <c r="EI266" s="66" t="str">
        <f t="shared" si="3669"/>
        <v/>
      </c>
      <c r="EJ266" s="66" t="str">
        <f t="shared" si="3670"/>
        <v/>
      </c>
      <c r="EK266" s="66" t="str">
        <f t="shared" si="3671"/>
        <v/>
      </c>
      <c r="EL266" s="66" t="str">
        <f t="shared" si="3672"/>
        <v/>
      </c>
      <c r="EM266" s="66" t="str">
        <f t="shared" si="3673"/>
        <v/>
      </c>
      <c r="EN266" s="66" t="str">
        <f t="shared" si="3674"/>
        <v/>
      </c>
      <c r="EO266" s="66" t="str">
        <f t="shared" si="3675"/>
        <v/>
      </c>
      <c r="EP266" s="66" t="str">
        <f t="shared" si="3676"/>
        <v/>
      </c>
      <c r="EQ266" s="66" t="str">
        <f t="shared" si="3677"/>
        <v/>
      </c>
      <c r="ER266" s="66" t="str">
        <f t="shared" si="3678"/>
        <v/>
      </c>
      <c r="ES266" s="66" t="str">
        <f t="shared" si="3679"/>
        <v/>
      </c>
      <c r="ET266" s="66" t="str">
        <f t="shared" si="3680"/>
        <v/>
      </c>
      <c r="EU266" s="66" t="str">
        <f t="shared" si="3681"/>
        <v/>
      </c>
      <c r="EV266" s="66" t="str">
        <f t="shared" si="3682"/>
        <v/>
      </c>
      <c r="EW266" s="66" t="str">
        <f t="shared" si="3683"/>
        <v/>
      </c>
      <c r="EX266" s="66" t="str">
        <f t="shared" si="3684"/>
        <v/>
      </c>
      <c r="EY266" s="66" t="str">
        <f t="shared" si="3685"/>
        <v/>
      </c>
      <c r="EZ266" s="66" t="str">
        <f t="shared" si="3686"/>
        <v/>
      </c>
      <c r="FA266" s="66" t="str">
        <f t="shared" si="3687"/>
        <v/>
      </c>
      <c r="FB266" s="66" t="str">
        <f t="shared" si="3688"/>
        <v/>
      </c>
      <c r="FC266" s="66" t="str">
        <f t="shared" si="3689"/>
        <v/>
      </c>
      <c r="FD266" s="66" t="str">
        <f t="shared" si="3690"/>
        <v/>
      </c>
      <c r="FE266" s="66" t="str">
        <f t="shared" si="3691"/>
        <v/>
      </c>
      <c r="FF266" s="66" t="str">
        <f t="shared" si="3692"/>
        <v/>
      </c>
      <c r="FG266" s="66" t="str">
        <f t="shared" si="3693"/>
        <v/>
      </c>
      <c r="FH266" s="66" t="str">
        <f t="shared" si="3694"/>
        <v/>
      </c>
      <c r="FI266" s="66" t="str">
        <f t="shared" si="3695"/>
        <v/>
      </c>
      <c r="FJ266" s="66" t="str">
        <f t="shared" si="3696"/>
        <v/>
      </c>
      <c r="FK266" s="66" t="str">
        <f t="shared" si="3697"/>
        <v/>
      </c>
      <c r="FL266" s="66" t="str">
        <f t="shared" si="3698"/>
        <v/>
      </c>
      <c r="FM266" s="66" t="str">
        <f t="shared" si="3699"/>
        <v/>
      </c>
      <c r="FN266" s="66" t="str">
        <f t="shared" si="3700"/>
        <v/>
      </c>
      <c r="FO266" s="66" t="str">
        <f t="shared" si="3701"/>
        <v/>
      </c>
      <c r="FP266" s="66" t="str">
        <f t="shared" si="3702"/>
        <v/>
      </c>
      <c r="FQ266" s="66" t="str">
        <f t="shared" si="3703"/>
        <v/>
      </c>
      <c r="FR266" s="66" t="str">
        <f t="shared" si="3704"/>
        <v/>
      </c>
      <c r="FS266" s="66" t="str">
        <f t="shared" si="3705"/>
        <v/>
      </c>
    </row>
    <row r="267" spans="1:175">
      <c r="A267" s="27"/>
      <c r="B267" s="27"/>
      <c r="C267" s="27"/>
      <c r="E267" s="121"/>
      <c r="T267" s="119"/>
      <c r="U267" s="77"/>
      <c r="CU267" s="88" t="str">
        <f t="shared" si="3635"/>
        <v>|n</v>
      </c>
      <c r="CW267" s="33"/>
      <c r="CX267" s="33"/>
      <c r="CY267" s="33"/>
      <c r="CZ267" s="33"/>
      <c r="DA267" s="33"/>
      <c r="DB267" s="66" t="str">
        <f t="shared" si="3636"/>
        <v/>
      </c>
      <c r="DC267" s="66" t="str">
        <f t="shared" si="3637"/>
        <v/>
      </c>
      <c r="DD267" s="66" t="str">
        <f t="shared" si="3638"/>
        <v/>
      </c>
      <c r="DE267" s="66" t="str">
        <f t="shared" si="3639"/>
        <v/>
      </c>
      <c r="DF267" s="66" t="str">
        <f t="shared" si="3640"/>
        <v/>
      </c>
      <c r="DG267" s="66" t="str">
        <f t="shared" si="3641"/>
        <v/>
      </c>
      <c r="DH267" s="66" t="str">
        <f t="shared" si="3642"/>
        <v/>
      </c>
      <c r="DI267" s="66" t="str">
        <f t="shared" si="3643"/>
        <v/>
      </c>
      <c r="DJ267" s="66" t="str">
        <f t="shared" si="3644"/>
        <v/>
      </c>
      <c r="DK267" s="66" t="str">
        <f t="shared" si="3645"/>
        <v/>
      </c>
      <c r="DL267" s="66" t="str">
        <f t="shared" si="3646"/>
        <v/>
      </c>
      <c r="DM267" s="66" t="str">
        <f t="shared" si="3647"/>
        <v/>
      </c>
      <c r="DN267" s="66" t="str">
        <f t="shared" si="3648"/>
        <v/>
      </c>
      <c r="DO267" s="66" t="str">
        <f t="shared" si="3649"/>
        <v/>
      </c>
      <c r="DP267" s="66" t="str">
        <f t="shared" si="3650"/>
        <v/>
      </c>
      <c r="DQ267" s="66" t="str">
        <f t="shared" si="3651"/>
        <v/>
      </c>
      <c r="DR267" s="66" t="str">
        <f t="shared" si="3652"/>
        <v/>
      </c>
      <c r="DS267" s="66" t="str">
        <f t="shared" si="3653"/>
        <v/>
      </c>
      <c r="DT267" s="66" t="str">
        <f t="shared" si="3654"/>
        <v/>
      </c>
      <c r="DU267" s="66" t="str">
        <f t="shared" si="3655"/>
        <v/>
      </c>
      <c r="DV267" s="66" t="str">
        <f t="shared" si="3656"/>
        <v/>
      </c>
      <c r="DW267" s="66" t="str">
        <f t="shared" si="3657"/>
        <v/>
      </c>
      <c r="DX267" s="66" t="str">
        <f t="shared" si="3658"/>
        <v/>
      </c>
      <c r="DY267" s="66" t="str">
        <f t="shared" si="3659"/>
        <v/>
      </c>
      <c r="DZ267" s="66" t="str">
        <f t="shared" si="3660"/>
        <v/>
      </c>
      <c r="EA267" s="66" t="str">
        <f t="shared" si="3661"/>
        <v/>
      </c>
      <c r="EB267" s="66" t="str">
        <f t="shared" si="3662"/>
        <v/>
      </c>
      <c r="EC267" s="66" t="str">
        <f t="shared" si="3663"/>
        <v/>
      </c>
      <c r="ED267" s="66" t="str">
        <f t="shared" si="3664"/>
        <v/>
      </c>
      <c r="EE267" s="66" t="str">
        <f t="shared" si="3665"/>
        <v/>
      </c>
      <c r="EF267" s="66" t="str">
        <f t="shared" si="3666"/>
        <v/>
      </c>
      <c r="EG267" s="66" t="str">
        <f t="shared" si="3667"/>
        <v/>
      </c>
      <c r="EH267" s="66" t="str">
        <f t="shared" si="3668"/>
        <v/>
      </c>
      <c r="EI267" s="66" t="str">
        <f t="shared" si="3669"/>
        <v/>
      </c>
      <c r="EJ267" s="66" t="str">
        <f t="shared" si="3670"/>
        <v/>
      </c>
      <c r="EK267" s="66" t="str">
        <f t="shared" si="3671"/>
        <v/>
      </c>
      <c r="EL267" s="66" t="str">
        <f t="shared" si="3672"/>
        <v/>
      </c>
      <c r="EM267" s="66" t="str">
        <f t="shared" si="3673"/>
        <v/>
      </c>
      <c r="EN267" s="66" t="str">
        <f t="shared" si="3674"/>
        <v/>
      </c>
      <c r="EO267" s="66" t="str">
        <f t="shared" si="3675"/>
        <v/>
      </c>
      <c r="EP267" s="66" t="str">
        <f t="shared" si="3676"/>
        <v/>
      </c>
      <c r="EQ267" s="66" t="str">
        <f t="shared" si="3677"/>
        <v/>
      </c>
      <c r="ER267" s="66" t="str">
        <f t="shared" si="3678"/>
        <v/>
      </c>
      <c r="ES267" s="66" t="str">
        <f t="shared" si="3679"/>
        <v/>
      </c>
      <c r="ET267" s="66" t="str">
        <f t="shared" si="3680"/>
        <v/>
      </c>
      <c r="EU267" s="66" t="str">
        <f t="shared" si="3681"/>
        <v/>
      </c>
      <c r="EV267" s="66" t="str">
        <f t="shared" si="3682"/>
        <v/>
      </c>
      <c r="EW267" s="66" t="str">
        <f t="shared" si="3683"/>
        <v/>
      </c>
      <c r="EX267" s="66" t="str">
        <f t="shared" si="3684"/>
        <v/>
      </c>
      <c r="EY267" s="66" t="str">
        <f t="shared" si="3685"/>
        <v/>
      </c>
      <c r="EZ267" s="66" t="str">
        <f t="shared" si="3686"/>
        <v/>
      </c>
      <c r="FA267" s="66" t="str">
        <f t="shared" si="3687"/>
        <v/>
      </c>
      <c r="FB267" s="66" t="str">
        <f t="shared" si="3688"/>
        <v/>
      </c>
      <c r="FC267" s="66" t="str">
        <f t="shared" si="3689"/>
        <v/>
      </c>
      <c r="FD267" s="66" t="str">
        <f t="shared" si="3690"/>
        <v/>
      </c>
      <c r="FE267" s="66" t="str">
        <f t="shared" si="3691"/>
        <v/>
      </c>
      <c r="FF267" s="66" t="str">
        <f t="shared" si="3692"/>
        <v/>
      </c>
      <c r="FG267" s="66" t="str">
        <f t="shared" si="3693"/>
        <v/>
      </c>
      <c r="FH267" s="66" t="str">
        <f t="shared" si="3694"/>
        <v/>
      </c>
      <c r="FI267" s="66" t="str">
        <f t="shared" si="3695"/>
        <v/>
      </c>
      <c r="FJ267" s="66" t="str">
        <f t="shared" si="3696"/>
        <v/>
      </c>
      <c r="FK267" s="66" t="str">
        <f t="shared" si="3697"/>
        <v/>
      </c>
      <c r="FL267" s="66" t="str">
        <f t="shared" si="3698"/>
        <v/>
      </c>
      <c r="FM267" s="66" t="str">
        <f t="shared" si="3699"/>
        <v/>
      </c>
      <c r="FN267" s="66" t="str">
        <f t="shared" si="3700"/>
        <v/>
      </c>
      <c r="FO267" s="66" t="str">
        <f t="shared" si="3701"/>
        <v/>
      </c>
      <c r="FP267" s="66" t="str">
        <f t="shared" si="3702"/>
        <v/>
      </c>
      <c r="FQ267" s="66" t="str">
        <f t="shared" si="3703"/>
        <v/>
      </c>
      <c r="FR267" s="66" t="str">
        <f t="shared" si="3704"/>
        <v/>
      </c>
      <c r="FS267" s="66" t="str">
        <f t="shared" si="3705"/>
        <v/>
      </c>
    </row>
    <row r="268" spans="1:175">
      <c r="A268" s="27"/>
      <c r="B268" s="27"/>
      <c r="C268" s="27"/>
      <c r="E268" s="121"/>
      <c r="T268" s="119"/>
      <c r="U268" s="77"/>
      <c r="CU268" s="88" t="str">
        <f t="shared" si="3635"/>
        <v>|n</v>
      </c>
      <c r="CW268" s="33"/>
      <c r="CX268" s="33"/>
      <c r="CY268" s="33"/>
      <c r="CZ268" s="33"/>
      <c r="DA268" s="33"/>
      <c r="DB268" s="66" t="str">
        <f t="shared" si="3636"/>
        <v/>
      </c>
      <c r="DC268" s="66" t="str">
        <f t="shared" si="3637"/>
        <v/>
      </c>
      <c r="DD268" s="66" t="str">
        <f t="shared" si="3638"/>
        <v/>
      </c>
      <c r="DE268" s="66" t="str">
        <f t="shared" si="3639"/>
        <v/>
      </c>
      <c r="DF268" s="66" t="str">
        <f t="shared" si="3640"/>
        <v/>
      </c>
      <c r="DG268" s="66" t="str">
        <f t="shared" si="3641"/>
        <v/>
      </c>
      <c r="DH268" s="66" t="str">
        <f t="shared" si="3642"/>
        <v/>
      </c>
      <c r="DI268" s="66" t="str">
        <f t="shared" si="3643"/>
        <v/>
      </c>
      <c r="DJ268" s="66" t="str">
        <f t="shared" si="3644"/>
        <v/>
      </c>
      <c r="DK268" s="66" t="str">
        <f t="shared" si="3645"/>
        <v/>
      </c>
      <c r="DL268" s="66" t="str">
        <f t="shared" si="3646"/>
        <v/>
      </c>
      <c r="DM268" s="66" t="str">
        <f t="shared" si="3647"/>
        <v/>
      </c>
      <c r="DN268" s="66" t="str">
        <f t="shared" si="3648"/>
        <v/>
      </c>
      <c r="DO268" s="66" t="str">
        <f t="shared" si="3649"/>
        <v/>
      </c>
      <c r="DP268" s="66" t="str">
        <f t="shared" si="3650"/>
        <v/>
      </c>
      <c r="DQ268" s="66" t="str">
        <f t="shared" si="3651"/>
        <v/>
      </c>
      <c r="DR268" s="66" t="str">
        <f t="shared" si="3652"/>
        <v/>
      </c>
      <c r="DS268" s="66" t="str">
        <f t="shared" si="3653"/>
        <v/>
      </c>
      <c r="DT268" s="66" t="str">
        <f t="shared" si="3654"/>
        <v/>
      </c>
      <c r="DU268" s="66" t="str">
        <f t="shared" si="3655"/>
        <v/>
      </c>
      <c r="DV268" s="66" t="str">
        <f t="shared" si="3656"/>
        <v/>
      </c>
      <c r="DW268" s="66" t="str">
        <f t="shared" si="3657"/>
        <v/>
      </c>
      <c r="DX268" s="66" t="str">
        <f t="shared" si="3658"/>
        <v/>
      </c>
      <c r="DY268" s="66" t="str">
        <f t="shared" si="3659"/>
        <v/>
      </c>
      <c r="DZ268" s="66" t="str">
        <f t="shared" si="3660"/>
        <v/>
      </c>
      <c r="EA268" s="66" t="str">
        <f t="shared" si="3661"/>
        <v/>
      </c>
      <c r="EB268" s="66" t="str">
        <f t="shared" si="3662"/>
        <v/>
      </c>
      <c r="EC268" s="66" t="str">
        <f t="shared" si="3663"/>
        <v/>
      </c>
      <c r="ED268" s="66" t="str">
        <f t="shared" si="3664"/>
        <v/>
      </c>
      <c r="EE268" s="66" t="str">
        <f t="shared" si="3665"/>
        <v/>
      </c>
      <c r="EF268" s="66" t="str">
        <f t="shared" si="3666"/>
        <v/>
      </c>
      <c r="EG268" s="66" t="str">
        <f t="shared" si="3667"/>
        <v/>
      </c>
      <c r="EH268" s="66" t="str">
        <f t="shared" si="3668"/>
        <v/>
      </c>
      <c r="EI268" s="66" t="str">
        <f t="shared" si="3669"/>
        <v/>
      </c>
      <c r="EJ268" s="66" t="str">
        <f t="shared" si="3670"/>
        <v/>
      </c>
      <c r="EK268" s="66" t="str">
        <f t="shared" si="3671"/>
        <v/>
      </c>
      <c r="EL268" s="66" t="str">
        <f t="shared" si="3672"/>
        <v/>
      </c>
      <c r="EM268" s="66" t="str">
        <f t="shared" si="3673"/>
        <v/>
      </c>
      <c r="EN268" s="66" t="str">
        <f t="shared" si="3674"/>
        <v/>
      </c>
      <c r="EO268" s="66" t="str">
        <f t="shared" si="3675"/>
        <v/>
      </c>
      <c r="EP268" s="66" t="str">
        <f t="shared" si="3676"/>
        <v/>
      </c>
      <c r="EQ268" s="66" t="str">
        <f t="shared" si="3677"/>
        <v/>
      </c>
      <c r="ER268" s="66" t="str">
        <f t="shared" si="3678"/>
        <v/>
      </c>
      <c r="ES268" s="66" t="str">
        <f t="shared" si="3679"/>
        <v/>
      </c>
      <c r="ET268" s="66" t="str">
        <f t="shared" si="3680"/>
        <v/>
      </c>
      <c r="EU268" s="66" t="str">
        <f t="shared" si="3681"/>
        <v/>
      </c>
      <c r="EV268" s="66" t="str">
        <f t="shared" si="3682"/>
        <v/>
      </c>
      <c r="EW268" s="66" t="str">
        <f t="shared" si="3683"/>
        <v/>
      </c>
      <c r="EX268" s="66" t="str">
        <f t="shared" si="3684"/>
        <v/>
      </c>
      <c r="EY268" s="66" t="str">
        <f t="shared" si="3685"/>
        <v/>
      </c>
      <c r="EZ268" s="66" t="str">
        <f t="shared" si="3686"/>
        <v/>
      </c>
      <c r="FA268" s="66" t="str">
        <f t="shared" si="3687"/>
        <v/>
      </c>
      <c r="FB268" s="66" t="str">
        <f t="shared" si="3688"/>
        <v/>
      </c>
      <c r="FC268" s="66" t="str">
        <f t="shared" si="3689"/>
        <v/>
      </c>
      <c r="FD268" s="66" t="str">
        <f t="shared" si="3690"/>
        <v/>
      </c>
      <c r="FE268" s="66" t="str">
        <f t="shared" si="3691"/>
        <v/>
      </c>
      <c r="FF268" s="66" t="str">
        <f t="shared" si="3692"/>
        <v/>
      </c>
      <c r="FG268" s="66" t="str">
        <f t="shared" si="3693"/>
        <v/>
      </c>
      <c r="FH268" s="66" t="str">
        <f t="shared" si="3694"/>
        <v/>
      </c>
      <c r="FI268" s="66" t="str">
        <f t="shared" si="3695"/>
        <v/>
      </c>
      <c r="FJ268" s="66" t="str">
        <f t="shared" si="3696"/>
        <v/>
      </c>
      <c r="FK268" s="66" t="str">
        <f t="shared" si="3697"/>
        <v/>
      </c>
      <c r="FL268" s="66" t="str">
        <f t="shared" si="3698"/>
        <v/>
      </c>
      <c r="FM268" s="66" t="str">
        <f t="shared" si="3699"/>
        <v/>
      </c>
      <c r="FN268" s="66" t="str">
        <f t="shared" si="3700"/>
        <v/>
      </c>
      <c r="FO268" s="66" t="str">
        <f t="shared" si="3701"/>
        <v/>
      </c>
      <c r="FP268" s="66" t="str">
        <f t="shared" si="3702"/>
        <v/>
      </c>
      <c r="FQ268" s="66" t="str">
        <f t="shared" si="3703"/>
        <v/>
      </c>
      <c r="FR268" s="66" t="str">
        <f t="shared" si="3704"/>
        <v/>
      </c>
      <c r="FS268" s="66" t="str">
        <f t="shared" si="3705"/>
        <v/>
      </c>
    </row>
    <row r="269" spans="1:175" s="33" customFormat="1" ht="16.5">
      <c r="A269" s="111"/>
      <c r="B269" s="1"/>
      <c r="C269" s="111"/>
      <c r="D269" s="67"/>
      <c r="E269" s="68"/>
      <c r="F269" s="112"/>
      <c r="G269" s="113"/>
      <c r="H269" s="113"/>
      <c r="I269" s="113"/>
      <c r="J269" s="113"/>
      <c r="K269" s="113"/>
      <c r="L269" s="113"/>
      <c r="M269" s="113"/>
      <c r="N269" s="113"/>
      <c r="O269" s="113"/>
      <c r="P269" s="73"/>
      <c r="Q269" s="73"/>
      <c r="R269" s="73"/>
      <c r="S269" s="73"/>
      <c r="T269" s="80"/>
      <c r="U269" s="77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78"/>
      <c r="AG269" s="78"/>
      <c r="AH269" s="78"/>
      <c r="AI269" s="78"/>
      <c r="AJ269" s="78"/>
      <c r="AK269" s="78"/>
      <c r="AL269" s="78"/>
      <c r="AM269" s="78"/>
      <c r="AN269" s="78"/>
      <c r="AO269" s="78"/>
      <c r="AP269" s="78"/>
      <c r="AQ269" s="78"/>
      <c r="AR269" s="84"/>
      <c r="AS269" s="84"/>
      <c r="AT269" s="78"/>
      <c r="AU269" s="78"/>
      <c r="AV269" s="78"/>
      <c r="AW269" s="78"/>
      <c r="AX269" s="78"/>
      <c r="AY269" s="78"/>
      <c r="AZ269" s="78"/>
      <c r="BA269" s="78"/>
      <c r="BB269" s="78"/>
      <c r="BC269" s="78"/>
      <c r="BD269" s="78"/>
      <c r="BE269" s="78"/>
      <c r="BF269" s="78"/>
      <c r="BG269" s="78"/>
      <c r="BH269" s="78"/>
      <c r="BI269" s="78"/>
      <c r="BJ269" s="78"/>
      <c r="BK269" s="78"/>
      <c r="BL269" s="78"/>
      <c r="BM269" s="78"/>
      <c r="BN269" s="78"/>
      <c r="BO269" s="78"/>
      <c r="BP269" s="78"/>
      <c r="BQ269" s="78"/>
      <c r="BR269" s="78"/>
      <c r="BS269" s="78"/>
      <c r="BT269" s="78"/>
      <c r="BU269" s="78"/>
      <c r="BV269" s="78"/>
      <c r="BW269" s="78"/>
      <c r="BX269" s="78"/>
      <c r="BY269" s="78"/>
      <c r="BZ269" s="78"/>
      <c r="CA269" s="78"/>
      <c r="CB269" s="78"/>
      <c r="CC269" s="78"/>
      <c r="CD269" s="78"/>
      <c r="CE269" s="78"/>
      <c r="CF269" s="78"/>
      <c r="CG269" s="78"/>
      <c r="CH269" s="78"/>
      <c r="CI269" s="78"/>
      <c r="CJ269" s="78"/>
      <c r="CK269" s="78"/>
      <c r="CL269" s="78"/>
      <c r="CM269" s="78"/>
      <c r="CN269" s="86" t="str">
        <f t="shared" ref="CN269:CN272" si="3867">"InitUnitState('"&amp;B269&amp;"',"&amp;V269&amp;","&amp;W269&amp;","&amp;X269&amp;","&amp;Y269&amp;","&amp;Z269&amp;","&amp;AA269&amp;","&amp;AB269&amp;","&amp;AC269&amp;","&amp;AD269&amp;","&amp;AE269&amp;")"</f>
        <v>InitUnitState('',,,,,,,,,,)</v>
      </c>
      <c r="CO269" s="86" t="str">
        <f t="shared" ref="CO269:CO272" si="3868">"InitUnitNormal('"&amp;B269&amp;"',"&amp;AF269&amp;","&amp;AG269&amp;","&amp;AH269&amp;","&amp;AI269&amp;","&amp;AJ269&amp;","&amp;AK269&amp;","&amp;AL269&amp;","&amp;AM269&amp;","&amp;AN269&amp;","&amp;AO269&amp;")"</f>
        <v>InitUnitNormal('',,,,,,,,,,)</v>
      </c>
      <c r="CP269" s="86" t="str">
        <f t="shared" ref="CP269:CP272" si="3869">"InitUnitMagic('"&amp;B269&amp;"',"&amp;AP269&amp;","&amp;AQ269&amp;","&amp;AR269&amp;","&amp;AS269&amp;","&amp;AT269&amp;","&amp;AU269&amp;","&amp;AV269&amp;","&amp;AW269&amp;","&amp;BI269&amp;","&amp;BJ269&amp;")"</f>
        <v>InitUnitMagic('',,,,,,,,,,)</v>
      </c>
      <c r="CQ269" s="86" t="str">
        <f t="shared" ref="CQ269:CQ272" si="3870">"InitUnitAdd('"&amp;B269&amp;"',"&amp;BK269&amp;","&amp;BL269&amp;","&amp;BM269&amp;","&amp;BN269&amp;","&amp;BO269&amp;","&amp;BP269&amp;","&amp;BQ269&amp;","&amp;BR269&amp;","&amp;BS269&amp;","&amp;BT269&amp;")"</f>
        <v>InitUnitAdd('',,,,,,,,,,)</v>
      </c>
      <c r="CR269" s="86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InitEquipData('',,"",,,,,'','','','','','',"")</v>
      </c>
      <c r="CS269" s="86"/>
      <c r="CT269" s="86"/>
      <c r="CU269" s="88" t="str">
        <f t="shared" si="3635"/>
        <v>|n</v>
      </c>
      <c r="CV269" s="19"/>
      <c r="DB269" s="66" t="str">
        <f t="shared" si="3636"/>
        <v/>
      </c>
      <c r="DC269" s="66" t="str">
        <f t="shared" si="3637"/>
        <v/>
      </c>
      <c r="DD269" s="66" t="str">
        <f t="shared" si="3638"/>
        <v/>
      </c>
      <c r="DE269" s="66" t="str">
        <f t="shared" si="3639"/>
        <v/>
      </c>
      <c r="DF269" s="66" t="str">
        <f t="shared" si="3640"/>
        <v/>
      </c>
      <c r="DG269" s="66" t="str">
        <f t="shared" si="3641"/>
        <v/>
      </c>
      <c r="DH269" s="66" t="str">
        <f t="shared" si="3642"/>
        <v/>
      </c>
      <c r="DI269" s="66" t="str">
        <f t="shared" si="3643"/>
        <v/>
      </c>
      <c r="DJ269" s="66" t="str">
        <f t="shared" si="3644"/>
        <v/>
      </c>
      <c r="DK269" s="66" t="str">
        <f t="shared" si="3645"/>
        <v/>
      </c>
      <c r="DL269" s="66" t="str">
        <f t="shared" si="3646"/>
        <v/>
      </c>
      <c r="DM269" s="66" t="str">
        <f t="shared" si="3647"/>
        <v/>
      </c>
      <c r="DN269" s="66" t="str">
        <f t="shared" si="3648"/>
        <v/>
      </c>
      <c r="DO269" s="66" t="str">
        <f t="shared" si="3649"/>
        <v/>
      </c>
      <c r="DP269" s="66" t="str">
        <f t="shared" si="3650"/>
        <v/>
      </c>
      <c r="DQ269" s="66" t="str">
        <f t="shared" si="3651"/>
        <v/>
      </c>
      <c r="DR269" s="66" t="str">
        <f t="shared" si="3652"/>
        <v/>
      </c>
      <c r="DS269" s="66" t="str">
        <f t="shared" si="3653"/>
        <v/>
      </c>
      <c r="DT269" s="66" t="str">
        <f t="shared" si="3654"/>
        <v/>
      </c>
      <c r="DU269" s="66" t="str">
        <f t="shared" si="3655"/>
        <v/>
      </c>
      <c r="DV269" s="66" t="str">
        <f t="shared" si="3656"/>
        <v/>
      </c>
      <c r="DW269" s="66" t="str">
        <f t="shared" si="3657"/>
        <v/>
      </c>
      <c r="DX269" s="66" t="str">
        <f t="shared" si="3658"/>
        <v/>
      </c>
      <c r="DY269" s="66" t="str">
        <f t="shared" si="3659"/>
        <v/>
      </c>
      <c r="DZ269" s="66" t="str">
        <f t="shared" si="3660"/>
        <v/>
      </c>
      <c r="EA269" s="66" t="str">
        <f t="shared" si="3661"/>
        <v/>
      </c>
      <c r="EB269" s="66" t="str">
        <f t="shared" si="3662"/>
        <v/>
      </c>
      <c r="EC269" s="66" t="str">
        <f t="shared" si="3663"/>
        <v/>
      </c>
      <c r="ED269" s="66" t="str">
        <f t="shared" si="3664"/>
        <v/>
      </c>
      <c r="EE269" s="66" t="str">
        <f t="shared" si="3665"/>
        <v/>
      </c>
      <c r="EF269" s="66" t="str">
        <f t="shared" si="3666"/>
        <v/>
      </c>
      <c r="EG269" s="66" t="str">
        <f t="shared" si="3667"/>
        <v/>
      </c>
      <c r="EH269" s="66" t="str">
        <f t="shared" si="3668"/>
        <v/>
      </c>
      <c r="EI269" s="66" t="str">
        <f t="shared" si="3669"/>
        <v/>
      </c>
      <c r="EJ269" s="66" t="str">
        <f t="shared" si="3670"/>
        <v/>
      </c>
      <c r="EK269" s="66" t="str">
        <f t="shared" si="3671"/>
        <v/>
      </c>
      <c r="EL269" s="66" t="str">
        <f t="shared" si="3672"/>
        <v/>
      </c>
      <c r="EM269" s="66" t="str">
        <f t="shared" si="3673"/>
        <v/>
      </c>
      <c r="EN269" s="66" t="str">
        <f t="shared" si="3674"/>
        <v/>
      </c>
      <c r="EO269" s="66" t="str">
        <f t="shared" si="3675"/>
        <v/>
      </c>
      <c r="EP269" s="66" t="str">
        <f t="shared" si="3676"/>
        <v/>
      </c>
      <c r="EQ269" s="66" t="str">
        <f t="shared" si="3677"/>
        <v/>
      </c>
      <c r="ER269" s="66" t="str">
        <f t="shared" si="3678"/>
        <v/>
      </c>
      <c r="ES269" s="66" t="str">
        <f t="shared" si="3679"/>
        <v/>
      </c>
      <c r="ET269" s="66" t="str">
        <f t="shared" si="3680"/>
        <v/>
      </c>
      <c r="EU269" s="66" t="str">
        <f t="shared" si="3681"/>
        <v/>
      </c>
      <c r="EV269" s="66" t="str">
        <f t="shared" si="3682"/>
        <v/>
      </c>
      <c r="EW269" s="66" t="str">
        <f t="shared" si="3683"/>
        <v/>
      </c>
      <c r="EX269" s="66" t="str">
        <f t="shared" si="3684"/>
        <v/>
      </c>
      <c r="EY269" s="66" t="str">
        <f t="shared" si="3685"/>
        <v/>
      </c>
      <c r="EZ269" s="66" t="str">
        <f t="shared" si="3686"/>
        <v/>
      </c>
      <c r="FA269" s="66" t="str">
        <f t="shared" si="3687"/>
        <v/>
      </c>
      <c r="FB269" s="66" t="str">
        <f t="shared" si="3688"/>
        <v/>
      </c>
      <c r="FC269" s="66" t="str">
        <f t="shared" si="3689"/>
        <v/>
      </c>
      <c r="FD269" s="66" t="str">
        <f t="shared" si="3690"/>
        <v/>
      </c>
      <c r="FE269" s="66" t="str">
        <f t="shared" si="3691"/>
        <v/>
      </c>
      <c r="FF269" s="66" t="str">
        <f t="shared" si="3692"/>
        <v/>
      </c>
      <c r="FG269" s="66" t="str">
        <f t="shared" si="3693"/>
        <v/>
      </c>
      <c r="FH269" s="66" t="str">
        <f t="shared" si="3694"/>
        <v/>
      </c>
      <c r="FI269" s="66" t="str">
        <f t="shared" si="3695"/>
        <v/>
      </c>
      <c r="FJ269" s="66" t="str">
        <f t="shared" si="3696"/>
        <v/>
      </c>
      <c r="FK269" s="66" t="str">
        <f t="shared" si="3697"/>
        <v/>
      </c>
      <c r="FL269" s="66" t="str">
        <f t="shared" si="3698"/>
        <v/>
      </c>
      <c r="FM269" s="66" t="str">
        <f t="shared" si="3699"/>
        <v/>
      </c>
      <c r="FN269" s="66" t="str">
        <f t="shared" si="3700"/>
        <v/>
      </c>
      <c r="FO269" s="66" t="str">
        <f t="shared" si="3701"/>
        <v/>
      </c>
      <c r="FP269" s="66" t="str">
        <f t="shared" si="3702"/>
        <v/>
      </c>
      <c r="FQ269" s="66" t="str">
        <f t="shared" si="3703"/>
        <v/>
      </c>
      <c r="FR269" s="66" t="str">
        <f t="shared" si="3704"/>
        <v/>
      </c>
      <c r="FS269" s="66" t="str">
        <f t="shared" si="3705"/>
        <v/>
      </c>
    </row>
    <row r="270" spans="1:175" s="33" customFormat="1" ht="16.5">
      <c r="A270" s="111"/>
      <c r="B270" s="1"/>
      <c r="C270" s="111"/>
      <c r="D270" s="67"/>
      <c r="E270" s="68"/>
      <c r="F270" s="112"/>
      <c r="G270" s="113"/>
      <c r="H270" s="113"/>
      <c r="I270" s="113"/>
      <c r="J270" s="113"/>
      <c r="K270" s="113"/>
      <c r="L270" s="113"/>
      <c r="M270" s="113"/>
      <c r="N270" s="113"/>
      <c r="O270" s="113"/>
      <c r="P270" s="73"/>
      <c r="Q270" s="73"/>
      <c r="R270" s="73"/>
      <c r="S270" s="73"/>
      <c r="T270" s="80"/>
      <c r="U270" s="77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F270" s="78"/>
      <c r="AG270" s="78"/>
      <c r="AH270" s="78"/>
      <c r="AI270" s="78"/>
      <c r="AJ270" s="78"/>
      <c r="AK270" s="78"/>
      <c r="AL270" s="78"/>
      <c r="AM270" s="78"/>
      <c r="AN270" s="78"/>
      <c r="AO270" s="78"/>
      <c r="AP270" s="78"/>
      <c r="AQ270" s="78"/>
      <c r="AR270" s="84"/>
      <c r="AS270" s="84"/>
      <c r="AT270" s="78"/>
      <c r="AU270" s="78"/>
      <c r="AV270" s="78"/>
      <c r="AW270" s="78"/>
      <c r="AX270" s="78"/>
      <c r="AY270" s="78"/>
      <c r="AZ270" s="78"/>
      <c r="BA270" s="78"/>
      <c r="BB270" s="78"/>
      <c r="BC270" s="78"/>
      <c r="BD270" s="78"/>
      <c r="BE270" s="78"/>
      <c r="BF270" s="78"/>
      <c r="BG270" s="78"/>
      <c r="BH270" s="78"/>
      <c r="BI270" s="78"/>
      <c r="BJ270" s="78"/>
      <c r="BK270" s="78"/>
      <c r="BL270" s="78"/>
      <c r="BM270" s="78"/>
      <c r="BN270" s="78"/>
      <c r="BO270" s="78"/>
      <c r="BP270" s="78"/>
      <c r="BQ270" s="78"/>
      <c r="BR270" s="78"/>
      <c r="BS270" s="78"/>
      <c r="BT270" s="78"/>
      <c r="BU270" s="78"/>
      <c r="BV270" s="78"/>
      <c r="BW270" s="78"/>
      <c r="BX270" s="78"/>
      <c r="BY270" s="78"/>
      <c r="BZ270" s="78"/>
      <c r="CA270" s="78"/>
      <c r="CB270" s="78"/>
      <c r="CC270" s="78"/>
      <c r="CD270" s="78"/>
      <c r="CE270" s="78"/>
      <c r="CF270" s="78"/>
      <c r="CG270" s="78"/>
      <c r="CH270" s="78"/>
      <c r="CI270" s="78"/>
      <c r="CJ270" s="78"/>
      <c r="CK270" s="78"/>
      <c r="CL270" s="78"/>
      <c r="CM270" s="78"/>
      <c r="CN270" s="86" t="str">
        <f t="shared" si="3867"/>
        <v>InitUnitState('',,,,,,,,,,)</v>
      </c>
      <c r="CO270" s="86" t="str">
        <f t="shared" si="3868"/>
        <v>InitUnitNormal('',,,,,,,,,,)</v>
      </c>
      <c r="CP270" s="86" t="str">
        <f t="shared" si="3869"/>
        <v>InitUnitMagic('',,,,,,,,,,)</v>
      </c>
      <c r="CQ270" s="86" t="str">
        <f t="shared" si="3870"/>
        <v>InitUnitAdd('',,,,,,,,,,)</v>
      </c>
      <c r="CR270" s="86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InitEquipData('',,"",,,,,'','','','','','',"")</v>
      </c>
      <c r="CS270" s="86"/>
      <c r="CT270" s="86"/>
      <c r="CU270" s="88" t="str">
        <f t="shared" si="3635"/>
        <v>|n</v>
      </c>
      <c r="CV270" s="19"/>
      <c r="DB270" s="66" t="str">
        <f t="shared" si="3636"/>
        <v/>
      </c>
      <c r="DC270" s="66" t="str">
        <f t="shared" si="3637"/>
        <v/>
      </c>
      <c r="DD270" s="66" t="str">
        <f t="shared" si="3638"/>
        <v/>
      </c>
      <c r="DE270" s="66" t="str">
        <f t="shared" si="3639"/>
        <v/>
      </c>
      <c r="DF270" s="66" t="str">
        <f t="shared" si="3640"/>
        <v/>
      </c>
      <c r="DG270" s="66" t="str">
        <f t="shared" si="3641"/>
        <v/>
      </c>
      <c r="DH270" s="66" t="str">
        <f t="shared" si="3642"/>
        <v/>
      </c>
      <c r="DI270" s="66" t="str">
        <f t="shared" si="3643"/>
        <v/>
      </c>
      <c r="DJ270" s="66" t="str">
        <f t="shared" si="3644"/>
        <v/>
      </c>
      <c r="DK270" s="66" t="str">
        <f t="shared" si="3645"/>
        <v/>
      </c>
      <c r="DL270" s="66" t="str">
        <f t="shared" si="3646"/>
        <v/>
      </c>
      <c r="DM270" s="66" t="str">
        <f t="shared" si="3647"/>
        <v/>
      </c>
      <c r="DN270" s="66" t="str">
        <f t="shared" si="3648"/>
        <v/>
      </c>
      <c r="DO270" s="66" t="str">
        <f t="shared" si="3649"/>
        <v/>
      </c>
      <c r="DP270" s="66" t="str">
        <f t="shared" si="3650"/>
        <v/>
      </c>
      <c r="DQ270" s="66" t="str">
        <f t="shared" si="3651"/>
        <v/>
      </c>
      <c r="DR270" s="66" t="str">
        <f t="shared" si="3652"/>
        <v/>
      </c>
      <c r="DS270" s="66" t="str">
        <f t="shared" si="3653"/>
        <v/>
      </c>
      <c r="DT270" s="66" t="str">
        <f t="shared" si="3654"/>
        <v/>
      </c>
      <c r="DU270" s="66" t="str">
        <f t="shared" si="3655"/>
        <v/>
      </c>
      <c r="DV270" s="66" t="str">
        <f t="shared" si="3656"/>
        <v/>
      </c>
      <c r="DW270" s="66" t="str">
        <f t="shared" si="3657"/>
        <v/>
      </c>
      <c r="DX270" s="66" t="str">
        <f t="shared" si="3658"/>
        <v/>
      </c>
      <c r="DY270" s="66" t="str">
        <f t="shared" si="3659"/>
        <v/>
      </c>
      <c r="DZ270" s="66" t="str">
        <f t="shared" si="3660"/>
        <v/>
      </c>
      <c r="EA270" s="66" t="str">
        <f t="shared" si="3661"/>
        <v/>
      </c>
      <c r="EB270" s="66" t="str">
        <f t="shared" si="3662"/>
        <v/>
      </c>
      <c r="EC270" s="66" t="str">
        <f t="shared" si="3663"/>
        <v/>
      </c>
      <c r="ED270" s="66" t="str">
        <f t="shared" si="3664"/>
        <v/>
      </c>
      <c r="EE270" s="66" t="str">
        <f t="shared" si="3665"/>
        <v/>
      </c>
      <c r="EF270" s="66" t="str">
        <f t="shared" si="3666"/>
        <v/>
      </c>
      <c r="EG270" s="66" t="str">
        <f t="shared" si="3667"/>
        <v/>
      </c>
      <c r="EH270" s="66" t="str">
        <f t="shared" si="3668"/>
        <v/>
      </c>
      <c r="EI270" s="66" t="str">
        <f t="shared" si="3669"/>
        <v/>
      </c>
      <c r="EJ270" s="66" t="str">
        <f t="shared" si="3670"/>
        <v/>
      </c>
      <c r="EK270" s="66" t="str">
        <f t="shared" si="3671"/>
        <v/>
      </c>
      <c r="EL270" s="66" t="str">
        <f t="shared" si="3672"/>
        <v/>
      </c>
      <c r="EM270" s="66" t="str">
        <f t="shared" si="3673"/>
        <v/>
      </c>
      <c r="EN270" s="66" t="str">
        <f t="shared" si="3674"/>
        <v/>
      </c>
      <c r="EO270" s="66" t="str">
        <f t="shared" si="3675"/>
        <v/>
      </c>
      <c r="EP270" s="66" t="str">
        <f t="shared" si="3676"/>
        <v/>
      </c>
      <c r="EQ270" s="66" t="str">
        <f t="shared" si="3677"/>
        <v/>
      </c>
      <c r="ER270" s="66" t="str">
        <f t="shared" si="3678"/>
        <v/>
      </c>
      <c r="ES270" s="66" t="str">
        <f t="shared" si="3679"/>
        <v/>
      </c>
      <c r="ET270" s="66" t="str">
        <f t="shared" si="3680"/>
        <v/>
      </c>
      <c r="EU270" s="66" t="str">
        <f t="shared" si="3681"/>
        <v/>
      </c>
      <c r="EV270" s="66" t="str">
        <f t="shared" si="3682"/>
        <v/>
      </c>
      <c r="EW270" s="66" t="str">
        <f t="shared" si="3683"/>
        <v/>
      </c>
      <c r="EX270" s="66" t="str">
        <f t="shared" si="3684"/>
        <v/>
      </c>
      <c r="EY270" s="66" t="str">
        <f t="shared" si="3685"/>
        <v/>
      </c>
      <c r="EZ270" s="66" t="str">
        <f t="shared" si="3686"/>
        <v/>
      </c>
      <c r="FA270" s="66" t="str">
        <f t="shared" si="3687"/>
        <v/>
      </c>
      <c r="FB270" s="66" t="str">
        <f t="shared" si="3688"/>
        <v/>
      </c>
      <c r="FC270" s="66" t="str">
        <f t="shared" si="3689"/>
        <v/>
      </c>
      <c r="FD270" s="66" t="str">
        <f t="shared" si="3690"/>
        <v/>
      </c>
      <c r="FE270" s="66" t="str">
        <f t="shared" si="3691"/>
        <v/>
      </c>
      <c r="FF270" s="66" t="str">
        <f t="shared" si="3692"/>
        <v/>
      </c>
      <c r="FG270" s="66" t="str">
        <f t="shared" si="3693"/>
        <v/>
      </c>
      <c r="FH270" s="66" t="str">
        <f t="shared" si="3694"/>
        <v/>
      </c>
      <c r="FI270" s="66" t="str">
        <f t="shared" si="3695"/>
        <v/>
      </c>
      <c r="FJ270" s="66" t="str">
        <f t="shared" si="3696"/>
        <v/>
      </c>
      <c r="FK270" s="66" t="str">
        <f t="shared" si="3697"/>
        <v/>
      </c>
      <c r="FL270" s="66" t="str">
        <f t="shared" si="3698"/>
        <v/>
      </c>
      <c r="FM270" s="66" t="str">
        <f t="shared" si="3699"/>
        <v/>
      </c>
      <c r="FN270" s="66" t="str">
        <f t="shared" si="3700"/>
        <v/>
      </c>
      <c r="FO270" s="66" t="str">
        <f t="shared" si="3701"/>
        <v/>
      </c>
      <c r="FP270" s="66" t="str">
        <f t="shared" si="3702"/>
        <v/>
      </c>
      <c r="FQ270" s="66" t="str">
        <f t="shared" si="3703"/>
        <v/>
      </c>
      <c r="FR270" s="66" t="str">
        <f t="shared" si="3704"/>
        <v/>
      </c>
      <c r="FS270" s="66" t="str">
        <f t="shared" si="3705"/>
        <v/>
      </c>
    </row>
    <row r="271" spans="1:175" s="33" customFormat="1" ht="16.5">
      <c r="A271" s="111"/>
      <c r="B271" s="1"/>
      <c r="C271" s="111"/>
      <c r="D271" s="67"/>
      <c r="E271" s="68"/>
      <c r="F271" s="112"/>
      <c r="G271" s="113"/>
      <c r="H271" s="113"/>
      <c r="I271" s="113"/>
      <c r="J271" s="113"/>
      <c r="K271" s="113"/>
      <c r="L271" s="113"/>
      <c r="M271" s="113"/>
      <c r="N271" s="113"/>
      <c r="O271" s="113"/>
      <c r="P271" s="73"/>
      <c r="Q271" s="73"/>
      <c r="R271" s="73"/>
      <c r="S271" s="73"/>
      <c r="T271" s="80"/>
      <c r="U271" s="77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F271" s="78"/>
      <c r="AG271" s="78"/>
      <c r="AH271" s="78"/>
      <c r="AI271" s="78"/>
      <c r="AJ271" s="78"/>
      <c r="AK271" s="78"/>
      <c r="AL271" s="78"/>
      <c r="AM271" s="78"/>
      <c r="AN271" s="78"/>
      <c r="AO271" s="78"/>
      <c r="AP271" s="78"/>
      <c r="AQ271" s="78"/>
      <c r="AR271" s="84"/>
      <c r="AS271" s="84"/>
      <c r="AT271" s="78"/>
      <c r="AU271" s="78"/>
      <c r="AV271" s="78"/>
      <c r="AW271" s="78"/>
      <c r="AX271" s="78"/>
      <c r="AY271" s="78"/>
      <c r="AZ271" s="78"/>
      <c r="BA271" s="78"/>
      <c r="BB271" s="78"/>
      <c r="BC271" s="78"/>
      <c r="BD271" s="78"/>
      <c r="BE271" s="78"/>
      <c r="BF271" s="78"/>
      <c r="BG271" s="78"/>
      <c r="BH271" s="78"/>
      <c r="BI271" s="78"/>
      <c r="BJ271" s="78"/>
      <c r="BK271" s="78"/>
      <c r="BL271" s="78"/>
      <c r="BM271" s="78"/>
      <c r="BN271" s="78"/>
      <c r="BO271" s="78"/>
      <c r="BP271" s="78"/>
      <c r="BQ271" s="78"/>
      <c r="BR271" s="78"/>
      <c r="BS271" s="78"/>
      <c r="BT271" s="78"/>
      <c r="BU271" s="78"/>
      <c r="BV271" s="78"/>
      <c r="BW271" s="78"/>
      <c r="BX271" s="78"/>
      <c r="BY271" s="78"/>
      <c r="BZ271" s="78"/>
      <c r="CA271" s="78"/>
      <c r="CB271" s="78"/>
      <c r="CC271" s="78"/>
      <c r="CD271" s="78"/>
      <c r="CE271" s="78"/>
      <c r="CF271" s="78"/>
      <c r="CG271" s="78"/>
      <c r="CH271" s="78"/>
      <c r="CI271" s="78"/>
      <c r="CJ271" s="78"/>
      <c r="CK271" s="78"/>
      <c r="CL271" s="78"/>
      <c r="CM271" s="78"/>
      <c r="CN271" s="86" t="str">
        <f t="shared" si="3867"/>
        <v>InitUnitState('',,,,,,,,,,)</v>
      </c>
      <c r="CO271" s="86" t="str">
        <f t="shared" si="3868"/>
        <v>InitUnitNormal('',,,,,,,,,,)</v>
      </c>
      <c r="CP271" s="86" t="str">
        <f t="shared" si="3869"/>
        <v>InitUnitMagic('',,,,,,,,,,)</v>
      </c>
      <c r="CQ271" s="86" t="str">
        <f t="shared" si="3870"/>
        <v>InitUnitAdd('',,,,,,,,,,)</v>
      </c>
      <c r="CR271" s="86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273&amp;CR$1&amp;")"</f>
        <v>InitEquipData('',,"",,,,,'','','','','','',"")</v>
      </c>
      <c r="CS271" s="86"/>
      <c r="CT271" s="86"/>
      <c r="CU271" s="88" t="str">
        <f t="shared" si="3635"/>
        <v>|n</v>
      </c>
      <c r="CV271" s="19"/>
      <c r="DB271" s="66" t="str">
        <f t="shared" si="3636"/>
        <v/>
      </c>
      <c r="DC271" s="66" t="str">
        <f t="shared" si="3637"/>
        <v/>
      </c>
      <c r="DD271" s="66" t="str">
        <f t="shared" si="3638"/>
        <v/>
      </c>
      <c r="DE271" s="66" t="str">
        <f t="shared" si="3639"/>
        <v/>
      </c>
      <c r="DF271" s="66" t="str">
        <f t="shared" si="3640"/>
        <v/>
      </c>
      <c r="DG271" s="66" t="str">
        <f t="shared" si="3641"/>
        <v/>
      </c>
      <c r="DH271" s="66" t="str">
        <f t="shared" si="3642"/>
        <v/>
      </c>
      <c r="DI271" s="66" t="str">
        <f t="shared" si="3643"/>
        <v/>
      </c>
      <c r="DJ271" s="66" t="str">
        <f t="shared" si="3644"/>
        <v/>
      </c>
      <c r="DK271" s="66" t="str">
        <f t="shared" si="3645"/>
        <v/>
      </c>
      <c r="DL271" s="66" t="str">
        <f t="shared" si="3646"/>
        <v/>
      </c>
      <c r="DM271" s="66" t="str">
        <f t="shared" si="3647"/>
        <v/>
      </c>
      <c r="DN271" s="66" t="str">
        <f t="shared" si="3648"/>
        <v/>
      </c>
      <c r="DO271" s="66" t="str">
        <f t="shared" si="3649"/>
        <v/>
      </c>
      <c r="DP271" s="66" t="str">
        <f t="shared" si="3650"/>
        <v/>
      </c>
      <c r="DQ271" s="66" t="str">
        <f t="shared" si="3651"/>
        <v/>
      </c>
      <c r="DR271" s="66" t="str">
        <f t="shared" si="3652"/>
        <v/>
      </c>
      <c r="DS271" s="66" t="str">
        <f t="shared" si="3653"/>
        <v/>
      </c>
      <c r="DT271" s="66" t="str">
        <f t="shared" si="3654"/>
        <v/>
      </c>
      <c r="DU271" s="66" t="str">
        <f t="shared" si="3655"/>
        <v/>
      </c>
      <c r="DV271" s="66" t="str">
        <f t="shared" si="3656"/>
        <v/>
      </c>
      <c r="DW271" s="66" t="str">
        <f t="shared" si="3657"/>
        <v/>
      </c>
      <c r="DX271" s="66" t="str">
        <f t="shared" si="3658"/>
        <v/>
      </c>
      <c r="DY271" s="66" t="str">
        <f t="shared" si="3659"/>
        <v/>
      </c>
      <c r="DZ271" s="66" t="str">
        <f t="shared" si="3660"/>
        <v/>
      </c>
      <c r="EA271" s="66" t="str">
        <f t="shared" si="3661"/>
        <v/>
      </c>
      <c r="EB271" s="66" t="str">
        <f t="shared" si="3662"/>
        <v/>
      </c>
      <c r="EC271" s="66" t="str">
        <f t="shared" si="3663"/>
        <v/>
      </c>
      <c r="ED271" s="66" t="str">
        <f t="shared" si="3664"/>
        <v/>
      </c>
      <c r="EE271" s="66" t="str">
        <f t="shared" si="3665"/>
        <v/>
      </c>
      <c r="EF271" s="66" t="str">
        <f t="shared" si="3666"/>
        <v/>
      </c>
      <c r="EG271" s="66" t="str">
        <f t="shared" si="3667"/>
        <v/>
      </c>
      <c r="EH271" s="66" t="str">
        <f t="shared" si="3668"/>
        <v/>
      </c>
      <c r="EI271" s="66" t="str">
        <f t="shared" si="3669"/>
        <v/>
      </c>
      <c r="EJ271" s="66" t="str">
        <f t="shared" si="3670"/>
        <v/>
      </c>
      <c r="EK271" s="66" t="str">
        <f t="shared" si="3671"/>
        <v/>
      </c>
      <c r="EL271" s="66" t="str">
        <f t="shared" si="3672"/>
        <v/>
      </c>
      <c r="EM271" s="66" t="str">
        <f t="shared" si="3673"/>
        <v/>
      </c>
      <c r="EN271" s="66" t="str">
        <f t="shared" si="3674"/>
        <v/>
      </c>
      <c r="EO271" s="66" t="str">
        <f t="shared" si="3675"/>
        <v/>
      </c>
      <c r="EP271" s="66" t="str">
        <f t="shared" si="3676"/>
        <v/>
      </c>
      <c r="EQ271" s="66" t="str">
        <f t="shared" si="3677"/>
        <v/>
      </c>
      <c r="ER271" s="66" t="str">
        <f t="shared" si="3678"/>
        <v/>
      </c>
      <c r="ES271" s="66" t="str">
        <f t="shared" si="3679"/>
        <v/>
      </c>
      <c r="ET271" s="66" t="str">
        <f t="shared" si="3680"/>
        <v/>
      </c>
      <c r="EU271" s="66" t="str">
        <f t="shared" si="3681"/>
        <v/>
      </c>
      <c r="EV271" s="66" t="str">
        <f t="shared" si="3682"/>
        <v/>
      </c>
      <c r="EW271" s="66" t="str">
        <f t="shared" si="3683"/>
        <v/>
      </c>
      <c r="EX271" s="66" t="str">
        <f t="shared" si="3684"/>
        <v/>
      </c>
      <c r="EY271" s="66" t="str">
        <f t="shared" si="3685"/>
        <v/>
      </c>
      <c r="EZ271" s="66" t="str">
        <f t="shared" si="3686"/>
        <v/>
      </c>
      <c r="FA271" s="66" t="str">
        <f t="shared" si="3687"/>
        <v/>
      </c>
      <c r="FB271" s="66" t="str">
        <f t="shared" si="3688"/>
        <v/>
      </c>
      <c r="FC271" s="66" t="str">
        <f t="shared" si="3689"/>
        <v/>
      </c>
      <c r="FD271" s="66" t="str">
        <f t="shared" si="3690"/>
        <v/>
      </c>
      <c r="FE271" s="66" t="str">
        <f t="shared" si="3691"/>
        <v/>
      </c>
      <c r="FF271" s="66" t="str">
        <f t="shared" si="3692"/>
        <v/>
      </c>
      <c r="FG271" s="66" t="str">
        <f t="shared" si="3693"/>
        <v/>
      </c>
      <c r="FH271" s="66" t="str">
        <f t="shared" si="3694"/>
        <v/>
      </c>
      <c r="FI271" s="66" t="str">
        <f t="shared" si="3695"/>
        <v/>
      </c>
      <c r="FJ271" s="66" t="str">
        <f t="shared" si="3696"/>
        <v/>
      </c>
      <c r="FK271" s="66" t="str">
        <f t="shared" si="3697"/>
        <v/>
      </c>
      <c r="FL271" s="66" t="str">
        <f t="shared" si="3698"/>
        <v/>
      </c>
      <c r="FM271" s="66" t="str">
        <f t="shared" si="3699"/>
        <v/>
      </c>
      <c r="FN271" s="66" t="str">
        <f t="shared" si="3700"/>
        <v/>
      </c>
      <c r="FO271" s="66" t="str">
        <f t="shared" si="3701"/>
        <v/>
      </c>
      <c r="FP271" s="66" t="str">
        <f t="shared" si="3702"/>
        <v/>
      </c>
      <c r="FQ271" s="66" t="str">
        <f t="shared" si="3703"/>
        <v/>
      </c>
      <c r="FR271" s="66" t="str">
        <f t="shared" si="3704"/>
        <v/>
      </c>
      <c r="FS271" s="66" t="str">
        <f t="shared" si="3705"/>
        <v/>
      </c>
    </row>
    <row r="272" spans="1:175" s="33" customFormat="1" ht="16.5">
      <c r="A272" s="111"/>
      <c r="B272" s="1"/>
      <c r="C272" s="111"/>
      <c r="D272" s="67"/>
      <c r="E272" s="68"/>
      <c r="F272" s="112"/>
      <c r="G272" s="113"/>
      <c r="H272" s="113"/>
      <c r="I272" s="113"/>
      <c r="J272" s="113"/>
      <c r="K272" s="113"/>
      <c r="L272" s="113"/>
      <c r="M272" s="113"/>
      <c r="N272" s="113"/>
      <c r="O272" s="113"/>
      <c r="P272" s="73"/>
      <c r="Q272" s="73"/>
      <c r="R272" s="73"/>
      <c r="S272" s="73"/>
      <c r="T272" s="80"/>
      <c r="U272" s="77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78"/>
      <c r="AG272" s="78"/>
      <c r="AH272" s="78"/>
      <c r="AI272" s="78"/>
      <c r="AJ272" s="78"/>
      <c r="AK272" s="78"/>
      <c r="AL272" s="78"/>
      <c r="AM272" s="78"/>
      <c r="AN272" s="78"/>
      <c r="AO272" s="78"/>
      <c r="AP272" s="78"/>
      <c r="AQ272" s="78"/>
      <c r="AR272" s="84"/>
      <c r="AS272" s="84"/>
      <c r="AT272" s="78"/>
      <c r="AU272" s="78"/>
      <c r="AV272" s="78"/>
      <c r="AW272" s="78"/>
      <c r="AX272" s="78"/>
      <c r="AY272" s="78"/>
      <c r="AZ272" s="78"/>
      <c r="BA272" s="78"/>
      <c r="BB272" s="78"/>
      <c r="BC272" s="78"/>
      <c r="BD272" s="78"/>
      <c r="BE272" s="78"/>
      <c r="BF272" s="78"/>
      <c r="BG272" s="78"/>
      <c r="BH272" s="78"/>
      <c r="BI272" s="78"/>
      <c r="BJ272" s="78"/>
      <c r="BK272" s="78"/>
      <c r="BL272" s="78"/>
      <c r="BM272" s="78"/>
      <c r="BN272" s="78"/>
      <c r="BO272" s="78"/>
      <c r="BP272" s="78"/>
      <c r="BQ272" s="78"/>
      <c r="BR272" s="78"/>
      <c r="BS272" s="78"/>
      <c r="BT272" s="78"/>
      <c r="BU272" s="78"/>
      <c r="BV272" s="78"/>
      <c r="BW272" s="78"/>
      <c r="BX272" s="78"/>
      <c r="BY272" s="78"/>
      <c r="BZ272" s="78"/>
      <c r="CA272" s="78"/>
      <c r="CB272" s="78"/>
      <c r="CC272" s="78"/>
      <c r="CD272" s="78"/>
      <c r="CE272" s="78"/>
      <c r="CF272" s="78"/>
      <c r="CG272" s="78"/>
      <c r="CH272" s="78"/>
      <c r="CI272" s="78"/>
      <c r="CJ272" s="78"/>
      <c r="CK272" s="78"/>
      <c r="CL272" s="78"/>
      <c r="CM272" s="78"/>
      <c r="CN272" s="86" t="str">
        <f t="shared" si="3867"/>
        <v>InitUnitState('',,,,,,,,,,)</v>
      </c>
      <c r="CO272" s="86" t="str">
        <f t="shared" si="3868"/>
        <v>InitUnitNormal('',,,,,,,,,,)</v>
      </c>
      <c r="CP272" s="86" t="str">
        <f t="shared" si="3869"/>
        <v>InitUnitMagic('',,,,,,,,,,)</v>
      </c>
      <c r="CQ272" s="86" t="str">
        <f t="shared" si="3870"/>
        <v>InitUnitAdd('',,,,,,,,,,)</v>
      </c>
      <c r="CR272" s="86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274&amp;CR$1&amp;")"</f>
        <v>InitEquipData('',,"",,,,,'','','','','','',"")</v>
      </c>
      <c r="CS272" s="86"/>
      <c r="CT272" s="86"/>
      <c r="CU272" s="88" t="str">
        <f t="shared" si="3635"/>
        <v>|n</v>
      </c>
      <c r="CV272" s="19"/>
      <c r="DB272" s="66" t="str">
        <f t="shared" si="3636"/>
        <v/>
      </c>
      <c r="DC272" s="66" t="str">
        <f t="shared" si="3637"/>
        <v/>
      </c>
      <c r="DD272" s="66" t="str">
        <f t="shared" si="3638"/>
        <v/>
      </c>
      <c r="DE272" s="66" t="str">
        <f t="shared" si="3639"/>
        <v/>
      </c>
      <c r="DF272" s="66" t="str">
        <f t="shared" si="3640"/>
        <v/>
      </c>
      <c r="DG272" s="66" t="str">
        <f t="shared" si="3641"/>
        <v/>
      </c>
      <c r="DH272" s="66" t="str">
        <f t="shared" si="3642"/>
        <v/>
      </c>
      <c r="DI272" s="66" t="str">
        <f t="shared" si="3643"/>
        <v/>
      </c>
      <c r="DJ272" s="66" t="str">
        <f t="shared" si="3644"/>
        <v/>
      </c>
      <c r="DK272" s="66" t="str">
        <f t="shared" si="3645"/>
        <v/>
      </c>
      <c r="DL272" s="66" t="str">
        <f t="shared" si="3646"/>
        <v/>
      </c>
      <c r="DM272" s="66" t="str">
        <f t="shared" si="3647"/>
        <v/>
      </c>
      <c r="DN272" s="66" t="str">
        <f t="shared" si="3648"/>
        <v/>
      </c>
      <c r="DO272" s="66" t="str">
        <f t="shared" si="3649"/>
        <v/>
      </c>
      <c r="DP272" s="66" t="str">
        <f t="shared" si="3650"/>
        <v/>
      </c>
      <c r="DQ272" s="66" t="str">
        <f t="shared" si="3651"/>
        <v/>
      </c>
      <c r="DR272" s="66" t="str">
        <f t="shared" si="3652"/>
        <v/>
      </c>
      <c r="DS272" s="66" t="str">
        <f t="shared" si="3653"/>
        <v/>
      </c>
      <c r="DT272" s="66" t="str">
        <f t="shared" si="3654"/>
        <v/>
      </c>
      <c r="DU272" s="66" t="str">
        <f t="shared" si="3655"/>
        <v/>
      </c>
      <c r="DV272" s="66" t="str">
        <f t="shared" si="3656"/>
        <v/>
      </c>
      <c r="DW272" s="66" t="str">
        <f t="shared" si="3657"/>
        <v/>
      </c>
      <c r="DX272" s="66" t="str">
        <f t="shared" si="3658"/>
        <v/>
      </c>
      <c r="DY272" s="66" t="str">
        <f t="shared" si="3659"/>
        <v/>
      </c>
      <c r="DZ272" s="66" t="str">
        <f t="shared" si="3660"/>
        <v/>
      </c>
      <c r="EA272" s="66" t="str">
        <f t="shared" si="3661"/>
        <v/>
      </c>
      <c r="EB272" s="66" t="str">
        <f t="shared" si="3662"/>
        <v/>
      </c>
      <c r="EC272" s="66" t="str">
        <f t="shared" si="3663"/>
        <v/>
      </c>
      <c r="ED272" s="66" t="str">
        <f t="shared" si="3664"/>
        <v/>
      </c>
      <c r="EE272" s="66" t="str">
        <f t="shared" si="3665"/>
        <v/>
      </c>
      <c r="EF272" s="66" t="str">
        <f t="shared" si="3666"/>
        <v/>
      </c>
      <c r="EG272" s="66" t="str">
        <f t="shared" si="3667"/>
        <v/>
      </c>
      <c r="EH272" s="66" t="str">
        <f t="shared" si="3668"/>
        <v/>
      </c>
      <c r="EI272" s="66" t="str">
        <f t="shared" si="3669"/>
        <v/>
      </c>
      <c r="EJ272" s="66" t="str">
        <f t="shared" si="3670"/>
        <v/>
      </c>
      <c r="EK272" s="66" t="str">
        <f t="shared" si="3671"/>
        <v/>
      </c>
      <c r="EL272" s="66" t="str">
        <f t="shared" si="3672"/>
        <v/>
      </c>
      <c r="EM272" s="66" t="str">
        <f t="shared" si="3673"/>
        <v/>
      </c>
      <c r="EN272" s="66" t="str">
        <f t="shared" si="3674"/>
        <v/>
      </c>
      <c r="EO272" s="66" t="str">
        <f t="shared" si="3675"/>
        <v/>
      </c>
      <c r="EP272" s="66" t="str">
        <f t="shared" si="3676"/>
        <v/>
      </c>
      <c r="EQ272" s="66" t="str">
        <f t="shared" si="3677"/>
        <v/>
      </c>
      <c r="ER272" s="66" t="str">
        <f t="shared" si="3678"/>
        <v/>
      </c>
      <c r="ES272" s="66" t="str">
        <f t="shared" si="3679"/>
        <v/>
      </c>
      <c r="ET272" s="66" t="str">
        <f t="shared" si="3680"/>
        <v/>
      </c>
      <c r="EU272" s="66" t="str">
        <f t="shared" si="3681"/>
        <v/>
      </c>
      <c r="EV272" s="66" t="str">
        <f t="shared" si="3682"/>
        <v/>
      </c>
      <c r="EW272" s="66" t="str">
        <f t="shared" si="3683"/>
        <v/>
      </c>
      <c r="EX272" s="66" t="str">
        <f t="shared" si="3684"/>
        <v/>
      </c>
      <c r="EY272" s="66" t="str">
        <f t="shared" si="3685"/>
        <v/>
      </c>
      <c r="EZ272" s="66" t="str">
        <f t="shared" si="3686"/>
        <v/>
      </c>
      <c r="FA272" s="66" t="str">
        <f t="shared" si="3687"/>
        <v/>
      </c>
      <c r="FB272" s="66" t="str">
        <f t="shared" si="3688"/>
        <v/>
      </c>
      <c r="FC272" s="66" t="str">
        <f t="shared" si="3689"/>
        <v/>
      </c>
      <c r="FD272" s="66" t="str">
        <f t="shared" si="3690"/>
        <v/>
      </c>
      <c r="FE272" s="66" t="str">
        <f t="shared" si="3691"/>
        <v/>
      </c>
      <c r="FF272" s="66" t="str">
        <f t="shared" si="3692"/>
        <v/>
      </c>
      <c r="FG272" s="66" t="str">
        <f t="shared" si="3693"/>
        <v/>
      </c>
      <c r="FH272" s="66" t="str">
        <f t="shared" si="3694"/>
        <v/>
      </c>
      <c r="FI272" s="66" t="str">
        <f t="shared" si="3695"/>
        <v/>
      </c>
      <c r="FJ272" s="66" t="str">
        <f t="shared" si="3696"/>
        <v/>
      </c>
      <c r="FK272" s="66" t="str">
        <f t="shared" si="3697"/>
        <v/>
      </c>
      <c r="FL272" s="66" t="str">
        <f t="shared" si="3698"/>
        <v/>
      </c>
      <c r="FM272" s="66" t="str">
        <f t="shared" si="3699"/>
        <v/>
      </c>
      <c r="FN272" s="66" t="str">
        <f t="shared" si="3700"/>
        <v/>
      </c>
      <c r="FO272" s="66" t="str">
        <f t="shared" si="3701"/>
        <v/>
      </c>
      <c r="FP272" s="66" t="str">
        <f t="shared" si="3702"/>
        <v/>
      </c>
      <c r="FQ272" s="66" t="str">
        <f t="shared" si="3703"/>
        <v/>
      </c>
      <c r="FR272" s="66" t="str">
        <f t="shared" si="3704"/>
        <v/>
      </c>
      <c r="FS272" s="66" t="str">
        <f t="shared" si="3705"/>
        <v/>
      </c>
    </row>
    <row r="273" spans="1:175" ht="16.5">
      <c r="A273" s="2"/>
      <c r="B273" s="35"/>
      <c r="C273" s="2"/>
      <c r="E273" s="121"/>
      <c r="T273" s="122"/>
      <c r="U273" s="77"/>
      <c r="CU273" s="88" t="str">
        <f t="shared" si="3635"/>
        <v>|n</v>
      </c>
      <c r="CW273" s="33"/>
      <c r="CX273" s="33"/>
      <c r="CY273" s="33"/>
      <c r="CZ273" s="33"/>
      <c r="DA273" s="33"/>
      <c r="DB273" s="66" t="str">
        <f t="shared" si="3636"/>
        <v/>
      </c>
      <c r="DC273" s="66" t="str">
        <f t="shared" si="3637"/>
        <v/>
      </c>
      <c r="DD273" s="66" t="str">
        <f t="shared" si="3638"/>
        <v/>
      </c>
      <c r="DE273" s="66" t="str">
        <f t="shared" si="3639"/>
        <v/>
      </c>
      <c r="DF273" s="66" t="str">
        <f t="shared" si="3640"/>
        <v/>
      </c>
      <c r="DG273" s="66" t="str">
        <f t="shared" si="3641"/>
        <v/>
      </c>
      <c r="DH273" s="66" t="str">
        <f t="shared" si="3642"/>
        <v/>
      </c>
      <c r="DI273" s="66" t="str">
        <f t="shared" si="3643"/>
        <v/>
      </c>
      <c r="DJ273" s="66" t="str">
        <f t="shared" si="3644"/>
        <v/>
      </c>
      <c r="DK273" s="66" t="str">
        <f t="shared" si="3645"/>
        <v/>
      </c>
      <c r="DL273" s="66" t="str">
        <f t="shared" si="3646"/>
        <v/>
      </c>
      <c r="DM273" s="66" t="str">
        <f t="shared" si="3647"/>
        <v/>
      </c>
      <c r="DN273" s="66" t="str">
        <f t="shared" si="3648"/>
        <v/>
      </c>
      <c r="DO273" s="66" t="str">
        <f t="shared" si="3649"/>
        <v/>
      </c>
      <c r="DP273" s="66" t="str">
        <f t="shared" si="3650"/>
        <v/>
      </c>
      <c r="DQ273" s="66" t="str">
        <f t="shared" si="3651"/>
        <v/>
      </c>
      <c r="DR273" s="66" t="str">
        <f t="shared" si="3652"/>
        <v/>
      </c>
      <c r="DS273" s="66" t="str">
        <f t="shared" si="3653"/>
        <v/>
      </c>
      <c r="DT273" s="66" t="str">
        <f t="shared" si="3654"/>
        <v/>
      </c>
      <c r="DU273" s="66" t="str">
        <f t="shared" si="3655"/>
        <v/>
      </c>
      <c r="DV273" s="66" t="str">
        <f t="shared" si="3656"/>
        <v/>
      </c>
      <c r="DW273" s="66" t="str">
        <f t="shared" si="3657"/>
        <v/>
      </c>
      <c r="DX273" s="66" t="str">
        <f t="shared" si="3658"/>
        <v/>
      </c>
      <c r="DY273" s="66" t="str">
        <f t="shared" si="3659"/>
        <v/>
      </c>
      <c r="DZ273" s="66" t="str">
        <f t="shared" si="3660"/>
        <v/>
      </c>
      <c r="EA273" s="66" t="str">
        <f t="shared" si="3661"/>
        <v/>
      </c>
      <c r="EB273" s="66" t="str">
        <f t="shared" si="3662"/>
        <v/>
      </c>
      <c r="EC273" s="66" t="str">
        <f t="shared" si="3663"/>
        <v/>
      </c>
      <c r="ED273" s="66" t="str">
        <f t="shared" si="3664"/>
        <v/>
      </c>
      <c r="EE273" s="66" t="str">
        <f t="shared" si="3665"/>
        <v/>
      </c>
      <c r="EF273" s="66" t="str">
        <f t="shared" si="3666"/>
        <v/>
      </c>
      <c r="EG273" s="66" t="str">
        <f t="shared" si="3667"/>
        <v/>
      </c>
      <c r="EH273" s="66" t="str">
        <f t="shared" si="3668"/>
        <v/>
      </c>
      <c r="EI273" s="66" t="str">
        <f t="shared" si="3669"/>
        <v/>
      </c>
      <c r="EJ273" s="66" t="str">
        <f t="shared" si="3670"/>
        <v/>
      </c>
      <c r="EK273" s="66" t="str">
        <f t="shared" si="3671"/>
        <v/>
      </c>
      <c r="EL273" s="66" t="str">
        <f t="shared" si="3672"/>
        <v/>
      </c>
      <c r="EM273" s="66" t="str">
        <f t="shared" si="3673"/>
        <v/>
      </c>
      <c r="EN273" s="66" t="str">
        <f t="shared" si="3674"/>
        <v/>
      </c>
      <c r="EO273" s="66" t="str">
        <f t="shared" si="3675"/>
        <v/>
      </c>
      <c r="EP273" s="66" t="str">
        <f t="shared" si="3676"/>
        <v/>
      </c>
      <c r="EQ273" s="66" t="str">
        <f t="shared" si="3677"/>
        <v/>
      </c>
      <c r="ER273" s="66" t="str">
        <f t="shared" si="3678"/>
        <v/>
      </c>
      <c r="ES273" s="66" t="str">
        <f t="shared" si="3679"/>
        <v/>
      </c>
      <c r="ET273" s="66" t="str">
        <f t="shared" si="3680"/>
        <v/>
      </c>
      <c r="EU273" s="66" t="str">
        <f t="shared" si="3681"/>
        <v/>
      </c>
      <c r="EV273" s="66" t="str">
        <f t="shared" si="3682"/>
        <v/>
      </c>
      <c r="EW273" s="66" t="str">
        <f t="shared" si="3683"/>
        <v/>
      </c>
      <c r="EX273" s="66" t="str">
        <f t="shared" si="3684"/>
        <v/>
      </c>
      <c r="EY273" s="66" t="str">
        <f t="shared" si="3685"/>
        <v/>
      </c>
      <c r="EZ273" s="66" t="str">
        <f t="shared" si="3686"/>
        <v/>
      </c>
      <c r="FA273" s="66" t="str">
        <f t="shared" si="3687"/>
        <v/>
      </c>
      <c r="FB273" s="66" t="str">
        <f t="shared" si="3688"/>
        <v/>
      </c>
      <c r="FC273" s="66" t="str">
        <f t="shared" si="3689"/>
        <v/>
      </c>
      <c r="FD273" s="66" t="str">
        <f t="shared" si="3690"/>
        <v/>
      </c>
      <c r="FE273" s="66" t="str">
        <f t="shared" si="3691"/>
        <v/>
      </c>
      <c r="FF273" s="66" t="str">
        <f t="shared" si="3692"/>
        <v/>
      </c>
      <c r="FG273" s="66" t="str">
        <f t="shared" si="3693"/>
        <v/>
      </c>
      <c r="FH273" s="66" t="str">
        <f t="shared" si="3694"/>
        <v/>
      </c>
      <c r="FI273" s="66" t="str">
        <f t="shared" si="3695"/>
        <v/>
      </c>
      <c r="FJ273" s="66" t="str">
        <f t="shared" si="3696"/>
        <v/>
      </c>
      <c r="FK273" s="66" t="str">
        <f t="shared" si="3697"/>
        <v/>
      </c>
      <c r="FL273" s="66" t="str">
        <f t="shared" si="3698"/>
        <v/>
      </c>
      <c r="FM273" s="66" t="str">
        <f t="shared" si="3699"/>
        <v/>
      </c>
      <c r="FN273" s="66" t="str">
        <f t="shared" si="3700"/>
        <v/>
      </c>
      <c r="FO273" s="66" t="str">
        <f t="shared" si="3701"/>
        <v/>
      </c>
      <c r="FP273" s="66" t="str">
        <f t="shared" si="3702"/>
        <v/>
      </c>
      <c r="FQ273" s="66" t="str">
        <f t="shared" si="3703"/>
        <v/>
      </c>
      <c r="FR273" s="66" t="str">
        <f t="shared" si="3704"/>
        <v/>
      </c>
      <c r="FS273" s="66" t="str">
        <f t="shared" si="3705"/>
        <v/>
      </c>
    </row>
    <row r="274" spans="1:175" ht="16.5">
      <c r="A274" s="2"/>
      <c r="B274" s="35"/>
      <c r="C274" s="2"/>
      <c r="E274" s="121"/>
      <c r="T274" s="122"/>
      <c r="U274" s="77"/>
      <c r="CU274" s="88" t="str">
        <f t="shared" si="3635"/>
        <v>|n</v>
      </c>
      <c r="CW274" s="33"/>
      <c r="CX274" s="33"/>
      <c r="CY274" s="33"/>
      <c r="CZ274" s="33"/>
      <c r="DA274" s="33"/>
      <c r="DB274" s="66" t="str">
        <f t="shared" si="3636"/>
        <v/>
      </c>
      <c r="DC274" s="66" t="str">
        <f t="shared" si="3637"/>
        <v/>
      </c>
      <c r="DD274" s="66" t="str">
        <f t="shared" si="3638"/>
        <v/>
      </c>
      <c r="DE274" s="66" t="str">
        <f t="shared" si="3639"/>
        <v/>
      </c>
      <c r="DF274" s="66" t="str">
        <f t="shared" si="3640"/>
        <v/>
      </c>
      <c r="DG274" s="66" t="str">
        <f t="shared" si="3641"/>
        <v/>
      </c>
      <c r="DH274" s="66" t="str">
        <f t="shared" si="3642"/>
        <v/>
      </c>
      <c r="DI274" s="66" t="str">
        <f t="shared" si="3643"/>
        <v/>
      </c>
      <c r="DJ274" s="66" t="str">
        <f t="shared" si="3644"/>
        <v/>
      </c>
      <c r="DK274" s="66" t="str">
        <f t="shared" si="3645"/>
        <v/>
      </c>
      <c r="DL274" s="66" t="str">
        <f t="shared" si="3646"/>
        <v/>
      </c>
      <c r="DM274" s="66" t="str">
        <f t="shared" si="3647"/>
        <v/>
      </c>
      <c r="DN274" s="66" t="str">
        <f t="shared" si="3648"/>
        <v/>
      </c>
      <c r="DO274" s="66" t="str">
        <f t="shared" si="3649"/>
        <v/>
      </c>
      <c r="DP274" s="66" t="str">
        <f t="shared" si="3650"/>
        <v/>
      </c>
      <c r="DQ274" s="66" t="str">
        <f t="shared" si="3651"/>
        <v/>
      </c>
      <c r="DR274" s="66" t="str">
        <f t="shared" si="3652"/>
        <v/>
      </c>
      <c r="DS274" s="66" t="str">
        <f t="shared" si="3653"/>
        <v/>
      </c>
      <c r="DT274" s="66" t="str">
        <f t="shared" si="3654"/>
        <v/>
      </c>
      <c r="DU274" s="66" t="str">
        <f t="shared" si="3655"/>
        <v/>
      </c>
      <c r="DV274" s="66" t="str">
        <f t="shared" si="3656"/>
        <v/>
      </c>
      <c r="DW274" s="66" t="str">
        <f t="shared" si="3657"/>
        <v/>
      </c>
      <c r="DX274" s="66" t="str">
        <f t="shared" si="3658"/>
        <v/>
      </c>
      <c r="DY274" s="66" t="str">
        <f t="shared" si="3659"/>
        <v/>
      </c>
      <c r="DZ274" s="66" t="str">
        <f t="shared" si="3660"/>
        <v/>
      </c>
      <c r="EA274" s="66" t="str">
        <f t="shared" si="3661"/>
        <v/>
      </c>
      <c r="EB274" s="66" t="str">
        <f t="shared" si="3662"/>
        <v/>
      </c>
      <c r="EC274" s="66" t="str">
        <f t="shared" si="3663"/>
        <v/>
      </c>
      <c r="ED274" s="66" t="str">
        <f t="shared" si="3664"/>
        <v/>
      </c>
      <c r="EE274" s="66" t="str">
        <f t="shared" si="3665"/>
        <v/>
      </c>
      <c r="EF274" s="66" t="str">
        <f t="shared" si="3666"/>
        <v/>
      </c>
      <c r="EG274" s="66" t="str">
        <f t="shared" si="3667"/>
        <v/>
      </c>
      <c r="EH274" s="66" t="str">
        <f t="shared" si="3668"/>
        <v/>
      </c>
      <c r="EI274" s="66" t="str">
        <f t="shared" si="3669"/>
        <v/>
      </c>
      <c r="EJ274" s="66" t="str">
        <f t="shared" si="3670"/>
        <v/>
      </c>
      <c r="EK274" s="66" t="str">
        <f t="shared" si="3671"/>
        <v/>
      </c>
      <c r="EL274" s="66" t="str">
        <f t="shared" si="3672"/>
        <v/>
      </c>
      <c r="EM274" s="66" t="str">
        <f t="shared" si="3673"/>
        <v/>
      </c>
      <c r="EN274" s="66" t="str">
        <f t="shared" si="3674"/>
        <v/>
      </c>
      <c r="EO274" s="66" t="str">
        <f t="shared" si="3675"/>
        <v/>
      </c>
      <c r="EP274" s="66" t="str">
        <f t="shared" si="3676"/>
        <v/>
      </c>
      <c r="EQ274" s="66" t="str">
        <f t="shared" si="3677"/>
        <v/>
      </c>
      <c r="ER274" s="66" t="str">
        <f t="shared" si="3678"/>
        <v/>
      </c>
      <c r="ES274" s="66" t="str">
        <f t="shared" si="3679"/>
        <v/>
      </c>
      <c r="ET274" s="66" t="str">
        <f t="shared" si="3680"/>
        <v/>
      </c>
      <c r="EU274" s="66" t="str">
        <f t="shared" si="3681"/>
        <v/>
      </c>
      <c r="EV274" s="66" t="str">
        <f t="shared" si="3682"/>
        <v/>
      </c>
      <c r="EW274" s="66" t="str">
        <f t="shared" si="3683"/>
        <v/>
      </c>
      <c r="EX274" s="66" t="str">
        <f t="shared" si="3684"/>
        <v/>
      </c>
      <c r="EY274" s="66" t="str">
        <f t="shared" si="3685"/>
        <v/>
      </c>
      <c r="EZ274" s="66" t="str">
        <f t="shared" si="3686"/>
        <v/>
      </c>
      <c r="FA274" s="66" t="str">
        <f t="shared" si="3687"/>
        <v/>
      </c>
      <c r="FB274" s="66" t="str">
        <f t="shared" si="3688"/>
        <v/>
      </c>
      <c r="FC274" s="66" t="str">
        <f t="shared" si="3689"/>
        <v/>
      </c>
      <c r="FD274" s="66" t="str">
        <f t="shared" si="3690"/>
        <v/>
      </c>
      <c r="FE274" s="66" t="str">
        <f t="shared" si="3691"/>
        <v/>
      </c>
      <c r="FF274" s="66" t="str">
        <f t="shared" si="3692"/>
        <v/>
      </c>
      <c r="FG274" s="66" t="str">
        <f t="shared" si="3693"/>
        <v/>
      </c>
      <c r="FH274" s="66" t="str">
        <f t="shared" si="3694"/>
        <v/>
      </c>
      <c r="FI274" s="66" t="str">
        <f t="shared" si="3695"/>
        <v/>
      </c>
      <c r="FJ274" s="66" t="str">
        <f t="shared" si="3696"/>
        <v/>
      </c>
      <c r="FK274" s="66" t="str">
        <f t="shared" si="3697"/>
        <v/>
      </c>
      <c r="FL274" s="66" t="str">
        <f t="shared" si="3698"/>
        <v/>
      </c>
      <c r="FM274" s="66" t="str">
        <f t="shared" si="3699"/>
        <v/>
      </c>
      <c r="FN274" s="66" t="str">
        <f t="shared" si="3700"/>
        <v/>
      </c>
      <c r="FO274" s="66" t="str">
        <f t="shared" si="3701"/>
        <v/>
      </c>
      <c r="FP274" s="66" t="str">
        <f t="shared" si="3702"/>
        <v/>
      </c>
      <c r="FQ274" s="66" t="str">
        <f t="shared" si="3703"/>
        <v/>
      </c>
      <c r="FR274" s="66" t="str">
        <f t="shared" si="3704"/>
        <v/>
      </c>
      <c r="FS274" s="66" t="str">
        <f t="shared" si="3705"/>
        <v/>
      </c>
    </row>
    <row r="275" spans="1:175" ht="16.5">
      <c r="A275" s="2"/>
      <c r="B275" s="35"/>
      <c r="C275" s="2"/>
      <c r="E275" s="121"/>
      <c r="T275" s="122"/>
      <c r="U275" s="77"/>
      <c r="CU275" s="88" t="str">
        <f t="shared" si="3635"/>
        <v>|n</v>
      </c>
      <c r="CW275" s="33"/>
      <c r="CX275" s="33"/>
      <c r="CY275" s="33"/>
      <c r="CZ275" s="33"/>
      <c r="DA275" s="33"/>
      <c r="DB275" s="66" t="str">
        <f t="shared" si="3636"/>
        <v/>
      </c>
      <c r="DC275" s="66" t="str">
        <f t="shared" si="3637"/>
        <v/>
      </c>
      <c r="DD275" s="66" t="str">
        <f t="shared" si="3638"/>
        <v/>
      </c>
      <c r="DE275" s="66" t="str">
        <f t="shared" si="3639"/>
        <v/>
      </c>
      <c r="DF275" s="66" t="str">
        <f t="shared" si="3640"/>
        <v/>
      </c>
      <c r="DG275" s="66" t="str">
        <f t="shared" si="3641"/>
        <v/>
      </c>
      <c r="DH275" s="66" t="str">
        <f t="shared" si="3642"/>
        <v/>
      </c>
      <c r="DI275" s="66" t="str">
        <f t="shared" si="3643"/>
        <v/>
      </c>
      <c r="DJ275" s="66" t="str">
        <f t="shared" si="3644"/>
        <v/>
      </c>
      <c r="DK275" s="66" t="str">
        <f t="shared" si="3645"/>
        <v/>
      </c>
      <c r="DL275" s="66" t="str">
        <f t="shared" si="3646"/>
        <v/>
      </c>
      <c r="DM275" s="66" t="str">
        <f t="shared" si="3647"/>
        <v/>
      </c>
      <c r="DN275" s="66" t="str">
        <f t="shared" si="3648"/>
        <v/>
      </c>
      <c r="DO275" s="66" t="str">
        <f t="shared" si="3649"/>
        <v/>
      </c>
      <c r="DP275" s="66" t="str">
        <f t="shared" si="3650"/>
        <v/>
      </c>
      <c r="DQ275" s="66" t="str">
        <f t="shared" si="3651"/>
        <v/>
      </c>
      <c r="DR275" s="66" t="str">
        <f t="shared" si="3652"/>
        <v/>
      </c>
      <c r="DS275" s="66" t="str">
        <f t="shared" si="3653"/>
        <v/>
      </c>
      <c r="DT275" s="66" t="str">
        <f t="shared" si="3654"/>
        <v/>
      </c>
      <c r="DU275" s="66" t="str">
        <f t="shared" si="3655"/>
        <v/>
      </c>
      <c r="DV275" s="66" t="str">
        <f t="shared" si="3656"/>
        <v/>
      </c>
      <c r="DW275" s="66" t="str">
        <f t="shared" si="3657"/>
        <v/>
      </c>
      <c r="DX275" s="66" t="str">
        <f t="shared" si="3658"/>
        <v/>
      </c>
      <c r="DY275" s="66" t="str">
        <f t="shared" si="3659"/>
        <v/>
      </c>
      <c r="DZ275" s="66" t="str">
        <f t="shared" si="3660"/>
        <v/>
      </c>
      <c r="EA275" s="66" t="str">
        <f t="shared" si="3661"/>
        <v/>
      </c>
      <c r="EB275" s="66" t="str">
        <f t="shared" si="3662"/>
        <v/>
      </c>
      <c r="EC275" s="66" t="str">
        <f t="shared" si="3663"/>
        <v/>
      </c>
      <c r="ED275" s="66" t="str">
        <f t="shared" si="3664"/>
        <v/>
      </c>
      <c r="EE275" s="66" t="str">
        <f t="shared" si="3665"/>
        <v/>
      </c>
      <c r="EF275" s="66" t="str">
        <f t="shared" si="3666"/>
        <v/>
      </c>
      <c r="EG275" s="66" t="str">
        <f t="shared" si="3667"/>
        <v/>
      </c>
      <c r="EH275" s="66" t="str">
        <f t="shared" si="3668"/>
        <v/>
      </c>
      <c r="EI275" s="66" t="str">
        <f t="shared" si="3669"/>
        <v/>
      </c>
      <c r="EJ275" s="66" t="str">
        <f t="shared" si="3670"/>
        <v/>
      </c>
      <c r="EK275" s="66" t="str">
        <f t="shared" si="3671"/>
        <v/>
      </c>
      <c r="EL275" s="66" t="str">
        <f t="shared" si="3672"/>
        <v/>
      </c>
      <c r="EM275" s="66" t="str">
        <f t="shared" si="3673"/>
        <v/>
      </c>
      <c r="EN275" s="66" t="str">
        <f t="shared" si="3674"/>
        <v/>
      </c>
      <c r="EO275" s="66" t="str">
        <f t="shared" si="3675"/>
        <v/>
      </c>
      <c r="EP275" s="66" t="str">
        <f t="shared" si="3676"/>
        <v/>
      </c>
      <c r="EQ275" s="66" t="str">
        <f t="shared" si="3677"/>
        <v/>
      </c>
      <c r="ER275" s="66" t="str">
        <f t="shared" si="3678"/>
        <v/>
      </c>
      <c r="ES275" s="66" t="str">
        <f t="shared" si="3679"/>
        <v/>
      </c>
      <c r="ET275" s="66" t="str">
        <f t="shared" si="3680"/>
        <v/>
      </c>
      <c r="EU275" s="66" t="str">
        <f t="shared" si="3681"/>
        <v/>
      </c>
      <c r="EV275" s="66" t="str">
        <f t="shared" si="3682"/>
        <v/>
      </c>
      <c r="EW275" s="66" t="str">
        <f t="shared" si="3683"/>
        <v/>
      </c>
      <c r="EX275" s="66" t="str">
        <f t="shared" si="3684"/>
        <v/>
      </c>
      <c r="EY275" s="66" t="str">
        <f t="shared" si="3685"/>
        <v/>
      </c>
      <c r="EZ275" s="66" t="str">
        <f t="shared" si="3686"/>
        <v/>
      </c>
      <c r="FA275" s="66" t="str">
        <f t="shared" si="3687"/>
        <v/>
      </c>
      <c r="FB275" s="66" t="str">
        <f t="shared" si="3688"/>
        <v/>
      </c>
      <c r="FC275" s="66" t="str">
        <f t="shared" si="3689"/>
        <v/>
      </c>
      <c r="FD275" s="66" t="str">
        <f t="shared" si="3690"/>
        <v/>
      </c>
      <c r="FE275" s="66" t="str">
        <f t="shared" si="3691"/>
        <v/>
      </c>
      <c r="FF275" s="66" t="str">
        <f t="shared" si="3692"/>
        <v/>
      </c>
      <c r="FG275" s="66" t="str">
        <f t="shared" si="3693"/>
        <v/>
      </c>
      <c r="FH275" s="66" t="str">
        <f t="shared" si="3694"/>
        <v/>
      </c>
      <c r="FI275" s="66" t="str">
        <f t="shared" si="3695"/>
        <v/>
      </c>
      <c r="FJ275" s="66" t="str">
        <f t="shared" si="3696"/>
        <v/>
      </c>
      <c r="FK275" s="66" t="str">
        <f t="shared" si="3697"/>
        <v/>
      </c>
      <c r="FL275" s="66" t="str">
        <f t="shared" si="3698"/>
        <v/>
      </c>
      <c r="FM275" s="66" t="str">
        <f t="shared" si="3699"/>
        <v/>
      </c>
      <c r="FN275" s="66" t="str">
        <f t="shared" si="3700"/>
        <v/>
      </c>
      <c r="FO275" s="66" t="str">
        <f t="shared" si="3701"/>
        <v/>
      </c>
      <c r="FP275" s="66" t="str">
        <f t="shared" si="3702"/>
        <v/>
      </c>
      <c r="FQ275" s="66" t="str">
        <f t="shared" si="3703"/>
        <v/>
      </c>
      <c r="FR275" s="66" t="str">
        <f t="shared" si="3704"/>
        <v/>
      </c>
      <c r="FS275" s="66" t="str">
        <f t="shared" si="3705"/>
        <v/>
      </c>
    </row>
    <row r="276" spans="1:175" ht="16.5">
      <c r="A276" s="2"/>
      <c r="B276" s="35"/>
      <c r="C276" s="2"/>
      <c r="E276" s="121"/>
      <c r="T276" s="122"/>
      <c r="U276" s="77"/>
      <c r="CU276" s="88" t="str">
        <f t="shared" si="3635"/>
        <v>|n</v>
      </c>
      <c r="CW276" s="33"/>
      <c r="CX276" s="33"/>
      <c r="CY276" s="33"/>
      <c r="CZ276" s="33"/>
      <c r="DA276" s="33"/>
      <c r="DB276" s="66" t="str">
        <f t="shared" si="3636"/>
        <v/>
      </c>
      <c r="DC276" s="66" t="str">
        <f t="shared" si="3637"/>
        <v/>
      </c>
      <c r="DD276" s="66" t="str">
        <f t="shared" si="3638"/>
        <v/>
      </c>
      <c r="DE276" s="66" t="str">
        <f t="shared" si="3639"/>
        <v/>
      </c>
      <c r="DF276" s="66" t="str">
        <f t="shared" si="3640"/>
        <v/>
      </c>
      <c r="DG276" s="66" t="str">
        <f t="shared" si="3641"/>
        <v/>
      </c>
      <c r="DH276" s="66" t="str">
        <f t="shared" si="3642"/>
        <v/>
      </c>
      <c r="DI276" s="66" t="str">
        <f t="shared" si="3643"/>
        <v/>
      </c>
      <c r="DJ276" s="66" t="str">
        <f t="shared" si="3644"/>
        <v/>
      </c>
      <c r="DK276" s="66" t="str">
        <f t="shared" si="3645"/>
        <v/>
      </c>
      <c r="DL276" s="66" t="str">
        <f t="shared" si="3646"/>
        <v/>
      </c>
      <c r="DM276" s="66" t="str">
        <f t="shared" si="3647"/>
        <v/>
      </c>
      <c r="DN276" s="66" t="str">
        <f t="shared" si="3648"/>
        <v/>
      </c>
      <c r="DO276" s="66" t="str">
        <f t="shared" si="3649"/>
        <v/>
      </c>
      <c r="DP276" s="66" t="str">
        <f t="shared" si="3650"/>
        <v/>
      </c>
      <c r="DQ276" s="66" t="str">
        <f t="shared" si="3651"/>
        <v/>
      </c>
      <c r="DR276" s="66" t="str">
        <f t="shared" si="3652"/>
        <v/>
      </c>
      <c r="DS276" s="66" t="str">
        <f t="shared" si="3653"/>
        <v/>
      </c>
      <c r="DT276" s="66" t="str">
        <f t="shared" si="3654"/>
        <v/>
      </c>
      <c r="DU276" s="66" t="str">
        <f t="shared" si="3655"/>
        <v/>
      </c>
      <c r="DV276" s="66" t="str">
        <f t="shared" si="3656"/>
        <v/>
      </c>
      <c r="DW276" s="66" t="str">
        <f t="shared" si="3657"/>
        <v/>
      </c>
      <c r="DX276" s="66" t="str">
        <f t="shared" si="3658"/>
        <v/>
      </c>
      <c r="DY276" s="66" t="str">
        <f t="shared" si="3659"/>
        <v/>
      </c>
      <c r="DZ276" s="66" t="str">
        <f t="shared" si="3660"/>
        <v/>
      </c>
      <c r="EA276" s="66" t="str">
        <f t="shared" si="3661"/>
        <v/>
      </c>
      <c r="EB276" s="66" t="str">
        <f t="shared" si="3662"/>
        <v/>
      </c>
      <c r="EC276" s="66" t="str">
        <f t="shared" si="3663"/>
        <v/>
      </c>
      <c r="ED276" s="66" t="str">
        <f t="shared" si="3664"/>
        <v/>
      </c>
      <c r="EE276" s="66" t="str">
        <f t="shared" si="3665"/>
        <v/>
      </c>
      <c r="EF276" s="66" t="str">
        <f t="shared" si="3666"/>
        <v/>
      </c>
      <c r="EG276" s="66" t="str">
        <f t="shared" si="3667"/>
        <v/>
      </c>
      <c r="EH276" s="66" t="str">
        <f t="shared" si="3668"/>
        <v/>
      </c>
      <c r="EI276" s="66" t="str">
        <f t="shared" si="3669"/>
        <v/>
      </c>
      <c r="EJ276" s="66" t="str">
        <f t="shared" si="3670"/>
        <v/>
      </c>
      <c r="EK276" s="66" t="str">
        <f t="shared" si="3671"/>
        <v/>
      </c>
      <c r="EL276" s="66" t="str">
        <f t="shared" si="3672"/>
        <v/>
      </c>
      <c r="EM276" s="66" t="str">
        <f t="shared" si="3673"/>
        <v/>
      </c>
      <c r="EN276" s="66" t="str">
        <f t="shared" si="3674"/>
        <v/>
      </c>
      <c r="EO276" s="66" t="str">
        <f t="shared" si="3675"/>
        <v/>
      </c>
      <c r="EP276" s="66" t="str">
        <f t="shared" si="3676"/>
        <v/>
      </c>
      <c r="EQ276" s="66" t="str">
        <f t="shared" si="3677"/>
        <v/>
      </c>
      <c r="ER276" s="66" t="str">
        <f t="shared" si="3678"/>
        <v/>
      </c>
      <c r="ES276" s="66" t="str">
        <f t="shared" si="3679"/>
        <v/>
      </c>
      <c r="ET276" s="66" t="str">
        <f t="shared" si="3680"/>
        <v/>
      </c>
      <c r="EU276" s="66" t="str">
        <f t="shared" si="3681"/>
        <v/>
      </c>
      <c r="EV276" s="66" t="str">
        <f t="shared" si="3682"/>
        <v/>
      </c>
      <c r="EW276" s="66" t="str">
        <f t="shared" si="3683"/>
        <v/>
      </c>
      <c r="EX276" s="66" t="str">
        <f t="shared" si="3684"/>
        <v/>
      </c>
      <c r="EY276" s="66" t="str">
        <f t="shared" si="3685"/>
        <v/>
      </c>
      <c r="EZ276" s="66" t="str">
        <f t="shared" si="3686"/>
        <v/>
      </c>
      <c r="FA276" s="66" t="str">
        <f t="shared" si="3687"/>
        <v/>
      </c>
      <c r="FB276" s="66" t="str">
        <f t="shared" si="3688"/>
        <v/>
      </c>
      <c r="FC276" s="66" t="str">
        <f t="shared" si="3689"/>
        <v/>
      </c>
      <c r="FD276" s="66" t="str">
        <f t="shared" si="3690"/>
        <v/>
      </c>
      <c r="FE276" s="66" t="str">
        <f t="shared" si="3691"/>
        <v/>
      </c>
      <c r="FF276" s="66" t="str">
        <f t="shared" si="3692"/>
        <v/>
      </c>
      <c r="FG276" s="66" t="str">
        <f t="shared" si="3693"/>
        <v/>
      </c>
      <c r="FH276" s="66" t="str">
        <f t="shared" si="3694"/>
        <v/>
      </c>
      <c r="FI276" s="66" t="str">
        <f t="shared" si="3695"/>
        <v/>
      </c>
      <c r="FJ276" s="66" t="str">
        <f t="shared" si="3696"/>
        <v/>
      </c>
      <c r="FK276" s="66" t="str">
        <f t="shared" si="3697"/>
        <v/>
      </c>
      <c r="FL276" s="66" t="str">
        <f t="shared" si="3698"/>
        <v/>
      </c>
      <c r="FM276" s="66" t="str">
        <f t="shared" si="3699"/>
        <v/>
      </c>
      <c r="FN276" s="66" t="str">
        <f t="shared" si="3700"/>
        <v/>
      </c>
      <c r="FO276" s="66" t="str">
        <f t="shared" si="3701"/>
        <v/>
      </c>
      <c r="FP276" s="66" t="str">
        <f t="shared" si="3702"/>
        <v/>
      </c>
      <c r="FQ276" s="66" t="str">
        <f t="shared" si="3703"/>
        <v/>
      </c>
      <c r="FR276" s="66" t="str">
        <f t="shared" si="3704"/>
        <v/>
      </c>
      <c r="FS276" s="66" t="str">
        <f t="shared" si="3705"/>
        <v/>
      </c>
    </row>
    <row r="277" spans="1:175" ht="16.5">
      <c r="A277" s="2"/>
      <c r="B277" s="35"/>
      <c r="C277" s="2"/>
      <c r="E277" s="121"/>
      <c r="T277" s="122"/>
      <c r="U277" s="77"/>
      <c r="CU277" s="88" t="str">
        <f t="shared" si="3635"/>
        <v>|n</v>
      </c>
      <c r="CW277" s="33"/>
      <c r="CX277" s="33"/>
      <c r="CY277" s="33"/>
      <c r="CZ277" s="33"/>
      <c r="DA277" s="33"/>
      <c r="DB277" s="66" t="str">
        <f t="shared" si="3636"/>
        <v/>
      </c>
      <c r="DC277" s="66" t="str">
        <f t="shared" si="3637"/>
        <v/>
      </c>
      <c r="DD277" s="66" t="str">
        <f t="shared" si="3638"/>
        <v/>
      </c>
      <c r="DE277" s="66" t="str">
        <f t="shared" si="3639"/>
        <v/>
      </c>
      <c r="DF277" s="66" t="str">
        <f t="shared" si="3640"/>
        <v/>
      </c>
      <c r="DG277" s="66" t="str">
        <f t="shared" si="3641"/>
        <v/>
      </c>
      <c r="DH277" s="66" t="str">
        <f t="shared" si="3642"/>
        <v/>
      </c>
      <c r="DI277" s="66" t="str">
        <f t="shared" si="3643"/>
        <v/>
      </c>
      <c r="DJ277" s="66" t="str">
        <f t="shared" si="3644"/>
        <v/>
      </c>
      <c r="DK277" s="66" t="str">
        <f t="shared" si="3645"/>
        <v/>
      </c>
      <c r="DL277" s="66" t="str">
        <f t="shared" si="3646"/>
        <v/>
      </c>
      <c r="DM277" s="66" t="str">
        <f t="shared" si="3647"/>
        <v/>
      </c>
      <c r="DN277" s="66" t="str">
        <f t="shared" si="3648"/>
        <v/>
      </c>
      <c r="DO277" s="66" t="str">
        <f t="shared" si="3649"/>
        <v/>
      </c>
      <c r="DP277" s="66" t="str">
        <f t="shared" si="3650"/>
        <v/>
      </c>
      <c r="DQ277" s="66" t="str">
        <f t="shared" si="3651"/>
        <v/>
      </c>
      <c r="DR277" s="66" t="str">
        <f t="shared" si="3652"/>
        <v/>
      </c>
      <c r="DS277" s="66" t="str">
        <f t="shared" si="3653"/>
        <v/>
      </c>
      <c r="DT277" s="66" t="str">
        <f t="shared" si="3654"/>
        <v/>
      </c>
      <c r="DU277" s="66" t="str">
        <f t="shared" si="3655"/>
        <v/>
      </c>
      <c r="DV277" s="66" t="str">
        <f t="shared" si="3656"/>
        <v/>
      </c>
      <c r="DW277" s="66" t="str">
        <f t="shared" si="3657"/>
        <v/>
      </c>
      <c r="DX277" s="66" t="str">
        <f t="shared" si="3658"/>
        <v/>
      </c>
      <c r="DY277" s="66" t="str">
        <f t="shared" si="3659"/>
        <v/>
      </c>
      <c r="DZ277" s="66" t="str">
        <f t="shared" si="3660"/>
        <v/>
      </c>
      <c r="EA277" s="66" t="str">
        <f t="shared" si="3661"/>
        <v/>
      </c>
      <c r="EB277" s="66" t="str">
        <f t="shared" si="3662"/>
        <v/>
      </c>
      <c r="EC277" s="66" t="str">
        <f t="shared" si="3663"/>
        <v/>
      </c>
      <c r="ED277" s="66" t="str">
        <f t="shared" si="3664"/>
        <v/>
      </c>
      <c r="EE277" s="66" t="str">
        <f t="shared" si="3665"/>
        <v/>
      </c>
      <c r="EF277" s="66" t="str">
        <f t="shared" si="3666"/>
        <v/>
      </c>
      <c r="EG277" s="66" t="str">
        <f t="shared" si="3667"/>
        <v/>
      </c>
      <c r="EH277" s="66" t="str">
        <f t="shared" si="3668"/>
        <v/>
      </c>
      <c r="EI277" s="66" t="str">
        <f t="shared" si="3669"/>
        <v/>
      </c>
      <c r="EJ277" s="66" t="str">
        <f t="shared" si="3670"/>
        <v/>
      </c>
      <c r="EK277" s="66" t="str">
        <f t="shared" si="3671"/>
        <v/>
      </c>
      <c r="EL277" s="66" t="str">
        <f t="shared" si="3672"/>
        <v/>
      </c>
      <c r="EM277" s="66" t="str">
        <f t="shared" si="3673"/>
        <v/>
      </c>
      <c r="EN277" s="66" t="str">
        <f t="shared" si="3674"/>
        <v/>
      </c>
      <c r="EO277" s="66" t="str">
        <f t="shared" si="3675"/>
        <v/>
      </c>
      <c r="EP277" s="66" t="str">
        <f t="shared" si="3676"/>
        <v/>
      </c>
      <c r="EQ277" s="66" t="str">
        <f t="shared" si="3677"/>
        <v/>
      </c>
      <c r="ER277" s="66" t="str">
        <f t="shared" si="3678"/>
        <v/>
      </c>
      <c r="ES277" s="66" t="str">
        <f t="shared" si="3679"/>
        <v/>
      </c>
      <c r="ET277" s="66" t="str">
        <f t="shared" si="3680"/>
        <v/>
      </c>
      <c r="EU277" s="66" t="str">
        <f t="shared" si="3681"/>
        <v/>
      </c>
      <c r="EV277" s="66" t="str">
        <f t="shared" si="3682"/>
        <v/>
      </c>
      <c r="EW277" s="66" t="str">
        <f t="shared" si="3683"/>
        <v/>
      </c>
      <c r="EX277" s="66" t="str">
        <f t="shared" si="3684"/>
        <v/>
      </c>
      <c r="EY277" s="66" t="str">
        <f t="shared" si="3685"/>
        <v/>
      </c>
      <c r="EZ277" s="66" t="str">
        <f t="shared" si="3686"/>
        <v/>
      </c>
      <c r="FA277" s="66" t="str">
        <f t="shared" si="3687"/>
        <v/>
      </c>
      <c r="FB277" s="66" t="str">
        <f t="shared" si="3688"/>
        <v/>
      </c>
      <c r="FC277" s="66" t="str">
        <f t="shared" si="3689"/>
        <v/>
      </c>
      <c r="FD277" s="66" t="str">
        <f t="shared" si="3690"/>
        <v/>
      </c>
      <c r="FE277" s="66" t="str">
        <f t="shared" si="3691"/>
        <v/>
      </c>
      <c r="FF277" s="66" t="str">
        <f t="shared" si="3692"/>
        <v/>
      </c>
      <c r="FG277" s="66" t="str">
        <f t="shared" si="3693"/>
        <v/>
      </c>
      <c r="FH277" s="66" t="str">
        <f t="shared" si="3694"/>
        <v/>
      </c>
      <c r="FI277" s="66" t="str">
        <f t="shared" si="3695"/>
        <v/>
      </c>
      <c r="FJ277" s="66" t="str">
        <f t="shared" si="3696"/>
        <v/>
      </c>
      <c r="FK277" s="66" t="str">
        <f t="shared" si="3697"/>
        <v/>
      </c>
      <c r="FL277" s="66" t="str">
        <f t="shared" si="3698"/>
        <v/>
      </c>
      <c r="FM277" s="66" t="str">
        <f t="shared" si="3699"/>
        <v/>
      </c>
      <c r="FN277" s="66" t="str">
        <f t="shared" si="3700"/>
        <v/>
      </c>
      <c r="FO277" s="66" t="str">
        <f t="shared" si="3701"/>
        <v/>
      </c>
      <c r="FP277" s="66" t="str">
        <f t="shared" si="3702"/>
        <v/>
      </c>
      <c r="FQ277" s="66" t="str">
        <f t="shared" si="3703"/>
        <v/>
      </c>
      <c r="FR277" s="66" t="str">
        <f t="shared" si="3704"/>
        <v/>
      </c>
      <c r="FS277" s="66" t="str">
        <f t="shared" si="3705"/>
        <v/>
      </c>
    </row>
    <row r="278" spans="1:175" ht="16.5">
      <c r="A278" s="2"/>
      <c r="B278" s="35"/>
      <c r="C278" s="2"/>
      <c r="E278" s="121"/>
      <c r="T278" s="122"/>
      <c r="U278" s="77"/>
      <c r="CU278" s="88" t="str">
        <f t="shared" si="3635"/>
        <v>|n</v>
      </c>
      <c r="CW278" s="33"/>
      <c r="CX278" s="33"/>
      <c r="CY278" s="33"/>
      <c r="CZ278" s="33"/>
      <c r="DA278" s="33"/>
      <c r="DB278" s="66" t="str">
        <f t="shared" si="3636"/>
        <v/>
      </c>
      <c r="DC278" s="66" t="str">
        <f t="shared" si="3637"/>
        <v/>
      </c>
      <c r="DD278" s="66" t="str">
        <f t="shared" si="3638"/>
        <v/>
      </c>
      <c r="DE278" s="66" t="str">
        <f t="shared" si="3639"/>
        <v/>
      </c>
      <c r="DF278" s="66" t="str">
        <f t="shared" si="3640"/>
        <v/>
      </c>
      <c r="DG278" s="66" t="str">
        <f t="shared" si="3641"/>
        <v/>
      </c>
      <c r="DH278" s="66" t="str">
        <f t="shared" si="3642"/>
        <v/>
      </c>
      <c r="DI278" s="66" t="str">
        <f t="shared" si="3643"/>
        <v/>
      </c>
      <c r="DJ278" s="66" t="str">
        <f t="shared" si="3644"/>
        <v/>
      </c>
      <c r="DK278" s="66" t="str">
        <f t="shared" si="3645"/>
        <v/>
      </c>
      <c r="DL278" s="66" t="str">
        <f t="shared" si="3646"/>
        <v/>
      </c>
      <c r="DM278" s="66" t="str">
        <f t="shared" si="3647"/>
        <v/>
      </c>
      <c r="DN278" s="66" t="str">
        <f t="shared" si="3648"/>
        <v/>
      </c>
      <c r="DO278" s="66" t="str">
        <f t="shared" si="3649"/>
        <v/>
      </c>
      <c r="DP278" s="66" t="str">
        <f t="shared" si="3650"/>
        <v/>
      </c>
      <c r="DQ278" s="66" t="str">
        <f t="shared" si="3651"/>
        <v/>
      </c>
      <c r="DR278" s="66" t="str">
        <f t="shared" si="3652"/>
        <v/>
      </c>
      <c r="DS278" s="66" t="str">
        <f t="shared" si="3653"/>
        <v/>
      </c>
      <c r="DT278" s="66" t="str">
        <f t="shared" si="3654"/>
        <v/>
      </c>
      <c r="DU278" s="66" t="str">
        <f t="shared" si="3655"/>
        <v/>
      </c>
      <c r="DV278" s="66" t="str">
        <f t="shared" si="3656"/>
        <v/>
      </c>
      <c r="DW278" s="66" t="str">
        <f t="shared" si="3657"/>
        <v/>
      </c>
      <c r="DX278" s="66" t="str">
        <f t="shared" si="3658"/>
        <v/>
      </c>
      <c r="DY278" s="66" t="str">
        <f t="shared" si="3659"/>
        <v/>
      </c>
      <c r="DZ278" s="66" t="str">
        <f t="shared" si="3660"/>
        <v/>
      </c>
      <c r="EA278" s="66" t="str">
        <f t="shared" si="3661"/>
        <v/>
      </c>
      <c r="EB278" s="66" t="str">
        <f t="shared" si="3662"/>
        <v/>
      </c>
      <c r="EC278" s="66" t="str">
        <f t="shared" si="3663"/>
        <v/>
      </c>
      <c r="ED278" s="66" t="str">
        <f t="shared" si="3664"/>
        <v/>
      </c>
      <c r="EE278" s="66" t="str">
        <f t="shared" si="3665"/>
        <v/>
      </c>
      <c r="EF278" s="66" t="str">
        <f t="shared" si="3666"/>
        <v/>
      </c>
      <c r="EG278" s="66" t="str">
        <f t="shared" si="3667"/>
        <v/>
      </c>
      <c r="EH278" s="66" t="str">
        <f t="shared" si="3668"/>
        <v/>
      </c>
      <c r="EI278" s="66" t="str">
        <f t="shared" si="3669"/>
        <v/>
      </c>
      <c r="EJ278" s="66" t="str">
        <f t="shared" si="3670"/>
        <v/>
      </c>
      <c r="EK278" s="66" t="str">
        <f t="shared" si="3671"/>
        <v/>
      </c>
      <c r="EL278" s="66" t="str">
        <f t="shared" si="3672"/>
        <v/>
      </c>
      <c r="EM278" s="66" t="str">
        <f t="shared" si="3673"/>
        <v/>
      </c>
      <c r="EN278" s="66" t="str">
        <f t="shared" si="3674"/>
        <v/>
      </c>
      <c r="EO278" s="66" t="str">
        <f t="shared" si="3675"/>
        <v/>
      </c>
      <c r="EP278" s="66" t="str">
        <f t="shared" si="3676"/>
        <v/>
      </c>
      <c r="EQ278" s="66" t="str">
        <f t="shared" si="3677"/>
        <v/>
      </c>
      <c r="ER278" s="66" t="str">
        <f t="shared" si="3678"/>
        <v/>
      </c>
      <c r="ES278" s="66" t="str">
        <f t="shared" si="3679"/>
        <v/>
      </c>
      <c r="ET278" s="66" t="str">
        <f t="shared" si="3680"/>
        <v/>
      </c>
      <c r="EU278" s="66" t="str">
        <f t="shared" si="3681"/>
        <v/>
      </c>
      <c r="EV278" s="66" t="str">
        <f t="shared" si="3682"/>
        <v/>
      </c>
      <c r="EW278" s="66" t="str">
        <f t="shared" si="3683"/>
        <v/>
      </c>
      <c r="EX278" s="66" t="str">
        <f t="shared" si="3684"/>
        <v/>
      </c>
      <c r="EY278" s="66" t="str">
        <f t="shared" si="3685"/>
        <v/>
      </c>
      <c r="EZ278" s="66" t="str">
        <f t="shared" si="3686"/>
        <v/>
      </c>
      <c r="FA278" s="66" t="str">
        <f t="shared" si="3687"/>
        <v/>
      </c>
      <c r="FB278" s="66" t="str">
        <f t="shared" si="3688"/>
        <v/>
      </c>
      <c r="FC278" s="66" t="str">
        <f t="shared" si="3689"/>
        <v/>
      </c>
      <c r="FD278" s="66" t="str">
        <f t="shared" si="3690"/>
        <v/>
      </c>
      <c r="FE278" s="66" t="str">
        <f t="shared" si="3691"/>
        <v/>
      </c>
      <c r="FF278" s="66" t="str">
        <f t="shared" si="3692"/>
        <v/>
      </c>
      <c r="FG278" s="66" t="str">
        <f t="shared" si="3693"/>
        <v/>
      </c>
      <c r="FH278" s="66" t="str">
        <f t="shared" si="3694"/>
        <v/>
      </c>
      <c r="FI278" s="66" t="str">
        <f t="shared" si="3695"/>
        <v/>
      </c>
      <c r="FJ278" s="66" t="str">
        <f t="shared" si="3696"/>
        <v/>
      </c>
      <c r="FK278" s="66" t="str">
        <f t="shared" si="3697"/>
        <v/>
      </c>
      <c r="FL278" s="66" t="str">
        <f t="shared" si="3698"/>
        <v/>
      </c>
      <c r="FM278" s="66" t="str">
        <f t="shared" si="3699"/>
        <v/>
      </c>
      <c r="FN278" s="66" t="str">
        <f t="shared" si="3700"/>
        <v/>
      </c>
      <c r="FO278" s="66" t="str">
        <f t="shared" si="3701"/>
        <v/>
      </c>
      <c r="FP278" s="66" t="str">
        <f t="shared" si="3702"/>
        <v/>
      </c>
      <c r="FQ278" s="66" t="str">
        <f t="shared" si="3703"/>
        <v/>
      </c>
      <c r="FR278" s="66" t="str">
        <f t="shared" si="3704"/>
        <v/>
      </c>
      <c r="FS278" s="66" t="str">
        <f t="shared" si="3705"/>
        <v/>
      </c>
    </row>
    <row r="279" spans="1:175" ht="16.5">
      <c r="A279" s="2"/>
      <c r="B279" s="35"/>
      <c r="C279" s="2"/>
      <c r="E279" s="121"/>
      <c r="T279" s="122"/>
      <c r="U279" s="77"/>
      <c r="CU279" s="88" t="str">
        <f t="shared" si="3635"/>
        <v>|n</v>
      </c>
      <c r="CW279" s="33"/>
      <c r="CX279" s="33"/>
      <c r="CY279" s="33"/>
      <c r="CZ279" s="33"/>
      <c r="DA279" s="33"/>
      <c r="DB279" s="66" t="str">
        <f t="shared" si="3636"/>
        <v/>
      </c>
      <c r="DC279" s="66" t="str">
        <f t="shared" si="3637"/>
        <v/>
      </c>
      <c r="DD279" s="66" t="str">
        <f t="shared" si="3638"/>
        <v/>
      </c>
      <c r="DE279" s="66" t="str">
        <f t="shared" si="3639"/>
        <v/>
      </c>
      <c r="DF279" s="66" t="str">
        <f t="shared" si="3640"/>
        <v/>
      </c>
      <c r="DG279" s="66" t="str">
        <f t="shared" si="3641"/>
        <v/>
      </c>
      <c r="DH279" s="66" t="str">
        <f t="shared" si="3642"/>
        <v/>
      </c>
      <c r="DI279" s="66" t="str">
        <f t="shared" si="3643"/>
        <v/>
      </c>
      <c r="DJ279" s="66" t="str">
        <f t="shared" si="3644"/>
        <v/>
      </c>
      <c r="DK279" s="66" t="str">
        <f t="shared" si="3645"/>
        <v/>
      </c>
      <c r="DL279" s="66" t="str">
        <f t="shared" si="3646"/>
        <v/>
      </c>
      <c r="DM279" s="66" t="str">
        <f t="shared" si="3647"/>
        <v/>
      </c>
      <c r="DN279" s="66" t="str">
        <f t="shared" si="3648"/>
        <v/>
      </c>
      <c r="DO279" s="66" t="str">
        <f t="shared" si="3649"/>
        <v/>
      </c>
      <c r="DP279" s="66" t="str">
        <f t="shared" si="3650"/>
        <v/>
      </c>
      <c r="DQ279" s="66" t="str">
        <f t="shared" si="3651"/>
        <v/>
      </c>
      <c r="DR279" s="66" t="str">
        <f t="shared" si="3652"/>
        <v/>
      </c>
      <c r="DS279" s="66" t="str">
        <f t="shared" si="3653"/>
        <v/>
      </c>
      <c r="DT279" s="66" t="str">
        <f t="shared" si="3654"/>
        <v/>
      </c>
      <c r="DU279" s="66" t="str">
        <f t="shared" si="3655"/>
        <v/>
      </c>
      <c r="DV279" s="66" t="str">
        <f t="shared" si="3656"/>
        <v/>
      </c>
      <c r="DW279" s="66" t="str">
        <f t="shared" si="3657"/>
        <v/>
      </c>
      <c r="DX279" s="66" t="str">
        <f t="shared" si="3658"/>
        <v/>
      </c>
      <c r="DY279" s="66" t="str">
        <f t="shared" si="3659"/>
        <v/>
      </c>
      <c r="DZ279" s="66" t="str">
        <f t="shared" si="3660"/>
        <v/>
      </c>
      <c r="EA279" s="66" t="str">
        <f t="shared" si="3661"/>
        <v/>
      </c>
      <c r="EB279" s="66" t="str">
        <f t="shared" si="3662"/>
        <v/>
      </c>
      <c r="EC279" s="66" t="str">
        <f t="shared" si="3663"/>
        <v/>
      </c>
      <c r="ED279" s="66" t="str">
        <f t="shared" si="3664"/>
        <v/>
      </c>
      <c r="EE279" s="66" t="str">
        <f t="shared" si="3665"/>
        <v/>
      </c>
      <c r="EF279" s="66" t="str">
        <f t="shared" si="3666"/>
        <v/>
      </c>
      <c r="EG279" s="66" t="str">
        <f t="shared" si="3667"/>
        <v/>
      </c>
      <c r="EH279" s="66" t="str">
        <f t="shared" si="3668"/>
        <v/>
      </c>
      <c r="EI279" s="66" t="str">
        <f t="shared" si="3669"/>
        <v/>
      </c>
      <c r="EJ279" s="66" t="str">
        <f t="shared" si="3670"/>
        <v/>
      </c>
      <c r="EK279" s="66" t="str">
        <f t="shared" si="3671"/>
        <v/>
      </c>
      <c r="EL279" s="66" t="str">
        <f t="shared" si="3672"/>
        <v/>
      </c>
      <c r="EM279" s="66" t="str">
        <f t="shared" si="3673"/>
        <v/>
      </c>
      <c r="EN279" s="66" t="str">
        <f t="shared" si="3674"/>
        <v/>
      </c>
      <c r="EO279" s="66" t="str">
        <f t="shared" si="3675"/>
        <v/>
      </c>
      <c r="EP279" s="66" t="str">
        <f t="shared" si="3676"/>
        <v/>
      </c>
      <c r="EQ279" s="66" t="str">
        <f t="shared" si="3677"/>
        <v/>
      </c>
      <c r="ER279" s="66" t="str">
        <f t="shared" si="3678"/>
        <v/>
      </c>
      <c r="ES279" s="66" t="str">
        <f t="shared" si="3679"/>
        <v/>
      </c>
      <c r="ET279" s="66" t="str">
        <f t="shared" si="3680"/>
        <v/>
      </c>
      <c r="EU279" s="66" t="str">
        <f t="shared" si="3681"/>
        <v/>
      </c>
      <c r="EV279" s="66" t="str">
        <f t="shared" si="3682"/>
        <v/>
      </c>
      <c r="EW279" s="66" t="str">
        <f t="shared" si="3683"/>
        <v/>
      </c>
      <c r="EX279" s="66" t="str">
        <f t="shared" si="3684"/>
        <v/>
      </c>
      <c r="EY279" s="66" t="str">
        <f t="shared" si="3685"/>
        <v/>
      </c>
      <c r="EZ279" s="66" t="str">
        <f t="shared" si="3686"/>
        <v/>
      </c>
      <c r="FA279" s="66" t="str">
        <f t="shared" si="3687"/>
        <v/>
      </c>
      <c r="FB279" s="66" t="str">
        <f t="shared" si="3688"/>
        <v/>
      </c>
      <c r="FC279" s="66" t="str">
        <f t="shared" si="3689"/>
        <v/>
      </c>
      <c r="FD279" s="66" t="str">
        <f t="shared" si="3690"/>
        <v/>
      </c>
      <c r="FE279" s="66" t="str">
        <f t="shared" si="3691"/>
        <v/>
      </c>
      <c r="FF279" s="66" t="str">
        <f t="shared" si="3692"/>
        <v/>
      </c>
      <c r="FG279" s="66" t="str">
        <f t="shared" si="3693"/>
        <v/>
      </c>
      <c r="FH279" s="66" t="str">
        <f t="shared" si="3694"/>
        <v/>
      </c>
      <c r="FI279" s="66" t="str">
        <f t="shared" si="3695"/>
        <v/>
      </c>
      <c r="FJ279" s="66" t="str">
        <f t="shared" si="3696"/>
        <v/>
      </c>
      <c r="FK279" s="66" t="str">
        <f t="shared" si="3697"/>
        <v/>
      </c>
      <c r="FL279" s="66" t="str">
        <f t="shared" si="3698"/>
        <v/>
      </c>
      <c r="FM279" s="66" t="str">
        <f t="shared" si="3699"/>
        <v/>
      </c>
      <c r="FN279" s="66" t="str">
        <f t="shared" si="3700"/>
        <v/>
      </c>
      <c r="FO279" s="66" t="str">
        <f t="shared" si="3701"/>
        <v/>
      </c>
      <c r="FP279" s="66" t="str">
        <f t="shared" si="3702"/>
        <v/>
      </c>
      <c r="FQ279" s="66" t="str">
        <f t="shared" si="3703"/>
        <v/>
      </c>
      <c r="FR279" s="66" t="str">
        <f t="shared" si="3704"/>
        <v/>
      </c>
      <c r="FS279" s="66" t="str">
        <f t="shared" si="3705"/>
        <v/>
      </c>
    </row>
    <row r="280" spans="1:175" ht="16.5">
      <c r="A280" s="2"/>
      <c r="B280" s="35"/>
      <c r="C280" s="2"/>
      <c r="E280" s="121"/>
      <c r="T280" s="122"/>
      <c r="U280" s="77"/>
      <c r="CU280" s="88" t="str">
        <f t="shared" si="3635"/>
        <v>|n</v>
      </c>
      <c r="CW280" s="33"/>
      <c r="CX280" s="33"/>
      <c r="CY280" s="33"/>
      <c r="CZ280" s="33"/>
      <c r="DA280" s="33"/>
      <c r="DB280" s="66" t="str">
        <f t="shared" si="3636"/>
        <v/>
      </c>
      <c r="DC280" s="66" t="str">
        <f t="shared" si="3637"/>
        <v/>
      </c>
      <c r="DD280" s="66" t="str">
        <f t="shared" si="3638"/>
        <v/>
      </c>
      <c r="DE280" s="66" t="str">
        <f t="shared" si="3639"/>
        <v/>
      </c>
      <c r="DF280" s="66" t="str">
        <f t="shared" si="3640"/>
        <v/>
      </c>
      <c r="DG280" s="66" t="str">
        <f t="shared" si="3641"/>
        <v/>
      </c>
      <c r="DH280" s="66" t="str">
        <f t="shared" si="3642"/>
        <v/>
      </c>
      <c r="DI280" s="66" t="str">
        <f t="shared" si="3643"/>
        <v/>
      </c>
      <c r="DJ280" s="66" t="str">
        <f t="shared" si="3644"/>
        <v/>
      </c>
      <c r="DK280" s="66" t="str">
        <f t="shared" si="3645"/>
        <v/>
      </c>
      <c r="DL280" s="66" t="str">
        <f t="shared" si="3646"/>
        <v/>
      </c>
      <c r="DM280" s="66" t="str">
        <f t="shared" si="3647"/>
        <v/>
      </c>
      <c r="DN280" s="66" t="str">
        <f t="shared" si="3648"/>
        <v/>
      </c>
      <c r="DO280" s="66" t="str">
        <f t="shared" si="3649"/>
        <v/>
      </c>
      <c r="DP280" s="66" t="str">
        <f t="shared" si="3650"/>
        <v/>
      </c>
      <c r="DQ280" s="66" t="str">
        <f t="shared" si="3651"/>
        <v/>
      </c>
      <c r="DR280" s="66" t="str">
        <f t="shared" si="3652"/>
        <v/>
      </c>
      <c r="DS280" s="66" t="str">
        <f t="shared" si="3653"/>
        <v/>
      </c>
      <c r="DT280" s="66" t="str">
        <f t="shared" si="3654"/>
        <v/>
      </c>
      <c r="DU280" s="66" t="str">
        <f t="shared" si="3655"/>
        <v/>
      </c>
      <c r="DV280" s="66" t="str">
        <f t="shared" si="3656"/>
        <v/>
      </c>
      <c r="DW280" s="66" t="str">
        <f t="shared" si="3657"/>
        <v/>
      </c>
      <c r="DX280" s="66" t="str">
        <f t="shared" si="3658"/>
        <v/>
      </c>
      <c r="DY280" s="66" t="str">
        <f t="shared" si="3659"/>
        <v/>
      </c>
      <c r="DZ280" s="66" t="str">
        <f t="shared" si="3660"/>
        <v/>
      </c>
      <c r="EA280" s="66" t="str">
        <f t="shared" si="3661"/>
        <v/>
      </c>
      <c r="EB280" s="66" t="str">
        <f t="shared" si="3662"/>
        <v/>
      </c>
      <c r="EC280" s="66" t="str">
        <f t="shared" si="3663"/>
        <v/>
      </c>
      <c r="ED280" s="66" t="str">
        <f t="shared" si="3664"/>
        <v/>
      </c>
      <c r="EE280" s="66" t="str">
        <f t="shared" si="3665"/>
        <v/>
      </c>
      <c r="EF280" s="66" t="str">
        <f t="shared" si="3666"/>
        <v/>
      </c>
      <c r="EG280" s="66" t="str">
        <f t="shared" si="3667"/>
        <v/>
      </c>
      <c r="EH280" s="66" t="str">
        <f t="shared" si="3668"/>
        <v/>
      </c>
      <c r="EI280" s="66" t="str">
        <f t="shared" si="3669"/>
        <v/>
      </c>
      <c r="EJ280" s="66" t="str">
        <f t="shared" si="3670"/>
        <v/>
      </c>
      <c r="EK280" s="66" t="str">
        <f t="shared" si="3671"/>
        <v/>
      </c>
      <c r="EL280" s="66" t="str">
        <f t="shared" si="3672"/>
        <v/>
      </c>
      <c r="EM280" s="66" t="str">
        <f t="shared" si="3673"/>
        <v/>
      </c>
      <c r="EN280" s="66" t="str">
        <f t="shared" si="3674"/>
        <v/>
      </c>
      <c r="EO280" s="66" t="str">
        <f t="shared" si="3675"/>
        <v/>
      </c>
      <c r="EP280" s="66" t="str">
        <f t="shared" si="3676"/>
        <v/>
      </c>
      <c r="EQ280" s="66" t="str">
        <f t="shared" si="3677"/>
        <v/>
      </c>
      <c r="ER280" s="66" t="str">
        <f t="shared" si="3678"/>
        <v/>
      </c>
      <c r="ES280" s="66" t="str">
        <f t="shared" si="3679"/>
        <v/>
      </c>
      <c r="ET280" s="66" t="str">
        <f t="shared" si="3680"/>
        <v/>
      </c>
      <c r="EU280" s="66" t="str">
        <f t="shared" si="3681"/>
        <v/>
      </c>
      <c r="EV280" s="66" t="str">
        <f t="shared" si="3682"/>
        <v/>
      </c>
      <c r="EW280" s="66" t="str">
        <f t="shared" si="3683"/>
        <v/>
      </c>
      <c r="EX280" s="66" t="str">
        <f t="shared" si="3684"/>
        <v/>
      </c>
      <c r="EY280" s="66" t="str">
        <f t="shared" si="3685"/>
        <v/>
      </c>
      <c r="EZ280" s="66" t="str">
        <f t="shared" si="3686"/>
        <v/>
      </c>
      <c r="FA280" s="66" t="str">
        <f t="shared" si="3687"/>
        <v/>
      </c>
      <c r="FB280" s="66" t="str">
        <f t="shared" si="3688"/>
        <v/>
      </c>
      <c r="FC280" s="66" t="str">
        <f t="shared" si="3689"/>
        <v/>
      </c>
      <c r="FD280" s="66" t="str">
        <f t="shared" si="3690"/>
        <v/>
      </c>
      <c r="FE280" s="66" t="str">
        <f t="shared" si="3691"/>
        <v/>
      </c>
      <c r="FF280" s="66" t="str">
        <f t="shared" si="3692"/>
        <v/>
      </c>
      <c r="FG280" s="66" t="str">
        <f t="shared" si="3693"/>
        <v/>
      </c>
      <c r="FH280" s="66" t="str">
        <f t="shared" si="3694"/>
        <v/>
      </c>
      <c r="FI280" s="66" t="str">
        <f t="shared" si="3695"/>
        <v/>
      </c>
      <c r="FJ280" s="66" t="str">
        <f t="shared" si="3696"/>
        <v/>
      </c>
      <c r="FK280" s="66" t="str">
        <f t="shared" si="3697"/>
        <v/>
      </c>
      <c r="FL280" s="66" t="str">
        <f t="shared" si="3698"/>
        <v/>
      </c>
      <c r="FM280" s="66" t="str">
        <f t="shared" si="3699"/>
        <v/>
      </c>
      <c r="FN280" s="66" t="str">
        <f t="shared" si="3700"/>
        <v/>
      </c>
      <c r="FO280" s="66" t="str">
        <f t="shared" si="3701"/>
        <v/>
      </c>
      <c r="FP280" s="66" t="str">
        <f t="shared" si="3702"/>
        <v/>
      </c>
      <c r="FQ280" s="66" t="str">
        <f t="shared" si="3703"/>
        <v/>
      </c>
      <c r="FR280" s="66" t="str">
        <f t="shared" si="3704"/>
        <v/>
      </c>
      <c r="FS280" s="66" t="str">
        <f t="shared" si="3705"/>
        <v/>
      </c>
    </row>
    <row r="281" spans="1:175" ht="16.5">
      <c r="A281" s="2"/>
      <c r="B281" s="35"/>
      <c r="C281" s="2"/>
      <c r="E281" s="121"/>
      <c r="T281" s="122"/>
      <c r="U281" s="77"/>
      <c r="CU281" s="88" t="str">
        <f t="shared" si="3635"/>
        <v>|n</v>
      </c>
      <c r="CW281" s="33"/>
      <c r="CX281" s="33"/>
      <c r="CY281" s="33"/>
      <c r="CZ281" s="33"/>
      <c r="DA281" s="33"/>
      <c r="DB281" s="66" t="str">
        <f t="shared" si="3636"/>
        <v/>
      </c>
      <c r="DC281" s="66" t="str">
        <f t="shared" si="3637"/>
        <v/>
      </c>
      <c r="DD281" s="66" t="str">
        <f t="shared" si="3638"/>
        <v/>
      </c>
      <c r="DE281" s="66" t="str">
        <f t="shared" si="3639"/>
        <v/>
      </c>
      <c r="DF281" s="66" t="str">
        <f t="shared" si="3640"/>
        <v/>
      </c>
      <c r="DG281" s="66" t="str">
        <f t="shared" si="3641"/>
        <v/>
      </c>
      <c r="DH281" s="66" t="str">
        <f t="shared" si="3642"/>
        <v/>
      </c>
      <c r="DI281" s="66" t="str">
        <f t="shared" si="3643"/>
        <v/>
      </c>
      <c r="DJ281" s="66" t="str">
        <f t="shared" si="3644"/>
        <v/>
      </c>
      <c r="DK281" s="66" t="str">
        <f t="shared" si="3645"/>
        <v/>
      </c>
      <c r="DL281" s="66" t="str">
        <f t="shared" si="3646"/>
        <v/>
      </c>
      <c r="DM281" s="66" t="str">
        <f t="shared" si="3647"/>
        <v/>
      </c>
      <c r="DN281" s="66" t="str">
        <f t="shared" si="3648"/>
        <v/>
      </c>
      <c r="DO281" s="66" t="str">
        <f t="shared" si="3649"/>
        <v/>
      </c>
      <c r="DP281" s="66" t="str">
        <f t="shared" si="3650"/>
        <v/>
      </c>
      <c r="DQ281" s="66" t="str">
        <f t="shared" si="3651"/>
        <v/>
      </c>
      <c r="DR281" s="66" t="str">
        <f t="shared" si="3652"/>
        <v/>
      </c>
      <c r="DS281" s="66" t="str">
        <f t="shared" si="3653"/>
        <v/>
      </c>
      <c r="DT281" s="66" t="str">
        <f t="shared" si="3654"/>
        <v/>
      </c>
      <c r="DU281" s="66" t="str">
        <f t="shared" si="3655"/>
        <v/>
      </c>
      <c r="DV281" s="66" t="str">
        <f t="shared" si="3656"/>
        <v/>
      </c>
      <c r="DW281" s="66" t="str">
        <f t="shared" si="3657"/>
        <v/>
      </c>
      <c r="DX281" s="66" t="str">
        <f t="shared" si="3658"/>
        <v/>
      </c>
      <c r="DY281" s="66" t="str">
        <f t="shared" si="3659"/>
        <v/>
      </c>
      <c r="DZ281" s="66" t="str">
        <f t="shared" si="3660"/>
        <v/>
      </c>
      <c r="EA281" s="66" t="str">
        <f t="shared" si="3661"/>
        <v/>
      </c>
      <c r="EB281" s="66" t="str">
        <f t="shared" si="3662"/>
        <v/>
      </c>
      <c r="EC281" s="66" t="str">
        <f t="shared" si="3663"/>
        <v/>
      </c>
      <c r="ED281" s="66" t="str">
        <f t="shared" si="3664"/>
        <v/>
      </c>
      <c r="EE281" s="66" t="str">
        <f t="shared" si="3665"/>
        <v/>
      </c>
      <c r="EF281" s="66" t="str">
        <f t="shared" si="3666"/>
        <v/>
      </c>
      <c r="EG281" s="66" t="str">
        <f t="shared" si="3667"/>
        <v/>
      </c>
      <c r="EH281" s="66" t="str">
        <f t="shared" si="3668"/>
        <v/>
      </c>
      <c r="EI281" s="66" t="str">
        <f t="shared" si="3669"/>
        <v/>
      </c>
      <c r="EJ281" s="66" t="str">
        <f t="shared" si="3670"/>
        <v/>
      </c>
      <c r="EK281" s="66" t="str">
        <f t="shared" si="3671"/>
        <v/>
      </c>
      <c r="EL281" s="66" t="str">
        <f t="shared" si="3672"/>
        <v/>
      </c>
      <c r="EM281" s="66" t="str">
        <f t="shared" si="3673"/>
        <v/>
      </c>
      <c r="EN281" s="66" t="str">
        <f t="shared" si="3674"/>
        <v/>
      </c>
      <c r="EO281" s="66" t="str">
        <f t="shared" si="3675"/>
        <v/>
      </c>
      <c r="EP281" s="66" t="str">
        <f t="shared" si="3676"/>
        <v/>
      </c>
      <c r="EQ281" s="66" t="str">
        <f t="shared" si="3677"/>
        <v/>
      </c>
      <c r="ER281" s="66" t="str">
        <f t="shared" si="3678"/>
        <v/>
      </c>
      <c r="ES281" s="66" t="str">
        <f t="shared" si="3679"/>
        <v/>
      </c>
      <c r="ET281" s="66" t="str">
        <f t="shared" si="3680"/>
        <v/>
      </c>
      <c r="EU281" s="66" t="str">
        <f t="shared" si="3681"/>
        <v/>
      </c>
      <c r="EV281" s="66" t="str">
        <f t="shared" si="3682"/>
        <v/>
      </c>
      <c r="EW281" s="66" t="str">
        <f t="shared" si="3683"/>
        <v/>
      </c>
      <c r="EX281" s="66" t="str">
        <f t="shared" si="3684"/>
        <v/>
      </c>
      <c r="EY281" s="66" t="str">
        <f t="shared" si="3685"/>
        <v/>
      </c>
      <c r="EZ281" s="66" t="str">
        <f t="shared" si="3686"/>
        <v/>
      </c>
      <c r="FA281" s="66" t="str">
        <f t="shared" si="3687"/>
        <v/>
      </c>
      <c r="FB281" s="66" t="str">
        <f t="shared" si="3688"/>
        <v/>
      </c>
      <c r="FC281" s="66" t="str">
        <f t="shared" si="3689"/>
        <v/>
      </c>
      <c r="FD281" s="66" t="str">
        <f t="shared" si="3690"/>
        <v/>
      </c>
      <c r="FE281" s="66" t="str">
        <f t="shared" si="3691"/>
        <v/>
      </c>
      <c r="FF281" s="66" t="str">
        <f t="shared" si="3692"/>
        <v/>
      </c>
      <c r="FG281" s="66" t="str">
        <f t="shared" si="3693"/>
        <v/>
      </c>
      <c r="FH281" s="66" t="str">
        <f t="shared" si="3694"/>
        <v/>
      </c>
      <c r="FI281" s="66" t="str">
        <f t="shared" si="3695"/>
        <v/>
      </c>
      <c r="FJ281" s="66" t="str">
        <f t="shared" si="3696"/>
        <v/>
      </c>
      <c r="FK281" s="66" t="str">
        <f t="shared" si="3697"/>
        <v/>
      </c>
      <c r="FL281" s="66" t="str">
        <f t="shared" si="3698"/>
        <v/>
      </c>
      <c r="FM281" s="66" t="str">
        <f t="shared" si="3699"/>
        <v/>
      </c>
      <c r="FN281" s="66" t="str">
        <f t="shared" si="3700"/>
        <v/>
      </c>
      <c r="FO281" s="66" t="str">
        <f t="shared" si="3701"/>
        <v/>
      </c>
      <c r="FP281" s="66" t="str">
        <f t="shared" si="3702"/>
        <v/>
      </c>
      <c r="FQ281" s="66" t="str">
        <f t="shared" si="3703"/>
        <v/>
      </c>
      <c r="FR281" s="66" t="str">
        <f t="shared" si="3704"/>
        <v/>
      </c>
      <c r="FS281" s="66" t="str">
        <f t="shared" si="3705"/>
        <v/>
      </c>
    </row>
    <row r="282" spans="1:175" ht="16.5">
      <c r="A282" s="2"/>
      <c r="B282" s="35"/>
      <c r="C282" s="2"/>
      <c r="E282" s="121"/>
      <c r="T282" s="122"/>
      <c r="U282" s="77"/>
      <c r="CU282" s="88" t="str">
        <f t="shared" si="3635"/>
        <v>|n</v>
      </c>
      <c r="CW282" s="33"/>
      <c r="CX282" s="33"/>
      <c r="CY282" s="33"/>
      <c r="CZ282" s="33"/>
      <c r="DA282" s="33"/>
      <c r="DB282" s="66" t="str">
        <f t="shared" si="3636"/>
        <v/>
      </c>
      <c r="DC282" s="66" t="str">
        <f t="shared" si="3637"/>
        <v/>
      </c>
      <c r="DD282" s="66" t="str">
        <f t="shared" si="3638"/>
        <v/>
      </c>
      <c r="DE282" s="66" t="str">
        <f t="shared" si="3639"/>
        <v/>
      </c>
      <c r="DF282" s="66" t="str">
        <f t="shared" si="3640"/>
        <v/>
      </c>
      <c r="DG282" s="66" t="str">
        <f t="shared" si="3641"/>
        <v/>
      </c>
      <c r="DH282" s="66" t="str">
        <f t="shared" si="3642"/>
        <v/>
      </c>
      <c r="DI282" s="66" t="str">
        <f t="shared" si="3643"/>
        <v/>
      </c>
      <c r="DJ282" s="66" t="str">
        <f t="shared" si="3644"/>
        <v/>
      </c>
      <c r="DK282" s="66" t="str">
        <f t="shared" si="3645"/>
        <v/>
      </c>
      <c r="DL282" s="66" t="str">
        <f t="shared" si="3646"/>
        <v/>
      </c>
      <c r="DM282" s="66" t="str">
        <f t="shared" si="3647"/>
        <v/>
      </c>
      <c r="DN282" s="66" t="str">
        <f t="shared" si="3648"/>
        <v/>
      </c>
      <c r="DO282" s="66" t="str">
        <f t="shared" si="3649"/>
        <v/>
      </c>
      <c r="DP282" s="66" t="str">
        <f t="shared" si="3650"/>
        <v/>
      </c>
      <c r="DQ282" s="66" t="str">
        <f t="shared" si="3651"/>
        <v/>
      </c>
      <c r="DR282" s="66" t="str">
        <f t="shared" si="3652"/>
        <v/>
      </c>
      <c r="DS282" s="66" t="str">
        <f t="shared" si="3653"/>
        <v/>
      </c>
      <c r="DT282" s="66" t="str">
        <f t="shared" si="3654"/>
        <v/>
      </c>
      <c r="DU282" s="66" t="str">
        <f t="shared" si="3655"/>
        <v/>
      </c>
      <c r="DV282" s="66" t="str">
        <f t="shared" si="3656"/>
        <v/>
      </c>
      <c r="DW282" s="66" t="str">
        <f t="shared" si="3657"/>
        <v/>
      </c>
      <c r="DX282" s="66" t="str">
        <f t="shared" si="3658"/>
        <v/>
      </c>
      <c r="DY282" s="66" t="str">
        <f t="shared" si="3659"/>
        <v/>
      </c>
      <c r="DZ282" s="66" t="str">
        <f t="shared" si="3660"/>
        <v/>
      </c>
      <c r="EA282" s="66" t="str">
        <f t="shared" si="3661"/>
        <v/>
      </c>
      <c r="EB282" s="66" t="str">
        <f t="shared" si="3662"/>
        <v/>
      </c>
      <c r="EC282" s="66" t="str">
        <f t="shared" si="3663"/>
        <v/>
      </c>
      <c r="ED282" s="66" t="str">
        <f t="shared" si="3664"/>
        <v/>
      </c>
      <c r="EE282" s="66" t="str">
        <f t="shared" si="3665"/>
        <v/>
      </c>
      <c r="EF282" s="66" t="str">
        <f t="shared" si="3666"/>
        <v/>
      </c>
      <c r="EG282" s="66" t="str">
        <f t="shared" si="3667"/>
        <v/>
      </c>
      <c r="EH282" s="66" t="str">
        <f t="shared" si="3668"/>
        <v/>
      </c>
      <c r="EI282" s="66" t="str">
        <f t="shared" si="3669"/>
        <v/>
      </c>
      <c r="EJ282" s="66" t="str">
        <f t="shared" si="3670"/>
        <v/>
      </c>
      <c r="EK282" s="66" t="str">
        <f t="shared" si="3671"/>
        <v/>
      </c>
      <c r="EL282" s="66" t="str">
        <f t="shared" si="3672"/>
        <v/>
      </c>
      <c r="EM282" s="66" t="str">
        <f t="shared" si="3673"/>
        <v/>
      </c>
      <c r="EN282" s="66" t="str">
        <f t="shared" si="3674"/>
        <v/>
      </c>
      <c r="EO282" s="66" t="str">
        <f t="shared" si="3675"/>
        <v/>
      </c>
      <c r="EP282" s="66" t="str">
        <f t="shared" si="3676"/>
        <v/>
      </c>
      <c r="EQ282" s="66" t="str">
        <f t="shared" si="3677"/>
        <v/>
      </c>
      <c r="ER282" s="66" t="str">
        <f t="shared" si="3678"/>
        <v/>
      </c>
      <c r="ES282" s="66" t="str">
        <f t="shared" si="3679"/>
        <v/>
      </c>
      <c r="ET282" s="66" t="str">
        <f t="shared" si="3680"/>
        <v/>
      </c>
      <c r="EU282" s="66" t="str">
        <f t="shared" si="3681"/>
        <v/>
      </c>
      <c r="EV282" s="66" t="str">
        <f t="shared" si="3682"/>
        <v/>
      </c>
      <c r="EW282" s="66" t="str">
        <f t="shared" si="3683"/>
        <v/>
      </c>
      <c r="EX282" s="66" t="str">
        <f t="shared" si="3684"/>
        <v/>
      </c>
      <c r="EY282" s="66" t="str">
        <f t="shared" si="3685"/>
        <v/>
      </c>
      <c r="EZ282" s="66" t="str">
        <f t="shared" si="3686"/>
        <v/>
      </c>
      <c r="FA282" s="66" t="str">
        <f t="shared" si="3687"/>
        <v/>
      </c>
      <c r="FB282" s="66" t="str">
        <f t="shared" si="3688"/>
        <v/>
      </c>
      <c r="FC282" s="66" t="str">
        <f t="shared" si="3689"/>
        <v/>
      </c>
      <c r="FD282" s="66" t="str">
        <f t="shared" si="3690"/>
        <v/>
      </c>
      <c r="FE282" s="66" t="str">
        <f t="shared" si="3691"/>
        <v/>
      </c>
      <c r="FF282" s="66" t="str">
        <f t="shared" si="3692"/>
        <v/>
      </c>
      <c r="FG282" s="66" t="str">
        <f t="shared" si="3693"/>
        <v/>
      </c>
      <c r="FH282" s="66" t="str">
        <f t="shared" si="3694"/>
        <v/>
      </c>
      <c r="FI282" s="66" t="str">
        <f t="shared" si="3695"/>
        <v/>
      </c>
      <c r="FJ282" s="66" t="str">
        <f t="shared" si="3696"/>
        <v/>
      </c>
      <c r="FK282" s="66" t="str">
        <f t="shared" si="3697"/>
        <v/>
      </c>
      <c r="FL282" s="66" t="str">
        <f t="shared" si="3698"/>
        <v/>
      </c>
      <c r="FM282" s="66" t="str">
        <f t="shared" si="3699"/>
        <v/>
      </c>
      <c r="FN282" s="66" t="str">
        <f t="shared" si="3700"/>
        <v/>
      </c>
      <c r="FO282" s="66" t="str">
        <f t="shared" si="3701"/>
        <v/>
      </c>
      <c r="FP282" s="66" t="str">
        <f t="shared" si="3702"/>
        <v/>
      </c>
      <c r="FQ282" s="66" t="str">
        <f t="shared" si="3703"/>
        <v/>
      </c>
      <c r="FR282" s="66" t="str">
        <f t="shared" si="3704"/>
        <v/>
      </c>
      <c r="FS282" s="66" t="str">
        <f t="shared" si="3705"/>
        <v/>
      </c>
    </row>
    <row r="283" spans="1:175" ht="16.5">
      <c r="A283" s="2"/>
      <c r="B283" s="35"/>
      <c r="C283" s="2"/>
      <c r="E283" s="121"/>
      <c r="T283" s="122"/>
      <c r="U283" s="77"/>
      <c r="CU283" s="88" t="str">
        <f t="shared" si="3635"/>
        <v>|n</v>
      </c>
      <c r="CW283" s="33"/>
      <c r="CX283" s="33"/>
      <c r="CY283" s="33"/>
      <c r="CZ283" s="33"/>
      <c r="DA283" s="33"/>
      <c r="DB283" s="66" t="str">
        <f t="shared" si="3636"/>
        <v/>
      </c>
      <c r="DC283" s="66" t="str">
        <f t="shared" si="3637"/>
        <v/>
      </c>
      <c r="DD283" s="66" t="str">
        <f t="shared" si="3638"/>
        <v/>
      </c>
      <c r="DE283" s="66" t="str">
        <f t="shared" si="3639"/>
        <v/>
      </c>
      <c r="DF283" s="66" t="str">
        <f t="shared" si="3640"/>
        <v/>
      </c>
      <c r="DG283" s="66" t="str">
        <f t="shared" si="3641"/>
        <v/>
      </c>
      <c r="DH283" s="66" t="str">
        <f t="shared" si="3642"/>
        <v/>
      </c>
      <c r="DI283" s="66" t="str">
        <f t="shared" si="3643"/>
        <v/>
      </c>
      <c r="DJ283" s="66" t="str">
        <f t="shared" si="3644"/>
        <v/>
      </c>
      <c r="DK283" s="66" t="str">
        <f t="shared" si="3645"/>
        <v/>
      </c>
      <c r="DL283" s="66" t="str">
        <f t="shared" si="3646"/>
        <v/>
      </c>
      <c r="DM283" s="66" t="str">
        <f t="shared" si="3647"/>
        <v/>
      </c>
      <c r="DN283" s="66" t="str">
        <f t="shared" si="3648"/>
        <v/>
      </c>
      <c r="DO283" s="66" t="str">
        <f t="shared" si="3649"/>
        <v/>
      </c>
      <c r="DP283" s="66" t="str">
        <f t="shared" si="3650"/>
        <v/>
      </c>
      <c r="DQ283" s="66" t="str">
        <f t="shared" si="3651"/>
        <v/>
      </c>
      <c r="DR283" s="66" t="str">
        <f t="shared" si="3652"/>
        <v/>
      </c>
      <c r="DS283" s="66" t="str">
        <f t="shared" si="3653"/>
        <v/>
      </c>
      <c r="DT283" s="66" t="str">
        <f t="shared" si="3654"/>
        <v/>
      </c>
      <c r="DU283" s="66" t="str">
        <f t="shared" si="3655"/>
        <v/>
      </c>
      <c r="DV283" s="66" t="str">
        <f t="shared" si="3656"/>
        <v/>
      </c>
      <c r="DW283" s="66" t="str">
        <f t="shared" si="3657"/>
        <v/>
      </c>
      <c r="DX283" s="66" t="str">
        <f t="shared" si="3658"/>
        <v/>
      </c>
      <c r="DY283" s="66" t="str">
        <f t="shared" si="3659"/>
        <v/>
      </c>
      <c r="DZ283" s="66" t="str">
        <f t="shared" si="3660"/>
        <v/>
      </c>
      <c r="EA283" s="66" t="str">
        <f t="shared" si="3661"/>
        <v/>
      </c>
      <c r="EB283" s="66" t="str">
        <f t="shared" si="3662"/>
        <v/>
      </c>
      <c r="EC283" s="66" t="str">
        <f t="shared" si="3663"/>
        <v/>
      </c>
      <c r="ED283" s="66" t="str">
        <f t="shared" si="3664"/>
        <v/>
      </c>
      <c r="EE283" s="66" t="str">
        <f t="shared" si="3665"/>
        <v/>
      </c>
      <c r="EF283" s="66" t="str">
        <f t="shared" si="3666"/>
        <v/>
      </c>
      <c r="EG283" s="66" t="str">
        <f t="shared" si="3667"/>
        <v/>
      </c>
      <c r="EH283" s="66" t="str">
        <f t="shared" si="3668"/>
        <v/>
      </c>
      <c r="EI283" s="66" t="str">
        <f t="shared" si="3669"/>
        <v/>
      </c>
      <c r="EJ283" s="66" t="str">
        <f t="shared" si="3670"/>
        <v/>
      </c>
      <c r="EK283" s="66" t="str">
        <f t="shared" si="3671"/>
        <v/>
      </c>
      <c r="EL283" s="66" t="str">
        <f t="shared" si="3672"/>
        <v/>
      </c>
      <c r="EM283" s="66" t="str">
        <f t="shared" si="3673"/>
        <v/>
      </c>
      <c r="EN283" s="66" t="str">
        <f t="shared" si="3674"/>
        <v/>
      </c>
      <c r="EO283" s="66" t="str">
        <f t="shared" si="3675"/>
        <v/>
      </c>
      <c r="EP283" s="66" t="str">
        <f t="shared" si="3676"/>
        <v/>
      </c>
      <c r="EQ283" s="66" t="str">
        <f t="shared" si="3677"/>
        <v/>
      </c>
      <c r="ER283" s="66" t="str">
        <f t="shared" si="3678"/>
        <v/>
      </c>
      <c r="ES283" s="66" t="str">
        <f t="shared" si="3679"/>
        <v/>
      </c>
      <c r="ET283" s="66" t="str">
        <f t="shared" si="3680"/>
        <v/>
      </c>
      <c r="EU283" s="66" t="str">
        <f t="shared" si="3681"/>
        <v/>
      </c>
      <c r="EV283" s="66" t="str">
        <f t="shared" si="3682"/>
        <v/>
      </c>
      <c r="EW283" s="66" t="str">
        <f t="shared" si="3683"/>
        <v/>
      </c>
      <c r="EX283" s="66" t="str">
        <f t="shared" si="3684"/>
        <v/>
      </c>
      <c r="EY283" s="66" t="str">
        <f t="shared" si="3685"/>
        <v/>
      </c>
      <c r="EZ283" s="66" t="str">
        <f t="shared" si="3686"/>
        <v/>
      </c>
      <c r="FA283" s="66" t="str">
        <f t="shared" si="3687"/>
        <v/>
      </c>
      <c r="FB283" s="66" t="str">
        <f t="shared" si="3688"/>
        <v/>
      </c>
      <c r="FC283" s="66" t="str">
        <f t="shared" si="3689"/>
        <v/>
      </c>
      <c r="FD283" s="66" t="str">
        <f t="shared" si="3690"/>
        <v/>
      </c>
      <c r="FE283" s="66" t="str">
        <f t="shared" si="3691"/>
        <v/>
      </c>
      <c r="FF283" s="66" t="str">
        <f t="shared" si="3692"/>
        <v/>
      </c>
      <c r="FG283" s="66" t="str">
        <f t="shared" si="3693"/>
        <v/>
      </c>
      <c r="FH283" s="66" t="str">
        <f t="shared" si="3694"/>
        <v/>
      </c>
      <c r="FI283" s="66" t="str">
        <f t="shared" si="3695"/>
        <v/>
      </c>
      <c r="FJ283" s="66" t="str">
        <f t="shared" si="3696"/>
        <v/>
      </c>
      <c r="FK283" s="66" t="str">
        <f t="shared" si="3697"/>
        <v/>
      </c>
      <c r="FL283" s="66" t="str">
        <f t="shared" si="3698"/>
        <v/>
      </c>
      <c r="FM283" s="66" t="str">
        <f t="shared" si="3699"/>
        <v/>
      </c>
      <c r="FN283" s="66" t="str">
        <f t="shared" si="3700"/>
        <v/>
      </c>
      <c r="FO283" s="66" t="str">
        <f t="shared" si="3701"/>
        <v/>
      </c>
      <c r="FP283" s="66" t="str">
        <f t="shared" si="3702"/>
        <v/>
      </c>
      <c r="FQ283" s="66" t="str">
        <f t="shared" si="3703"/>
        <v/>
      </c>
      <c r="FR283" s="66" t="str">
        <f t="shared" si="3704"/>
        <v/>
      </c>
      <c r="FS283" s="66" t="str">
        <f t="shared" si="3705"/>
        <v/>
      </c>
    </row>
    <row r="284" spans="1:175" ht="16.5">
      <c r="A284" s="2"/>
      <c r="B284" s="35"/>
      <c r="C284" s="2"/>
      <c r="E284" s="121"/>
      <c r="T284" s="122"/>
      <c r="U284" s="77"/>
      <c r="CU284" s="88" t="str">
        <f t="shared" si="3635"/>
        <v>|n</v>
      </c>
      <c r="CW284" s="33"/>
      <c r="CX284" s="33"/>
      <c r="CY284" s="33"/>
      <c r="CZ284" s="33"/>
      <c r="DA284" s="33"/>
      <c r="DB284" s="66" t="str">
        <f t="shared" si="3636"/>
        <v/>
      </c>
      <c r="DC284" s="66" t="str">
        <f t="shared" si="3637"/>
        <v/>
      </c>
      <c r="DD284" s="66" t="str">
        <f t="shared" si="3638"/>
        <v/>
      </c>
      <c r="DE284" s="66" t="str">
        <f t="shared" si="3639"/>
        <v/>
      </c>
      <c r="DF284" s="66" t="str">
        <f t="shared" si="3640"/>
        <v/>
      </c>
      <c r="DG284" s="66" t="str">
        <f t="shared" si="3641"/>
        <v/>
      </c>
      <c r="DH284" s="66" t="str">
        <f t="shared" si="3642"/>
        <v/>
      </c>
      <c r="DI284" s="66" t="str">
        <f t="shared" si="3643"/>
        <v/>
      </c>
      <c r="DJ284" s="66" t="str">
        <f t="shared" si="3644"/>
        <v/>
      </c>
      <c r="DK284" s="66" t="str">
        <f t="shared" si="3645"/>
        <v/>
      </c>
      <c r="DL284" s="66" t="str">
        <f t="shared" si="3646"/>
        <v/>
      </c>
      <c r="DM284" s="66" t="str">
        <f t="shared" si="3647"/>
        <v/>
      </c>
      <c r="DN284" s="66" t="str">
        <f t="shared" si="3648"/>
        <v/>
      </c>
      <c r="DO284" s="66" t="str">
        <f t="shared" si="3649"/>
        <v/>
      </c>
      <c r="DP284" s="66" t="str">
        <f t="shared" si="3650"/>
        <v/>
      </c>
      <c r="DQ284" s="66" t="str">
        <f t="shared" si="3651"/>
        <v/>
      </c>
      <c r="DR284" s="66" t="str">
        <f t="shared" si="3652"/>
        <v/>
      </c>
      <c r="DS284" s="66" t="str">
        <f t="shared" si="3653"/>
        <v/>
      </c>
      <c r="DT284" s="66" t="str">
        <f t="shared" si="3654"/>
        <v/>
      </c>
      <c r="DU284" s="66" t="str">
        <f t="shared" si="3655"/>
        <v/>
      </c>
      <c r="DV284" s="66" t="str">
        <f t="shared" si="3656"/>
        <v/>
      </c>
      <c r="DW284" s="66" t="str">
        <f t="shared" si="3657"/>
        <v/>
      </c>
      <c r="DX284" s="66" t="str">
        <f t="shared" si="3658"/>
        <v/>
      </c>
      <c r="DY284" s="66" t="str">
        <f t="shared" si="3659"/>
        <v/>
      </c>
      <c r="DZ284" s="66" t="str">
        <f t="shared" si="3660"/>
        <v/>
      </c>
      <c r="EA284" s="66" t="str">
        <f t="shared" si="3661"/>
        <v/>
      </c>
      <c r="EB284" s="66" t="str">
        <f t="shared" si="3662"/>
        <v/>
      </c>
      <c r="EC284" s="66" t="str">
        <f t="shared" si="3663"/>
        <v/>
      </c>
      <c r="ED284" s="66" t="str">
        <f t="shared" si="3664"/>
        <v/>
      </c>
      <c r="EE284" s="66" t="str">
        <f t="shared" si="3665"/>
        <v/>
      </c>
      <c r="EF284" s="66" t="str">
        <f t="shared" si="3666"/>
        <v/>
      </c>
      <c r="EG284" s="66" t="str">
        <f t="shared" si="3667"/>
        <v/>
      </c>
      <c r="EH284" s="66" t="str">
        <f t="shared" si="3668"/>
        <v/>
      </c>
      <c r="EI284" s="66" t="str">
        <f t="shared" si="3669"/>
        <v/>
      </c>
      <c r="EJ284" s="66" t="str">
        <f t="shared" si="3670"/>
        <v/>
      </c>
      <c r="EK284" s="66" t="str">
        <f t="shared" si="3671"/>
        <v/>
      </c>
      <c r="EL284" s="66" t="str">
        <f t="shared" si="3672"/>
        <v/>
      </c>
      <c r="EM284" s="66" t="str">
        <f t="shared" si="3673"/>
        <v/>
      </c>
      <c r="EN284" s="66" t="str">
        <f t="shared" si="3674"/>
        <v/>
      </c>
      <c r="EO284" s="66" t="str">
        <f t="shared" si="3675"/>
        <v/>
      </c>
      <c r="EP284" s="66" t="str">
        <f t="shared" si="3676"/>
        <v/>
      </c>
      <c r="EQ284" s="66" t="str">
        <f t="shared" si="3677"/>
        <v/>
      </c>
      <c r="ER284" s="66" t="str">
        <f t="shared" si="3678"/>
        <v/>
      </c>
      <c r="ES284" s="66" t="str">
        <f t="shared" si="3679"/>
        <v/>
      </c>
      <c r="ET284" s="66" t="str">
        <f t="shared" si="3680"/>
        <v/>
      </c>
      <c r="EU284" s="66" t="str">
        <f t="shared" si="3681"/>
        <v/>
      </c>
      <c r="EV284" s="66" t="str">
        <f t="shared" si="3682"/>
        <v/>
      </c>
      <c r="EW284" s="66" t="str">
        <f t="shared" si="3683"/>
        <v/>
      </c>
      <c r="EX284" s="66" t="str">
        <f t="shared" si="3684"/>
        <v/>
      </c>
      <c r="EY284" s="66" t="str">
        <f t="shared" si="3685"/>
        <v/>
      </c>
      <c r="EZ284" s="66" t="str">
        <f t="shared" si="3686"/>
        <v/>
      </c>
      <c r="FA284" s="66" t="str">
        <f t="shared" si="3687"/>
        <v/>
      </c>
      <c r="FB284" s="66" t="str">
        <f t="shared" si="3688"/>
        <v/>
      </c>
      <c r="FC284" s="66" t="str">
        <f t="shared" si="3689"/>
        <v/>
      </c>
      <c r="FD284" s="66" t="str">
        <f t="shared" si="3690"/>
        <v/>
      </c>
      <c r="FE284" s="66" t="str">
        <f t="shared" si="3691"/>
        <v/>
      </c>
      <c r="FF284" s="66" t="str">
        <f t="shared" si="3692"/>
        <v/>
      </c>
      <c r="FG284" s="66" t="str">
        <f t="shared" si="3693"/>
        <v/>
      </c>
      <c r="FH284" s="66" t="str">
        <f t="shared" si="3694"/>
        <v/>
      </c>
      <c r="FI284" s="66" t="str">
        <f t="shared" si="3695"/>
        <v/>
      </c>
      <c r="FJ284" s="66" t="str">
        <f t="shared" si="3696"/>
        <v/>
      </c>
      <c r="FK284" s="66" t="str">
        <f t="shared" si="3697"/>
        <v/>
      </c>
      <c r="FL284" s="66" t="str">
        <f t="shared" si="3698"/>
        <v/>
      </c>
      <c r="FM284" s="66" t="str">
        <f t="shared" si="3699"/>
        <v/>
      </c>
      <c r="FN284" s="66" t="str">
        <f t="shared" si="3700"/>
        <v/>
      </c>
      <c r="FO284" s="66" t="str">
        <f t="shared" si="3701"/>
        <v/>
      </c>
      <c r="FP284" s="66" t="str">
        <f t="shared" si="3702"/>
        <v/>
      </c>
      <c r="FQ284" s="66" t="str">
        <f t="shared" si="3703"/>
        <v/>
      </c>
      <c r="FR284" s="66" t="str">
        <f t="shared" si="3704"/>
        <v/>
      </c>
      <c r="FS284" s="66" t="str">
        <f t="shared" si="3705"/>
        <v/>
      </c>
    </row>
    <row r="285" spans="1:175" ht="16.5">
      <c r="A285" s="2"/>
      <c r="B285" s="35"/>
      <c r="C285" s="2"/>
      <c r="E285" s="121"/>
      <c r="T285" s="122"/>
      <c r="U285" s="77"/>
      <c r="CU285" s="88" t="str">
        <f t="shared" si="3635"/>
        <v>|n</v>
      </c>
      <c r="CW285" s="33"/>
      <c r="CX285" s="33"/>
      <c r="CY285" s="33"/>
      <c r="CZ285" s="33"/>
      <c r="DA285" s="33"/>
      <c r="DB285" s="66" t="str">
        <f t="shared" si="3636"/>
        <v/>
      </c>
      <c r="DC285" s="66" t="str">
        <f t="shared" si="3637"/>
        <v/>
      </c>
      <c r="DD285" s="66" t="str">
        <f t="shared" si="3638"/>
        <v/>
      </c>
      <c r="DE285" s="66" t="str">
        <f t="shared" si="3639"/>
        <v/>
      </c>
      <c r="DF285" s="66" t="str">
        <f t="shared" si="3640"/>
        <v/>
      </c>
      <c r="DG285" s="66" t="str">
        <f t="shared" si="3641"/>
        <v/>
      </c>
      <c r="DH285" s="66" t="str">
        <f t="shared" si="3642"/>
        <v/>
      </c>
      <c r="DI285" s="66" t="str">
        <f t="shared" si="3643"/>
        <v/>
      </c>
      <c r="DJ285" s="66" t="str">
        <f t="shared" si="3644"/>
        <v/>
      </c>
      <c r="DK285" s="66" t="str">
        <f t="shared" si="3645"/>
        <v/>
      </c>
      <c r="DL285" s="66" t="str">
        <f t="shared" si="3646"/>
        <v/>
      </c>
      <c r="DM285" s="66" t="str">
        <f t="shared" si="3647"/>
        <v/>
      </c>
      <c r="DN285" s="66" t="str">
        <f t="shared" si="3648"/>
        <v/>
      </c>
      <c r="DO285" s="66" t="str">
        <f t="shared" si="3649"/>
        <v/>
      </c>
      <c r="DP285" s="66" t="str">
        <f t="shared" si="3650"/>
        <v/>
      </c>
      <c r="DQ285" s="66" t="str">
        <f t="shared" si="3651"/>
        <v/>
      </c>
      <c r="DR285" s="66" t="str">
        <f t="shared" si="3652"/>
        <v/>
      </c>
      <c r="DS285" s="66" t="str">
        <f t="shared" si="3653"/>
        <v/>
      </c>
      <c r="DT285" s="66" t="str">
        <f t="shared" si="3654"/>
        <v/>
      </c>
      <c r="DU285" s="66" t="str">
        <f t="shared" si="3655"/>
        <v/>
      </c>
      <c r="DV285" s="66" t="str">
        <f t="shared" si="3656"/>
        <v/>
      </c>
      <c r="DW285" s="66" t="str">
        <f t="shared" si="3657"/>
        <v/>
      </c>
      <c r="DX285" s="66" t="str">
        <f t="shared" si="3658"/>
        <v/>
      </c>
      <c r="DY285" s="66" t="str">
        <f t="shared" si="3659"/>
        <v/>
      </c>
      <c r="DZ285" s="66" t="str">
        <f t="shared" si="3660"/>
        <v/>
      </c>
      <c r="EA285" s="66" t="str">
        <f t="shared" si="3661"/>
        <v/>
      </c>
      <c r="EB285" s="66" t="str">
        <f t="shared" si="3662"/>
        <v/>
      </c>
      <c r="EC285" s="66" t="str">
        <f t="shared" si="3663"/>
        <v/>
      </c>
      <c r="ED285" s="66" t="str">
        <f t="shared" si="3664"/>
        <v/>
      </c>
      <c r="EE285" s="66" t="str">
        <f t="shared" si="3665"/>
        <v/>
      </c>
      <c r="EF285" s="66" t="str">
        <f t="shared" si="3666"/>
        <v/>
      </c>
      <c r="EG285" s="66" t="str">
        <f t="shared" si="3667"/>
        <v/>
      </c>
      <c r="EH285" s="66" t="str">
        <f t="shared" si="3668"/>
        <v/>
      </c>
      <c r="EI285" s="66" t="str">
        <f t="shared" si="3669"/>
        <v/>
      </c>
      <c r="EJ285" s="66" t="str">
        <f t="shared" si="3670"/>
        <v/>
      </c>
      <c r="EK285" s="66" t="str">
        <f t="shared" si="3671"/>
        <v/>
      </c>
      <c r="EL285" s="66" t="str">
        <f t="shared" si="3672"/>
        <v/>
      </c>
      <c r="EM285" s="66" t="str">
        <f t="shared" si="3673"/>
        <v/>
      </c>
      <c r="EN285" s="66" t="str">
        <f t="shared" si="3674"/>
        <v/>
      </c>
      <c r="EO285" s="66" t="str">
        <f t="shared" si="3675"/>
        <v/>
      </c>
      <c r="EP285" s="66" t="str">
        <f t="shared" si="3676"/>
        <v/>
      </c>
      <c r="EQ285" s="66" t="str">
        <f t="shared" si="3677"/>
        <v/>
      </c>
      <c r="ER285" s="66" t="str">
        <f t="shared" si="3678"/>
        <v/>
      </c>
      <c r="ES285" s="66" t="str">
        <f t="shared" si="3679"/>
        <v/>
      </c>
      <c r="ET285" s="66" t="str">
        <f t="shared" si="3680"/>
        <v/>
      </c>
      <c r="EU285" s="66" t="str">
        <f t="shared" si="3681"/>
        <v/>
      </c>
      <c r="EV285" s="66" t="str">
        <f t="shared" si="3682"/>
        <v/>
      </c>
      <c r="EW285" s="66" t="str">
        <f t="shared" si="3683"/>
        <v/>
      </c>
      <c r="EX285" s="66" t="str">
        <f t="shared" si="3684"/>
        <v/>
      </c>
      <c r="EY285" s="66" t="str">
        <f t="shared" si="3685"/>
        <v/>
      </c>
      <c r="EZ285" s="66" t="str">
        <f t="shared" si="3686"/>
        <v/>
      </c>
      <c r="FA285" s="66" t="str">
        <f t="shared" si="3687"/>
        <v/>
      </c>
      <c r="FB285" s="66" t="str">
        <f t="shared" si="3688"/>
        <v/>
      </c>
      <c r="FC285" s="66" t="str">
        <f t="shared" si="3689"/>
        <v/>
      </c>
      <c r="FD285" s="66" t="str">
        <f t="shared" si="3690"/>
        <v/>
      </c>
      <c r="FE285" s="66" t="str">
        <f t="shared" si="3691"/>
        <v/>
      </c>
      <c r="FF285" s="66" t="str">
        <f t="shared" si="3692"/>
        <v/>
      </c>
      <c r="FG285" s="66" t="str">
        <f t="shared" si="3693"/>
        <v/>
      </c>
      <c r="FH285" s="66" t="str">
        <f t="shared" si="3694"/>
        <v/>
      </c>
      <c r="FI285" s="66" t="str">
        <f t="shared" si="3695"/>
        <v/>
      </c>
      <c r="FJ285" s="66" t="str">
        <f t="shared" si="3696"/>
        <v/>
      </c>
      <c r="FK285" s="66" t="str">
        <f t="shared" si="3697"/>
        <v/>
      </c>
      <c r="FL285" s="66" t="str">
        <f t="shared" si="3698"/>
        <v/>
      </c>
      <c r="FM285" s="66" t="str">
        <f t="shared" si="3699"/>
        <v/>
      </c>
      <c r="FN285" s="66" t="str">
        <f t="shared" si="3700"/>
        <v/>
      </c>
      <c r="FO285" s="66" t="str">
        <f t="shared" si="3701"/>
        <v/>
      </c>
      <c r="FP285" s="66" t="str">
        <f t="shared" si="3702"/>
        <v/>
      </c>
      <c r="FQ285" s="66" t="str">
        <f t="shared" si="3703"/>
        <v/>
      </c>
      <c r="FR285" s="66" t="str">
        <f t="shared" si="3704"/>
        <v/>
      </c>
      <c r="FS285" s="66" t="str">
        <f t="shared" si="3705"/>
        <v/>
      </c>
    </row>
    <row r="286" spans="1:175" ht="16.5">
      <c r="A286" s="2"/>
      <c r="B286" s="35"/>
      <c r="C286" s="2"/>
      <c r="E286" s="121"/>
      <c r="T286" s="122"/>
      <c r="U286" s="77"/>
      <c r="CU286" s="88" t="str">
        <f t="shared" si="3635"/>
        <v>|n</v>
      </c>
      <c r="CW286" s="33"/>
      <c r="CX286" s="33"/>
      <c r="CY286" s="33"/>
      <c r="CZ286" s="33"/>
      <c r="DA286" s="33"/>
      <c r="DB286" s="66" t="str">
        <f t="shared" si="3636"/>
        <v/>
      </c>
      <c r="DC286" s="66" t="str">
        <f t="shared" si="3637"/>
        <v/>
      </c>
      <c r="DD286" s="66" t="str">
        <f t="shared" si="3638"/>
        <v/>
      </c>
      <c r="DE286" s="66" t="str">
        <f t="shared" si="3639"/>
        <v/>
      </c>
      <c r="DF286" s="66" t="str">
        <f t="shared" si="3640"/>
        <v/>
      </c>
      <c r="DG286" s="66" t="str">
        <f t="shared" si="3641"/>
        <v/>
      </c>
      <c r="DH286" s="66" t="str">
        <f t="shared" si="3642"/>
        <v/>
      </c>
      <c r="DI286" s="66" t="str">
        <f t="shared" si="3643"/>
        <v/>
      </c>
      <c r="DJ286" s="66" t="str">
        <f t="shared" si="3644"/>
        <v/>
      </c>
      <c r="DK286" s="66" t="str">
        <f t="shared" si="3645"/>
        <v/>
      </c>
      <c r="DL286" s="66" t="str">
        <f t="shared" si="3646"/>
        <v/>
      </c>
      <c r="DM286" s="66" t="str">
        <f t="shared" si="3647"/>
        <v/>
      </c>
      <c r="DN286" s="66" t="str">
        <f t="shared" si="3648"/>
        <v/>
      </c>
      <c r="DO286" s="66" t="str">
        <f t="shared" si="3649"/>
        <v/>
      </c>
      <c r="DP286" s="66" t="str">
        <f t="shared" si="3650"/>
        <v/>
      </c>
      <c r="DQ286" s="66" t="str">
        <f t="shared" si="3651"/>
        <v/>
      </c>
      <c r="DR286" s="66" t="str">
        <f t="shared" si="3652"/>
        <v/>
      </c>
      <c r="DS286" s="66" t="str">
        <f t="shared" si="3653"/>
        <v/>
      </c>
      <c r="DT286" s="66" t="str">
        <f t="shared" si="3654"/>
        <v/>
      </c>
      <c r="DU286" s="66" t="str">
        <f t="shared" si="3655"/>
        <v/>
      </c>
      <c r="DV286" s="66" t="str">
        <f t="shared" si="3656"/>
        <v/>
      </c>
      <c r="DW286" s="66" t="str">
        <f t="shared" si="3657"/>
        <v/>
      </c>
      <c r="DX286" s="66" t="str">
        <f t="shared" si="3658"/>
        <v/>
      </c>
      <c r="DY286" s="66" t="str">
        <f t="shared" si="3659"/>
        <v/>
      </c>
      <c r="DZ286" s="66" t="str">
        <f t="shared" si="3660"/>
        <v/>
      </c>
      <c r="EA286" s="66" t="str">
        <f t="shared" si="3661"/>
        <v/>
      </c>
      <c r="EB286" s="66" t="str">
        <f t="shared" si="3662"/>
        <v/>
      </c>
      <c r="EC286" s="66" t="str">
        <f t="shared" si="3663"/>
        <v/>
      </c>
      <c r="ED286" s="66" t="str">
        <f t="shared" si="3664"/>
        <v/>
      </c>
      <c r="EE286" s="66" t="str">
        <f t="shared" si="3665"/>
        <v/>
      </c>
      <c r="EF286" s="66" t="str">
        <f t="shared" si="3666"/>
        <v/>
      </c>
      <c r="EG286" s="66" t="str">
        <f t="shared" si="3667"/>
        <v/>
      </c>
      <c r="EH286" s="66" t="str">
        <f t="shared" si="3668"/>
        <v/>
      </c>
      <c r="EI286" s="66" t="str">
        <f t="shared" si="3669"/>
        <v/>
      </c>
      <c r="EJ286" s="66" t="str">
        <f t="shared" si="3670"/>
        <v/>
      </c>
      <c r="EK286" s="66" t="str">
        <f t="shared" si="3671"/>
        <v/>
      </c>
      <c r="EL286" s="66" t="str">
        <f t="shared" si="3672"/>
        <v/>
      </c>
      <c r="EM286" s="66" t="str">
        <f t="shared" si="3673"/>
        <v/>
      </c>
      <c r="EN286" s="66" t="str">
        <f t="shared" si="3674"/>
        <v/>
      </c>
      <c r="EO286" s="66" t="str">
        <f t="shared" si="3675"/>
        <v/>
      </c>
      <c r="EP286" s="66" t="str">
        <f t="shared" si="3676"/>
        <v/>
      </c>
      <c r="EQ286" s="66" t="str">
        <f t="shared" si="3677"/>
        <v/>
      </c>
      <c r="ER286" s="66" t="str">
        <f t="shared" si="3678"/>
        <v/>
      </c>
      <c r="ES286" s="66" t="str">
        <f t="shared" si="3679"/>
        <v/>
      </c>
      <c r="ET286" s="66" t="str">
        <f t="shared" si="3680"/>
        <v/>
      </c>
      <c r="EU286" s="66" t="str">
        <f t="shared" si="3681"/>
        <v/>
      </c>
      <c r="EV286" s="66" t="str">
        <f t="shared" si="3682"/>
        <v/>
      </c>
      <c r="EW286" s="66" t="str">
        <f t="shared" si="3683"/>
        <v/>
      </c>
      <c r="EX286" s="66" t="str">
        <f t="shared" si="3684"/>
        <v/>
      </c>
      <c r="EY286" s="66" t="str">
        <f t="shared" si="3685"/>
        <v/>
      </c>
      <c r="EZ286" s="66" t="str">
        <f t="shared" si="3686"/>
        <v/>
      </c>
      <c r="FA286" s="66" t="str">
        <f t="shared" si="3687"/>
        <v/>
      </c>
      <c r="FB286" s="66" t="str">
        <f t="shared" si="3688"/>
        <v/>
      </c>
      <c r="FC286" s="66" t="str">
        <f t="shared" si="3689"/>
        <v/>
      </c>
      <c r="FD286" s="66" t="str">
        <f t="shared" si="3690"/>
        <v/>
      </c>
      <c r="FE286" s="66" t="str">
        <f t="shared" si="3691"/>
        <v/>
      </c>
      <c r="FF286" s="66" t="str">
        <f t="shared" si="3692"/>
        <v/>
      </c>
      <c r="FG286" s="66" t="str">
        <f t="shared" si="3693"/>
        <v/>
      </c>
      <c r="FH286" s="66" t="str">
        <f t="shared" si="3694"/>
        <v/>
      </c>
      <c r="FI286" s="66" t="str">
        <f t="shared" si="3695"/>
        <v/>
      </c>
      <c r="FJ286" s="66" t="str">
        <f t="shared" si="3696"/>
        <v/>
      </c>
      <c r="FK286" s="66" t="str">
        <f t="shared" si="3697"/>
        <v/>
      </c>
      <c r="FL286" s="66" t="str">
        <f t="shared" si="3698"/>
        <v/>
      </c>
      <c r="FM286" s="66" t="str">
        <f t="shared" si="3699"/>
        <v/>
      </c>
      <c r="FN286" s="66" t="str">
        <f t="shared" si="3700"/>
        <v/>
      </c>
      <c r="FO286" s="66" t="str">
        <f t="shared" si="3701"/>
        <v/>
      </c>
      <c r="FP286" s="66" t="str">
        <f t="shared" si="3702"/>
        <v/>
      </c>
      <c r="FQ286" s="66" t="str">
        <f t="shared" si="3703"/>
        <v/>
      </c>
      <c r="FR286" s="66" t="str">
        <f t="shared" si="3704"/>
        <v/>
      </c>
      <c r="FS286" s="66" t="str">
        <f t="shared" si="3705"/>
        <v/>
      </c>
    </row>
    <row r="287" spans="1:175">
      <c r="CN287" s="36" t="str">
        <f t="shared" ref="CN287:CN318" si="3871">"InitUnitState('"&amp;B287&amp;"',"&amp;V287&amp;","&amp;W287&amp;","&amp;X287&amp;","&amp;Y287&amp;","&amp;Z287&amp;","&amp;AA287&amp;","&amp;AB287&amp;","&amp;AC287&amp;","&amp;AD287&amp;","&amp;AE287&amp;")"</f>
        <v>InitUnitState('',,,,,,,,,,)</v>
      </c>
      <c r="CO287" s="36" t="str">
        <f t="shared" ref="CO287:CO318" si="3872">"InitUnitNormal('"&amp;B287&amp;"',"&amp;AF287&amp;","&amp;AG287&amp;","&amp;AH287&amp;","&amp;AI287&amp;","&amp;AJ287&amp;","&amp;AK287&amp;","&amp;AL287&amp;","&amp;AM287&amp;","&amp;AN287&amp;","&amp;AO287&amp;")"</f>
        <v>InitUnitNormal('',,,,,,,,,,)</v>
      </c>
      <c r="CP287" s="36" t="str">
        <f t="shared" ref="CP287:CP318" si="3873">"InitUnitMagic('"&amp;B287&amp;"',"&amp;AP287&amp;","&amp;AQ287&amp;","&amp;AR287&amp;","&amp;AS287&amp;","&amp;AT287&amp;","&amp;AU287&amp;","&amp;AV287&amp;","&amp;AW287&amp;","&amp;BI287&amp;","&amp;BJ287&amp;")"</f>
        <v>InitUnitMagic('',,,,,,,,,,)</v>
      </c>
      <c r="CQ287" s="36" t="str">
        <f t="shared" ref="CQ287:CQ318" si="3874">"InitUnitAdd('"&amp;B287&amp;"',"&amp;BK287&amp;","&amp;BL287&amp;","&amp;BM287&amp;","&amp;BN287&amp;","&amp;BO287&amp;","&amp;BP287&amp;","&amp;BQ287&amp;","&amp;BR287&amp;","&amp;BS287&amp;","&amp;BT287&amp;")"</f>
        <v>InitUnitAdd('',,,,,,,,,,)</v>
      </c>
      <c r="CR287" s="36" t="str">
        <f t="shared" ref="CR287:CR318" si="3875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InitEquipData('',,"",,,,,'','','','','','',"")</v>
      </c>
      <c r="CU287" s="19" t="str">
        <f t="shared" ref="CU287:CU299" si="3876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W287" s="33"/>
      <c r="CX287" s="33"/>
      <c r="CY287" s="33"/>
      <c r="CZ287" s="33"/>
      <c r="DA287" s="33"/>
      <c r="DB287" s="66" t="str">
        <f t="shared" ref="DB287:DB307" si="3877">IF(V287="","","|n"&amp;DB$2&amp;"+"&amp;V287&amp;DB$1)</f>
        <v/>
      </c>
      <c r="DC287" s="66" t="str">
        <f t="shared" ref="DC287:DC307" si="3878">IF(W287="","","|n"&amp;DC$2&amp;"+"&amp;W287&amp;DC$1)</f>
        <v/>
      </c>
      <c r="DD287" s="66" t="str">
        <f t="shared" ref="DD287:DD307" si="3879">IF(X287="","","|n"&amp;DD$2&amp;"+"&amp;X287&amp;DD$1)</f>
        <v/>
      </c>
      <c r="DE287" s="66" t="str">
        <f t="shared" ref="DE287:DE307" si="3880">IF(Y287="","","|n"&amp;DE$2&amp;"+"&amp;Y287&amp;DE$1)</f>
        <v/>
      </c>
      <c r="DF287" s="66" t="str">
        <f t="shared" ref="DF287:DF307" si="3881">IF(Z287="","","|n"&amp;DF$2&amp;"+"&amp;Z287&amp;DF$1)</f>
        <v/>
      </c>
      <c r="DG287" s="66" t="str">
        <f t="shared" ref="DG287:DG307" si="3882">IF(AA287="","","|n"&amp;DG$2&amp;"+"&amp;AA287&amp;DG$1)</f>
        <v/>
      </c>
      <c r="DH287" s="66" t="str">
        <f t="shared" ref="DH287:DH307" si="3883">IF(AB287="","","|n"&amp;DH$2&amp;"+"&amp;AB287&amp;DH$1)</f>
        <v/>
      </c>
      <c r="DI287" s="66" t="str">
        <f t="shared" ref="DI287:DI307" si="3884">IF(AC287="","","|n"&amp;DI$2&amp;"+"&amp;AC287&amp;DI$1)</f>
        <v/>
      </c>
      <c r="DJ287" s="66" t="str">
        <f t="shared" ref="DJ287:DJ307" si="3885">IF(AD287="","","|n"&amp;DJ$2&amp;"+"&amp;AD287&amp;DJ$1)</f>
        <v/>
      </c>
      <c r="DK287" s="66" t="str">
        <f t="shared" ref="DK287:DK307" si="3886">IF(AE287="","","|n"&amp;DK$2&amp;"+"&amp;AE287&amp;DK$1)</f>
        <v/>
      </c>
      <c r="DL287" s="66" t="str">
        <f t="shared" ref="DL287:DL307" si="3887">IF(AF287="","","|n"&amp;DL$2&amp;"+"&amp;AF287&amp;DL$1)</f>
        <v/>
      </c>
      <c r="DM287" s="66" t="str">
        <f t="shared" ref="DM287:DM307" si="3888">IF(AG287="","","|n"&amp;DM$2&amp;"+"&amp;AG287&amp;DM$1)</f>
        <v/>
      </c>
      <c r="DN287" s="66" t="str">
        <f t="shared" ref="DN287:DN307" si="3889">IF(AH287="","","|n"&amp;DN$2&amp;"+"&amp;AH287&amp;DN$1)</f>
        <v/>
      </c>
      <c r="DO287" s="66" t="str">
        <f t="shared" ref="DO287:DO307" si="3890">IF(AI287="","","|n"&amp;DO$2&amp;"+"&amp;AI287&amp;DO$1)</f>
        <v/>
      </c>
      <c r="DP287" s="66" t="str">
        <f t="shared" ref="DP287:DP307" si="3891">IF(AJ287="","","|n"&amp;DP$2&amp;"+"&amp;AJ287&amp;DP$1)</f>
        <v/>
      </c>
      <c r="DQ287" s="66" t="str">
        <f t="shared" ref="DQ287:DQ307" si="3892">IF(AK287="","","|n"&amp;DQ$2&amp;"+"&amp;AK287&amp;DQ$1)</f>
        <v/>
      </c>
      <c r="DR287" s="66" t="str">
        <f t="shared" ref="DR287:DR307" si="3893">IF(AL287="","","|n"&amp;DR$2&amp;"+"&amp;AL287&amp;DR$1)</f>
        <v/>
      </c>
      <c r="DS287" s="66" t="str">
        <f t="shared" ref="DS287:DS307" si="3894">IF(AM287="","","|n"&amp;DS$2&amp;"+"&amp;AM287&amp;DS$1)</f>
        <v/>
      </c>
      <c r="DT287" s="66" t="str">
        <f t="shared" ref="DT287:DT307" si="3895">IF(AN287="","","|n"&amp;DT$2&amp;"+"&amp;AN287&amp;DT$1)</f>
        <v/>
      </c>
      <c r="DU287" s="66" t="str">
        <f t="shared" ref="DU287:DU307" si="3896">IF(AO287="","","|n"&amp;DU$2&amp;"+"&amp;AO287&amp;DU$1)</f>
        <v/>
      </c>
      <c r="DV287" s="66" t="str">
        <f t="shared" ref="DV287:DV307" si="3897">IF(AP287="","","|n"&amp;DV$2&amp;"+"&amp;AP287&amp;DV$1)</f>
        <v/>
      </c>
      <c r="DW287" s="66" t="str">
        <f t="shared" ref="DW287:DW307" si="3898">IF(AQ287="","","|n"&amp;DW$2&amp;"+"&amp;AQ287&amp;DW$1)</f>
        <v/>
      </c>
      <c r="DX287" s="66" t="str">
        <f t="shared" ref="DX287:DX307" si="3899">IF(AR287="","","|n"&amp;DX$2&amp;"+"&amp;AR287&amp;DX$1)</f>
        <v/>
      </c>
      <c r="DY287" s="66" t="str">
        <f t="shared" ref="DY287:DY307" si="3900">IF(AS287="","","|n"&amp;DY$2&amp;"+"&amp;AS287&amp;DY$1)</f>
        <v/>
      </c>
      <c r="DZ287" s="66" t="str">
        <f t="shared" ref="DZ287:DZ307" si="3901">IF(AT287="","","|n"&amp;DZ$2&amp;"+"&amp;AT287&amp;DZ$1)</f>
        <v/>
      </c>
      <c r="EA287" s="66" t="str">
        <f t="shared" ref="EA287:EA307" si="3902">IF(AU287="","","|n"&amp;EA$2&amp;"+"&amp;AU287&amp;EA$1)</f>
        <v/>
      </c>
      <c r="EB287" s="66" t="str">
        <f t="shared" ref="EB287:EB307" si="3903">IF(AV287="","","|n"&amp;EB$2&amp;"+"&amp;AV287&amp;EB$1)</f>
        <v/>
      </c>
      <c r="EC287" s="66" t="str">
        <f t="shared" ref="EC287:EC307" si="3904">IF(AW287="","","|n"&amp;EC$2&amp;"+"&amp;AW287&amp;EC$1)</f>
        <v/>
      </c>
      <c r="ED287" s="66" t="str">
        <f t="shared" ref="ED287:ED307" si="3905">IF(AX287="","","|n"&amp;ED$2&amp;"+"&amp;AX287&amp;ED$1)</f>
        <v/>
      </c>
      <c r="EE287" s="66" t="str">
        <f t="shared" ref="EE287:EE307" si="3906">IF(AY287="","","|n"&amp;EE$2&amp;"+"&amp;AY287&amp;EE$1)</f>
        <v/>
      </c>
      <c r="EF287" s="66" t="str">
        <f t="shared" ref="EF287:EF307" si="3907">IF(AZ287="","","|n"&amp;EF$2&amp;"+"&amp;AZ287&amp;EF$1)</f>
        <v/>
      </c>
      <c r="EG287" s="66" t="str">
        <f t="shared" ref="EG287:EG307" si="3908">IF(BA287="","","|n"&amp;EG$2&amp;"+"&amp;BA287&amp;EG$1)</f>
        <v/>
      </c>
      <c r="EH287" s="66" t="str">
        <f t="shared" ref="EH287:EH307" si="3909">IF(BB287="","","|n"&amp;EH$2&amp;"+"&amp;BB287&amp;EH$1)</f>
        <v/>
      </c>
      <c r="EI287" s="66" t="str">
        <f t="shared" ref="EI287:EI307" si="3910">IF(BC287="","","|n"&amp;EI$2&amp;"+"&amp;BC287&amp;EI$1)</f>
        <v/>
      </c>
      <c r="EJ287" s="66" t="str">
        <f t="shared" ref="EJ287:EJ307" si="3911">IF(BD287="","","|n"&amp;EJ$2&amp;"+"&amp;BD287&amp;EJ$1)</f>
        <v/>
      </c>
      <c r="EK287" s="66" t="str">
        <f t="shared" ref="EK287:EK307" si="3912">IF(BE287="","","|n"&amp;EK$2&amp;"+"&amp;BE287&amp;EK$1)</f>
        <v/>
      </c>
      <c r="EL287" s="66" t="str">
        <f t="shared" ref="EL287:EL307" si="3913">IF(BF287="","","|n"&amp;EL$2&amp;"+"&amp;BF287&amp;EL$1)</f>
        <v/>
      </c>
      <c r="EM287" s="66" t="str">
        <f t="shared" ref="EM287:EM307" si="3914">IF(BG287="","","|n"&amp;EM$2&amp;"+"&amp;BG287&amp;EM$1)</f>
        <v/>
      </c>
      <c r="EN287" s="66" t="str">
        <f t="shared" ref="EN287:EN307" si="3915">IF(BH287="","","|n"&amp;EN$2&amp;"+"&amp;BH287&amp;EN$1)</f>
        <v/>
      </c>
      <c r="EO287" s="66" t="str">
        <f t="shared" ref="EO287:EO307" si="3916">IF(BI287="","","|n"&amp;EO$2&amp;"+"&amp;BI287&amp;EO$1)</f>
        <v/>
      </c>
      <c r="EP287" s="66" t="str">
        <f t="shared" ref="EP287:EP307" si="3917">IF(BJ287="","","|n"&amp;EP$2&amp;"+"&amp;BJ287&amp;EP$1)</f>
        <v/>
      </c>
      <c r="EQ287" s="66" t="str">
        <f t="shared" ref="EQ287:EQ307" si="3918">IF(BK287="","","|n"&amp;EQ$2&amp;"+"&amp;BK287&amp;EQ$1)</f>
        <v/>
      </c>
      <c r="ER287" s="66" t="str">
        <f t="shared" ref="ER287:ER307" si="3919">IF(BL287="","","|n"&amp;ER$2&amp;"+"&amp;BL287&amp;ER$1)</f>
        <v/>
      </c>
      <c r="ES287" s="66" t="str">
        <f t="shared" ref="ES287:ES307" si="3920">IF(BM287="","","|n"&amp;ES$2&amp;"+"&amp;BM287&amp;ES$1)</f>
        <v/>
      </c>
      <c r="ET287" s="66" t="str">
        <f t="shared" ref="ET287:ET307" si="3921">IF(BN287="","","|n"&amp;ET$2&amp;"+"&amp;BN287&amp;ET$1)</f>
        <v/>
      </c>
      <c r="EU287" s="66" t="str">
        <f t="shared" ref="EU287:EU307" si="3922">IF(BO287="","","|n"&amp;EU$2&amp;"+"&amp;BO287&amp;EU$1)</f>
        <v/>
      </c>
      <c r="EV287" s="66" t="str">
        <f t="shared" ref="EV287:EV307" si="3923">IF(BP287="","","|n"&amp;EV$2&amp;"+"&amp;BP287&amp;EV$1)</f>
        <v/>
      </c>
      <c r="EW287" s="66" t="str">
        <f t="shared" ref="EW287:EW307" si="3924">IF(BQ287="","","|n"&amp;EW$2&amp;"+"&amp;BQ287&amp;EW$1)</f>
        <v/>
      </c>
      <c r="EX287" s="66" t="str">
        <f t="shared" ref="EX287:EX307" si="3925">IF(BR287="","","|n"&amp;EX$2&amp;"+"&amp;BR287&amp;EX$1)</f>
        <v/>
      </c>
      <c r="EY287" s="66" t="str">
        <f t="shared" ref="EY287:EY307" si="3926">IF(BS287="","","|n"&amp;EY$2&amp;"+"&amp;BS287&amp;EY$1)</f>
        <v/>
      </c>
      <c r="EZ287" s="66" t="str">
        <f t="shared" ref="EZ287:EZ307" si="3927">IF(BT287="","","|n"&amp;EZ$2&amp;"+"&amp;BT287&amp;EZ$1)</f>
        <v/>
      </c>
      <c r="FA287" s="66" t="str">
        <f t="shared" ref="FA287:FA307" si="3928">IF(BU287="","","|n"&amp;FA$2&amp;"+"&amp;BU287&amp;FA$1)</f>
        <v/>
      </c>
      <c r="FB287" s="66" t="str">
        <f t="shared" ref="FB287:FB307" si="3929">IF(BV287="","","|n"&amp;FB$2&amp;"+"&amp;BV287&amp;FB$1)</f>
        <v/>
      </c>
      <c r="FC287" s="66" t="str">
        <f t="shared" ref="FC287:FC307" si="3930">IF(BW287="","","|n"&amp;FC$2&amp;"+"&amp;BW287&amp;FC$1)</f>
        <v/>
      </c>
      <c r="FD287" s="66" t="str">
        <f t="shared" ref="FD287:FD307" si="3931">IF(BX287="","","|n"&amp;FD$2&amp;"+"&amp;BX287&amp;FD$1)</f>
        <v/>
      </c>
      <c r="FE287" s="66" t="str">
        <f t="shared" ref="FE287:FE307" si="3932">IF(BY287="","","|n"&amp;FE$2&amp;"+"&amp;BY287&amp;FE$1)</f>
        <v/>
      </c>
      <c r="FF287" s="66" t="str">
        <f t="shared" ref="FF287:FF307" si="3933">IF(BZ287="","","|n"&amp;FF$2&amp;"+"&amp;BZ287&amp;FF$1)</f>
        <v/>
      </c>
      <c r="FG287" s="66" t="str">
        <f t="shared" ref="FG287:FG307" si="3934">IF(CA287="","","|n"&amp;FG$2&amp;"+"&amp;CA287&amp;FG$1)</f>
        <v/>
      </c>
      <c r="FH287" s="66" t="str">
        <f t="shared" ref="FH287:FH307" si="3935">IF(CB287="","","|n"&amp;FH$2&amp;"+"&amp;CB287&amp;FH$1)</f>
        <v/>
      </c>
      <c r="FI287" s="66" t="str">
        <f t="shared" ref="FI287:FI307" si="3936">IF(CC287="","","|n"&amp;FI$2&amp;"+"&amp;CC287&amp;FI$1)</f>
        <v/>
      </c>
      <c r="FJ287" s="66" t="str">
        <f t="shared" ref="FJ287:FJ307" si="3937">IF(CD287="","","|n"&amp;FJ$2&amp;"+"&amp;CD287&amp;FJ$1)</f>
        <v/>
      </c>
      <c r="FK287" s="66" t="str">
        <f t="shared" ref="FK287:FK307" si="3938">IF(CE287="","","|n"&amp;FK$2&amp;"+"&amp;CE287&amp;FK$1)</f>
        <v/>
      </c>
      <c r="FL287" s="66" t="str">
        <f t="shared" ref="FL287:FL307" si="3939">IF(CF287="","","|n"&amp;FL$2&amp;"+"&amp;CF287&amp;FL$1)</f>
        <v/>
      </c>
      <c r="FM287" s="66" t="str">
        <f t="shared" ref="FM287:FM307" si="3940">IF(CG287="","","|n"&amp;FM$2&amp;"+"&amp;CG287&amp;FM$1)</f>
        <v/>
      </c>
      <c r="FN287" s="66" t="str">
        <f t="shared" ref="FN287:FN307" si="3941">IF(CH287="","","|n"&amp;FN$2&amp;"+"&amp;CH287&amp;FN$1)</f>
        <v/>
      </c>
      <c r="FO287" s="66" t="str">
        <f t="shared" ref="FO287:FO307" si="3942">IF(CI287="","","|n"&amp;FO$2&amp;"+"&amp;CI287&amp;FO$1)</f>
        <v/>
      </c>
      <c r="FP287" s="66" t="str">
        <f t="shared" ref="FP287:FP307" si="3943">IF(CJ287="","","|n"&amp;FP$2&amp;"+"&amp;CJ287&amp;FP$1)</f>
        <v/>
      </c>
      <c r="FQ287" s="66" t="str">
        <f t="shared" ref="FQ287:FQ307" si="3944">IF(CK287="","","|n"&amp;FQ$2&amp;"+"&amp;CK287&amp;FQ$1)</f>
        <v/>
      </c>
      <c r="FR287" s="66" t="str">
        <f t="shared" ref="FR287:FR307" si="3945">IF(CL287="","","|n"&amp;FR$2&amp;"+"&amp;CL287&amp;FR$1)</f>
        <v/>
      </c>
      <c r="FS287" s="66" t="str">
        <f t="shared" ref="FS287:FS307" si="3946">IF(CM287="","","|n"&amp;FS$2&amp;"+"&amp;CM287&amp;FS$1)</f>
        <v/>
      </c>
    </row>
    <row r="288" spans="1:175">
      <c r="CN288" s="36" t="str">
        <f t="shared" si="3871"/>
        <v>InitUnitState('',,,,,,,,,,)</v>
      </c>
      <c r="CO288" s="36" t="str">
        <f t="shared" si="3872"/>
        <v>InitUnitNormal('',,,,,,,,,,)</v>
      </c>
      <c r="CP288" s="36" t="str">
        <f t="shared" si="3873"/>
        <v>InitUnitMagic('',,,,,,,,,,)</v>
      </c>
      <c r="CQ288" s="36" t="str">
        <f t="shared" si="3874"/>
        <v>InitUnitAdd('',,,,,,,,,,)</v>
      </c>
      <c r="CR288" s="36" t="str">
        <f t="shared" si="3875"/>
        <v>InitEquipData('',,"",,,,,'','','','','','',"")</v>
      </c>
      <c r="CU288" s="19" t="str">
        <f t="shared" si="3876"/>
        <v>|n</v>
      </c>
      <c r="CW288" s="33"/>
      <c r="CX288" s="33"/>
      <c r="CY288" s="33"/>
      <c r="CZ288" s="33"/>
      <c r="DA288" s="33"/>
      <c r="DB288" s="66" t="str">
        <f t="shared" si="3877"/>
        <v/>
      </c>
      <c r="DC288" s="66" t="str">
        <f t="shared" si="3878"/>
        <v/>
      </c>
      <c r="DD288" s="66" t="str">
        <f t="shared" si="3879"/>
        <v/>
      </c>
      <c r="DE288" s="66" t="str">
        <f t="shared" si="3880"/>
        <v/>
      </c>
      <c r="DF288" s="66" t="str">
        <f t="shared" si="3881"/>
        <v/>
      </c>
      <c r="DG288" s="66" t="str">
        <f t="shared" si="3882"/>
        <v/>
      </c>
      <c r="DH288" s="66" t="str">
        <f t="shared" si="3883"/>
        <v/>
      </c>
      <c r="DI288" s="66" t="str">
        <f t="shared" si="3884"/>
        <v/>
      </c>
      <c r="DJ288" s="66" t="str">
        <f t="shared" si="3885"/>
        <v/>
      </c>
      <c r="DK288" s="66" t="str">
        <f t="shared" si="3886"/>
        <v/>
      </c>
      <c r="DL288" s="66" t="str">
        <f t="shared" si="3887"/>
        <v/>
      </c>
      <c r="DM288" s="66" t="str">
        <f t="shared" si="3888"/>
        <v/>
      </c>
      <c r="DN288" s="66" t="str">
        <f t="shared" si="3889"/>
        <v/>
      </c>
      <c r="DO288" s="66" t="str">
        <f t="shared" si="3890"/>
        <v/>
      </c>
      <c r="DP288" s="66" t="str">
        <f t="shared" si="3891"/>
        <v/>
      </c>
      <c r="DQ288" s="66" t="str">
        <f t="shared" si="3892"/>
        <v/>
      </c>
      <c r="DR288" s="66" t="str">
        <f t="shared" si="3893"/>
        <v/>
      </c>
      <c r="DS288" s="66" t="str">
        <f t="shared" si="3894"/>
        <v/>
      </c>
      <c r="DT288" s="66" t="str">
        <f t="shared" si="3895"/>
        <v/>
      </c>
      <c r="DU288" s="66" t="str">
        <f t="shared" si="3896"/>
        <v/>
      </c>
      <c r="DV288" s="66" t="str">
        <f t="shared" si="3897"/>
        <v/>
      </c>
      <c r="DW288" s="66" t="str">
        <f t="shared" si="3898"/>
        <v/>
      </c>
      <c r="DX288" s="66" t="str">
        <f t="shared" si="3899"/>
        <v/>
      </c>
      <c r="DY288" s="66" t="str">
        <f t="shared" si="3900"/>
        <v/>
      </c>
      <c r="DZ288" s="66" t="str">
        <f t="shared" si="3901"/>
        <v/>
      </c>
      <c r="EA288" s="66" t="str">
        <f t="shared" si="3902"/>
        <v/>
      </c>
      <c r="EB288" s="66" t="str">
        <f t="shared" si="3903"/>
        <v/>
      </c>
      <c r="EC288" s="66" t="str">
        <f t="shared" si="3904"/>
        <v/>
      </c>
      <c r="ED288" s="66" t="str">
        <f t="shared" si="3905"/>
        <v/>
      </c>
      <c r="EE288" s="66" t="str">
        <f t="shared" si="3906"/>
        <v/>
      </c>
      <c r="EF288" s="66" t="str">
        <f t="shared" si="3907"/>
        <v/>
      </c>
      <c r="EG288" s="66" t="str">
        <f t="shared" si="3908"/>
        <v/>
      </c>
      <c r="EH288" s="66" t="str">
        <f t="shared" si="3909"/>
        <v/>
      </c>
      <c r="EI288" s="66" t="str">
        <f t="shared" si="3910"/>
        <v/>
      </c>
      <c r="EJ288" s="66" t="str">
        <f t="shared" si="3911"/>
        <v/>
      </c>
      <c r="EK288" s="66" t="str">
        <f t="shared" si="3912"/>
        <v/>
      </c>
      <c r="EL288" s="66" t="str">
        <f t="shared" si="3913"/>
        <v/>
      </c>
      <c r="EM288" s="66" t="str">
        <f t="shared" si="3914"/>
        <v/>
      </c>
      <c r="EN288" s="66" t="str">
        <f t="shared" si="3915"/>
        <v/>
      </c>
      <c r="EO288" s="66" t="str">
        <f t="shared" si="3916"/>
        <v/>
      </c>
      <c r="EP288" s="66" t="str">
        <f t="shared" si="3917"/>
        <v/>
      </c>
      <c r="EQ288" s="66" t="str">
        <f t="shared" si="3918"/>
        <v/>
      </c>
      <c r="ER288" s="66" t="str">
        <f t="shared" si="3919"/>
        <v/>
      </c>
      <c r="ES288" s="66" t="str">
        <f t="shared" si="3920"/>
        <v/>
      </c>
      <c r="ET288" s="66" t="str">
        <f t="shared" si="3921"/>
        <v/>
      </c>
      <c r="EU288" s="66" t="str">
        <f t="shared" si="3922"/>
        <v/>
      </c>
      <c r="EV288" s="66" t="str">
        <f t="shared" si="3923"/>
        <v/>
      </c>
      <c r="EW288" s="66" t="str">
        <f t="shared" si="3924"/>
        <v/>
      </c>
      <c r="EX288" s="66" t="str">
        <f t="shared" si="3925"/>
        <v/>
      </c>
      <c r="EY288" s="66" t="str">
        <f t="shared" si="3926"/>
        <v/>
      </c>
      <c r="EZ288" s="66" t="str">
        <f t="shared" si="3927"/>
        <v/>
      </c>
      <c r="FA288" s="66" t="str">
        <f t="shared" si="3928"/>
        <v/>
      </c>
      <c r="FB288" s="66" t="str">
        <f t="shared" si="3929"/>
        <v/>
      </c>
      <c r="FC288" s="66" t="str">
        <f t="shared" si="3930"/>
        <v/>
      </c>
      <c r="FD288" s="66" t="str">
        <f t="shared" si="3931"/>
        <v/>
      </c>
      <c r="FE288" s="66" t="str">
        <f t="shared" si="3932"/>
        <v/>
      </c>
      <c r="FF288" s="66" t="str">
        <f t="shared" si="3933"/>
        <v/>
      </c>
      <c r="FG288" s="66" t="str">
        <f t="shared" si="3934"/>
        <v/>
      </c>
      <c r="FH288" s="66" t="str">
        <f t="shared" si="3935"/>
        <v/>
      </c>
      <c r="FI288" s="66" t="str">
        <f t="shared" si="3936"/>
        <v/>
      </c>
      <c r="FJ288" s="66" t="str">
        <f t="shared" si="3937"/>
        <v/>
      </c>
      <c r="FK288" s="66" t="str">
        <f t="shared" si="3938"/>
        <v/>
      </c>
      <c r="FL288" s="66" t="str">
        <f t="shared" si="3939"/>
        <v/>
      </c>
      <c r="FM288" s="66" t="str">
        <f t="shared" si="3940"/>
        <v/>
      </c>
      <c r="FN288" s="66" t="str">
        <f t="shared" si="3941"/>
        <v/>
      </c>
      <c r="FO288" s="66" t="str">
        <f t="shared" si="3942"/>
        <v/>
      </c>
      <c r="FP288" s="66" t="str">
        <f t="shared" si="3943"/>
        <v/>
      </c>
      <c r="FQ288" s="66" t="str">
        <f t="shared" si="3944"/>
        <v/>
      </c>
      <c r="FR288" s="66" t="str">
        <f t="shared" si="3945"/>
        <v/>
      </c>
      <c r="FS288" s="66" t="str">
        <f t="shared" si="3946"/>
        <v/>
      </c>
    </row>
    <row r="289" spans="92:175">
      <c r="CN289" s="36" t="str">
        <f t="shared" si="3871"/>
        <v>InitUnitState('',,,,,,,,,,)</v>
      </c>
      <c r="CO289" s="36" t="str">
        <f t="shared" si="3872"/>
        <v>InitUnitNormal('',,,,,,,,,,)</v>
      </c>
      <c r="CP289" s="36" t="str">
        <f t="shared" si="3873"/>
        <v>InitUnitMagic('',,,,,,,,,,)</v>
      </c>
      <c r="CQ289" s="36" t="str">
        <f t="shared" si="3874"/>
        <v>InitUnitAdd('',,,,,,,,,,)</v>
      </c>
      <c r="CR289" s="36" t="str">
        <f t="shared" si="3875"/>
        <v>InitEquipData('',,"",,,,,'','','','','','',"")</v>
      </c>
      <c r="CU289" s="19" t="str">
        <f t="shared" si="3876"/>
        <v>|n</v>
      </c>
      <c r="CW289" s="33"/>
      <c r="CX289" s="33"/>
      <c r="CY289" s="33"/>
      <c r="CZ289" s="33"/>
      <c r="DA289" s="33"/>
      <c r="DB289" s="66" t="str">
        <f t="shared" si="3877"/>
        <v/>
      </c>
      <c r="DC289" s="66" t="str">
        <f t="shared" si="3878"/>
        <v/>
      </c>
      <c r="DD289" s="66" t="str">
        <f t="shared" si="3879"/>
        <v/>
      </c>
      <c r="DE289" s="66" t="str">
        <f t="shared" si="3880"/>
        <v/>
      </c>
      <c r="DF289" s="66" t="str">
        <f t="shared" si="3881"/>
        <v/>
      </c>
      <c r="DG289" s="66" t="str">
        <f t="shared" si="3882"/>
        <v/>
      </c>
      <c r="DH289" s="66" t="str">
        <f t="shared" si="3883"/>
        <v/>
      </c>
      <c r="DI289" s="66" t="str">
        <f t="shared" si="3884"/>
        <v/>
      </c>
      <c r="DJ289" s="66" t="str">
        <f t="shared" si="3885"/>
        <v/>
      </c>
      <c r="DK289" s="66" t="str">
        <f t="shared" si="3886"/>
        <v/>
      </c>
      <c r="DL289" s="66" t="str">
        <f t="shared" si="3887"/>
        <v/>
      </c>
      <c r="DM289" s="66" t="str">
        <f t="shared" si="3888"/>
        <v/>
      </c>
      <c r="DN289" s="66" t="str">
        <f t="shared" si="3889"/>
        <v/>
      </c>
      <c r="DO289" s="66" t="str">
        <f t="shared" si="3890"/>
        <v/>
      </c>
      <c r="DP289" s="66" t="str">
        <f t="shared" si="3891"/>
        <v/>
      </c>
      <c r="DQ289" s="66" t="str">
        <f t="shared" si="3892"/>
        <v/>
      </c>
      <c r="DR289" s="66" t="str">
        <f t="shared" si="3893"/>
        <v/>
      </c>
      <c r="DS289" s="66" t="str">
        <f t="shared" si="3894"/>
        <v/>
      </c>
      <c r="DT289" s="66" t="str">
        <f t="shared" si="3895"/>
        <v/>
      </c>
      <c r="DU289" s="66" t="str">
        <f t="shared" si="3896"/>
        <v/>
      </c>
      <c r="DV289" s="66" t="str">
        <f t="shared" si="3897"/>
        <v/>
      </c>
      <c r="DW289" s="66" t="str">
        <f t="shared" si="3898"/>
        <v/>
      </c>
      <c r="DX289" s="66" t="str">
        <f t="shared" si="3899"/>
        <v/>
      </c>
      <c r="DY289" s="66" t="str">
        <f t="shared" si="3900"/>
        <v/>
      </c>
      <c r="DZ289" s="66" t="str">
        <f t="shared" si="3901"/>
        <v/>
      </c>
      <c r="EA289" s="66" t="str">
        <f t="shared" si="3902"/>
        <v/>
      </c>
      <c r="EB289" s="66" t="str">
        <f t="shared" si="3903"/>
        <v/>
      </c>
      <c r="EC289" s="66" t="str">
        <f t="shared" si="3904"/>
        <v/>
      </c>
      <c r="ED289" s="66" t="str">
        <f t="shared" si="3905"/>
        <v/>
      </c>
      <c r="EE289" s="66" t="str">
        <f t="shared" si="3906"/>
        <v/>
      </c>
      <c r="EF289" s="66" t="str">
        <f t="shared" si="3907"/>
        <v/>
      </c>
      <c r="EG289" s="66" t="str">
        <f t="shared" si="3908"/>
        <v/>
      </c>
      <c r="EH289" s="66" t="str">
        <f t="shared" si="3909"/>
        <v/>
      </c>
      <c r="EI289" s="66" t="str">
        <f t="shared" si="3910"/>
        <v/>
      </c>
      <c r="EJ289" s="66" t="str">
        <f t="shared" si="3911"/>
        <v/>
      </c>
      <c r="EK289" s="66" t="str">
        <f t="shared" si="3912"/>
        <v/>
      </c>
      <c r="EL289" s="66" t="str">
        <f t="shared" si="3913"/>
        <v/>
      </c>
      <c r="EM289" s="66" t="str">
        <f t="shared" si="3914"/>
        <v/>
      </c>
      <c r="EN289" s="66" t="str">
        <f t="shared" si="3915"/>
        <v/>
      </c>
      <c r="EO289" s="66" t="str">
        <f t="shared" si="3916"/>
        <v/>
      </c>
      <c r="EP289" s="66" t="str">
        <f t="shared" si="3917"/>
        <v/>
      </c>
      <c r="EQ289" s="66" t="str">
        <f t="shared" si="3918"/>
        <v/>
      </c>
      <c r="ER289" s="66" t="str">
        <f t="shared" si="3919"/>
        <v/>
      </c>
      <c r="ES289" s="66" t="str">
        <f t="shared" si="3920"/>
        <v/>
      </c>
      <c r="ET289" s="66" t="str">
        <f t="shared" si="3921"/>
        <v/>
      </c>
      <c r="EU289" s="66" t="str">
        <f t="shared" si="3922"/>
        <v/>
      </c>
      <c r="EV289" s="66" t="str">
        <f t="shared" si="3923"/>
        <v/>
      </c>
      <c r="EW289" s="66" t="str">
        <f t="shared" si="3924"/>
        <v/>
      </c>
      <c r="EX289" s="66" t="str">
        <f t="shared" si="3925"/>
        <v/>
      </c>
      <c r="EY289" s="66" t="str">
        <f t="shared" si="3926"/>
        <v/>
      </c>
      <c r="EZ289" s="66" t="str">
        <f t="shared" si="3927"/>
        <v/>
      </c>
      <c r="FA289" s="66" t="str">
        <f t="shared" si="3928"/>
        <v/>
      </c>
      <c r="FB289" s="66" t="str">
        <f t="shared" si="3929"/>
        <v/>
      </c>
      <c r="FC289" s="66" t="str">
        <f t="shared" si="3930"/>
        <v/>
      </c>
      <c r="FD289" s="66" t="str">
        <f t="shared" si="3931"/>
        <v/>
      </c>
      <c r="FE289" s="66" t="str">
        <f t="shared" si="3932"/>
        <v/>
      </c>
      <c r="FF289" s="66" t="str">
        <f t="shared" si="3933"/>
        <v/>
      </c>
      <c r="FG289" s="66" t="str">
        <f t="shared" si="3934"/>
        <v/>
      </c>
      <c r="FH289" s="66" t="str">
        <f t="shared" si="3935"/>
        <v/>
      </c>
      <c r="FI289" s="66" t="str">
        <f t="shared" si="3936"/>
        <v/>
      </c>
      <c r="FJ289" s="66" t="str">
        <f t="shared" si="3937"/>
        <v/>
      </c>
      <c r="FK289" s="66" t="str">
        <f t="shared" si="3938"/>
        <v/>
      </c>
      <c r="FL289" s="66" t="str">
        <f t="shared" si="3939"/>
        <v/>
      </c>
      <c r="FM289" s="66" t="str">
        <f t="shared" si="3940"/>
        <v/>
      </c>
      <c r="FN289" s="66" t="str">
        <f t="shared" si="3941"/>
        <v/>
      </c>
      <c r="FO289" s="66" t="str">
        <f t="shared" si="3942"/>
        <v/>
      </c>
      <c r="FP289" s="66" t="str">
        <f t="shared" si="3943"/>
        <v/>
      </c>
      <c r="FQ289" s="66" t="str">
        <f t="shared" si="3944"/>
        <v/>
      </c>
      <c r="FR289" s="66" t="str">
        <f t="shared" si="3945"/>
        <v/>
      </c>
      <c r="FS289" s="66" t="str">
        <f t="shared" si="3946"/>
        <v/>
      </c>
    </row>
    <row r="290" spans="92:175">
      <c r="CN290" s="36" t="str">
        <f t="shared" si="3871"/>
        <v>InitUnitState('',,,,,,,,,,)</v>
      </c>
      <c r="CO290" s="36" t="str">
        <f t="shared" si="3872"/>
        <v>InitUnitNormal('',,,,,,,,,,)</v>
      </c>
      <c r="CP290" s="36" t="str">
        <f t="shared" si="3873"/>
        <v>InitUnitMagic('',,,,,,,,,,)</v>
      </c>
      <c r="CQ290" s="36" t="str">
        <f t="shared" si="3874"/>
        <v>InitUnitAdd('',,,,,,,,,,)</v>
      </c>
      <c r="CR290" s="36" t="str">
        <f t="shared" si="3875"/>
        <v>InitEquipData('',,"",,,,,'','','','','','',"")</v>
      </c>
      <c r="CU290" s="19" t="str">
        <f t="shared" si="3876"/>
        <v>|n</v>
      </c>
      <c r="CW290" s="33"/>
      <c r="CX290" s="33"/>
      <c r="CY290" s="33"/>
      <c r="CZ290" s="33"/>
      <c r="DA290" s="33"/>
      <c r="DB290" s="66" t="str">
        <f t="shared" si="3877"/>
        <v/>
      </c>
      <c r="DC290" s="66" t="str">
        <f t="shared" si="3878"/>
        <v/>
      </c>
      <c r="DD290" s="66" t="str">
        <f t="shared" si="3879"/>
        <v/>
      </c>
      <c r="DE290" s="66" t="str">
        <f t="shared" si="3880"/>
        <v/>
      </c>
      <c r="DF290" s="66" t="str">
        <f t="shared" si="3881"/>
        <v/>
      </c>
      <c r="DG290" s="66" t="str">
        <f t="shared" si="3882"/>
        <v/>
      </c>
      <c r="DH290" s="66" t="str">
        <f t="shared" si="3883"/>
        <v/>
      </c>
      <c r="DI290" s="66" t="str">
        <f t="shared" si="3884"/>
        <v/>
      </c>
      <c r="DJ290" s="66" t="str">
        <f t="shared" si="3885"/>
        <v/>
      </c>
      <c r="DK290" s="66" t="str">
        <f t="shared" si="3886"/>
        <v/>
      </c>
      <c r="DL290" s="66" t="str">
        <f t="shared" si="3887"/>
        <v/>
      </c>
      <c r="DM290" s="66" t="str">
        <f t="shared" si="3888"/>
        <v/>
      </c>
      <c r="DN290" s="66" t="str">
        <f t="shared" si="3889"/>
        <v/>
      </c>
      <c r="DO290" s="66" t="str">
        <f t="shared" si="3890"/>
        <v/>
      </c>
      <c r="DP290" s="66" t="str">
        <f t="shared" si="3891"/>
        <v/>
      </c>
      <c r="DQ290" s="66" t="str">
        <f t="shared" si="3892"/>
        <v/>
      </c>
      <c r="DR290" s="66" t="str">
        <f t="shared" si="3893"/>
        <v/>
      </c>
      <c r="DS290" s="66" t="str">
        <f t="shared" si="3894"/>
        <v/>
      </c>
      <c r="DT290" s="66" t="str">
        <f t="shared" si="3895"/>
        <v/>
      </c>
      <c r="DU290" s="66" t="str">
        <f t="shared" si="3896"/>
        <v/>
      </c>
      <c r="DV290" s="66" t="str">
        <f t="shared" si="3897"/>
        <v/>
      </c>
      <c r="DW290" s="66" t="str">
        <f t="shared" si="3898"/>
        <v/>
      </c>
      <c r="DX290" s="66" t="str">
        <f t="shared" si="3899"/>
        <v/>
      </c>
      <c r="DY290" s="66" t="str">
        <f t="shared" si="3900"/>
        <v/>
      </c>
      <c r="DZ290" s="66" t="str">
        <f t="shared" si="3901"/>
        <v/>
      </c>
      <c r="EA290" s="66" t="str">
        <f t="shared" si="3902"/>
        <v/>
      </c>
      <c r="EB290" s="66" t="str">
        <f t="shared" si="3903"/>
        <v/>
      </c>
      <c r="EC290" s="66" t="str">
        <f t="shared" si="3904"/>
        <v/>
      </c>
      <c r="ED290" s="66" t="str">
        <f t="shared" si="3905"/>
        <v/>
      </c>
      <c r="EE290" s="66" t="str">
        <f t="shared" si="3906"/>
        <v/>
      </c>
      <c r="EF290" s="66" t="str">
        <f t="shared" si="3907"/>
        <v/>
      </c>
      <c r="EG290" s="66" t="str">
        <f t="shared" si="3908"/>
        <v/>
      </c>
      <c r="EH290" s="66" t="str">
        <f t="shared" si="3909"/>
        <v/>
      </c>
      <c r="EI290" s="66" t="str">
        <f t="shared" si="3910"/>
        <v/>
      </c>
      <c r="EJ290" s="66" t="str">
        <f t="shared" si="3911"/>
        <v/>
      </c>
      <c r="EK290" s="66" t="str">
        <f t="shared" si="3912"/>
        <v/>
      </c>
      <c r="EL290" s="66" t="str">
        <f t="shared" si="3913"/>
        <v/>
      </c>
      <c r="EM290" s="66" t="str">
        <f t="shared" si="3914"/>
        <v/>
      </c>
      <c r="EN290" s="66" t="str">
        <f t="shared" si="3915"/>
        <v/>
      </c>
      <c r="EO290" s="66" t="str">
        <f t="shared" si="3916"/>
        <v/>
      </c>
      <c r="EP290" s="66" t="str">
        <f t="shared" si="3917"/>
        <v/>
      </c>
      <c r="EQ290" s="66" t="str">
        <f t="shared" si="3918"/>
        <v/>
      </c>
      <c r="ER290" s="66" t="str">
        <f t="shared" si="3919"/>
        <v/>
      </c>
      <c r="ES290" s="66" t="str">
        <f t="shared" si="3920"/>
        <v/>
      </c>
      <c r="ET290" s="66" t="str">
        <f t="shared" si="3921"/>
        <v/>
      </c>
      <c r="EU290" s="66" t="str">
        <f t="shared" si="3922"/>
        <v/>
      </c>
      <c r="EV290" s="66" t="str">
        <f t="shared" si="3923"/>
        <v/>
      </c>
      <c r="EW290" s="66" t="str">
        <f t="shared" si="3924"/>
        <v/>
      </c>
      <c r="EX290" s="66" t="str">
        <f t="shared" si="3925"/>
        <v/>
      </c>
      <c r="EY290" s="66" t="str">
        <f t="shared" si="3926"/>
        <v/>
      </c>
      <c r="EZ290" s="66" t="str">
        <f t="shared" si="3927"/>
        <v/>
      </c>
      <c r="FA290" s="66" t="str">
        <f t="shared" si="3928"/>
        <v/>
      </c>
      <c r="FB290" s="66" t="str">
        <f t="shared" si="3929"/>
        <v/>
      </c>
      <c r="FC290" s="66" t="str">
        <f t="shared" si="3930"/>
        <v/>
      </c>
      <c r="FD290" s="66" t="str">
        <f t="shared" si="3931"/>
        <v/>
      </c>
      <c r="FE290" s="66" t="str">
        <f t="shared" si="3932"/>
        <v/>
      </c>
      <c r="FF290" s="66" t="str">
        <f t="shared" si="3933"/>
        <v/>
      </c>
      <c r="FG290" s="66" t="str">
        <f t="shared" si="3934"/>
        <v/>
      </c>
      <c r="FH290" s="66" t="str">
        <f t="shared" si="3935"/>
        <v/>
      </c>
      <c r="FI290" s="66" t="str">
        <f t="shared" si="3936"/>
        <v/>
      </c>
      <c r="FJ290" s="66" t="str">
        <f t="shared" si="3937"/>
        <v/>
      </c>
      <c r="FK290" s="66" t="str">
        <f t="shared" si="3938"/>
        <v/>
      </c>
      <c r="FL290" s="66" t="str">
        <f t="shared" si="3939"/>
        <v/>
      </c>
      <c r="FM290" s="66" t="str">
        <f t="shared" si="3940"/>
        <v/>
      </c>
      <c r="FN290" s="66" t="str">
        <f t="shared" si="3941"/>
        <v/>
      </c>
      <c r="FO290" s="66" t="str">
        <f t="shared" si="3942"/>
        <v/>
      </c>
      <c r="FP290" s="66" t="str">
        <f t="shared" si="3943"/>
        <v/>
      </c>
      <c r="FQ290" s="66" t="str">
        <f t="shared" si="3944"/>
        <v/>
      </c>
      <c r="FR290" s="66" t="str">
        <f t="shared" si="3945"/>
        <v/>
      </c>
      <c r="FS290" s="66" t="str">
        <f t="shared" si="3946"/>
        <v/>
      </c>
    </row>
    <row r="291" spans="92:175">
      <c r="CN291" s="36" t="str">
        <f t="shared" si="3871"/>
        <v>InitUnitState('',,,,,,,,,,)</v>
      </c>
      <c r="CO291" s="36" t="str">
        <f t="shared" si="3872"/>
        <v>InitUnitNormal('',,,,,,,,,,)</v>
      </c>
      <c r="CP291" s="36" t="str">
        <f t="shared" si="3873"/>
        <v>InitUnitMagic('',,,,,,,,,,)</v>
      </c>
      <c r="CQ291" s="36" t="str">
        <f t="shared" si="3874"/>
        <v>InitUnitAdd('',,,,,,,,,,)</v>
      </c>
      <c r="CR291" s="36" t="str">
        <f t="shared" si="3875"/>
        <v>InitEquipData('',,"",,,,,'','','','','','',"")</v>
      </c>
      <c r="CU291" s="19" t="str">
        <f t="shared" si="3876"/>
        <v>|n</v>
      </c>
      <c r="CW291" s="33"/>
      <c r="CX291" s="33"/>
      <c r="CY291" s="33"/>
      <c r="CZ291" s="33"/>
      <c r="DA291" s="33"/>
      <c r="DB291" s="66" t="str">
        <f t="shared" si="3877"/>
        <v/>
      </c>
      <c r="DC291" s="66" t="str">
        <f t="shared" si="3878"/>
        <v/>
      </c>
      <c r="DD291" s="66" t="str">
        <f t="shared" si="3879"/>
        <v/>
      </c>
      <c r="DE291" s="66" t="str">
        <f t="shared" si="3880"/>
        <v/>
      </c>
      <c r="DF291" s="66" t="str">
        <f t="shared" si="3881"/>
        <v/>
      </c>
      <c r="DG291" s="66" t="str">
        <f t="shared" si="3882"/>
        <v/>
      </c>
      <c r="DH291" s="66" t="str">
        <f t="shared" si="3883"/>
        <v/>
      </c>
      <c r="DI291" s="66" t="str">
        <f t="shared" si="3884"/>
        <v/>
      </c>
      <c r="DJ291" s="66" t="str">
        <f t="shared" si="3885"/>
        <v/>
      </c>
      <c r="DK291" s="66" t="str">
        <f t="shared" si="3886"/>
        <v/>
      </c>
      <c r="DL291" s="66" t="str">
        <f t="shared" si="3887"/>
        <v/>
      </c>
      <c r="DM291" s="66" t="str">
        <f t="shared" si="3888"/>
        <v/>
      </c>
      <c r="DN291" s="66" t="str">
        <f t="shared" si="3889"/>
        <v/>
      </c>
      <c r="DO291" s="66" t="str">
        <f t="shared" si="3890"/>
        <v/>
      </c>
      <c r="DP291" s="66" t="str">
        <f t="shared" si="3891"/>
        <v/>
      </c>
      <c r="DQ291" s="66" t="str">
        <f t="shared" si="3892"/>
        <v/>
      </c>
      <c r="DR291" s="66" t="str">
        <f t="shared" si="3893"/>
        <v/>
      </c>
      <c r="DS291" s="66" t="str">
        <f t="shared" si="3894"/>
        <v/>
      </c>
      <c r="DT291" s="66" t="str">
        <f t="shared" si="3895"/>
        <v/>
      </c>
      <c r="DU291" s="66" t="str">
        <f t="shared" si="3896"/>
        <v/>
      </c>
      <c r="DV291" s="66" t="str">
        <f t="shared" si="3897"/>
        <v/>
      </c>
      <c r="DW291" s="66" t="str">
        <f t="shared" si="3898"/>
        <v/>
      </c>
      <c r="DX291" s="66" t="str">
        <f t="shared" si="3899"/>
        <v/>
      </c>
      <c r="DY291" s="66" t="str">
        <f t="shared" si="3900"/>
        <v/>
      </c>
      <c r="DZ291" s="66" t="str">
        <f t="shared" si="3901"/>
        <v/>
      </c>
      <c r="EA291" s="66" t="str">
        <f t="shared" si="3902"/>
        <v/>
      </c>
      <c r="EB291" s="66" t="str">
        <f t="shared" si="3903"/>
        <v/>
      </c>
      <c r="EC291" s="66" t="str">
        <f t="shared" si="3904"/>
        <v/>
      </c>
      <c r="ED291" s="66" t="str">
        <f t="shared" si="3905"/>
        <v/>
      </c>
      <c r="EE291" s="66" t="str">
        <f t="shared" si="3906"/>
        <v/>
      </c>
      <c r="EF291" s="66" t="str">
        <f t="shared" si="3907"/>
        <v/>
      </c>
      <c r="EG291" s="66" t="str">
        <f t="shared" si="3908"/>
        <v/>
      </c>
      <c r="EH291" s="66" t="str">
        <f t="shared" si="3909"/>
        <v/>
      </c>
      <c r="EI291" s="66" t="str">
        <f t="shared" si="3910"/>
        <v/>
      </c>
      <c r="EJ291" s="66" t="str">
        <f t="shared" si="3911"/>
        <v/>
      </c>
      <c r="EK291" s="66" t="str">
        <f t="shared" si="3912"/>
        <v/>
      </c>
      <c r="EL291" s="66" t="str">
        <f t="shared" si="3913"/>
        <v/>
      </c>
      <c r="EM291" s="66" t="str">
        <f t="shared" si="3914"/>
        <v/>
      </c>
      <c r="EN291" s="66" t="str">
        <f t="shared" si="3915"/>
        <v/>
      </c>
      <c r="EO291" s="66" t="str">
        <f t="shared" si="3916"/>
        <v/>
      </c>
      <c r="EP291" s="66" t="str">
        <f t="shared" si="3917"/>
        <v/>
      </c>
      <c r="EQ291" s="66" t="str">
        <f t="shared" si="3918"/>
        <v/>
      </c>
      <c r="ER291" s="66" t="str">
        <f t="shared" si="3919"/>
        <v/>
      </c>
      <c r="ES291" s="66" t="str">
        <f t="shared" si="3920"/>
        <v/>
      </c>
      <c r="ET291" s="66" t="str">
        <f t="shared" si="3921"/>
        <v/>
      </c>
      <c r="EU291" s="66" t="str">
        <f t="shared" si="3922"/>
        <v/>
      </c>
      <c r="EV291" s="66" t="str">
        <f t="shared" si="3923"/>
        <v/>
      </c>
      <c r="EW291" s="66" t="str">
        <f t="shared" si="3924"/>
        <v/>
      </c>
      <c r="EX291" s="66" t="str">
        <f t="shared" si="3925"/>
        <v/>
      </c>
      <c r="EY291" s="66" t="str">
        <f t="shared" si="3926"/>
        <v/>
      </c>
      <c r="EZ291" s="66" t="str">
        <f t="shared" si="3927"/>
        <v/>
      </c>
      <c r="FA291" s="66" t="str">
        <f t="shared" si="3928"/>
        <v/>
      </c>
      <c r="FB291" s="66" t="str">
        <f t="shared" si="3929"/>
        <v/>
      </c>
      <c r="FC291" s="66" t="str">
        <f t="shared" si="3930"/>
        <v/>
      </c>
      <c r="FD291" s="66" t="str">
        <f t="shared" si="3931"/>
        <v/>
      </c>
      <c r="FE291" s="66" t="str">
        <f t="shared" si="3932"/>
        <v/>
      </c>
      <c r="FF291" s="66" t="str">
        <f t="shared" si="3933"/>
        <v/>
      </c>
      <c r="FG291" s="66" t="str">
        <f t="shared" si="3934"/>
        <v/>
      </c>
      <c r="FH291" s="66" t="str">
        <f t="shared" si="3935"/>
        <v/>
      </c>
      <c r="FI291" s="66" t="str">
        <f t="shared" si="3936"/>
        <v/>
      </c>
      <c r="FJ291" s="66" t="str">
        <f t="shared" si="3937"/>
        <v/>
      </c>
      <c r="FK291" s="66" t="str">
        <f t="shared" si="3938"/>
        <v/>
      </c>
      <c r="FL291" s="66" t="str">
        <f t="shared" si="3939"/>
        <v/>
      </c>
      <c r="FM291" s="66" t="str">
        <f t="shared" si="3940"/>
        <v/>
      </c>
      <c r="FN291" s="66" t="str">
        <f t="shared" si="3941"/>
        <v/>
      </c>
      <c r="FO291" s="66" t="str">
        <f t="shared" si="3942"/>
        <v/>
      </c>
      <c r="FP291" s="66" t="str">
        <f t="shared" si="3943"/>
        <v/>
      </c>
      <c r="FQ291" s="66" t="str">
        <f t="shared" si="3944"/>
        <v/>
      </c>
      <c r="FR291" s="66" t="str">
        <f t="shared" si="3945"/>
        <v/>
      </c>
      <c r="FS291" s="66" t="str">
        <f t="shared" si="3946"/>
        <v/>
      </c>
    </row>
    <row r="292" spans="92:175">
      <c r="CN292" s="36" t="str">
        <f t="shared" si="3871"/>
        <v>InitUnitState('',,,,,,,,,,)</v>
      </c>
      <c r="CO292" s="36" t="str">
        <f t="shared" si="3872"/>
        <v>InitUnitNormal('',,,,,,,,,,)</v>
      </c>
      <c r="CP292" s="36" t="str">
        <f t="shared" si="3873"/>
        <v>InitUnitMagic('',,,,,,,,,,)</v>
      </c>
      <c r="CQ292" s="36" t="str">
        <f t="shared" si="3874"/>
        <v>InitUnitAdd('',,,,,,,,,,)</v>
      </c>
      <c r="CR292" s="36" t="str">
        <f t="shared" si="3875"/>
        <v>InitEquipData('',,"",,,,,'','','','','','',"")</v>
      </c>
      <c r="CU292" s="19" t="str">
        <f t="shared" si="3876"/>
        <v>|n</v>
      </c>
      <c r="CW292" s="33"/>
      <c r="CX292" s="33"/>
      <c r="CY292" s="33"/>
      <c r="CZ292" s="33"/>
      <c r="DA292" s="33"/>
      <c r="DB292" s="66" t="str">
        <f t="shared" si="3877"/>
        <v/>
      </c>
      <c r="DC292" s="66" t="str">
        <f t="shared" si="3878"/>
        <v/>
      </c>
      <c r="DD292" s="66" t="str">
        <f t="shared" si="3879"/>
        <v/>
      </c>
      <c r="DE292" s="66" t="str">
        <f t="shared" si="3880"/>
        <v/>
      </c>
      <c r="DF292" s="66" t="str">
        <f t="shared" si="3881"/>
        <v/>
      </c>
      <c r="DG292" s="66" t="str">
        <f t="shared" si="3882"/>
        <v/>
      </c>
      <c r="DH292" s="66" t="str">
        <f t="shared" si="3883"/>
        <v/>
      </c>
      <c r="DI292" s="66" t="str">
        <f t="shared" si="3884"/>
        <v/>
      </c>
      <c r="DJ292" s="66" t="str">
        <f t="shared" si="3885"/>
        <v/>
      </c>
      <c r="DK292" s="66" t="str">
        <f t="shared" si="3886"/>
        <v/>
      </c>
      <c r="DL292" s="66" t="str">
        <f t="shared" si="3887"/>
        <v/>
      </c>
      <c r="DM292" s="66" t="str">
        <f t="shared" si="3888"/>
        <v/>
      </c>
      <c r="DN292" s="66" t="str">
        <f t="shared" si="3889"/>
        <v/>
      </c>
      <c r="DO292" s="66" t="str">
        <f t="shared" si="3890"/>
        <v/>
      </c>
      <c r="DP292" s="66" t="str">
        <f t="shared" si="3891"/>
        <v/>
      </c>
      <c r="DQ292" s="66" t="str">
        <f t="shared" si="3892"/>
        <v/>
      </c>
      <c r="DR292" s="66" t="str">
        <f t="shared" si="3893"/>
        <v/>
      </c>
      <c r="DS292" s="66" t="str">
        <f t="shared" si="3894"/>
        <v/>
      </c>
      <c r="DT292" s="66" t="str">
        <f t="shared" si="3895"/>
        <v/>
      </c>
      <c r="DU292" s="66" t="str">
        <f t="shared" si="3896"/>
        <v/>
      </c>
      <c r="DV292" s="66" t="str">
        <f t="shared" si="3897"/>
        <v/>
      </c>
      <c r="DW292" s="66" t="str">
        <f t="shared" si="3898"/>
        <v/>
      </c>
      <c r="DX292" s="66" t="str">
        <f t="shared" si="3899"/>
        <v/>
      </c>
      <c r="DY292" s="66" t="str">
        <f t="shared" si="3900"/>
        <v/>
      </c>
      <c r="DZ292" s="66" t="str">
        <f t="shared" si="3901"/>
        <v/>
      </c>
      <c r="EA292" s="66" t="str">
        <f t="shared" si="3902"/>
        <v/>
      </c>
      <c r="EB292" s="66" t="str">
        <f t="shared" si="3903"/>
        <v/>
      </c>
      <c r="EC292" s="66" t="str">
        <f t="shared" si="3904"/>
        <v/>
      </c>
      <c r="ED292" s="66" t="str">
        <f t="shared" si="3905"/>
        <v/>
      </c>
      <c r="EE292" s="66" t="str">
        <f t="shared" si="3906"/>
        <v/>
      </c>
      <c r="EF292" s="66" t="str">
        <f t="shared" si="3907"/>
        <v/>
      </c>
      <c r="EG292" s="66" t="str">
        <f t="shared" si="3908"/>
        <v/>
      </c>
      <c r="EH292" s="66" t="str">
        <f t="shared" si="3909"/>
        <v/>
      </c>
      <c r="EI292" s="66" t="str">
        <f t="shared" si="3910"/>
        <v/>
      </c>
      <c r="EJ292" s="66" t="str">
        <f t="shared" si="3911"/>
        <v/>
      </c>
      <c r="EK292" s="66" t="str">
        <f t="shared" si="3912"/>
        <v/>
      </c>
      <c r="EL292" s="66" t="str">
        <f t="shared" si="3913"/>
        <v/>
      </c>
      <c r="EM292" s="66" t="str">
        <f t="shared" si="3914"/>
        <v/>
      </c>
      <c r="EN292" s="66" t="str">
        <f t="shared" si="3915"/>
        <v/>
      </c>
      <c r="EO292" s="66" t="str">
        <f t="shared" si="3916"/>
        <v/>
      </c>
      <c r="EP292" s="66" t="str">
        <f t="shared" si="3917"/>
        <v/>
      </c>
      <c r="EQ292" s="66" t="str">
        <f t="shared" si="3918"/>
        <v/>
      </c>
      <c r="ER292" s="66" t="str">
        <f t="shared" si="3919"/>
        <v/>
      </c>
      <c r="ES292" s="66" t="str">
        <f t="shared" si="3920"/>
        <v/>
      </c>
      <c r="ET292" s="66" t="str">
        <f t="shared" si="3921"/>
        <v/>
      </c>
      <c r="EU292" s="66" t="str">
        <f t="shared" si="3922"/>
        <v/>
      </c>
      <c r="EV292" s="66" t="str">
        <f t="shared" si="3923"/>
        <v/>
      </c>
      <c r="EW292" s="66" t="str">
        <f t="shared" si="3924"/>
        <v/>
      </c>
      <c r="EX292" s="66" t="str">
        <f t="shared" si="3925"/>
        <v/>
      </c>
      <c r="EY292" s="66" t="str">
        <f t="shared" si="3926"/>
        <v/>
      </c>
      <c r="EZ292" s="66" t="str">
        <f t="shared" si="3927"/>
        <v/>
      </c>
      <c r="FA292" s="66" t="str">
        <f t="shared" si="3928"/>
        <v/>
      </c>
      <c r="FB292" s="66" t="str">
        <f t="shared" si="3929"/>
        <v/>
      </c>
      <c r="FC292" s="66" t="str">
        <f t="shared" si="3930"/>
        <v/>
      </c>
      <c r="FD292" s="66" t="str">
        <f t="shared" si="3931"/>
        <v/>
      </c>
      <c r="FE292" s="66" t="str">
        <f t="shared" si="3932"/>
        <v/>
      </c>
      <c r="FF292" s="66" t="str">
        <f t="shared" si="3933"/>
        <v/>
      </c>
      <c r="FG292" s="66" t="str">
        <f t="shared" si="3934"/>
        <v/>
      </c>
      <c r="FH292" s="66" t="str">
        <f t="shared" si="3935"/>
        <v/>
      </c>
      <c r="FI292" s="66" t="str">
        <f t="shared" si="3936"/>
        <v/>
      </c>
      <c r="FJ292" s="66" t="str">
        <f t="shared" si="3937"/>
        <v/>
      </c>
      <c r="FK292" s="66" t="str">
        <f t="shared" si="3938"/>
        <v/>
      </c>
      <c r="FL292" s="66" t="str">
        <f t="shared" si="3939"/>
        <v/>
      </c>
      <c r="FM292" s="66" t="str">
        <f t="shared" si="3940"/>
        <v/>
      </c>
      <c r="FN292" s="66" t="str">
        <f t="shared" si="3941"/>
        <v/>
      </c>
      <c r="FO292" s="66" t="str">
        <f t="shared" si="3942"/>
        <v/>
      </c>
      <c r="FP292" s="66" t="str">
        <f t="shared" si="3943"/>
        <v/>
      </c>
      <c r="FQ292" s="66" t="str">
        <f t="shared" si="3944"/>
        <v/>
      </c>
      <c r="FR292" s="66" t="str">
        <f t="shared" si="3945"/>
        <v/>
      </c>
      <c r="FS292" s="66" t="str">
        <f t="shared" si="3946"/>
        <v/>
      </c>
    </row>
    <row r="293" spans="92:175">
      <c r="CN293" s="36" t="str">
        <f t="shared" si="3871"/>
        <v>InitUnitState('',,,,,,,,,,)</v>
      </c>
      <c r="CO293" s="36" t="str">
        <f t="shared" si="3872"/>
        <v>InitUnitNormal('',,,,,,,,,,)</v>
      </c>
      <c r="CP293" s="36" t="str">
        <f t="shared" si="3873"/>
        <v>InitUnitMagic('',,,,,,,,,,)</v>
      </c>
      <c r="CQ293" s="36" t="str">
        <f t="shared" si="3874"/>
        <v>InitUnitAdd('',,,,,,,,,,)</v>
      </c>
      <c r="CR293" s="36" t="str">
        <f t="shared" si="3875"/>
        <v>InitEquipData('',,"",,,,,'','','','','','',"")</v>
      </c>
      <c r="CU293" s="19" t="str">
        <f t="shared" si="3876"/>
        <v>|n</v>
      </c>
      <c r="CW293" s="33"/>
      <c r="CX293" s="33"/>
      <c r="CY293" s="33"/>
      <c r="CZ293" s="33"/>
      <c r="DA293" s="33"/>
      <c r="DB293" s="66" t="str">
        <f t="shared" si="3877"/>
        <v/>
      </c>
      <c r="DC293" s="66" t="str">
        <f t="shared" si="3878"/>
        <v/>
      </c>
      <c r="DD293" s="66" t="str">
        <f t="shared" si="3879"/>
        <v/>
      </c>
      <c r="DE293" s="66" t="str">
        <f t="shared" si="3880"/>
        <v/>
      </c>
      <c r="DF293" s="66" t="str">
        <f t="shared" si="3881"/>
        <v/>
      </c>
      <c r="DG293" s="66" t="str">
        <f t="shared" si="3882"/>
        <v/>
      </c>
      <c r="DH293" s="66" t="str">
        <f t="shared" si="3883"/>
        <v/>
      </c>
      <c r="DI293" s="66" t="str">
        <f t="shared" si="3884"/>
        <v/>
      </c>
      <c r="DJ293" s="66" t="str">
        <f t="shared" si="3885"/>
        <v/>
      </c>
      <c r="DK293" s="66" t="str">
        <f t="shared" si="3886"/>
        <v/>
      </c>
      <c r="DL293" s="66" t="str">
        <f t="shared" si="3887"/>
        <v/>
      </c>
      <c r="DM293" s="66" t="str">
        <f t="shared" si="3888"/>
        <v/>
      </c>
      <c r="DN293" s="66" t="str">
        <f t="shared" si="3889"/>
        <v/>
      </c>
      <c r="DO293" s="66" t="str">
        <f t="shared" si="3890"/>
        <v/>
      </c>
      <c r="DP293" s="66" t="str">
        <f t="shared" si="3891"/>
        <v/>
      </c>
      <c r="DQ293" s="66" t="str">
        <f t="shared" si="3892"/>
        <v/>
      </c>
      <c r="DR293" s="66" t="str">
        <f t="shared" si="3893"/>
        <v/>
      </c>
      <c r="DS293" s="66" t="str">
        <f t="shared" si="3894"/>
        <v/>
      </c>
      <c r="DT293" s="66" t="str">
        <f t="shared" si="3895"/>
        <v/>
      </c>
      <c r="DU293" s="66" t="str">
        <f t="shared" si="3896"/>
        <v/>
      </c>
      <c r="DV293" s="66" t="str">
        <f t="shared" si="3897"/>
        <v/>
      </c>
      <c r="DW293" s="66" t="str">
        <f t="shared" si="3898"/>
        <v/>
      </c>
      <c r="DX293" s="66" t="str">
        <f t="shared" si="3899"/>
        <v/>
      </c>
      <c r="DY293" s="66" t="str">
        <f t="shared" si="3900"/>
        <v/>
      </c>
      <c r="DZ293" s="66" t="str">
        <f t="shared" si="3901"/>
        <v/>
      </c>
      <c r="EA293" s="66" t="str">
        <f t="shared" si="3902"/>
        <v/>
      </c>
      <c r="EB293" s="66" t="str">
        <f t="shared" si="3903"/>
        <v/>
      </c>
      <c r="EC293" s="66" t="str">
        <f t="shared" si="3904"/>
        <v/>
      </c>
      <c r="ED293" s="66" t="str">
        <f t="shared" si="3905"/>
        <v/>
      </c>
      <c r="EE293" s="66" t="str">
        <f t="shared" si="3906"/>
        <v/>
      </c>
      <c r="EF293" s="66" t="str">
        <f t="shared" si="3907"/>
        <v/>
      </c>
      <c r="EG293" s="66" t="str">
        <f t="shared" si="3908"/>
        <v/>
      </c>
      <c r="EH293" s="66" t="str">
        <f t="shared" si="3909"/>
        <v/>
      </c>
      <c r="EI293" s="66" t="str">
        <f t="shared" si="3910"/>
        <v/>
      </c>
      <c r="EJ293" s="66" t="str">
        <f t="shared" si="3911"/>
        <v/>
      </c>
      <c r="EK293" s="66" t="str">
        <f t="shared" si="3912"/>
        <v/>
      </c>
      <c r="EL293" s="66" t="str">
        <f t="shared" si="3913"/>
        <v/>
      </c>
      <c r="EM293" s="66" t="str">
        <f t="shared" si="3914"/>
        <v/>
      </c>
      <c r="EN293" s="66" t="str">
        <f t="shared" si="3915"/>
        <v/>
      </c>
      <c r="EO293" s="66" t="str">
        <f t="shared" si="3916"/>
        <v/>
      </c>
      <c r="EP293" s="66" t="str">
        <f t="shared" si="3917"/>
        <v/>
      </c>
      <c r="EQ293" s="66" t="str">
        <f t="shared" si="3918"/>
        <v/>
      </c>
      <c r="ER293" s="66" t="str">
        <f t="shared" si="3919"/>
        <v/>
      </c>
      <c r="ES293" s="66" t="str">
        <f t="shared" si="3920"/>
        <v/>
      </c>
      <c r="ET293" s="66" t="str">
        <f t="shared" si="3921"/>
        <v/>
      </c>
      <c r="EU293" s="66" t="str">
        <f t="shared" si="3922"/>
        <v/>
      </c>
      <c r="EV293" s="66" t="str">
        <f t="shared" si="3923"/>
        <v/>
      </c>
      <c r="EW293" s="66" t="str">
        <f t="shared" si="3924"/>
        <v/>
      </c>
      <c r="EX293" s="66" t="str">
        <f t="shared" si="3925"/>
        <v/>
      </c>
      <c r="EY293" s="66" t="str">
        <f t="shared" si="3926"/>
        <v/>
      </c>
      <c r="EZ293" s="66" t="str">
        <f t="shared" si="3927"/>
        <v/>
      </c>
      <c r="FA293" s="66" t="str">
        <f t="shared" si="3928"/>
        <v/>
      </c>
      <c r="FB293" s="66" t="str">
        <f t="shared" si="3929"/>
        <v/>
      </c>
      <c r="FC293" s="66" t="str">
        <f t="shared" si="3930"/>
        <v/>
      </c>
      <c r="FD293" s="66" t="str">
        <f t="shared" si="3931"/>
        <v/>
      </c>
      <c r="FE293" s="66" t="str">
        <f t="shared" si="3932"/>
        <v/>
      </c>
      <c r="FF293" s="66" t="str">
        <f t="shared" si="3933"/>
        <v/>
      </c>
      <c r="FG293" s="66" t="str">
        <f t="shared" si="3934"/>
        <v/>
      </c>
      <c r="FH293" s="66" t="str">
        <f t="shared" si="3935"/>
        <v/>
      </c>
      <c r="FI293" s="66" t="str">
        <f t="shared" si="3936"/>
        <v/>
      </c>
      <c r="FJ293" s="66" t="str">
        <f t="shared" si="3937"/>
        <v/>
      </c>
      <c r="FK293" s="66" t="str">
        <f t="shared" si="3938"/>
        <v/>
      </c>
      <c r="FL293" s="66" t="str">
        <f t="shared" si="3939"/>
        <v/>
      </c>
      <c r="FM293" s="66" t="str">
        <f t="shared" si="3940"/>
        <v/>
      </c>
      <c r="FN293" s="66" t="str">
        <f t="shared" si="3941"/>
        <v/>
      </c>
      <c r="FO293" s="66" t="str">
        <f t="shared" si="3942"/>
        <v/>
      </c>
      <c r="FP293" s="66" t="str">
        <f t="shared" si="3943"/>
        <v/>
      </c>
      <c r="FQ293" s="66" t="str">
        <f t="shared" si="3944"/>
        <v/>
      </c>
      <c r="FR293" s="66" t="str">
        <f t="shared" si="3945"/>
        <v/>
      </c>
      <c r="FS293" s="66" t="str">
        <f t="shared" si="3946"/>
        <v/>
      </c>
    </row>
    <row r="294" spans="92:175">
      <c r="CN294" s="36" t="str">
        <f t="shared" si="3871"/>
        <v>InitUnitState('',,,,,,,,,,)</v>
      </c>
      <c r="CO294" s="36" t="str">
        <f t="shared" si="3872"/>
        <v>InitUnitNormal('',,,,,,,,,,)</v>
      </c>
      <c r="CP294" s="36" t="str">
        <f t="shared" si="3873"/>
        <v>InitUnitMagic('',,,,,,,,,,)</v>
      </c>
      <c r="CQ294" s="36" t="str">
        <f t="shared" si="3874"/>
        <v>InitUnitAdd('',,,,,,,,,,)</v>
      </c>
      <c r="CR294" s="36" t="str">
        <f t="shared" si="3875"/>
        <v>InitEquipData('',,"",,,,,'','','','','','',"")</v>
      </c>
      <c r="CU294" s="19" t="str">
        <f t="shared" si="3876"/>
        <v>|n</v>
      </c>
      <c r="CW294" s="33"/>
      <c r="CX294" s="33"/>
      <c r="CY294" s="33"/>
      <c r="CZ294" s="33"/>
      <c r="DA294" s="33"/>
      <c r="DB294" s="66" t="str">
        <f t="shared" si="3877"/>
        <v/>
      </c>
      <c r="DC294" s="66" t="str">
        <f t="shared" si="3878"/>
        <v/>
      </c>
      <c r="DD294" s="66" t="str">
        <f t="shared" si="3879"/>
        <v/>
      </c>
      <c r="DE294" s="66" t="str">
        <f t="shared" si="3880"/>
        <v/>
      </c>
      <c r="DF294" s="66" t="str">
        <f t="shared" si="3881"/>
        <v/>
      </c>
      <c r="DG294" s="66" t="str">
        <f t="shared" si="3882"/>
        <v/>
      </c>
      <c r="DH294" s="66" t="str">
        <f t="shared" si="3883"/>
        <v/>
      </c>
      <c r="DI294" s="66" t="str">
        <f t="shared" si="3884"/>
        <v/>
      </c>
      <c r="DJ294" s="66" t="str">
        <f t="shared" si="3885"/>
        <v/>
      </c>
      <c r="DK294" s="66" t="str">
        <f t="shared" si="3886"/>
        <v/>
      </c>
      <c r="DL294" s="66" t="str">
        <f t="shared" si="3887"/>
        <v/>
      </c>
      <c r="DM294" s="66" t="str">
        <f t="shared" si="3888"/>
        <v/>
      </c>
      <c r="DN294" s="66" t="str">
        <f t="shared" si="3889"/>
        <v/>
      </c>
      <c r="DO294" s="66" t="str">
        <f t="shared" si="3890"/>
        <v/>
      </c>
      <c r="DP294" s="66" t="str">
        <f t="shared" si="3891"/>
        <v/>
      </c>
      <c r="DQ294" s="66" t="str">
        <f t="shared" si="3892"/>
        <v/>
      </c>
      <c r="DR294" s="66" t="str">
        <f t="shared" si="3893"/>
        <v/>
      </c>
      <c r="DS294" s="66" t="str">
        <f t="shared" si="3894"/>
        <v/>
      </c>
      <c r="DT294" s="66" t="str">
        <f t="shared" si="3895"/>
        <v/>
      </c>
      <c r="DU294" s="66" t="str">
        <f t="shared" si="3896"/>
        <v/>
      </c>
      <c r="DV294" s="66" t="str">
        <f t="shared" si="3897"/>
        <v/>
      </c>
      <c r="DW294" s="66" t="str">
        <f t="shared" si="3898"/>
        <v/>
      </c>
      <c r="DX294" s="66" t="str">
        <f t="shared" si="3899"/>
        <v/>
      </c>
      <c r="DY294" s="66" t="str">
        <f t="shared" si="3900"/>
        <v/>
      </c>
      <c r="DZ294" s="66" t="str">
        <f t="shared" si="3901"/>
        <v/>
      </c>
      <c r="EA294" s="66" t="str">
        <f t="shared" si="3902"/>
        <v/>
      </c>
      <c r="EB294" s="66" t="str">
        <f t="shared" si="3903"/>
        <v/>
      </c>
      <c r="EC294" s="66" t="str">
        <f t="shared" si="3904"/>
        <v/>
      </c>
      <c r="ED294" s="66" t="str">
        <f t="shared" si="3905"/>
        <v/>
      </c>
      <c r="EE294" s="66" t="str">
        <f t="shared" si="3906"/>
        <v/>
      </c>
      <c r="EF294" s="66" t="str">
        <f t="shared" si="3907"/>
        <v/>
      </c>
      <c r="EG294" s="66" t="str">
        <f t="shared" si="3908"/>
        <v/>
      </c>
      <c r="EH294" s="66" t="str">
        <f t="shared" si="3909"/>
        <v/>
      </c>
      <c r="EI294" s="66" t="str">
        <f t="shared" si="3910"/>
        <v/>
      </c>
      <c r="EJ294" s="66" t="str">
        <f t="shared" si="3911"/>
        <v/>
      </c>
      <c r="EK294" s="66" t="str">
        <f t="shared" si="3912"/>
        <v/>
      </c>
      <c r="EL294" s="66" t="str">
        <f t="shared" si="3913"/>
        <v/>
      </c>
      <c r="EM294" s="66" t="str">
        <f t="shared" si="3914"/>
        <v/>
      </c>
      <c r="EN294" s="66" t="str">
        <f t="shared" si="3915"/>
        <v/>
      </c>
      <c r="EO294" s="66" t="str">
        <f t="shared" si="3916"/>
        <v/>
      </c>
      <c r="EP294" s="66" t="str">
        <f t="shared" si="3917"/>
        <v/>
      </c>
      <c r="EQ294" s="66" t="str">
        <f t="shared" si="3918"/>
        <v/>
      </c>
      <c r="ER294" s="66" t="str">
        <f t="shared" si="3919"/>
        <v/>
      </c>
      <c r="ES294" s="66" t="str">
        <f t="shared" si="3920"/>
        <v/>
      </c>
      <c r="ET294" s="66" t="str">
        <f t="shared" si="3921"/>
        <v/>
      </c>
      <c r="EU294" s="66" t="str">
        <f t="shared" si="3922"/>
        <v/>
      </c>
      <c r="EV294" s="66" t="str">
        <f t="shared" si="3923"/>
        <v/>
      </c>
      <c r="EW294" s="66" t="str">
        <f t="shared" si="3924"/>
        <v/>
      </c>
      <c r="EX294" s="66" t="str">
        <f t="shared" si="3925"/>
        <v/>
      </c>
      <c r="EY294" s="66" t="str">
        <f t="shared" si="3926"/>
        <v/>
      </c>
      <c r="EZ294" s="66" t="str">
        <f t="shared" si="3927"/>
        <v/>
      </c>
      <c r="FA294" s="66" t="str">
        <f t="shared" si="3928"/>
        <v/>
      </c>
      <c r="FB294" s="66" t="str">
        <f t="shared" si="3929"/>
        <v/>
      </c>
      <c r="FC294" s="66" t="str">
        <f t="shared" si="3930"/>
        <v/>
      </c>
      <c r="FD294" s="66" t="str">
        <f t="shared" si="3931"/>
        <v/>
      </c>
      <c r="FE294" s="66" t="str">
        <f t="shared" si="3932"/>
        <v/>
      </c>
      <c r="FF294" s="66" t="str">
        <f t="shared" si="3933"/>
        <v/>
      </c>
      <c r="FG294" s="66" t="str">
        <f t="shared" si="3934"/>
        <v/>
      </c>
      <c r="FH294" s="66" t="str">
        <f t="shared" si="3935"/>
        <v/>
      </c>
      <c r="FI294" s="66" t="str">
        <f t="shared" si="3936"/>
        <v/>
      </c>
      <c r="FJ294" s="66" t="str">
        <f t="shared" si="3937"/>
        <v/>
      </c>
      <c r="FK294" s="66" t="str">
        <f t="shared" si="3938"/>
        <v/>
      </c>
      <c r="FL294" s="66" t="str">
        <f t="shared" si="3939"/>
        <v/>
      </c>
      <c r="FM294" s="66" t="str">
        <f t="shared" si="3940"/>
        <v/>
      </c>
      <c r="FN294" s="66" t="str">
        <f t="shared" si="3941"/>
        <v/>
      </c>
      <c r="FO294" s="66" t="str">
        <f t="shared" si="3942"/>
        <v/>
      </c>
      <c r="FP294" s="66" t="str">
        <f t="shared" si="3943"/>
        <v/>
      </c>
      <c r="FQ294" s="66" t="str">
        <f t="shared" si="3944"/>
        <v/>
      </c>
      <c r="FR294" s="66" t="str">
        <f t="shared" si="3945"/>
        <v/>
      </c>
      <c r="FS294" s="66" t="str">
        <f t="shared" si="3946"/>
        <v/>
      </c>
    </row>
    <row r="295" spans="92:175">
      <c r="CN295" s="36" t="str">
        <f t="shared" si="3871"/>
        <v>InitUnitState('',,,,,,,,,,)</v>
      </c>
      <c r="CO295" s="36" t="str">
        <f t="shared" si="3872"/>
        <v>InitUnitNormal('',,,,,,,,,,)</v>
      </c>
      <c r="CP295" s="36" t="str">
        <f t="shared" si="3873"/>
        <v>InitUnitMagic('',,,,,,,,,,)</v>
      </c>
      <c r="CQ295" s="36" t="str">
        <f t="shared" si="3874"/>
        <v>InitUnitAdd('',,,,,,,,,,)</v>
      </c>
      <c r="CR295" s="36" t="str">
        <f t="shared" si="3875"/>
        <v>InitEquipData('',,"",,,,,'','','','','','',"")</v>
      </c>
      <c r="CU295" s="19" t="str">
        <f t="shared" si="3876"/>
        <v>|n</v>
      </c>
      <c r="CW295" s="33"/>
      <c r="CX295" s="33"/>
      <c r="CY295" s="33"/>
      <c r="CZ295" s="33"/>
      <c r="DA295" s="33"/>
      <c r="DB295" s="66" t="str">
        <f t="shared" si="3877"/>
        <v/>
      </c>
      <c r="DC295" s="66" t="str">
        <f t="shared" si="3878"/>
        <v/>
      </c>
      <c r="DD295" s="66" t="str">
        <f t="shared" si="3879"/>
        <v/>
      </c>
      <c r="DE295" s="66" t="str">
        <f t="shared" si="3880"/>
        <v/>
      </c>
      <c r="DF295" s="66" t="str">
        <f t="shared" si="3881"/>
        <v/>
      </c>
      <c r="DG295" s="66" t="str">
        <f t="shared" si="3882"/>
        <v/>
      </c>
      <c r="DH295" s="66" t="str">
        <f t="shared" si="3883"/>
        <v/>
      </c>
      <c r="DI295" s="66" t="str">
        <f t="shared" si="3884"/>
        <v/>
      </c>
      <c r="DJ295" s="66" t="str">
        <f t="shared" si="3885"/>
        <v/>
      </c>
      <c r="DK295" s="66" t="str">
        <f t="shared" si="3886"/>
        <v/>
      </c>
      <c r="DL295" s="66" t="str">
        <f t="shared" si="3887"/>
        <v/>
      </c>
      <c r="DM295" s="66" t="str">
        <f t="shared" si="3888"/>
        <v/>
      </c>
      <c r="DN295" s="66" t="str">
        <f t="shared" si="3889"/>
        <v/>
      </c>
      <c r="DO295" s="66" t="str">
        <f t="shared" si="3890"/>
        <v/>
      </c>
      <c r="DP295" s="66" t="str">
        <f t="shared" si="3891"/>
        <v/>
      </c>
      <c r="DQ295" s="66" t="str">
        <f t="shared" si="3892"/>
        <v/>
      </c>
      <c r="DR295" s="66" t="str">
        <f t="shared" si="3893"/>
        <v/>
      </c>
      <c r="DS295" s="66" t="str">
        <f t="shared" si="3894"/>
        <v/>
      </c>
      <c r="DT295" s="66" t="str">
        <f t="shared" si="3895"/>
        <v/>
      </c>
      <c r="DU295" s="66" t="str">
        <f t="shared" si="3896"/>
        <v/>
      </c>
      <c r="DV295" s="66" t="str">
        <f t="shared" si="3897"/>
        <v/>
      </c>
      <c r="DW295" s="66" t="str">
        <f t="shared" si="3898"/>
        <v/>
      </c>
      <c r="DX295" s="66" t="str">
        <f t="shared" si="3899"/>
        <v/>
      </c>
      <c r="DY295" s="66" t="str">
        <f t="shared" si="3900"/>
        <v/>
      </c>
      <c r="DZ295" s="66" t="str">
        <f t="shared" si="3901"/>
        <v/>
      </c>
      <c r="EA295" s="66" t="str">
        <f t="shared" si="3902"/>
        <v/>
      </c>
      <c r="EB295" s="66" t="str">
        <f t="shared" si="3903"/>
        <v/>
      </c>
      <c r="EC295" s="66" t="str">
        <f t="shared" si="3904"/>
        <v/>
      </c>
      <c r="ED295" s="66" t="str">
        <f t="shared" si="3905"/>
        <v/>
      </c>
      <c r="EE295" s="66" t="str">
        <f t="shared" si="3906"/>
        <v/>
      </c>
      <c r="EF295" s="66" t="str">
        <f t="shared" si="3907"/>
        <v/>
      </c>
      <c r="EG295" s="66" t="str">
        <f t="shared" si="3908"/>
        <v/>
      </c>
      <c r="EH295" s="66" t="str">
        <f t="shared" si="3909"/>
        <v/>
      </c>
      <c r="EI295" s="66" t="str">
        <f t="shared" si="3910"/>
        <v/>
      </c>
      <c r="EJ295" s="66" t="str">
        <f t="shared" si="3911"/>
        <v/>
      </c>
      <c r="EK295" s="66" t="str">
        <f t="shared" si="3912"/>
        <v/>
      </c>
      <c r="EL295" s="66" t="str">
        <f t="shared" si="3913"/>
        <v/>
      </c>
      <c r="EM295" s="66" t="str">
        <f t="shared" si="3914"/>
        <v/>
      </c>
      <c r="EN295" s="66" t="str">
        <f t="shared" si="3915"/>
        <v/>
      </c>
      <c r="EO295" s="66" t="str">
        <f t="shared" si="3916"/>
        <v/>
      </c>
      <c r="EP295" s="66" t="str">
        <f t="shared" si="3917"/>
        <v/>
      </c>
      <c r="EQ295" s="66" t="str">
        <f t="shared" si="3918"/>
        <v/>
      </c>
      <c r="ER295" s="66" t="str">
        <f t="shared" si="3919"/>
        <v/>
      </c>
      <c r="ES295" s="66" t="str">
        <f t="shared" si="3920"/>
        <v/>
      </c>
      <c r="ET295" s="66" t="str">
        <f t="shared" si="3921"/>
        <v/>
      </c>
      <c r="EU295" s="66" t="str">
        <f t="shared" si="3922"/>
        <v/>
      </c>
      <c r="EV295" s="66" t="str">
        <f t="shared" si="3923"/>
        <v/>
      </c>
      <c r="EW295" s="66" t="str">
        <f t="shared" si="3924"/>
        <v/>
      </c>
      <c r="EX295" s="66" t="str">
        <f t="shared" si="3925"/>
        <v/>
      </c>
      <c r="EY295" s="66" t="str">
        <f t="shared" si="3926"/>
        <v/>
      </c>
      <c r="EZ295" s="66" t="str">
        <f t="shared" si="3927"/>
        <v/>
      </c>
      <c r="FA295" s="66" t="str">
        <f t="shared" si="3928"/>
        <v/>
      </c>
      <c r="FB295" s="66" t="str">
        <f t="shared" si="3929"/>
        <v/>
      </c>
      <c r="FC295" s="66" t="str">
        <f t="shared" si="3930"/>
        <v/>
      </c>
      <c r="FD295" s="66" t="str">
        <f t="shared" si="3931"/>
        <v/>
      </c>
      <c r="FE295" s="66" t="str">
        <f t="shared" si="3932"/>
        <v/>
      </c>
      <c r="FF295" s="66" t="str">
        <f t="shared" si="3933"/>
        <v/>
      </c>
      <c r="FG295" s="66" t="str">
        <f t="shared" si="3934"/>
        <v/>
      </c>
      <c r="FH295" s="66" t="str">
        <f t="shared" si="3935"/>
        <v/>
      </c>
      <c r="FI295" s="66" t="str">
        <f t="shared" si="3936"/>
        <v/>
      </c>
      <c r="FJ295" s="66" t="str">
        <f t="shared" si="3937"/>
        <v/>
      </c>
      <c r="FK295" s="66" t="str">
        <f t="shared" si="3938"/>
        <v/>
      </c>
      <c r="FL295" s="66" t="str">
        <f t="shared" si="3939"/>
        <v/>
      </c>
      <c r="FM295" s="66" t="str">
        <f t="shared" si="3940"/>
        <v/>
      </c>
      <c r="FN295" s="66" t="str">
        <f t="shared" si="3941"/>
        <v/>
      </c>
      <c r="FO295" s="66" t="str">
        <f t="shared" si="3942"/>
        <v/>
      </c>
      <c r="FP295" s="66" t="str">
        <f t="shared" si="3943"/>
        <v/>
      </c>
      <c r="FQ295" s="66" t="str">
        <f t="shared" si="3944"/>
        <v/>
      </c>
      <c r="FR295" s="66" t="str">
        <f t="shared" si="3945"/>
        <v/>
      </c>
      <c r="FS295" s="66" t="str">
        <f t="shared" si="3946"/>
        <v/>
      </c>
    </row>
    <row r="296" spans="92:175">
      <c r="CN296" s="36" t="str">
        <f t="shared" si="3871"/>
        <v>InitUnitState('',,,,,,,,,,)</v>
      </c>
      <c r="CO296" s="36" t="str">
        <f t="shared" si="3872"/>
        <v>InitUnitNormal('',,,,,,,,,,)</v>
      </c>
      <c r="CP296" s="36" t="str">
        <f t="shared" si="3873"/>
        <v>InitUnitMagic('',,,,,,,,,,)</v>
      </c>
      <c r="CQ296" s="36" t="str">
        <f t="shared" si="3874"/>
        <v>InitUnitAdd('',,,,,,,,,,)</v>
      </c>
      <c r="CR296" s="36" t="str">
        <f t="shared" si="3875"/>
        <v>InitEquipData('',,"",,,,,'','','','','','',"")</v>
      </c>
      <c r="CU296" s="19" t="str">
        <f t="shared" si="3876"/>
        <v>|n</v>
      </c>
      <c r="CW296" s="33"/>
      <c r="CX296" s="33"/>
      <c r="CY296" s="33"/>
      <c r="CZ296" s="33"/>
      <c r="DA296" s="33"/>
      <c r="DB296" s="66" t="str">
        <f t="shared" si="3877"/>
        <v/>
      </c>
      <c r="DC296" s="66" t="str">
        <f t="shared" si="3878"/>
        <v/>
      </c>
      <c r="DD296" s="66" t="str">
        <f t="shared" si="3879"/>
        <v/>
      </c>
      <c r="DE296" s="66" t="str">
        <f t="shared" si="3880"/>
        <v/>
      </c>
      <c r="DF296" s="66" t="str">
        <f t="shared" si="3881"/>
        <v/>
      </c>
      <c r="DG296" s="66" t="str">
        <f t="shared" si="3882"/>
        <v/>
      </c>
      <c r="DH296" s="66" t="str">
        <f t="shared" si="3883"/>
        <v/>
      </c>
      <c r="DI296" s="66" t="str">
        <f t="shared" si="3884"/>
        <v/>
      </c>
      <c r="DJ296" s="66" t="str">
        <f t="shared" si="3885"/>
        <v/>
      </c>
      <c r="DK296" s="66" t="str">
        <f t="shared" si="3886"/>
        <v/>
      </c>
      <c r="DL296" s="66" t="str">
        <f t="shared" si="3887"/>
        <v/>
      </c>
      <c r="DM296" s="66" t="str">
        <f t="shared" si="3888"/>
        <v/>
      </c>
      <c r="DN296" s="66" t="str">
        <f t="shared" si="3889"/>
        <v/>
      </c>
      <c r="DO296" s="66" t="str">
        <f t="shared" si="3890"/>
        <v/>
      </c>
      <c r="DP296" s="66" t="str">
        <f t="shared" si="3891"/>
        <v/>
      </c>
      <c r="DQ296" s="66" t="str">
        <f t="shared" si="3892"/>
        <v/>
      </c>
      <c r="DR296" s="66" t="str">
        <f t="shared" si="3893"/>
        <v/>
      </c>
      <c r="DS296" s="66" t="str">
        <f t="shared" si="3894"/>
        <v/>
      </c>
      <c r="DT296" s="66" t="str">
        <f t="shared" si="3895"/>
        <v/>
      </c>
      <c r="DU296" s="66" t="str">
        <f t="shared" si="3896"/>
        <v/>
      </c>
      <c r="DV296" s="66" t="str">
        <f t="shared" si="3897"/>
        <v/>
      </c>
      <c r="DW296" s="66" t="str">
        <f t="shared" si="3898"/>
        <v/>
      </c>
      <c r="DX296" s="66" t="str">
        <f t="shared" si="3899"/>
        <v/>
      </c>
      <c r="DY296" s="66" t="str">
        <f t="shared" si="3900"/>
        <v/>
      </c>
      <c r="DZ296" s="66" t="str">
        <f t="shared" si="3901"/>
        <v/>
      </c>
      <c r="EA296" s="66" t="str">
        <f t="shared" si="3902"/>
        <v/>
      </c>
      <c r="EB296" s="66" t="str">
        <f t="shared" si="3903"/>
        <v/>
      </c>
      <c r="EC296" s="66" t="str">
        <f t="shared" si="3904"/>
        <v/>
      </c>
      <c r="ED296" s="66" t="str">
        <f t="shared" si="3905"/>
        <v/>
      </c>
      <c r="EE296" s="66" t="str">
        <f t="shared" si="3906"/>
        <v/>
      </c>
      <c r="EF296" s="66" t="str">
        <f t="shared" si="3907"/>
        <v/>
      </c>
      <c r="EG296" s="66" t="str">
        <f t="shared" si="3908"/>
        <v/>
      </c>
      <c r="EH296" s="66" t="str">
        <f t="shared" si="3909"/>
        <v/>
      </c>
      <c r="EI296" s="66" t="str">
        <f t="shared" si="3910"/>
        <v/>
      </c>
      <c r="EJ296" s="66" t="str">
        <f t="shared" si="3911"/>
        <v/>
      </c>
      <c r="EK296" s="66" t="str">
        <f t="shared" si="3912"/>
        <v/>
      </c>
      <c r="EL296" s="66" t="str">
        <f t="shared" si="3913"/>
        <v/>
      </c>
      <c r="EM296" s="66" t="str">
        <f t="shared" si="3914"/>
        <v/>
      </c>
      <c r="EN296" s="66" t="str">
        <f t="shared" si="3915"/>
        <v/>
      </c>
      <c r="EO296" s="66" t="str">
        <f t="shared" si="3916"/>
        <v/>
      </c>
      <c r="EP296" s="66" t="str">
        <f t="shared" si="3917"/>
        <v/>
      </c>
      <c r="EQ296" s="66" t="str">
        <f t="shared" si="3918"/>
        <v/>
      </c>
      <c r="ER296" s="66" t="str">
        <f t="shared" si="3919"/>
        <v/>
      </c>
      <c r="ES296" s="66" t="str">
        <f t="shared" si="3920"/>
        <v/>
      </c>
      <c r="ET296" s="66" t="str">
        <f t="shared" si="3921"/>
        <v/>
      </c>
      <c r="EU296" s="66" t="str">
        <f t="shared" si="3922"/>
        <v/>
      </c>
      <c r="EV296" s="66" t="str">
        <f t="shared" si="3923"/>
        <v/>
      </c>
      <c r="EW296" s="66" t="str">
        <f t="shared" si="3924"/>
        <v/>
      </c>
      <c r="EX296" s="66" t="str">
        <f t="shared" si="3925"/>
        <v/>
      </c>
      <c r="EY296" s="66" t="str">
        <f t="shared" si="3926"/>
        <v/>
      </c>
      <c r="EZ296" s="66" t="str">
        <f t="shared" si="3927"/>
        <v/>
      </c>
      <c r="FA296" s="66" t="str">
        <f t="shared" si="3928"/>
        <v/>
      </c>
      <c r="FB296" s="66" t="str">
        <f t="shared" si="3929"/>
        <v/>
      </c>
      <c r="FC296" s="66" t="str">
        <f t="shared" si="3930"/>
        <v/>
      </c>
      <c r="FD296" s="66" t="str">
        <f t="shared" si="3931"/>
        <v/>
      </c>
      <c r="FE296" s="66" t="str">
        <f t="shared" si="3932"/>
        <v/>
      </c>
      <c r="FF296" s="66" t="str">
        <f t="shared" si="3933"/>
        <v/>
      </c>
      <c r="FG296" s="66" t="str">
        <f t="shared" si="3934"/>
        <v/>
      </c>
      <c r="FH296" s="66" t="str">
        <f t="shared" si="3935"/>
        <v/>
      </c>
      <c r="FI296" s="66" t="str">
        <f t="shared" si="3936"/>
        <v/>
      </c>
      <c r="FJ296" s="66" t="str">
        <f t="shared" si="3937"/>
        <v/>
      </c>
      <c r="FK296" s="66" t="str">
        <f t="shared" si="3938"/>
        <v/>
      </c>
      <c r="FL296" s="66" t="str">
        <f t="shared" si="3939"/>
        <v/>
      </c>
      <c r="FM296" s="66" t="str">
        <f t="shared" si="3940"/>
        <v/>
      </c>
      <c r="FN296" s="66" t="str">
        <f t="shared" si="3941"/>
        <v/>
      </c>
      <c r="FO296" s="66" t="str">
        <f t="shared" si="3942"/>
        <v/>
      </c>
      <c r="FP296" s="66" t="str">
        <f t="shared" si="3943"/>
        <v/>
      </c>
      <c r="FQ296" s="66" t="str">
        <f t="shared" si="3944"/>
        <v/>
      </c>
      <c r="FR296" s="66" t="str">
        <f t="shared" si="3945"/>
        <v/>
      </c>
      <c r="FS296" s="66" t="str">
        <f t="shared" si="3946"/>
        <v/>
      </c>
    </row>
    <row r="297" spans="92:175">
      <c r="CN297" s="36" t="str">
        <f t="shared" si="3871"/>
        <v>InitUnitState('',,,,,,,,,,)</v>
      </c>
      <c r="CO297" s="36" t="str">
        <f t="shared" si="3872"/>
        <v>InitUnitNormal('',,,,,,,,,,)</v>
      </c>
      <c r="CP297" s="36" t="str">
        <f t="shared" si="3873"/>
        <v>InitUnitMagic('',,,,,,,,,,)</v>
      </c>
      <c r="CQ297" s="36" t="str">
        <f t="shared" si="3874"/>
        <v>InitUnitAdd('',,,,,,,,,,)</v>
      </c>
      <c r="CR297" s="36" t="str">
        <f t="shared" si="3875"/>
        <v>InitEquipData('',,"",,,,,'','','','','','',"")</v>
      </c>
      <c r="CU297" s="19" t="str">
        <f t="shared" si="3876"/>
        <v>|n</v>
      </c>
      <c r="CW297" s="33"/>
      <c r="CX297" s="33"/>
      <c r="CY297" s="33"/>
      <c r="CZ297" s="33"/>
      <c r="DA297" s="33"/>
      <c r="DB297" s="66" t="str">
        <f t="shared" si="3877"/>
        <v/>
      </c>
      <c r="DC297" s="66" t="str">
        <f t="shared" si="3878"/>
        <v/>
      </c>
      <c r="DD297" s="66" t="str">
        <f t="shared" si="3879"/>
        <v/>
      </c>
      <c r="DE297" s="66" t="str">
        <f t="shared" si="3880"/>
        <v/>
      </c>
      <c r="DF297" s="66" t="str">
        <f t="shared" si="3881"/>
        <v/>
      </c>
      <c r="DG297" s="66" t="str">
        <f t="shared" si="3882"/>
        <v/>
      </c>
      <c r="DH297" s="66" t="str">
        <f t="shared" si="3883"/>
        <v/>
      </c>
      <c r="DI297" s="66" t="str">
        <f t="shared" si="3884"/>
        <v/>
      </c>
      <c r="DJ297" s="66" t="str">
        <f t="shared" si="3885"/>
        <v/>
      </c>
      <c r="DK297" s="66" t="str">
        <f t="shared" si="3886"/>
        <v/>
      </c>
      <c r="DL297" s="66" t="str">
        <f t="shared" si="3887"/>
        <v/>
      </c>
      <c r="DM297" s="66" t="str">
        <f t="shared" si="3888"/>
        <v/>
      </c>
      <c r="DN297" s="66" t="str">
        <f t="shared" si="3889"/>
        <v/>
      </c>
      <c r="DO297" s="66" t="str">
        <f t="shared" si="3890"/>
        <v/>
      </c>
      <c r="DP297" s="66" t="str">
        <f t="shared" si="3891"/>
        <v/>
      </c>
      <c r="DQ297" s="66" t="str">
        <f t="shared" si="3892"/>
        <v/>
      </c>
      <c r="DR297" s="66" t="str">
        <f t="shared" si="3893"/>
        <v/>
      </c>
      <c r="DS297" s="66" t="str">
        <f t="shared" si="3894"/>
        <v/>
      </c>
      <c r="DT297" s="66" t="str">
        <f t="shared" si="3895"/>
        <v/>
      </c>
      <c r="DU297" s="66" t="str">
        <f t="shared" si="3896"/>
        <v/>
      </c>
      <c r="DV297" s="66" t="str">
        <f t="shared" si="3897"/>
        <v/>
      </c>
      <c r="DW297" s="66" t="str">
        <f t="shared" si="3898"/>
        <v/>
      </c>
      <c r="DX297" s="66" t="str">
        <f t="shared" si="3899"/>
        <v/>
      </c>
      <c r="DY297" s="66" t="str">
        <f t="shared" si="3900"/>
        <v/>
      </c>
      <c r="DZ297" s="66" t="str">
        <f t="shared" si="3901"/>
        <v/>
      </c>
      <c r="EA297" s="66" t="str">
        <f t="shared" si="3902"/>
        <v/>
      </c>
      <c r="EB297" s="66" t="str">
        <f t="shared" si="3903"/>
        <v/>
      </c>
      <c r="EC297" s="66" t="str">
        <f t="shared" si="3904"/>
        <v/>
      </c>
      <c r="ED297" s="66" t="str">
        <f t="shared" si="3905"/>
        <v/>
      </c>
      <c r="EE297" s="66" t="str">
        <f t="shared" si="3906"/>
        <v/>
      </c>
      <c r="EF297" s="66" t="str">
        <f t="shared" si="3907"/>
        <v/>
      </c>
      <c r="EG297" s="66" t="str">
        <f t="shared" si="3908"/>
        <v/>
      </c>
      <c r="EH297" s="66" t="str">
        <f t="shared" si="3909"/>
        <v/>
      </c>
      <c r="EI297" s="66" t="str">
        <f t="shared" si="3910"/>
        <v/>
      </c>
      <c r="EJ297" s="66" t="str">
        <f t="shared" si="3911"/>
        <v/>
      </c>
      <c r="EK297" s="66" t="str">
        <f t="shared" si="3912"/>
        <v/>
      </c>
      <c r="EL297" s="66" t="str">
        <f t="shared" si="3913"/>
        <v/>
      </c>
      <c r="EM297" s="66" t="str">
        <f t="shared" si="3914"/>
        <v/>
      </c>
      <c r="EN297" s="66" t="str">
        <f t="shared" si="3915"/>
        <v/>
      </c>
      <c r="EO297" s="66" t="str">
        <f t="shared" si="3916"/>
        <v/>
      </c>
      <c r="EP297" s="66" t="str">
        <f t="shared" si="3917"/>
        <v/>
      </c>
      <c r="EQ297" s="66" t="str">
        <f t="shared" si="3918"/>
        <v/>
      </c>
      <c r="ER297" s="66" t="str">
        <f t="shared" si="3919"/>
        <v/>
      </c>
      <c r="ES297" s="66" t="str">
        <f t="shared" si="3920"/>
        <v/>
      </c>
      <c r="ET297" s="66" t="str">
        <f t="shared" si="3921"/>
        <v/>
      </c>
      <c r="EU297" s="66" t="str">
        <f t="shared" si="3922"/>
        <v/>
      </c>
      <c r="EV297" s="66" t="str">
        <f t="shared" si="3923"/>
        <v/>
      </c>
      <c r="EW297" s="66" t="str">
        <f t="shared" si="3924"/>
        <v/>
      </c>
      <c r="EX297" s="66" t="str">
        <f t="shared" si="3925"/>
        <v/>
      </c>
      <c r="EY297" s="66" t="str">
        <f t="shared" si="3926"/>
        <v/>
      </c>
      <c r="EZ297" s="66" t="str">
        <f t="shared" si="3927"/>
        <v/>
      </c>
      <c r="FA297" s="66" t="str">
        <f t="shared" si="3928"/>
        <v/>
      </c>
      <c r="FB297" s="66" t="str">
        <f t="shared" si="3929"/>
        <v/>
      </c>
      <c r="FC297" s="66" t="str">
        <f t="shared" si="3930"/>
        <v/>
      </c>
      <c r="FD297" s="66" t="str">
        <f t="shared" si="3931"/>
        <v/>
      </c>
      <c r="FE297" s="66" t="str">
        <f t="shared" si="3932"/>
        <v/>
      </c>
      <c r="FF297" s="66" t="str">
        <f t="shared" si="3933"/>
        <v/>
      </c>
      <c r="FG297" s="66" t="str">
        <f t="shared" si="3934"/>
        <v/>
      </c>
      <c r="FH297" s="66" t="str">
        <f t="shared" si="3935"/>
        <v/>
      </c>
      <c r="FI297" s="66" t="str">
        <f t="shared" si="3936"/>
        <v/>
      </c>
      <c r="FJ297" s="66" t="str">
        <f t="shared" si="3937"/>
        <v/>
      </c>
      <c r="FK297" s="66" t="str">
        <f t="shared" si="3938"/>
        <v/>
      </c>
      <c r="FL297" s="66" t="str">
        <f t="shared" si="3939"/>
        <v/>
      </c>
      <c r="FM297" s="66" t="str">
        <f t="shared" si="3940"/>
        <v/>
      </c>
      <c r="FN297" s="66" t="str">
        <f t="shared" si="3941"/>
        <v/>
      </c>
      <c r="FO297" s="66" t="str">
        <f t="shared" si="3942"/>
        <v/>
      </c>
      <c r="FP297" s="66" t="str">
        <f t="shared" si="3943"/>
        <v/>
      </c>
      <c r="FQ297" s="66" t="str">
        <f t="shared" si="3944"/>
        <v/>
      </c>
      <c r="FR297" s="66" t="str">
        <f t="shared" si="3945"/>
        <v/>
      </c>
      <c r="FS297" s="66" t="str">
        <f t="shared" si="3946"/>
        <v/>
      </c>
    </row>
    <row r="298" spans="92:175">
      <c r="CN298" s="36" t="str">
        <f t="shared" si="3871"/>
        <v>InitUnitState('',,,,,,,,,,)</v>
      </c>
      <c r="CO298" s="36" t="str">
        <f t="shared" si="3872"/>
        <v>InitUnitNormal('',,,,,,,,,,)</v>
      </c>
      <c r="CP298" s="36" t="str">
        <f t="shared" si="3873"/>
        <v>InitUnitMagic('',,,,,,,,,,)</v>
      </c>
      <c r="CQ298" s="36" t="str">
        <f t="shared" si="3874"/>
        <v>InitUnitAdd('',,,,,,,,,,)</v>
      </c>
      <c r="CR298" s="36" t="str">
        <f t="shared" si="3875"/>
        <v>InitEquipData('',,"",,,,,'','','','','','',"")</v>
      </c>
      <c r="CU298" s="19" t="str">
        <f t="shared" si="3876"/>
        <v>|n</v>
      </c>
      <c r="CW298" s="33"/>
      <c r="CX298" s="33"/>
      <c r="CY298" s="33"/>
      <c r="CZ298" s="33"/>
      <c r="DA298" s="33"/>
      <c r="DB298" s="66" t="str">
        <f t="shared" si="3877"/>
        <v/>
      </c>
      <c r="DC298" s="66" t="str">
        <f t="shared" si="3878"/>
        <v/>
      </c>
      <c r="DD298" s="66" t="str">
        <f t="shared" si="3879"/>
        <v/>
      </c>
      <c r="DE298" s="66" t="str">
        <f t="shared" si="3880"/>
        <v/>
      </c>
      <c r="DF298" s="66" t="str">
        <f t="shared" si="3881"/>
        <v/>
      </c>
      <c r="DG298" s="66" t="str">
        <f t="shared" si="3882"/>
        <v/>
      </c>
      <c r="DH298" s="66" t="str">
        <f t="shared" si="3883"/>
        <v/>
      </c>
      <c r="DI298" s="66" t="str">
        <f t="shared" si="3884"/>
        <v/>
      </c>
      <c r="DJ298" s="66" t="str">
        <f t="shared" si="3885"/>
        <v/>
      </c>
      <c r="DK298" s="66" t="str">
        <f t="shared" si="3886"/>
        <v/>
      </c>
      <c r="DL298" s="66" t="str">
        <f t="shared" si="3887"/>
        <v/>
      </c>
      <c r="DM298" s="66" t="str">
        <f t="shared" si="3888"/>
        <v/>
      </c>
      <c r="DN298" s="66" t="str">
        <f t="shared" si="3889"/>
        <v/>
      </c>
      <c r="DO298" s="66" t="str">
        <f t="shared" si="3890"/>
        <v/>
      </c>
      <c r="DP298" s="66" t="str">
        <f t="shared" si="3891"/>
        <v/>
      </c>
      <c r="DQ298" s="66" t="str">
        <f t="shared" si="3892"/>
        <v/>
      </c>
      <c r="DR298" s="66" t="str">
        <f t="shared" si="3893"/>
        <v/>
      </c>
      <c r="DS298" s="66" t="str">
        <f t="shared" si="3894"/>
        <v/>
      </c>
      <c r="DT298" s="66" t="str">
        <f t="shared" si="3895"/>
        <v/>
      </c>
      <c r="DU298" s="66" t="str">
        <f t="shared" si="3896"/>
        <v/>
      </c>
      <c r="DV298" s="66" t="str">
        <f t="shared" si="3897"/>
        <v/>
      </c>
      <c r="DW298" s="66" t="str">
        <f t="shared" si="3898"/>
        <v/>
      </c>
      <c r="DX298" s="66" t="str">
        <f t="shared" si="3899"/>
        <v/>
      </c>
      <c r="DY298" s="66" t="str">
        <f t="shared" si="3900"/>
        <v/>
      </c>
      <c r="DZ298" s="66" t="str">
        <f t="shared" si="3901"/>
        <v/>
      </c>
      <c r="EA298" s="66" t="str">
        <f t="shared" si="3902"/>
        <v/>
      </c>
      <c r="EB298" s="66" t="str">
        <f t="shared" si="3903"/>
        <v/>
      </c>
      <c r="EC298" s="66" t="str">
        <f t="shared" si="3904"/>
        <v/>
      </c>
      <c r="ED298" s="66" t="str">
        <f t="shared" si="3905"/>
        <v/>
      </c>
      <c r="EE298" s="66" t="str">
        <f t="shared" si="3906"/>
        <v/>
      </c>
      <c r="EF298" s="66" t="str">
        <f t="shared" si="3907"/>
        <v/>
      </c>
      <c r="EG298" s="66" t="str">
        <f t="shared" si="3908"/>
        <v/>
      </c>
      <c r="EH298" s="66" t="str">
        <f t="shared" si="3909"/>
        <v/>
      </c>
      <c r="EI298" s="66" t="str">
        <f t="shared" si="3910"/>
        <v/>
      </c>
      <c r="EJ298" s="66" t="str">
        <f t="shared" si="3911"/>
        <v/>
      </c>
      <c r="EK298" s="66" t="str">
        <f t="shared" si="3912"/>
        <v/>
      </c>
      <c r="EL298" s="66" t="str">
        <f t="shared" si="3913"/>
        <v/>
      </c>
      <c r="EM298" s="66" t="str">
        <f t="shared" si="3914"/>
        <v/>
      </c>
      <c r="EN298" s="66" t="str">
        <f t="shared" si="3915"/>
        <v/>
      </c>
      <c r="EO298" s="66" t="str">
        <f t="shared" si="3916"/>
        <v/>
      </c>
      <c r="EP298" s="66" t="str">
        <f t="shared" si="3917"/>
        <v/>
      </c>
      <c r="EQ298" s="66" t="str">
        <f t="shared" si="3918"/>
        <v/>
      </c>
      <c r="ER298" s="66" t="str">
        <f t="shared" si="3919"/>
        <v/>
      </c>
      <c r="ES298" s="66" t="str">
        <f t="shared" si="3920"/>
        <v/>
      </c>
      <c r="ET298" s="66" t="str">
        <f t="shared" si="3921"/>
        <v/>
      </c>
      <c r="EU298" s="66" t="str">
        <f t="shared" si="3922"/>
        <v/>
      </c>
      <c r="EV298" s="66" t="str">
        <f t="shared" si="3923"/>
        <v/>
      </c>
      <c r="EW298" s="66" t="str">
        <f t="shared" si="3924"/>
        <v/>
      </c>
      <c r="EX298" s="66" t="str">
        <f t="shared" si="3925"/>
        <v/>
      </c>
      <c r="EY298" s="66" t="str">
        <f t="shared" si="3926"/>
        <v/>
      </c>
      <c r="EZ298" s="66" t="str">
        <f t="shared" si="3927"/>
        <v/>
      </c>
      <c r="FA298" s="66" t="str">
        <f t="shared" si="3928"/>
        <v/>
      </c>
      <c r="FB298" s="66" t="str">
        <f t="shared" si="3929"/>
        <v/>
      </c>
      <c r="FC298" s="66" t="str">
        <f t="shared" si="3930"/>
        <v/>
      </c>
      <c r="FD298" s="66" t="str">
        <f t="shared" si="3931"/>
        <v/>
      </c>
      <c r="FE298" s="66" t="str">
        <f t="shared" si="3932"/>
        <v/>
      </c>
      <c r="FF298" s="66" t="str">
        <f t="shared" si="3933"/>
        <v/>
      </c>
      <c r="FG298" s="66" t="str">
        <f t="shared" si="3934"/>
        <v/>
      </c>
      <c r="FH298" s="66" t="str">
        <f t="shared" si="3935"/>
        <v/>
      </c>
      <c r="FI298" s="66" t="str">
        <f t="shared" si="3936"/>
        <v/>
      </c>
      <c r="FJ298" s="66" t="str">
        <f t="shared" si="3937"/>
        <v/>
      </c>
      <c r="FK298" s="66" t="str">
        <f t="shared" si="3938"/>
        <v/>
      </c>
      <c r="FL298" s="66" t="str">
        <f t="shared" si="3939"/>
        <v/>
      </c>
      <c r="FM298" s="66" t="str">
        <f t="shared" si="3940"/>
        <v/>
      </c>
      <c r="FN298" s="66" t="str">
        <f t="shared" si="3941"/>
        <v/>
      </c>
      <c r="FO298" s="66" t="str">
        <f t="shared" si="3942"/>
        <v/>
      </c>
      <c r="FP298" s="66" t="str">
        <f t="shared" si="3943"/>
        <v/>
      </c>
      <c r="FQ298" s="66" t="str">
        <f t="shared" si="3944"/>
        <v/>
      </c>
      <c r="FR298" s="66" t="str">
        <f t="shared" si="3945"/>
        <v/>
      </c>
      <c r="FS298" s="66" t="str">
        <f t="shared" si="3946"/>
        <v/>
      </c>
    </row>
    <row r="299" spans="92:175">
      <c r="CN299" s="36" t="str">
        <f t="shared" si="3871"/>
        <v>InitUnitState('',,,,,,,,,,)</v>
      </c>
      <c r="CO299" s="36" t="str">
        <f t="shared" si="3872"/>
        <v>InitUnitNormal('',,,,,,,,,,)</v>
      </c>
      <c r="CP299" s="36" t="str">
        <f t="shared" si="3873"/>
        <v>InitUnitMagic('',,,,,,,,,,)</v>
      </c>
      <c r="CQ299" s="36" t="str">
        <f t="shared" si="3874"/>
        <v>InitUnitAdd('',,,,,,,,,,)</v>
      </c>
      <c r="CR299" s="36" t="str">
        <f t="shared" si="3875"/>
        <v>InitEquipData('',,"",,,,,'','','','','','',"")</v>
      </c>
      <c r="CU299" s="19" t="str">
        <f t="shared" si="3876"/>
        <v>|n</v>
      </c>
      <c r="CW299" s="33"/>
      <c r="CX299" s="33"/>
      <c r="CY299" s="33"/>
      <c r="CZ299" s="33"/>
      <c r="DA299" s="33"/>
      <c r="DB299" s="66" t="str">
        <f t="shared" si="3877"/>
        <v/>
      </c>
      <c r="DC299" s="66" t="str">
        <f t="shared" si="3878"/>
        <v/>
      </c>
      <c r="DD299" s="66" t="str">
        <f t="shared" si="3879"/>
        <v/>
      </c>
      <c r="DE299" s="66" t="str">
        <f t="shared" si="3880"/>
        <v/>
      </c>
      <c r="DF299" s="66" t="str">
        <f t="shared" si="3881"/>
        <v/>
      </c>
      <c r="DG299" s="66" t="str">
        <f t="shared" si="3882"/>
        <v/>
      </c>
      <c r="DH299" s="66" t="str">
        <f t="shared" si="3883"/>
        <v/>
      </c>
      <c r="DI299" s="66" t="str">
        <f t="shared" si="3884"/>
        <v/>
      </c>
      <c r="DJ299" s="66" t="str">
        <f t="shared" si="3885"/>
        <v/>
      </c>
      <c r="DK299" s="66" t="str">
        <f t="shared" si="3886"/>
        <v/>
      </c>
      <c r="DL299" s="66" t="str">
        <f t="shared" si="3887"/>
        <v/>
      </c>
      <c r="DM299" s="66" t="str">
        <f t="shared" si="3888"/>
        <v/>
      </c>
      <c r="DN299" s="66" t="str">
        <f t="shared" si="3889"/>
        <v/>
      </c>
      <c r="DO299" s="66" t="str">
        <f t="shared" si="3890"/>
        <v/>
      </c>
      <c r="DP299" s="66" t="str">
        <f t="shared" si="3891"/>
        <v/>
      </c>
      <c r="DQ299" s="66" t="str">
        <f t="shared" si="3892"/>
        <v/>
      </c>
      <c r="DR299" s="66" t="str">
        <f t="shared" si="3893"/>
        <v/>
      </c>
      <c r="DS299" s="66" t="str">
        <f t="shared" si="3894"/>
        <v/>
      </c>
      <c r="DT299" s="66" t="str">
        <f t="shared" si="3895"/>
        <v/>
      </c>
      <c r="DU299" s="66" t="str">
        <f t="shared" si="3896"/>
        <v/>
      </c>
      <c r="DV299" s="66" t="str">
        <f t="shared" si="3897"/>
        <v/>
      </c>
      <c r="DW299" s="66" t="str">
        <f t="shared" si="3898"/>
        <v/>
      </c>
      <c r="DX299" s="66" t="str">
        <f t="shared" si="3899"/>
        <v/>
      </c>
      <c r="DY299" s="66" t="str">
        <f t="shared" si="3900"/>
        <v/>
      </c>
      <c r="DZ299" s="66" t="str">
        <f t="shared" si="3901"/>
        <v/>
      </c>
      <c r="EA299" s="66" t="str">
        <f t="shared" si="3902"/>
        <v/>
      </c>
      <c r="EB299" s="66" t="str">
        <f t="shared" si="3903"/>
        <v/>
      </c>
      <c r="EC299" s="66" t="str">
        <f t="shared" si="3904"/>
        <v/>
      </c>
      <c r="ED299" s="66" t="str">
        <f t="shared" si="3905"/>
        <v/>
      </c>
      <c r="EE299" s="66" t="str">
        <f t="shared" si="3906"/>
        <v/>
      </c>
      <c r="EF299" s="66" t="str">
        <f t="shared" si="3907"/>
        <v/>
      </c>
      <c r="EG299" s="66" t="str">
        <f t="shared" si="3908"/>
        <v/>
      </c>
      <c r="EH299" s="66" t="str">
        <f t="shared" si="3909"/>
        <v/>
      </c>
      <c r="EI299" s="66" t="str">
        <f t="shared" si="3910"/>
        <v/>
      </c>
      <c r="EJ299" s="66" t="str">
        <f t="shared" si="3911"/>
        <v/>
      </c>
      <c r="EK299" s="66" t="str">
        <f t="shared" si="3912"/>
        <v/>
      </c>
      <c r="EL299" s="66" t="str">
        <f t="shared" si="3913"/>
        <v/>
      </c>
      <c r="EM299" s="66" t="str">
        <f t="shared" si="3914"/>
        <v/>
      </c>
      <c r="EN299" s="66" t="str">
        <f t="shared" si="3915"/>
        <v/>
      </c>
      <c r="EO299" s="66" t="str">
        <f t="shared" si="3916"/>
        <v/>
      </c>
      <c r="EP299" s="66" t="str">
        <f t="shared" si="3917"/>
        <v/>
      </c>
      <c r="EQ299" s="66" t="str">
        <f t="shared" si="3918"/>
        <v/>
      </c>
      <c r="ER299" s="66" t="str">
        <f t="shared" si="3919"/>
        <v/>
      </c>
      <c r="ES299" s="66" t="str">
        <f t="shared" si="3920"/>
        <v/>
      </c>
      <c r="ET299" s="66" t="str">
        <f t="shared" si="3921"/>
        <v/>
      </c>
      <c r="EU299" s="66" t="str">
        <f t="shared" si="3922"/>
        <v/>
      </c>
      <c r="EV299" s="66" t="str">
        <f t="shared" si="3923"/>
        <v/>
      </c>
      <c r="EW299" s="66" t="str">
        <f t="shared" si="3924"/>
        <v/>
      </c>
      <c r="EX299" s="66" t="str">
        <f t="shared" si="3925"/>
        <v/>
      </c>
      <c r="EY299" s="66" t="str">
        <f t="shared" si="3926"/>
        <v/>
      </c>
      <c r="EZ299" s="66" t="str">
        <f t="shared" si="3927"/>
        <v/>
      </c>
      <c r="FA299" s="66" t="str">
        <f t="shared" si="3928"/>
        <v/>
      </c>
      <c r="FB299" s="66" t="str">
        <f t="shared" si="3929"/>
        <v/>
      </c>
      <c r="FC299" s="66" t="str">
        <f t="shared" si="3930"/>
        <v/>
      </c>
      <c r="FD299" s="66" t="str">
        <f t="shared" si="3931"/>
        <v/>
      </c>
      <c r="FE299" s="66" t="str">
        <f t="shared" si="3932"/>
        <v/>
      </c>
      <c r="FF299" s="66" t="str">
        <f t="shared" si="3933"/>
        <v/>
      </c>
      <c r="FG299" s="66" t="str">
        <f t="shared" si="3934"/>
        <v/>
      </c>
      <c r="FH299" s="66" t="str">
        <f t="shared" si="3935"/>
        <v/>
      </c>
      <c r="FI299" s="66" t="str">
        <f t="shared" si="3936"/>
        <v/>
      </c>
      <c r="FJ299" s="66" t="str">
        <f t="shared" si="3937"/>
        <v/>
      </c>
      <c r="FK299" s="66" t="str">
        <f t="shared" si="3938"/>
        <v/>
      </c>
      <c r="FL299" s="66" t="str">
        <f t="shared" si="3939"/>
        <v/>
      </c>
      <c r="FM299" s="66" t="str">
        <f t="shared" si="3940"/>
        <v/>
      </c>
      <c r="FN299" s="66" t="str">
        <f t="shared" si="3941"/>
        <v/>
      </c>
      <c r="FO299" s="66" t="str">
        <f t="shared" si="3942"/>
        <v/>
      </c>
      <c r="FP299" s="66" t="str">
        <f t="shared" si="3943"/>
        <v/>
      </c>
      <c r="FQ299" s="66" t="str">
        <f t="shared" si="3944"/>
        <v/>
      </c>
      <c r="FR299" s="66" t="str">
        <f t="shared" si="3945"/>
        <v/>
      </c>
      <c r="FS299" s="66" t="str">
        <f t="shared" si="3946"/>
        <v/>
      </c>
    </row>
    <row r="300" spans="92:175">
      <c r="CN300" s="36" t="str">
        <f t="shared" si="3871"/>
        <v>InitUnitState('',,,,,,,,,,)</v>
      </c>
      <c r="CO300" s="36" t="str">
        <f t="shared" si="3872"/>
        <v>InitUnitNormal('',,,,,,,,,,)</v>
      </c>
      <c r="CP300" s="36" t="str">
        <f t="shared" si="3873"/>
        <v>InitUnitMagic('',,,,,,,,,,)</v>
      </c>
      <c r="CQ300" s="36" t="str">
        <f t="shared" si="3874"/>
        <v>InitUnitAdd('',,,,,,,,,,)</v>
      </c>
      <c r="CR300" s="36" t="str">
        <f t="shared" si="3875"/>
        <v>InitEquipData('',,"",,,,,'','','','','','',"")</v>
      </c>
      <c r="CU300" s="19" t="str">
        <f t="shared" ref="CU300:CU338" si="3947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W300" s="33"/>
      <c r="CX300" s="33"/>
      <c r="CY300" s="33"/>
      <c r="CZ300" s="33"/>
      <c r="DA300" s="33"/>
      <c r="DB300" s="66" t="str">
        <f t="shared" si="3877"/>
        <v/>
      </c>
      <c r="DC300" s="66" t="str">
        <f t="shared" si="3878"/>
        <v/>
      </c>
      <c r="DD300" s="66" t="str">
        <f t="shared" si="3879"/>
        <v/>
      </c>
      <c r="DE300" s="66" t="str">
        <f t="shared" si="3880"/>
        <v/>
      </c>
      <c r="DF300" s="66" t="str">
        <f t="shared" si="3881"/>
        <v/>
      </c>
      <c r="DG300" s="66" t="str">
        <f t="shared" si="3882"/>
        <v/>
      </c>
      <c r="DH300" s="66" t="str">
        <f t="shared" si="3883"/>
        <v/>
      </c>
      <c r="DI300" s="66" t="str">
        <f t="shared" si="3884"/>
        <v/>
      </c>
      <c r="DJ300" s="66" t="str">
        <f t="shared" si="3885"/>
        <v/>
      </c>
      <c r="DK300" s="66" t="str">
        <f t="shared" si="3886"/>
        <v/>
      </c>
      <c r="DL300" s="66" t="str">
        <f t="shared" si="3887"/>
        <v/>
      </c>
      <c r="DM300" s="66" t="str">
        <f t="shared" si="3888"/>
        <v/>
      </c>
      <c r="DN300" s="66" t="str">
        <f t="shared" si="3889"/>
        <v/>
      </c>
      <c r="DO300" s="66" t="str">
        <f t="shared" si="3890"/>
        <v/>
      </c>
      <c r="DP300" s="66" t="str">
        <f t="shared" si="3891"/>
        <v/>
      </c>
      <c r="DQ300" s="66" t="str">
        <f t="shared" si="3892"/>
        <v/>
      </c>
      <c r="DR300" s="66" t="str">
        <f t="shared" si="3893"/>
        <v/>
      </c>
      <c r="DS300" s="66" t="str">
        <f t="shared" si="3894"/>
        <v/>
      </c>
      <c r="DT300" s="66" t="str">
        <f t="shared" si="3895"/>
        <v/>
      </c>
      <c r="DU300" s="66" t="str">
        <f t="shared" si="3896"/>
        <v/>
      </c>
      <c r="DV300" s="66" t="str">
        <f t="shared" si="3897"/>
        <v/>
      </c>
      <c r="DW300" s="66" t="str">
        <f t="shared" si="3898"/>
        <v/>
      </c>
      <c r="DX300" s="66" t="str">
        <f t="shared" si="3899"/>
        <v/>
      </c>
      <c r="DY300" s="66" t="str">
        <f t="shared" si="3900"/>
        <v/>
      </c>
      <c r="DZ300" s="66" t="str">
        <f t="shared" si="3901"/>
        <v/>
      </c>
      <c r="EA300" s="66" t="str">
        <f t="shared" si="3902"/>
        <v/>
      </c>
      <c r="EB300" s="66" t="str">
        <f t="shared" si="3903"/>
        <v/>
      </c>
      <c r="EC300" s="66" t="str">
        <f t="shared" si="3904"/>
        <v/>
      </c>
      <c r="ED300" s="66" t="str">
        <f t="shared" si="3905"/>
        <v/>
      </c>
      <c r="EE300" s="66" t="str">
        <f t="shared" si="3906"/>
        <v/>
      </c>
      <c r="EF300" s="66" t="str">
        <f t="shared" si="3907"/>
        <v/>
      </c>
      <c r="EG300" s="66" t="str">
        <f t="shared" si="3908"/>
        <v/>
      </c>
      <c r="EH300" s="66" t="str">
        <f t="shared" si="3909"/>
        <v/>
      </c>
      <c r="EI300" s="66" t="str">
        <f t="shared" si="3910"/>
        <v/>
      </c>
      <c r="EJ300" s="66" t="str">
        <f t="shared" si="3911"/>
        <v/>
      </c>
      <c r="EK300" s="66" t="str">
        <f t="shared" si="3912"/>
        <v/>
      </c>
      <c r="EL300" s="66" t="str">
        <f t="shared" si="3913"/>
        <v/>
      </c>
      <c r="EM300" s="66" t="str">
        <f t="shared" si="3914"/>
        <v/>
      </c>
      <c r="EN300" s="66" t="str">
        <f t="shared" si="3915"/>
        <v/>
      </c>
      <c r="EO300" s="66" t="str">
        <f t="shared" si="3916"/>
        <v/>
      </c>
      <c r="EP300" s="66" t="str">
        <f t="shared" si="3917"/>
        <v/>
      </c>
      <c r="EQ300" s="66" t="str">
        <f t="shared" si="3918"/>
        <v/>
      </c>
      <c r="ER300" s="66" t="str">
        <f t="shared" si="3919"/>
        <v/>
      </c>
      <c r="ES300" s="66" t="str">
        <f t="shared" si="3920"/>
        <v/>
      </c>
      <c r="ET300" s="66" t="str">
        <f t="shared" si="3921"/>
        <v/>
      </c>
      <c r="EU300" s="66" t="str">
        <f t="shared" si="3922"/>
        <v/>
      </c>
      <c r="EV300" s="66" t="str">
        <f t="shared" si="3923"/>
        <v/>
      </c>
      <c r="EW300" s="66" t="str">
        <f t="shared" si="3924"/>
        <v/>
      </c>
      <c r="EX300" s="66" t="str">
        <f t="shared" si="3925"/>
        <v/>
      </c>
      <c r="EY300" s="66" t="str">
        <f t="shared" si="3926"/>
        <v/>
      </c>
      <c r="EZ300" s="66" t="str">
        <f t="shared" si="3927"/>
        <v/>
      </c>
      <c r="FA300" s="66" t="str">
        <f t="shared" si="3928"/>
        <v/>
      </c>
      <c r="FB300" s="66" t="str">
        <f t="shared" si="3929"/>
        <v/>
      </c>
      <c r="FC300" s="66" t="str">
        <f t="shared" si="3930"/>
        <v/>
      </c>
      <c r="FD300" s="66" t="str">
        <f t="shared" si="3931"/>
        <v/>
      </c>
      <c r="FE300" s="66" t="str">
        <f t="shared" si="3932"/>
        <v/>
      </c>
      <c r="FF300" s="66" t="str">
        <f t="shared" si="3933"/>
        <v/>
      </c>
      <c r="FG300" s="66" t="str">
        <f t="shared" si="3934"/>
        <v/>
      </c>
      <c r="FH300" s="66" t="str">
        <f t="shared" si="3935"/>
        <v/>
      </c>
      <c r="FI300" s="66" t="str">
        <f t="shared" si="3936"/>
        <v/>
      </c>
      <c r="FJ300" s="66" t="str">
        <f t="shared" si="3937"/>
        <v/>
      </c>
      <c r="FK300" s="66" t="str">
        <f t="shared" si="3938"/>
        <v/>
      </c>
      <c r="FL300" s="66" t="str">
        <f t="shared" si="3939"/>
        <v/>
      </c>
      <c r="FM300" s="66" t="str">
        <f t="shared" si="3940"/>
        <v/>
      </c>
      <c r="FN300" s="66" t="str">
        <f t="shared" si="3941"/>
        <v/>
      </c>
      <c r="FO300" s="66" t="str">
        <f t="shared" si="3942"/>
        <v/>
      </c>
      <c r="FP300" s="66" t="str">
        <f t="shared" si="3943"/>
        <v/>
      </c>
      <c r="FQ300" s="66" t="str">
        <f t="shared" si="3944"/>
        <v/>
      </c>
      <c r="FR300" s="66" t="str">
        <f t="shared" si="3945"/>
        <v/>
      </c>
      <c r="FS300" s="66" t="str">
        <f t="shared" si="3946"/>
        <v/>
      </c>
    </row>
    <row r="301" spans="92:175">
      <c r="CN301" s="36" t="str">
        <f t="shared" si="3871"/>
        <v>InitUnitState('',,,,,,,,,,)</v>
      </c>
      <c r="CO301" s="36" t="str">
        <f t="shared" si="3872"/>
        <v>InitUnitNormal('',,,,,,,,,,)</v>
      </c>
      <c r="CP301" s="36" t="str">
        <f t="shared" si="3873"/>
        <v>InitUnitMagic('',,,,,,,,,,)</v>
      </c>
      <c r="CQ301" s="36" t="str">
        <f t="shared" si="3874"/>
        <v>InitUnitAdd('',,,,,,,,,,)</v>
      </c>
      <c r="CR301" s="36" t="str">
        <f t="shared" si="3875"/>
        <v>InitEquipData('',,"",,,,,'','','','','','',"")</v>
      </c>
      <c r="CU301" s="19" t="str">
        <f t="shared" si="3947"/>
        <v>|n</v>
      </c>
      <c r="CW301" s="33"/>
      <c r="CX301" s="33"/>
      <c r="CY301" s="33"/>
      <c r="CZ301" s="33"/>
      <c r="DA301" s="33"/>
      <c r="DB301" s="66" t="str">
        <f t="shared" si="3877"/>
        <v/>
      </c>
      <c r="DC301" s="66" t="str">
        <f t="shared" si="3878"/>
        <v/>
      </c>
      <c r="DD301" s="66" t="str">
        <f t="shared" si="3879"/>
        <v/>
      </c>
      <c r="DE301" s="66" t="str">
        <f t="shared" si="3880"/>
        <v/>
      </c>
      <c r="DF301" s="66" t="str">
        <f t="shared" si="3881"/>
        <v/>
      </c>
      <c r="DG301" s="66" t="str">
        <f t="shared" si="3882"/>
        <v/>
      </c>
      <c r="DH301" s="66" t="str">
        <f t="shared" si="3883"/>
        <v/>
      </c>
      <c r="DI301" s="66" t="str">
        <f t="shared" si="3884"/>
        <v/>
      </c>
      <c r="DJ301" s="66" t="str">
        <f t="shared" si="3885"/>
        <v/>
      </c>
      <c r="DK301" s="66" t="str">
        <f t="shared" si="3886"/>
        <v/>
      </c>
      <c r="DL301" s="66" t="str">
        <f t="shared" si="3887"/>
        <v/>
      </c>
      <c r="DM301" s="66" t="str">
        <f t="shared" si="3888"/>
        <v/>
      </c>
      <c r="DN301" s="66" t="str">
        <f t="shared" si="3889"/>
        <v/>
      </c>
      <c r="DO301" s="66" t="str">
        <f t="shared" si="3890"/>
        <v/>
      </c>
      <c r="DP301" s="66" t="str">
        <f t="shared" si="3891"/>
        <v/>
      </c>
      <c r="DQ301" s="66" t="str">
        <f t="shared" si="3892"/>
        <v/>
      </c>
      <c r="DR301" s="66" t="str">
        <f t="shared" si="3893"/>
        <v/>
      </c>
      <c r="DS301" s="66" t="str">
        <f t="shared" si="3894"/>
        <v/>
      </c>
      <c r="DT301" s="66" t="str">
        <f t="shared" si="3895"/>
        <v/>
      </c>
      <c r="DU301" s="66" t="str">
        <f t="shared" si="3896"/>
        <v/>
      </c>
      <c r="DV301" s="66" t="str">
        <f t="shared" si="3897"/>
        <v/>
      </c>
      <c r="DW301" s="66" t="str">
        <f t="shared" si="3898"/>
        <v/>
      </c>
      <c r="DX301" s="66" t="str">
        <f t="shared" si="3899"/>
        <v/>
      </c>
      <c r="DY301" s="66" t="str">
        <f t="shared" si="3900"/>
        <v/>
      </c>
      <c r="DZ301" s="66" t="str">
        <f t="shared" si="3901"/>
        <v/>
      </c>
      <c r="EA301" s="66" t="str">
        <f t="shared" si="3902"/>
        <v/>
      </c>
      <c r="EB301" s="66" t="str">
        <f t="shared" si="3903"/>
        <v/>
      </c>
      <c r="EC301" s="66" t="str">
        <f t="shared" si="3904"/>
        <v/>
      </c>
      <c r="ED301" s="66" t="str">
        <f t="shared" si="3905"/>
        <v/>
      </c>
      <c r="EE301" s="66" t="str">
        <f t="shared" si="3906"/>
        <v/>
      </c>
      <c r="EF301" s="66" t="str">
        <f t="shared" si="3907"/>
        <v/>
      </c>
      <c r="EG301" s="66" t="str">
        <f t="shared" si="3908"/>
        <v/>
      </c>
      <c r="EH301" s="66" t="str">
        <f t="shared" si="3909"/>
        <v/>
      </c>
      <c r="EI301" s="66" t="str">
        <f t="shared" si="3910"/>
        <v/>
      </c>
      <c r="EJ301" s="66" t="str">
        <f t="shared" si="3911"/>
        <v/>
      </c>
      <c r="EK301" s="66" t="str">
        <f t="shared" si="3912"/>
        <v/>
      </c>
      <c r="EL301" s="66" t="str">
        <f t="shared" si="3913"/>
        <v/>
      </c>
      <c r="EM301" s="66" t="str">
        <f t="shared" si="3914"/>
        <v/>
      </c>
      <c r="EN301" s="66" t="str">
        <f t="shared" si="3915"/>
        <v/>
      </c>
      <c r="EO301" s="66" t="str">
        <f t="shared" si="3916"/>
        <v/>
      </c>
      <c r="EP301" s="66" t="str">
        <f t="shared" si="3917"/>
        <v/>
      </c>
      <c r="EQ301" s="66" t="str">
        <f t="shared" si="3918"/>
        <v/>
      </c>
      <c r="ER301" s="66" t="str">
        <f t="shared" si="3919"/>
        <v/>
      </c>
      <c r="ES301" s="66" t="str">
        <f t="shared" si="3920"/>
        <v/>
      </c>
      <c r="ET301" s="66" t="str">
        <f t="shared" si="3921"/>
        <v/>
      </c>
      <c r="EU301" s="66" t="str">
        <f t="shared" si="3922"/>
        <v/>
      </c>
      <c r="EV301" s="66" t="str">
        <f t="shared" si="3923"/>
        <v/>
      </c>
      <c r="EW301" s="66" t="str">
        <f t="shared" si="3924"/>
        <v/>
      </c>
      <c r="EX301" s="66" t="str">
        <f t="shared" si="3925"/>
        <v/>
      </c>
      <c r="EY301" s="66" t="str">
        <f t="shared" si="3926"/>
        <v/>
      </c>
      <c r="EZ301" s="66" t="str">
        <f t="shared" si="3927"/>
        <v/>
      </c>
      <c r="FA301" s="66" t="str">
        <f t="shared" si="3928"/>
        <v/>
      </c>
      <c r="FB301" s="66" t="str">
        <f t="shared" si="3929"/>
        <v/>
      </c>
      <c r="FC301" s="66" t="str">
        <f t="shared" si="3930"/>
        <v/>
      </c>
      <c r="FD301" s="66" t="str">
        <f t="shared" si="3931"/>
        <v/>
      </c>
      <c r="FE301" s="66" t="str">
        <f t="shared" si="3932"/>
        <v/>
      </c>
      <c r="FF301" s="66" t="str">
        <f t="shared" si="3933"/>
        <v/>
      </c>
      <c r="FG301" s="66" t="str">
        <f t="shared" si="3934"/>
        <v/>
      </c>
      <c r="FH301" s="66" t="str">
        <f t="shared" si="3935"/>
        <v/>
      </c>
      <c r="FI301" s="66" t="str">
        <f t="shared" si="3936"/>
        <v/>
      </c>
      <c r="FJ301" s="66" t="str">
        <f t="shared" si="3937"/>
        <v/>
      </c>
      <c r="FK301" s="66" t="str">
        <f t="shared" si="3938"/>
        <v/>
      </c>
      <c r="FL301" s="66" t="str">
        <f t="shared" si="3939"/>
        <v/>
      </c>
      <c r="FM301" s="66" t="str">
        <f t="shared" si="3940"/>
        <v/>
      </c>
      <c r="FN301" s="66" t="str">
        <f t="shared" si="3941"/>
        <v/>
      </c>
      <c r="FO301" s="66" t="str">
        <f t="shared" si="3942"/>
        <v/>
      </c>
      <c r="FP301" s="66" t="str">
        <f t="shared" si="3943"/>
        <v/>
      </c>
      <c r="FQ301" s="66" t="str">
        <f t="shared" si="3944"/>
        <v/>
      </c>
      <c r="FR301" s="66" t="str">
        <f t="shared" si="3945"/>
        <v/>
      </c>
      <c r="FS301" s="66" t="str">
        <f t="shared" si="3946"/>
        <v/>
      </c>
    </row>
    <row r="302" spans="92:175">
      <c r="CN302" s="36" t="str">
        <f t="shared" si="3871"/>
        <v>InitUnitState('',,,,,,,,,,)</v>
      </c>
      <c r="CO302" s="36" t="str">
        <f t="shared" si="3872"/>
        <v>InitUnitNormal('',,,,,,,,,,)</v>
      </c>
      <c r="CP302" s="36" t="str">
        <f t="shared" si="3873"/>
        <v>InitUnitMagic('',,,,,,,,,,)</v>
      </c>
      <c r="CQ302" s="36" t="str">
        <f t="shared" si="3874"/>
        <v>InitUnitAdd('',,,,,,,,,,)</v>
      </c>
      <c r="CR302" s="36" t="str">
        <f t="shared" si="3875"/>
        <v>InitEquipData('',,"",,,,,'','','','','','',"")</v>
      </c>
      <c r="CU302" s="19" t="str">
        <f t="shared" si="3947"/>
        <v>|n</v>
      </c>
      <c r="CW302" s="33"/>
      <c r="CX302" s="33"/>
      <c r="CY302" s="33"/>
      <c r="CZ302" s="33"/>
      <c r="DA302" s="33"/>
      <c r="DB302" s="66" t="str">
        <f t="shared" si="3877"/>
        <v/>
      </c>
      <c r="DC302" s="66" t="str">
        <f t="shared" si="3878"/>
        <v/>
      </c>
      <c r="DD302" s="66" t="str">
        <f t="shared" si="3879"/>
        <v/>
      </c>
      <c r="DE302" s="66" t="str">
        <f t="shared" si="3880"/>
        <v/>
      </c>
      <c r="DF302" s="66" t="str">
        <f t="shared" si="3881"/>
        <v/>
      </c>
      <c r="DG302" s="66" t="str">
        <f t="shared" si="3882"/>
        <v/>
      </c>
      <c r="DH302" s="66" t="str">
        <f t="shared" si="3883"/>
        <v/>
      </c>
      <c r="DI302" s="66" t="str">
        <f t="shared" si="3884"/>
        <v/>
      </c>
      <c r="DJ302" s="66" t="str">
        <f t="shared" si="3885"/>
        <v/>
      </c>
      <c r="DK302" s="66" t="str">
        <f t="shared" si="3886"/>
        <v/>
      </c>
      <c r="DL302" s="66" t="str">
        <f t="shared" si="3887"/>
        <v/>
      </c>
      <c r="DM302" s="66" t="str">
        <f t="shared" si="3888"/>
        <v/>
      </c>
      <c r="DN302" s="66" t="str">
        <f t="shared" si="3889"/>
        <v/>
      </c>
      <c r="DO302" s="66" t="str">
        <f t="shared" si="3890"/>
        <v/>
      </c>
      <c r="DP302" s="66" t="str">
        <f t="shared" si="3891"/>
        <v/>
      </c>
      <c r="DQ302" s="66" t="str">
        <f t="shared" si="3892"/>
        <v/>
      </c>
      <c r="DR302" s="66" t="str">
        <f t="shared" si="3893"/>
        <v/>
      </c>
      <c r="DS302" s="66" t="str">
        <f t="shared" si="3894"/>
        <v/>
      </c>
      <c r="DT302" s="66" t="str">
        <f t="shared" si="3895"/>
        <v/>
      </c>
      <c r="DU302" s="66" t="str">
        <f t="shared" si="3896"/>
        <v/>
      </c>
      <c r="DV302" s="66" t="str">
        <f t="shared" si="3897"/>
        <v/>
      </c>
      <c r="DW302" s="66" t="str">
        <f t="shared" si="3898"/>
        <v/>
      </c>
      <c r="DX302" s="66" t="str">
        <f t="shared" si="3899"/>
        <v/>
      </c>
      <c r="DY302" s="66" t="str">
        <f t="shared" si="3900"/>
        <v/>
      </c>
      <c r="DZ302" s="66" t="str">
        <f t="shared" si="3901"/>
        <v/>
      </c>
      <c r="EA302" s="66" t="str">
        <f t="shared" si="3902"/>
        <v/>
      </c>
      <c r="EB302" s="66" t="str">
        <f t="shared" si="3903"/>
        <v/>
      </c>
      <c r="EC302" s="66" t="str">
        <f t="shared" si="3904"/>
        <v/>
      </c>
      <c r="ED302" s="66" t="str">
        <f t="shared" si="3905"/>
        <v/>
      </c>
      <c r="EE302" s="66" t="str">
        <f t="shared" si="3906"/>
        <v/>
      </c>
      <c r="EF302" s="66" t="str">
        <f t="shared" si="3907"/>
        <v/>
      </c>
      <c r="EG302" s="66" t="str">
        <f t="shared" si="3908"/>
        <v/>
      </c>
      <c r="EH302" s="66" t="str">
        <f t="shared" si="3909"/>
        <v/>
      </c>
      <c r="EI302" s="66" t="str">
        <f t="shared" si="3910"/>
        <v/>
      </c>
      <c r="EJ302" s="66" t="str">
        <f t="shared" si="3911"/>
        <v/>
      </c>
      <c r="EK302" s="66" t="str">
        <f t="shared" si="3912"/>
        <v/>
      </c>
      <c r="EL302" s="66" t="str">
        <f t="shared" si="3913"/>
        <v/>
      </c>
      <c r="EM302" s="66" t="str">
        <f t="shared" si="3914"/>
        <v/>
      </c>
      <c r="EN302" s="66" t="str">
        <f t="shared" si="3915"/>
        <v/>
      </c>
      <c r="EO302" s="66" t="str">
        <f t="shared" si="3916"/>
        <v/>
      </c>
      <c r="EP302" s="66" t="str">
        <f t="shared" si="3917"/>
        <v/>
      </c>
      <c r="EQ302" s="66" t="str">
        <f t="shared" si="3918"/>
        <v/>
      </c>
      <c r="ER302" s="66" t="str">
        <f t="shared" si="3919"/>
        <v/>
      </c>
      <c r="ES302" s="66" t="str">
        <f t="shared" si="3920"/>
        <v/>
      </c>
      <c r="ET302" s="66" t="str">
        <f t="shared" si="3921"/>
        <v/>
      </c>
      <c r="EU302" s="66" t="str">
        <f t="shared" si="3922"/>
        <v/>
      </c>
      <c r="EV302" s="66" t="str">
        <f t="shared" si="3923"/>
        <v/>
      </c>
      <c r="EW302" s="66" t="str">
        <f t="shared" si="3924"/>
        <v/>
      </c>
      <c r="EX302" s="66" t="str">
        <f t="shared" si="3925"/>
        <v/>
      </c>
      <c r="EY302" s="66" t="str">
        <f t="shared" si="3926"/>
        <v/>
      </c>
      <c r="EZ302" s="66" t="str">
        <f t="shared" si="3927"/>
        <v/>
      </c>
      <c r="FA302" s="66" t="str">
        <f t="shared" si="3928"/>
        <v/>
      </c>
      <c r="FB302" s="66" t="str">
        <f t="shared" si="3929"/>
        <v/>
      </c>
      <c r="FC302" s="66" t="str">
        <f t="shared" si="3930"/>
        <v/>
      </c>
      <c r="FD302" s="66" t="str">
        <f t="shared" si="3931"/>
        <v/>
      </c>
      <c r="FE302" s="66" t="str">
        <f t="shared" si="3932"/>
        <v/>
      </c>
      <c r="FF302" s="66" t="str">
        <f t="shared" si="3933"/>
        <v/>
      </c>
      <c r="FG302" s="66" t="str">
        <f t="shared" si="3934"/>
        <v/>
      </c>
      <c r="FH302" s="66" t="str">
        <f t="shared" si="3935"/>
        <v/>
      </c>
      <c r="FI302" s="66" t="str">
        <f t="shared" si="3936"/>
        <v/>
      </c>
      <c r="FJ302" s="66" t="str">
        <f t="shared" si="3937"/>
        <v/>
      </c>
      <c r="FK302" s="66" t="str">
        <f t="shared" si="3938"/>
        <v/>
      </c>
      <c r="FL302" s="66" t="str">
        <f t="shared" si="3939"/>
        <v/>
      </c>
      <c r="FM302" s="66" t="str">
        <f t="shared" si="3940"/>
        <v/>
      </c>
      <c r="FN302" s="66" t="str">
        <f t="shared" si="3941"/>
        <v/>
      </c>
      <c r="FO302" s="66" t="str">
        <f t="shared" si="3942"/>
        <v/>
      </c>
      <c r="FP302" s="66" t="str">
        <f t="shared" si="3943"/>
        <v/>
      </c>
      <c r="FQ302" s="66" t="str">
        <f t="shared" si="3944"/>
        <v/>
      </c>
      <c r="FR302" s="66" t="str">
        <f t="shared" si="3945"/>
        <v/>
      </c>
      <c r="FS302" s="66" t="str">
        <f t="shared" si="3946"/>
        <v/>
      </c>
    </row>
    <row r="303" spans="92:175">
      <c r="CN303" s="36" t="str">
        <f t="shared" si="3871"/>
        <v>InitUnitState('',,,,,,,,,,)</v>
      </c>
      <c r="CO303" s="36" t="str">
        <f t="shared" si="3872"/>
        <v>InitUnitNormal('',,,,,,,,,,)</v>
      </c>
      <c r="CP303" s="36" t="str">
        <f t="shared" si="3873"/>
        <v>InitUnitMagic('',,,,,,,,,,)</v>
      </c>
      <c r="CQ303" s="36" t="str">
        <f t="shared" si="3874"/>
        <v>InitUnitAdd('',,,,,,,,,,)</v>
      </c>
      <c r="CR303" s="36" t="str">
        <f t="shared" si="3875"/>
        <v>InitEquipData('',,"",,,,,'','','','','','',"")</v>
      </c>
      <c r="CU303" s="19" t="str">
        <f t="shared" si="3947"/>
        <v>|n</v>
      </c>
      <c r="CW303" s="33"/>
      <c r="CX303" s="33"/>
      <c r="CY303" s="33"/>
      <c r="CZ303" s="33"/>
      <c r="DA303" s="33"/>
      <c r="DB303" s="66" t="str">
        <f t="shared" si="3877"/>
        <v/>
      </c>
      <c r="DC303" s="66" t="str">
        <f t="shared" si="3878"/>
        <v/>
      </c>
      <c r="DD303" s="66" t="str">
        <f t="shared" si="3879"/>
        <v/>
      </c>
      <c r="DE303" s="66" t="str">
        <f t="shared" si="3880"/>
        <v/>
      </c>
      <c r="DF303" s="66" t="str">
        <f t="shared" si="3881"/>
        <v/>
      </c>
      <c r="DG303" s="66" t="str">
        <f t="shared" si="3882"/>
        <v/>
      </c>
      <c r="DH303" s="66" t="str">
        <f t="shared" si="3883"/>
        <v/>
      </c>
      <c r="DI303" s="66" t="str">
        <f t="shared" si="3884"/>
        <v/>
      </c>
      <c r="DJ303" s="66" t="str">
        <f t="shared" si="3885"/>
        <v/>
      </c>
      <c r="DK303" s="66" t="str">
        <f t="shared" si="3886"/>
        <v/>
      </c>
      <c r="DL303" s="66" t="str">
        <f t="shared" si="3887"/>
        <v/>
      </c>
      <c r="DM303" s="66" t="str">
        <f t="shared" si="3888"/>
        <v/>
      </c>
      <c r="DN303" s="66" t="str">
        <f t="shared" si="3889"/>
        <v/>
      </c>
      <c r="DO303" s="66" t="str">
        <f t="shared" si="3890"/>
        <v/>
      </c>
      <c r="DP303" s="66" t="str">
        <f t="shared" si="3891"/>
        <v/>
      </c>
      <c r="DQ303" s="66" t="str">
        <f t="shared" si="3892"/>
        <v/>
      </c>
      <c r="DR303" s="66" t="str">
        <f t="shared" si="3893"/>
        <v/>
      </c>
      <c r="DS303" s="66" t="str">
        <f t="shared" si="3894"/>
        <v/>
      </c>
      <c r="DT303" s="66" t="str">
        <f t="shared" si="3895"/>
        <v/>
      </c>
      <c r="DU303" s="66" t="str">
        <f t="shared" si="3896"/>
        <v/>
      </c>
      <c r="DV303" s="66" t="str">
        <f t="shared" si="3897"/>
        <v/>
      </c>
      <c r="DW303" s="66" t="str">
        <f t="shared" si="3898"/>
        <v/>
      </c>
      <c r="DX303" s="66" t="str">
        <f t="shared" si="3899"/>
        <v/>
      </c>
      <c r="DY303" s="66" t="str">
        <f t="shared" si="3900"/>
        <v/>
      </c>
      <c r="DZ303" s="66" t="str">
        <f t="shared" si="3901"/>
        <v/>
      </c>
      <c r="EA303" s="66" t="str">
        <f t="shared" si="3902"/>
        <v/>
      </c>
      <c r="EB303" s="66" t="str">
        <f t="shared" si="3903"/>
        <v/>
      </c>
      <c r="EC303" s="66" t="str">
        <f t="shared" si="3904"/>
        <v/>
      </c>
      <c r="ED303" s="66" t="str">
        <f t="shared" si="3905"/>
        <v/>
      </c>
      <c r="EE303" s="66" t="str">
        <f t="shared" si="3906"/>
        <v/>
      </c>
      <c r="EF303" s="66" t="str">
        <f t="shared" si="3907"/>
        <v/>
      </c>
      <c r="EG303" s="66" t="str">
        <f t="shared" si="3908"/>
        <v/>
      </c>
      <c r="EH303" s="66" t="str">
        <f t="shared" si="3909"/>
        <v/>
      </c>
      <c r="EI303" s="66" t="str">
        <f t="shared" si="3910"/>
        <v/>
      </c>
      <c r="EJ303" s="66" t="str">
        <f t="shared" si="3911"/>
        <v/>
      </c>
      <c r="EK303" s="66" t="str">
        <f t="shared" si="3912"/>
        <v/>
      </c>
      <c r="EL303" s="66" t="str">
        <f t="shared" si="3913"/>
        <v/>
      </c>
      <c r="EM303" s="66" t="str">
        <f t="shared" si="3914"/>
        <v/>
      </c>
      <c r="EN303" s="66" t="str">
        <f t="shared" si="3915"/>
        <v/>
      </c>
      <c r="EO303" s="66" t="str">
        <f t="shared" si="3916"/>
        <v/>
      </c>
      <c r="EP303" s="66" t="str">
        <f t="shared" si="3917"/>
        <v/>
      </c>
      <c r="EQ303" s="66" t="str">
        <f t="shared" si="3918"/>
        <v/>
      </c>
      <c r="ER303" s="66" t="str">
        <f t="shared" si="3919"/>
        <v/>
      </c>
      <c r="ES303" s="66" t="str">
        <f t="shared" si="3920"/>
        <v/>
      </c>
      <c r="ET303" s="66" t="str">
        <f t="shared" si="3921"/>
        <v/>
      </c>
      <c r="EU303" s="66" t="str">
        <f t="shared" si="3922"/>
        <v/>
      </c>
      <c r="EV303" s="66" t="str">
        <f t="shared" si="3923"/>
        <v/>
      </c>
      <c r="EW303" s="66" t="str">
        <f t="shared" si="3924"/>
        <v/>
      </c>
      <c r="EX303" s="66" t="str">
        <f t="shared" si="3925"/>
        <v/>
      </c>
      <c r="EY303" s="66" t="str">
        <f t="shared" si="3926"/>
        <v/>
      </c>
      <c r="EZ303" s="66" t="str">
        <f t="shared" si="3927"/>
        <v/>
      </c>
      <c r="FA303" s="66" t="str">
        <f t="shared" si="3928"/>
        <v/>
      </c>
      <c r="FB303" s="66" t="str">
        <f t="shared" si="3929"/>
        <v/>
      </c>
      <c r="FC303" s="66" t="str">
        <f t="shared" si="3930"/>
        <v/>
      </c>
      <c r="FD303" s="66" t="str">
        <f t="shared" si="3931"/>
        <v/>
      </c>
      <c r="FE303" s="66" t="str">
        <f t="shared" si="3932"/>
        <v/>
      </c>
      <c r="FF303" s="66" t="str">
        <f t="shared" si="3933"/>
        <v/>
      </c>
      <c r="FG303" s="66" t="str">
        <f t="shared" si="3934"/>
        <v/>
      </c>
      <c r="FH303" s="66" t="str">
        <f t="shared" si="3935"/>
        <v/>
      </c>
      <c r="FI303" s="66" t="str">
        <f t="shared" si="3936"/>
        <v/>
      </c>
      <c r="FJ303" s="66" t="str">
        <f t="shared" si="3937"/>
        <v/>
      </c>
      <c r="FK303" s="66" t="str">
        <f t="shared" si="3938"/>
        <v/>
      </c>
      <c r="FL303" s="66" t="str">
        <f t="shared" si="3939"/>
        <v/>
      </c>
      <c r="FM303" s="66" t="str">
        <f t="shared" si="3940"/>
        <v/>
      </c>
      <c r="FN303" s="66" t="str">
        <f t="shared" si="3941"/>
        <v/>
      </c>
      <c r="FO303" s="66" t="str">
        <f t="shared" si="3942"/>
        <v/>
      </c>
      <c r="FP303" s="66" t="str">
        <f t="shared" si="3943"/>
        <v/>
      </c>
      <c r="FQ303" s="66" t="str">
        <f t="shared" si="3944"/>
        <v/>
      </c>
      <c r="FR303" s="66" t="str">
        <f t="shared" si="3945"/>
        <v/>
      </c>
      <c r="FS303" s="66" t="str">
        <f t="shared" si="3946"/>
        <v/>
      </c>
    </row>
    <row r="304" spans="92:175">
      <c r="CN304" s="36" t="str">
        <f t="shared" si="3871"/>
        <v>InitUnitState('',,,,,,,,,,)</v>
      </c>
      <c r="CO304" s="36" t="str">
        <f t="shared" si="3872"/>
        <v>InitUnitNormal('',,,,,,,,,,)</v>
      </c>
      <c r="CP304" s="36" t="str">
        <f t="shared" si="3873"/>
        <v>InitUnitMagic('',,,,,,,,,,)</v>
      </c>
      <c r="CQ304" s="36" t="str">
        <f t="shared" si="3874"/>
        <v>InitUnitAdd('',,,,,,,,,,)</v>
      </c>
      <c r="CR304" s="36" t="str">
        <f t="shared" si="3875"/>
        <v>InitEquipData('',,"",,,,,'','','','','','',"")</v>
      </c>
      <c r="CU304" s="19" t="str">
        <f t="shared" si="3947"/>
        <v>|n</v>
      </c>
      <c r="CW304" s="33"/>
      <c r="CX304" s="33"/>
      <c r="CY304" s="33"/>
      <c r="CZ304" s="33"/>
      <c r="DA304" s="33"/>
      <c r="DB304" s="66" t="str">
        <f t="shared" si="3877"/>
        <v/>
      </c>
      <c r="DC304" s="66" t="str">
        <f t="shared" si="3878"/>
        <v/>
      </c>
      <c r="DD304" s="66" t="str">
        <f t="shared" si="3879"/>
        <v/>
      </c>
      <c r="DE304" s="66" t="str">
        <f t="shared" si="3880"/>
        <v/>
      </c>
      <c r="DF304" s="66" t="str">
        <f t="shared" si="3881"/>
        <v/>
      </c>
      <c r="DG304" s="66" t="str">
        <f t="shared" si="3882"/>
        <v/>
      </c>
      <c r="DH304" s="66" t="str">
        <f t="shared" si="3883"/>
        <v/>
      </c>
      <c r="DI304" s="66" t="str">
        <f t="shared" si="3884"/>
        <v/>
      </c>
      <c r="DJ304" s="66" t="str">
        <f t="shared" si="3885"/>
        <v/>
      </c>
      <c r="DK304" s="66" t="str">
        <f t="shared" si="3886"/>
        <v/>
      </c>
      <c r="DL304" s="66" t="str">
        <f t="shared" si="3887"/>
        <v/>
      </c>
      <c r="DM304" s="66" t="str">
        <f t="shared" si="3888"/>
        <v/>
      </c>
      <c r="DN304" s="66" t="str">
        <f t="shared" si="3889"/>
        <v/>
      </c>
      <c r="DO304" s="66" t="str">
        <f t="shared" si="3890"/>
        <v/>
      </c>
      <c r="DP304" s="66" t="str">
        <f t="shared" si="3891"/>
        <v/>
      </c>
      <c r="DQ304" s="66" t="str">
        <f t="shared" si="3892"/>
        <v/>
      </c>
      <c r="DR304" s="66" t="str">
        <f t="shared" si="3893"/>
        <v/>
      </c>
      <c r="DS304" s="66" t="str">
        <f t="shared" si="3894"/>
        <v/>
      </c>
      <c r="DT304" s="66" t="str">
        <f t="shared" si="3895"/>
        <v/>
      </c>
      <c r="DU304" s="66" t="str">
        <f t="shared" si="3896"/>
        <v/>
      </c>
      <c r="DV304" s="66" t="str">
        <f t="shared" si="3897"/>
        <v/>
      </c>
      <c r="DW304" s="66" t="str">
        <f t="shared" si="3898"/>
        <v/>
      </c>
      <c r="DX304" s="66" t="str">
        <f t="shared" si="3899"/>
        <v/>
      </c>
      <c r="DY304" s="66" t="str">
        <f t="shared" si="3900"/>
        <v/>
      </c>
      <c r="DZ304" s="66" t="str">
        <f t="shared" si="3901"/>
        <v/>
      </c>
      <c r="EA304" s="66" t="str">
        <f t="shared" si="3902"/>
        <v/>
      </c>
      <c r="EB304" s="66" t="str">
        <f t="shared" si="3903"/>
        <v/>
      </c>
      <c r="EC304" s="66" t="str">
        <f t="shared" si="3904"/>
        <v/>
      </c>
      <c r="ED304" s="66" t="str">
        <f t="shared" si="3905"/>
        <v/>
      </c>
      <c r="EE304" s="66" t="str">
        <f t="shared" si="3906"/>
        <v/>
      </c>
      <c r="EF304" s="66" t="str">
        <f t="shared" si="3907"/>
        <v/>
      </c>
      <c r="EG304" s="66" t="str">
        <f t="shared" si="3908"/>
        <v/>
      </c>
      <c r="EH304" s="66" t="str">
        <f t="shared" si="3909"/>
        <v/>
      </c>
      <c r="EI304" s="66" t="str">
        <f t="shared" si="3910"/>
        <v/>
      </c>
      <c r="EJ304" s="66" t="str">
        <f t="shared" si="3911"/>
        <v/>
      </c>
      <c r="EK304" s="66" t="str">
        <f t="shared" si="3912"/>
        <v/>
      </c>
      <c r="EL304" s="66" t="str">
        <f t="shared" si="3913"/>
        <v/>
      </c>
      <c r="EM304" s="66" t="str">
        <f t="shared" si="3914"/>
        <v/>
      </c>
      <c r="EN304" s="66" t="str">
        <f t="shared" si="3915"/>
        <v/>
      </c>
      <c r="EO304" s="66" t="str">
        <f t="shared" si="3916"/>
        <v/>
      </c>
      <c r="EP304" s="66" t="str">
        <f t="shared" si="3917"/>
        <v/>
      </c>
      <c r="EQ304" s="66" t="str">
        <f t="shared" si="3918"/>
        <v/>
      </c>
      <c r="ER304" s="66" t="str">
        <f t="shared" si="3919"/>
        <v/>
      </c>
      <c r="ES304" s="66" t="str">
        <f t="shared" si="3920"/>
        <v/>
      </c>
      <c r="ET304" s="66" t="str">
        <f t="shared" si="3921"/>
        <v/>
      </c>
      <c r="EU304" s="66" t="str">
        <f t="shared" si="3922"/>
        <v/>
      </c>
      <c r="EV304" s="66" t="str">
        <f t="shared" si="3923"/>
        <v/>
      </c>
      <c r="EW304" s="66" t="str">
        <f t="shared" si="3924"/>
        <v/>
      </c>
      <c r="EX304" s="66" t="str">
        <f t="shared" si="3925"/>
        <v/>
      </c>
      <c r="EY304" s="66" t="str">
        <f t="shared" si="3926"/>
        <v/>
      </c>
      <c r="EZ304" s="66" t="str">
        <f t="shared" si="3927"/>
        <v/>
      </c>
      <c r="FA304" s="66" t="str">
        <f t="shared" si="3928"/>
        <v/>
      </c>
      <c r="FB304" s="66" t="str">
        <f t="shared" si="3929"/>
        <v/>
      </c>
      <c r="FC304" s="66" t="str">
        <f t="shared" si="3930"/>
        <v/>
      </c>
      <c r="FD304" s="66" t="str">
        <f t="shared" si="3931"/>
        <v/>
      </c>
      <c r="FE304" s="66" t="str">
        <f t="shared" si="3932"/>
        <v/>
      </c>
      <c r="FF304" s="66" t="str">
        <f t="shared" si="3933"/>
        <v/>
      </c>
      <c r="FG304" s="66" t="str">
        <f t="shared" si="3934"/>
        <v/>
      </c>
      <c r="FH304" s="66" t="str">
        <f t="shared" si="3935"/>
        <v/>
      </c>
      <c r="FI304" s="66" t="str">
        <f t="shared" si="3936"/>
        <v/>
      </c>
      <c r="FJ304" s="66" t="str">
        <f t="shared" si="3937"/>
        <v/>
      </c>
      <c r="FK304" s="66" t="str">
        <f t="shared" si="3938"/>
        <v/>
      </c>
      <c r="FL304" s="66" t="str">
        <f t="shared" si="3939"/>
        <v/>
      </c>
      <c r="FM304" s="66" t="str">
        <f t="shared" si="3940"/>
        <v/>
      </c>
      <c r="FN304" s="66" t="str">
        <f t="shared" si="3941"/>
        <v/>
      </c>
      <c r="FO304" s="66" t="str">
        <f t="shared" si="3942"/>
        <v/>
      </c>
      <c r="FP304" s="66" t="str">
        <f t="shared" si="3943"/>
        <v/>
      </c>
      <c r="FQ304" s="66" t="str">
        <f t="shared" si="3944"/>
        <v/>
      </c>
      <c r="FR304" s="66" t="str">
        <f t="shared" si="3945"/>
        <v/>
      </c>
      <c r="FS304" s="66" t="str">
        <f t="shared" si="3946"/>
        <v/>
      </c>
    </row>
    <row r="305" spans="92:175">
      <c r="CN305" s="36" t="str">
        <f t="shared" si="3871"/>
        <v>InitUnitState('',,,,,,,,,,)</v>
      </c>
      <c r="CO305" s="36" t="str">
        <f t="shared" si="3872"/>
        <v>InitUnitNormal('',,,,,,,,,,)</v>
      </c>
      <c r="CP305" s="36" t="str">
        <f t="shared" si="3873"/>
        <v>InitUnitMagic('',,,,,,,,,,)</v>
      </c>
      <c r="CQ305" s="36" t="str">
        <f t="shared" si="3874"/>
        <v>InitUnitAdd('',,,,,,,,,,)</v>
      </c>
      <c r="CR305" s="36" t="str">
        <f t="shared" si="3875"/>
        <v>InitEquipData('',,"",,,,,'','','','','','',"")</v>
      </c>
      <c r="CU305" s="19" t="str">
        <f t="shared" si="3947"/>
        <v>|n</v>
      </c>
      <c r="CW305" s="33"/>
      <c r="CX305" s="33"/>
      <c r="CY305" s="33"/>
      <c r="CZ305" s="33"/>
      <c r="DA305" s="33"/>
      <c r="DB305" s="66" t="str">
        <f t="shared" si="3877"/>
        <v/>
      </c>
      <c r="DC305" s="66" t="str">
        <f t="shared" si="3878"/>
        <v/>
      </c>
      <c r="DD305" s="66" t="str">
        <f t="shared" si="3879"/>
        <v/>
      </c>
      <c r="DE305" s="66" t="str">
        <f t="shared" si="3880"/>
        <v/>
      </c>
      <c r="DF305" s="66" t="str">
        <f t="shared" si="3881"/>
        <v/>
      </c>
      <c r="DG305" s="66" t="str">
        <f t="shared" si="3882"/>
        <v/>
      </c>
      <c r="DH305" s="66" t="str">
        <f t="shared" si="3883"/>
        <v/>
      </c>
      <c r="DI305" s="66" t="str">
        <f t="shared" si="3884"/>
        <v/>
      </c>
      <c r="DJ305" s="66" t="str">
        <f t="shared" si="3885"/>
        <v/>
      </c>
      <c r="DK305" s="66" t="str">
        <f t="shared" si="3886"/>
        <v/>
      </c>
      <c r="DL305" s="66" t="str">
        <f t="shared" si="3887"/>
        <v/>
      </c>
      <c r="DM305" s="66" t="str">
        <f t="shared" si="3888"/>
        <v/>
      </c>
      <c r="DN305" s="66" t="str">
        <f t="shared" si="3889"/>
        <v/>
      </c>
      <c r="DO305" s="66" t="str">
        <f t="shared" si="3890"/>
        <v/>
      </c>
      <c r="DP305" s="66" t="str">
        <f t="shared" si="3891"/>
        <v/>
      </c>
      <c r="DQ305" s="66" t="str">
        <f t="shared" si="3892"/>
        <v/>
      </c>
      <c r="DR305" s="66" t="str">
        <f t="shared" si="3893"/>
        <v/>
      </c>
      <c r="DS305" s="66" t="str">
        <f t="shared" si="3894"/>
        <v/>
      </c>
      <c r="DT305" s="66" t="str">
        <f t="shared" si="3895"/>
        <v/>
      </c>
      <c r="DU305" s="66" t="str">
        <f t="shared" si="3896"/>
        <v/>
      </c>
      <c r="DV305" s="66" t="str">
        <f t="shared" si="3897"/>
        <v/>
      </c>
      <c r="DW305" s="66" t="str">
        <f t="shared" si="3898"/>
        <v/>
      </c>
      <c r="DX305" s="66" t="str">
        <f t="shared" si="3899"/>
        <v/>
      </c>
      <c r="DY305" s="66" t="str">
        <f t="shared" si="3900"/>
        <v/>
      </c>
      <c r="DZ305" s="66" t="str">
        <f t="shared" si="3901"/>
        <v/>
      </c>
      <c r="EA305" s="66" t="str">
        <f t="shared" si="3902"/>
        <v/>
      </c>
      <c r="EB305" s="66" t="str">
        <f t="shared" si="3903"/>
        <v/>
      </c>
      <c r="EC305" s="66" t="str">
        <f t="shared" si="3904"/>
        <v/>
      </c>
      <c r="ED305" s="66" t="str">
        <f t="shared" si="3905"/>
        <v/>
      </c>
      <c r="EE305" s="66" t="str">
        <f t="shared" si="3906"/>
        <v/>
      </c>
      <c r="EF305" s="66" t="str">
        <f t="shared" si="3907"/>
        <v/>
      </c>
      <c r="EG305" s="66" t="str">
        <f t="shared" si="3908"/>
        <v/>
      </c>
      <c r="EH305" s="66" t="str">
        <f t="shared" si="3909"/>
        <v/>
      </c>
      <c r="EI305" s="66" t="str">
        <f t="shared" si="3910"/>
        <v/>
      </c>
      <c r="EJ305" s="66" t="str">
        <f t="shared" si="3911"/>
        <v/>
      </c>
      <c r="EK305" s="66" t="str">
        <f t="shared" si="3912"/>
        <v/>
      </c>
      <c r="EL305" s="66" t="str">
        <f t="shared" si="3913"/>
        <v/>
      </c>
      <c r="EM305" s="66" t="str">
        <f t="shared" si="3914"/>
        <v/>
      </c>
      <c r="EN305" s="66" t="str">
        <f t="shared" si="3915"/>
        <v/>
      </c>
      <c r="EO305" s="66" t="str">
        <f t="shared" si="3916"/>
        <v/>
      </c>
      <c r="EP305" s="66" t="str">
        <f t="shared" si="3917"/>
        <v/>
      </c>
      <c r="EQ305" s="66" t="str">
        <f t="shared" si="3918"/>
        <v/>
      </c>
      <c r="ER305" s="66" t="str">
        <f t="shared" si="3919"/>
        <v/>
      </c>
      <c r="ES305" s="66" t="str">
        <f t="shared" si="3920"/>
        <v/>
      </c>
      <c r="ET305" s="66" t="str">
        <f t="shared" si="3921"/>
        <v/>
      </c>
      <c r="EU305" s="66" t="str">
        <f t="shared" si="3922"/>
        <v/>
      </c>
      <c r="EV305" s="66" t="str">
        <f t="shared" si="3923"/>
        <v/>
      </c>
      <c r="EW305" s="66" t="str">
        <f t="shared" si="3924"/>
        <v/>
      </c>
      <c r="EX305" s="66" t="str">
        <f t="shared" si="3925"/>
        <v/>
      </c>
      <c r="EY305" s="66" t="str">
        <f t="shared" si="3926"/>
        <v/>
      </c>
      <c r="EZ305" s="66" t="str">
        <f t="shared" si="3927"/>
        <v/>
      </c>
      <c r="FA305" s="66" t="str">
        <f t="shared" si="3928"/>
        <v/>
      </c>
      <c r="FB305" s="66" t="str">
        <f t="shared" si="3929"/>
        <v/>
      </c>
      <c r="FC305" s="66" t="str">
        <f t="shared" si="3930"/>
        <v/>
      </c>
      <c r="FD305" s="66" t="str">
        <f t="shared" si="3931"/>
        <v/>
      </c>
      <c r="FE305" s="66" t="str">
        <f t="shared" si="3932"/>
        <v/>
      </c>
      <c r="FF305" s="66" t="str">
        <f t="shared" si="3933"/>
        <v/>
      </c>
      <c r="FG305" s="66" t="str">
        <f t="shared" si="3934"/>
        <v/>
      </c>
      <c r="FH305" s="66" t="str">
        <f t="shared" si="3935"/>
        <v/>
      </c>
      <c r="FI305" s="66" t="str">
        <f t="shared" si="3936"/>
        <v/>
      </c>
      <c r="FJ305" s="66" t="str">
        <f t="shared" si="3937"/>
        <v/>
      </c>
      <c r="FK305" s="66" t="str">
        <f t="shared" si="3938"/>
        <v/>
      </c>
      <c r="FL305" s="66" t="str">
        <f t="shared" si="3939"/>
        <v/>
      </c>
      <c r="FM305" s="66" t="str">
        <f t="shared" si="3940"/>
        <v/>
      </c>
      <c r="FN305" s="66" t="str">
        <f t="shared" si="3941"/>
        <v/>
      </c>
      <c r="FO305" s="66" t="str">
        <f t="shared" si="3942"/>
        <v/>
      </c>
      <c r="FP305" s="66" t="str">
        <f t="shared" si="3943"/>
        <v/>
      </c>
      <c r="FQ305" s="66" t="str">
        <f t="shared" si="3944"/>
        <v/>
      </c>
      <c r="FR305" s="66" t="str">
        <f t="shared" si="3945"/>
        <v/>
      </c>
      <c r="FS305" s="66" t="str">
        <f t="shared" si="3946"/>
        <v/>
      </c>
    </row>
    <row r="306" spans="92:175">
      <c r="CN306" s="36" t="str">
        <f t="shared" si="3871"/>
        <v>InitUnitState('',,,,,,,,,,)</v>
      </c>
      <c r="CO306" s="36" t="str">
        <f t="shared" si="3872"/>
        <v>InitUnitNormal('',,,,,,,,,,)</v>
      </c>
      <c r="CP306" s="36" t="str">
        <f t="shared" si="3873"/>
        <v>InitUnitMagic('',,,,,,,,,,)</v>
      </c>
      <c r="CQ306" s="36" t="str">
        <f t="shared" si="3874"/>
        <v>InitUnitAdd('',,,,,,,,,,)</v>
      </c>
      <c r="CR306" s="36" t="str">
        <f t="shared" si="3875"/>
        <v>InitEquipData('',,"",,,,,'','','','','','',"")</v>
      </c>
      <c r="CU306" s="19" t="str">
        <f t="shared" si="3947"/>
        <v>|n</v>
      </c>
      <c r="CW306" s="33"/>
      <c r="CX306" s="33"/>
      <c r="CY306" s="33"/>
      <c r="CZ306" s="33"/>
      <c r="DA306" s="33"/>
      <c r="DB306" s="66" t="str">
        <f t="shared" si="3877"/>
        <v/>
      </c>
      <c r="DC306" s="66" t="str">
        <f t="shared" si="3878"/>
        <v/>
      </c>
      <c r="DD306" s="66" t="str">
        <f t="shared" si="3879"/>
        <v/>
      </c>
      <c r="DE306" s="66" t="str">
        <f t="shared" si="3880"/>
        <v/>
      </c>
      <c r="DF306" s="66" t="str">
        <f t="shared" si="3881"/>
        <v/>
      </c>
      <c r="DG306" s="66" t="str">
        <f t="shared" si="3882"/>
        <v/>
      </c>
      <c r="DH306" s="66" t="str">
        <f t="shared" si="3883"/>
        <v/>
      </c>
      <c r="DI306" s="66" t="str">
        <f t="shared" si="3884"/>
        <v/>
      </c>
      <c r="DJ306" s="66" t="str">
        <f t="shared" si="3885"/>
        <v/>
      </c>
      <c r="DK306" s="66" t="str">
        <f t="shared" si="3886"/>
        <v/>
      </c>
      <c r="DL306" s="66" t="str">
        <f t="shared" si="3887"/>
        <v/>
      </c>
      <c r="DM306" s="66" t="str">
        <f t="shared" si="3888"/>
        <v/>
      </c>
      <c r="DN306" s="66" t="str">
        <f t="shared" si="3889"/>
        <v/>
      </c>
      <c r="DO306" s="66" t="str">
        <f t="shared" si="3890"/>
        <v/>
      </c>
      <c r="DP306" s="66" t="str">
        <f t="shared" si="3891"/>
        <v/>
      </c>
      <c r="DQ306" s="66" t="str">
        <f t="shared" si="3892"/>
        <v/>
      </c>
      <c r="DR306" s="66" t="str">
        <f t="shared" si="3893"/>
        <v/>
      </c>
      <c r="DS306" s="66" t="str">
        <f t="shared" si="3894"/>
        <v/>
      </c>
      <c r="DT306" s="66" t="str">
        <f t="shared" si="3895"/>
        <v/>
      </c>
      <c r="DU306" s="66" t="str">
        <f t="shared" si="3896"/>
        <v/>
      </c>
      <c r="DV306" s="66" t="str">
        <f t="shared" si="3897"/>
        <v/>
      </c>
      <c r="DW306" s="66" t="str">
        <f t="shared" si="3898"/>
        <v/>
      </c>
      <c r="DX306" s="66" t="str">
        <f t="shared" si="3899"/>
        <v/>
      </c>
      <c r="DY306" s="66" t="str">
        <f t="shared" si="3900"/>
        <v/>
      </c>
      <c r="DZ306" s="66" t="str">
        <f t="shared" si="3901"/>
        <v/>
      </c>
      <c r="EA306" s="66" t="str">
        <f t="shared" si="3902"/>
        <v/>
      </c>
      <c r="EB306" s="66" t="str">
        <f t="shared" si="3903"/>
        <v/>
      </c>
      <c r="EC306" s="66" t="str">
        <f t="shared" si="3904"/>
        <v/>
      </c>
      <c r="ED306" s="66" t="str">
        <f t="shared" si="3905"/>
        <v/>
      </c>
      <c r="EE306" s="66" t="str">
        <f t="shared" si="3906"/>
        <v/>
      </c>
      <c r="EF306" s="66" t="str">
        <f t="shared" si="3907"/>
        <v/>
      </c>
      <c r="EG306" s="66" t="str">
        <f t="shared" si="3908"/>
        <v/>
      </c>
      <c r="EH306" s="66" t="str">
        <f t="shared" si="3909"/>
        <v/>
      </c>
      <c r="EI306" s="66" t="str">
        <f t="shared" si="3910"/>
        <v/>
      </c>
      <c r="EJ306" s="66" t="str">
        <f t="shared" si="3911"/>
        <v/>
      </c>
      <c r="EK306" s="66" t="str">
        <f t="shared" si="3912"/>
        <v/>
      </c>
      <c r="EL306" s="66" t="str">
        <f t="shared" si="3913"/>
        <v/>
      </c>
      <c r="EM306" s="66" t="str">
        <f t="shared" si="3914"/>
        <v/>
      </c>
      <c r="EN306" s="66" t="str">
        <f t="shared" si="3915"/>
        <v/>
      </c>
      <c r="EO306" s="66" t="str">
        <f t="shared" si="3916"/>
        <v/>
      </c>
      <c r="EP306" s="66" t="str">
        <f t="shared" si="3917"/>
        <v/>
      </c>
      <c r="EQ306" s="66" t="str">
        <f t="shared" si="3918"/>
        <v/>
      </c>
      <c r="ER306" s="66" t="str">
        <f t="shared" si="3919"/>
        <v/>
      </c>
      <c r="ES306" s="66" t="str">
        <f t="shared" si="3920"/>
        <v/>
      </c>
      <c r="ET306" s="66" t="str">
        <f t="shared" si="3921"/>
        <v/>
      </c>
      <c r="EU306" s="66" t="str">
        <f t="shared" si="3922"/>
        <v/>
      </c>
      <c r="EV306" s="66" t="str">
        <f t="shared" si="3923"/>
        <v/>
      </c>
      <c r="EW306" s="66" t="str">
        <f t="shared" si="3924"/>
        <v/>
      </c>
      <c r="EX306" s="66" t="str">
        <f t="shared" si="3925"/>
        <v/>
      </c>
      <c r="EY306" s="66" t="str">
        <f t="shared" si="3926"/>
        <v/>
      </c>
      <c r="EZ306" s="66" t="str">
        <f t="shared" si="3927"/>
        <v/>
      </c>
      <c r="FA306" s="66" t="str">
        <f t="shared" si="3928"/>
        <v/>
      </c>
      <c r="FB306" s="66" t="str">
        <f t="shared" si="3929"/>
        <v/>
      </c>
      <c r="FC306" s="66" t="str">
        <f t="shared" si="3930"/>
        <v/>
      </c>
      <c r="FD306" s="66" t="str">
        <f t="shared" si="3931"/>
        <v/>
      </c>
      <c r="FE306" s="66" t="str">
        <f t="shared" si="3932"/>
        <v/>
      </c>
      <c r="FF306" s="66" t="str">
        <f t="shared" si="3933"/>
        <v/>
      </c>
      <c r="FG306" s="66" t="str">
        <f t="shared" si="3934"/>
        <v/>
      </c>
      <c r="FH306" s="66" t="str">
        <f t="shared" si="3935"/>
        <v/>
      </c>
      <c r="FI306" s="66" t="str">
        <f t="shared" si="3936"/>
        <v/>
      </c>
      <c r="FJ306" s="66" t="str">
        <f t="shared" si="3937"/>
        <v/>
      </c>
      <c r="FK306" s="66" t="str">
        <f t="shared" si="3938"/>
        <v/>
      </c>
      <c r="FL306" s="66" t="str">
        <f t="shared" si="3939"/>
        <v/>
      </c>
      <c r="FM306" s="66" t="str">
        <f t="shared" si="3940"/>
        <v/>
      </c>
      <c r="FN306" s="66" t="str">
        <f t="shared" si="3941"/>
        <v/>
      </c>
      <c r="FO306" s="66" t="str">
        <f t="shared" si="3942"/>
        <v/>
      </c>
      <c r="FP306" s="66" t="str">
        <f t="shared" si="3943"/>
        <v/>
      </c>
      <c r="FQ306" s="66" t="str">
        <f t="shared" si="3944"/>
        <v/>
      </c>
      <c r="FR306" s="66" t="str">
        <f t="shared" si="3945"/>
        <v/>
      </c>
      <c r="FS306" s="66" t="str">
        <f t="shared" si="3946"/>
        <v/>
      </c>
    </row>
    <row r="307" spans="92:175">
      <c r="CN307" s="36" t="str">
        <f t="shared" si="3871"/>
        <v>InitUnitState('',,,,,,,,,,)</v>
      </c>
      <c r="CO307" s="36" t="str">
        <f t="shared" si="3872"/>
        <v>InitUnitNormal('',,,,,,,,,,)</v>
      </c>
      <c r="CP307" s="36" t="str">
        <f t="shared" si="3873"/>
        <v>InitUnitMagic('',,,,,,,,,,)</v>
      </c>
      <c r="CQ307" s="36" t="str">
        <f t="shared" si="3874"/>
        <v>InitUnitAdd('',,,,,,,,,,)</v>
      </c>
      <c r="CR307" s="36" t="str">
        <f t="shared" si="3875"/>
        <v>InitEquipData('',,"",,,,,'','','','','','',"")</v>
      </c>
      <c r="CU307" s="19" t="str">
        <f t="shared" si="3947"/>
        <v>|n</v>
      </c>
      <c r="CW307" s="33"/>
      <c r="CX307" s="33"/>
      <c r="CY307" s="33"/>
      <c r="CZ307" s="33"/>
      <c r="DA307" s="33"/>
      <c r="DB307" s="66" t="str">
        <f t="shared" si="3877"/>
        <v/>
      </c>
      <c r="DC307" s="66" t="str">
        <f t="shared" si="3878"/>
        <v/>
      </c>
      <c r="DD307" s="66" t="str">
        <f t="shared" si="3879"/>
        <v/>
      </c>
      <c r="DE307" s="66" t="str">
        <f t="shared" si="3880"/>
        <v/>
      </c>
      <c r="DF307" s="66" t="str">
        <f t="shared" si="3881"/>
        <v/>
      </c>
      <c r="DG307" s="66" t="str">
        <f t="shared" si="3882"/>
        <v/>
      </c>
      <c r="DH307" s="66" t="str">
        <f t="shared" si="3883"/>
        <v/>
      </c>
      <c r="DI307" s="66" t="str">
        <f t="shared" si="3884"/>
        <v/>
      </c>
      <c r="DJ307" s="66" t="str">
        <f t="shared" si="3885"/>
        <v/>
      </c>
      <c r="DK307" s="66" t="str">
        <f t="shared" si="3886"/>
        <v/>
      </c>
      <c r="DL307" s="66" t="str">
        <f t="shared" si="3887"/>
        <v/>
      </c>
      <c r="DM307" s="66" t="str">
        <f t="shared" si="3888"/>
        <v/>
      </c>
      <c r="DN307" s="66" t="str">
        <f t="shared" si="3889"/>
        <v/>
      </c>
      <c r="DO307" s="66" t="str">
        <f t="shared" si="3890"/>
        <v/>
      </c>
      <c r="DP307" s="66" t="str">
        <f t="shared" si="3891"/>
        <v/>
      </c>
      <c r="DQ307" s="66" t="str">
        <f t="shared" si="3892"/>
        <v/>
      </c>
      <c r="DR307" s="66" t="str">
        <f t="shared" si="3893"/>
        <v/>
      </c>
      <c r="DS307" s="66" t="str">
        <f t="shared" si="3894"/>
        <v/>
      </c>
      <c r="DT307" s="66" t="str">
        <f t="shared" si="3895"/>
        <v/>
      </c>
      <c r="DU307" s="66" t="str">
        <f t="shared" si="3896"/>
        <v/>
      </c>
      <c r="DV307" s="66" t="str">
        <f t="shared" si="3897"/>
        <v/>
      </c>
      <c r="DW307" s="66" t="str">
        <f t="shared" si="3898"/>
        <v/>
      </c>
      <c r="DX307" s="66" t="str">
        <f t="shared" si="3899"/>
        <v/>
      </c>
      <c r="DY307" s="66" t="str">
        <f t="shared" si="3900"/>
        <v/>
      </c>
      <c r="DZ307" s="66" t="str">
        <f t="shared" si="3901"/>
        <v/>
      </c>
      <c r="EA307" s="66" t="str">
        <f t="shared" si="3902"/>
        <v/>
      </c>
      <c r="EB307" s="66" t="str">
        <f t="shared" si="3903"/>
        <v/>
      </c>
      <c r="EC307" s="66" t="str">
        <f t="shared" si="3904"/>
        <v/>
      </c>
      <c r="ED307" s="66" t="str">
        <f t="shared" si="3905"/>
        <v/>
      </c>
      <c r="EE307" s="66" t="str">
        <f t="shared" si="3906"/>
        <v/>
      </c>
      <c r="EF307" s="66" t="str">
        <f t="shared" si="3907"/>
        <v/>
      </c>
      <c r="EG307" s="66" t="str">
        <f t="shared" si="3908"/>
        <v/>
      </c>
      <c r="EH307" s="66" t="str">
        <f t="shared" si="3909"/>
        <v/>
      </c>
      <c r="EI307" s="66" t="str">
        <f t="shared" si="3910"/>
        <v/>
      </c>
      <c r="EJ307" s="66" t="str">
        <f t="shared" si="3911"/>
        <v/>
      </c>
      <c r="EK307" s="66" t="str">
        <f t="shared" si="3912"/>
        <v/>
      </c>
      <c r="EL307" s="66" t="str">
        <f t="shared" si="3913"/>
        <v/>
      </c>
      <c r="EM307" s="66" t="str">
        <f t="shared" si="3914"/>
        <v/>
      </c>
      <c r="EN307" s="66" t="str">
        <f t="shared" si="3915"/>
        <v/>
      </c>
      <c r="EO307" s="66" t="str">
        <f t="shared" si="3916"/>
        <v/>
      </c>
      <c r="EP307" s="66" t="str">
        <f t="shared" si="3917"/>
        <v/>
      </c>
      <c r="EQ307" s="66" t="str">
        <f t="shared" si="3918"/>
        <v/>
      </c>
      <c r="ER307" s="66" t="str">
        <f t="shared" si="3919"/>
        <v/>
      </c>
      <c r="ES307" s="66" t="str">
        <f t="shared" si="3920"/>
        <v/>
      </c>
      <c r="ET307" s="66" t="str">
        <f t="shared" si="3921"/>
        <v/>
      </c>
      <c r="EU307" s="66" t="str">
        <f t="shared" si="3922"/>
        <v/>
      </c>
      <c r="EV307" s="66" t="str">
        <f t="shared" si="3923"/>
        <v/>
      </c>
      <c r="EW307" s="66" t="str">
        <f t="shared" si="3924"/>
        <v/>
      </c>
      <c r="EX307" s="66" t="str">
        <f t="shared" si="3925"/>
        <v/>
      </c>
      <c r="EY307" s="66" t="str">
        <f t="shared" si="3926"/>
        <v/>
      </c>
      <c r="EZ307" s="66" t="str">
        <f t="shared" si="3927"/>
        <v/>
      </c>
      <c r="FA307" s="66" t="str">
        <f t="shared" si="3928"/>
        <v/>
      </c>
      <c r="FB307" s="66" t="str">
        <f t="shared" si="3929"/>
        <v/>
      </c>
      <c r="FC307" s="66" t="str">
        <f t="shared" si="3930"/>
        <v/>
      </c>
      <c r="FD307" s="66" t="str">
        <f t="shared" si="3931"/>
        <v/>
      </c>
      <c r="FE307" s="66" t="str">
        <f t="shared" si="3932"/>
        <v/>
      </c>
      <c r="FF307" s="66" t="str">
        <f t="shared" si="3933"/>
        <v/>
      </c>
      <c r="FG307" s="66" t="str">
        <f t="shared" si="3934"/>
        <v/>
      </c>
      <c r="FH307" s="66" t="str">
        <f t="shared" si="3935"/>
        <v/>
      </c>
      <c r="FI307" s="66" t="str">
        <f t="shared" si="3936"/>
        <v/>
      </c>
      <c r="FJ307" s="66" t="str">
        <f t="shared" si="3937"/>
        <v/>
      </c>
      <c r="FK307" s="66" t="str">
        <f t="shared" si="3938"/>
        <v/>
      </c>
      <c r="FL307" s="66" t="str">
        <f t="shared" si="3939"/>
        <v/>
      </c>
      <c r="FM307" s="66" t="str">
        <f t="shared" si="3940"/>
        <v/>
      </c>
      <c r="FN307" s="66" t="str">
        <f t="shared" si="3941"/>
        <v/>
      </c>
      <c r="FO307" s="66" t="str">
        <f t="shared" si="3942"/>
        <v/>
      </c>
      <c r="FP307" s="66" t="str">
        <f t="shared" si="3943"/>
        <v/>
      </c>
      <c r="FQ307" s="66" t="str">
        <f t="shared" si="3944"/>
        <v/>
      </c>
      <c r="FR307" s="66" t="str">
        <f t="shared" si="3945"/>
        <v/>
      </c>
      <c r="FS307" s="66" t="str">
        <f t="shared" si="3946"/>
        <v/>
      </c>
    </row>
    <row r="308" spans="92:175">
      <c r="CN308" s="36" t="str">
        <f t="shared" si="3871"/>
        <v>InitUnitState('',,,,,,,,,,)</v>
      </c>
      <c r="CO308" s="36" t="str">
        <f t="shared" si="3872"/>
        <v>InitUnitNormal('',,,,,,,,,,)</v>
      </c>
      <c r="CP308" s="36" t="str">
        <f t="shared" si="3873"/>
        <v>InitUnitMagic('',,,,,,,,,,)</v>
      </c>
      <c r="CQ308" s="36" t="str">
        <f t="shared" si="3874"/>
        <v>InitUnitAdd('',,,,,,,,,,)</v>
      </c>
      <c r="CR308" s="36" t="str">
        <f t="shared" si="3875"/>
        <v>InitEquipData('',,"",,,,,'','','','','','',"")</v>
      </c>
      <c r="CU308" s="19" t="str">
        <f t="shared" si="3947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75">
      <c r="CN309" s="36" t="str">
        <f t="shared" si="3871"/>
        <v>InitUnitState('',,,,,,,,,,)</v>
      </c>
      <c r="CO309" s="36" t="str">
        <f t="shared" si="3872"/>
        <v>InitUnitNormal('',,,,,,,,,,)</v>
      </c>
      <c r="CP309" s="36" t="str">
        <f t="shared" si="3873"/>
        <v>InitUnitMagic('',,,,,,,,,,)</v>
      </c>
      <c r="CQ309" s="36" t="str">
        <f t="shared" si="3874"/>
        <v>InitUnitAdd('',,,,,,,,,,)</v>
      </c>
      <c r="CR309" s="36" t="str">
        <f t="shared" si="3875"/>
        <v>InitEquipData('',,"",,,,,'','','','','','',"")</v>
      </c>
      <c r="CU309" s="19" t="str">
        <f t="shared" si="3947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75">
      <c r="CN310" s="36" t="str">
        <f t="shared" si="3871"/>
        <v>InitUnitState('',,,,,,,,,,)</v>
      </c>
      <c r="CO310" s="36" t="str">
        <f t="shared" si="3872"/>
        <v>InitUnitNormal('',,,,,,,,,,)</v>
      </c>
      <c r="CP310" s="36" t="str">
        <f t="shared" si="3873"/>
        <v>InitUnitMagic('',,,,,,,,,,)</v>
      </c>
      <c r="CQ310" s="36" t="str">
        <f t="shared" si="3874"/>
        <v>InitUnitAdd('',,,,,,,,,,)</v>
      </c>
      <c r="CR310" s="36" t="str">
        <f t="shared" si="3875"/>
        <v>InitEquipData('',,"",,,,,'','','','','','',"")</v>
      </c>
      <c r="CU310" s="19" t="str">
        <f t="shared" si="3947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75">
      <c r="CN311" s="36" t="str">
        <f t="shared" si="3871"/>
        <v>InitUnitState('',,,,,,,,,,)</v>
      </c>
      <c r="CO311" s="36" t="str">
        <f t="shared" si="3872"/>
        <v>InitUnitNormal('',,,,,,,,,,)</v>
      </c>
      <c r="CP311" s="36" t="str">
        <f t="shared" si="3873"/>
        <v>InitUnitMagic('',,,,,,,,,,)</v>
      </c>
      <c r="CQ311" s="36" t="str">
        <f t="shared" si="3874"/>
        <v>InitUnitAdd('',,,,,,,,,,)</v>
      </c>
      <c r="CR311" s="36" t="str">
        <f t="shared" si="3875"/>
        <v>InitEquipData('',,"",,,,,'','','','','','',"")</v>
      </c>
      <c r="CU311" s="19" t="str">
        <f t="shared" si="3947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75">
      <c r="CN312" s="36" t="str">
        <f t="shared" si="3871"/>
        <v>InitUnitState('',,,,,,,,,,)</v>
      </c>
      <c r="CO312" s="36" t="str">
        <f t="shared" si="3872"/>
        <v>InitUnitNormal('',,,,,,,,,,)</v>
      </c>
      <c r="CP312" s="36" t="str">
        <f t="shared" si="3873"/>
        <v>InitUnitMagic('',,,,,,,,,,)</v>
      </c>
      <c r="CQ312" s="36" t="str">
        <f t="shared" si="3874"/>
        <v>InitUnitAdd('',,,,,,,,,,)</v>
      </c>
      <c r="CR312" s="36" t="str">
        <f t="shared" si="3875"/>
        <v>InitEquipData('',,"",,,,,'','','','','','',"")</v>
      </c>
      <c r="CU312" s="19" t="str">
        <f t="shared" si="3947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75">
      <c r="CN313" s="36" t="str">
        <f t="shared" si="3871"/>
        <v>InitUnitState('',,,,,,,,,,)</v>
      </c>
      <c r="CO313" s="36" t="str">
        <f t="shared" si="3872"/>
        <v>InitUnitNormal('',,,,,,,,,,)</v>
      </c>
      <c r="CP313" s="36" t="str">
        <f t="shared" si="3873"/>
        <v>InitUnitMagic('',,,,,,,,,,)</v>
      </c>
      <c r="CQ313" s="36" t="str">
        <f t="shared" si="3874"/>
        <v>InitUnitAdd('',,,,,,,,,,)</v>
      </c>
      <c r="CR313" s="36" t="str">
        <f t="shared" si="3875"/>
        <v>InitEquipData('',,"",,,,,'','','','','','',"")</v>
      </c>
      <c r="CU313" s="19" t="str">
        <f t="shared" si="3947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75">
      <c r="CN314" s="36" t="str">
        <f t="shared" si="3871"/>
        <v>InitUnitState('',,,,,,,,,,)</v>
      </c>
      <c r="CO314" s="36" t="str">
        <f t="shared" si="3872"/>
        <v>InitUnitNormal('',,,,,,,,,,)</v>
      </c>
      <c r="CP314" s="36" t="str">
        <f t="shared" si="3873"/>
        <v>InitUnitMagic('',,,,,,,,,,)</v>
      </c>
      <c r="CQ314" s="36" t="str">
        <f t="shared" si="3874"/>
        <v>InitUnitAdd('',,,,,,,,,,)</v>
      </c>
      <c r="CR314" s="36" t="str">
        <f t="shared" si="3875"/>
        <v>InitEquipData('',,"",,,,,'','','','','','',"")</v>
      </c>
      <c r="CU314" s="19" t="str">
        <f t="shared" si="3947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75">
      <c r="CN315" s="36" t="str">
        <f t="shared" si="3871"/>
        <v>InitUnitState('',,,,,,,,,,)</v>
      </c>
      <c r="CO315" s="36" t="str">
        <f t="shared" si="3872"/>
        <v>InitUnitNormal('',,,,,,,,,,)</v>
      </c>
      <c r="CP315" s="36" t="str">
        <f t="shared" si="3873"/>
        <v>InitUnitMagic('',,,,,,,,,,)</v>
      </c>
      <c r="CQ315" s="36" t="str">
        <f t="shared" si="3874"/>
        <v>InitUnitAdd('',,,,,,,,,,)</v>
      </c>
      <c r="CR315" s="36" t="str">
        <f t="shared" si="3875"/>
        <v>InitEquipData('',,"",,,,,'','','','','','',"")</v>
      </c>
      <c r="CU315" s="19" t="str">
        <f t="shared" si="3947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75">
      <c r="CN316" s="36" t="str">
        <f t="shared" si="3871"/>
        <v>InitUnitState('',,,,,,,,,,)</v>
      </c>
      <c r="CO316" s="36" t="str">
        <f t="shared" si="3872"/>
        <v>InitUnitNormal('',,,,,,,,,,)</v>
      </c>
      <c r="CP316" s="36" t="str">
        <f t="shared" si="3873"/>
        <v>InitUnitMagic('',,,,,,,,,,)</v>
      </c>
      <c r="CQ316" s="36" t="str">
        <f t="shared" si="3874"/>
        <v>InitUnitAdd('',,,,,,,,,,)</v>
      </c>
      <c r="CR316" s="36" t="str">
        <f t="shared" si="3875"/>
        <v>InitEquipData('',,"",,,,,'','','','','','',"")</v>
      </c>
      <c r="CU316" s="19" t="str">
        <f t="shared" si="3947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75">
      <c r="CN317" s="36" t="str">
        <f t="shared" si="3871"/>
        <v>InitUnitState('',,,,,,,,,,)</v>
      </c>
      <c r="CO317" s="36" t="str">
        <f t="shared" si="3872"/>
        <v>InitUnitNormal('',,,,,,,,,,)</v>
      </c>
      <c r="CP317" s="36" t="str">
        <f t="shared" si="3873"/>
        <v>InitUnitMagic('',,,,,,,,,,)</v>
      </c>
      <c r="CQ317" s="36" t="str">
        <f t="shared" si="3874"/>
        <v>InitUnitAdd('',,,,,,,,,,)</v>
      </c>
      <c r="CR317" s="36" t="str">
        <f t="shared" si="3875"/>
        <v>InitEquipData('',,"",,,,,'','','','','','',"")</v>
      </c>
      <c r="CU317" s="19" t="str">
        <f t="shared" si="3947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75">
      <c r="CN318" s="36" t="str">
        <f t="shared" si="3871"/>
        <v>InitUnitState('',,,,,,,,,,)</v>
      </c>
      <c r="CO318" s="36" t="str">
        <f t="shared" si="3872"/>
        <v>InitUnitNormal('',,,,,,,,,,)</v>
      </c>
      <c r="CP318" s="36" t="str">
        <f t="shared" si="3873"/>
        <v>InitUnitMagic('',,,,,,,,,,)</v>
      </c>
      <c r="CQ318" s="36" t="str">
        <f t="shared" si="3874"/>
        <v>InitUnitAdd('',,,,,,,,,,)</v>
      </c>
      <c r="CR318" s="36" t="str">
        <f t="shared" si="3875"/>
        <v>InitEquipData('',,"",,,,,'','','','','','',"")</v>
      </c>
      <c r="CU318" s="19" t="str">
        <f t="shared" si="3947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75">
      <c r="CN319" s="36" t="str">
        <f t="shared" ref="CN319:CN338" si="3948">"InitUnitState('"&amp;B319&amp;"',"&amp;V319&amp;","&amp;W319&amp;","&amp;X319&amp;","&amp;Y319&amp;","&amp;Z319&amp;","&amp;AA319&amp;","&amp;AB319&amp;","&amp;AC319&amp;","&amp;AD319&amp;","&amp;AE319&amp;")"</f>
        <v>InitUnitState('',,,,,,,,,,)</v>
      </c>
      <c r="CO319" s="36" t="str">
        <f t="shared" ref="CO319:CO338" si="3949">"InitUnitNormal('"&amp;B319&amp;"',"&amp;AF319&amp;","&amp;AG319&amp;","&amp;AH319&amp;","&amp;AI319&amp;","&amp;AJ319&amp;","&amp;AK319&amp;","&amp;AL319&amp;","&amp;AM319&amp;","&amp;AN319&amp;","&amp;AO319&amp;")"</f>
        <v>InitUnitNormal('',,,,,,,,,,)</v>
      </c>
      <c r="CP319" s="36" t="str">
        <f t="shared" ref="CP319:CP338" si="3950">"InitUnitMagic('"&amp;B319&amp;"',"&amp;AP319&amp;","&amp;AQ319&amp;","&amp;AR319&amp;","&amp;AS319&amp;","&amp;AT319&amp;","&amp;AU319&amp;","&amp;AV319&amp;","&amp;AW319&amp;","&amp;BI319&amp;","&amp;BJ319&amp;")"</f>
        <v>InitUnitMagic('',,,,,,,,,,)</v>
      </c>
      <c r="CQ319" s="36" t="str">
        <f t="shared" ref="CQ319:CQ338" si="3951">"InitUnitAdd('"&amp;B319&amp;"',"&amp;BK319&amp;","&amp;BL319&amp;","&amp;BM319&amp;","&amp;BN319&amp;","&amp;BO319&amp;","&amp;BP319&amp;","&amp;BQ319&amp;","&amp;BR319&amp;","&amp;BS319&amp;","&amp;BT319&amp;")"</f>
        <v>InitUnitAdd('',,,,,,,,,,)</v>
      </c>
      <c r="CR319" s="36" t="str">
        <f t="shared" ref="CR319:CR338" si="3952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320&amp;CR$1&amp;")"</f>
        <v>InitEquipData('',,"",,,,,'','','','','','',"")</v>
      </c>
      <c r="CU319" s="19" t="str">
        <f t="shared" si="3947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75">
      <c r="CN320" s="36" t="str">
        <f t="shared" si="3948"/>
        <v>InitUnitState('',,,,,,,,,,)</v>
      </c>
      <c r="CO320" s="36" t="str">
        <f t="shared" si="3949"/>
        <v>InitUnitNormal('',,,,,,,,,,)</v>
      </c>
      <c r="CP320" s="36" t="str">
        <f t="shared" si="3950"/>
        <v>InitUnitMagic('',,,,,,,,,,)</v>
      </c>
      <c r="CQ320" s="36" t="str">
        <f t="shared" si="3951"/>
        <v>InitUnitAdd('',,,,,,,,,,)</v>
      </c>
      <c r="CR320" s="36" t="str">
        <f t="shared" si="3952"/>
        <v>InitEquipData('',,"",,,,,'','','','','','',"")</v>
      </c>
      <c r="CU320" s="19" t="str">
        <f t="shared" si="3947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948"/>
        <v>InitUnitState('',,,,,,,,,,)</v>
      </c>
      <c r="CO321" s="36" t="str">
        <f t="shared" si="3949"/>
        <v>InitUnitNormal('',,,,,,,,,,)</v>
      </c>
      <c r="CP321" s="36" t="str">
        <f t="shared" si="3950"/>
        <v>InitUnitMagic('',,,,,,,,,,)</v>
      </c>
      <c r="CQ321" s="36" t="str">
        <f t="shared" si="3951"/>
        <v>InitUnitAdd('',,,,,,,,,,)</v>
      </c>
      <c r="CR321" s="36" t="str">
        <f t="shared" si="3952"/>
        <v>InitEquipData('',,"",,,,,'','','','','','',"")</v>
      </c>
      <c r="CU321" s="19" t="str">
        <f t="shared" si="3947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948"/>
        <v>InitUnitState('',,,,,,,,,,)</v>
      </c>
      <c r="CO322" s="36" t="str">
        <f t="shared" si="3949"/>
        <v>InitUnitNormal('',,,,,,,,,,)</v>
      </c>
      <c r="CP322" s="36" t="str">
        <f t="shared" si="3950"/>
        <v>InitUnitMagic('',,,,,,,,,,)</v>
      </c>
      <c r="CQ322" s="36" t="str">
        <f t="shared" si="3951"/>
        <v>InitUnitAdd('',,,,,,,,,,)</v>
      </c>
      <c r="CR322" s="36" t="str">
        <f t="shared" si="3952"/>
        <v>InitEquipData('',,"",,,,,'','','','','','',"")</v>
      </c>
      <c r="CU322" s="19" t="str">
        <f t="shared" si="3947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48"/>
        <v>InitUnitState('',,,,,,,,,,)</v>
      </c>
      <c r="CO323" s="36" t="str">
        <f t="shared" si="3949"/>
        <v>InitUnitNormal('',,,,,,,,,,)</v>
      </c>
      <c r="CP323" s="36" t="str">
        <f t="shared" si="3950"/>
        <v>InitUnitMagic('',,,,,,,,,,)</v>
      </c>
      <c r="CQ323" s="36" t="str">
        <f t="shared" si="3951"/>
        <v>InitUnitAdd('',,,,,,,,,,)</v>
      </c>
      <c r="CR323" s="36" t="str">
        <f t="shared" si="3952"/>
        <v>InitEquipData('',,"",,,,,'','','','','','',"")</v>
      </c>
      <c r="CU323" s="19" t="str">
        <f t="shared" si="3947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48"/>
        <v>InitUnitState('',,,,,,,,,,)</v>
      </c>
      <c r="CO324" s="36" t="str">
        <f t="shared" si="3949"/>
        <v>InitUnitNormal('',,,,,,,,,,)</v>
      </c>
      <c r="CP324" s="36" t="str">
        <f t="shared" si="3950"/>
        <v>InitUnitMagic('',,,,,,,,,,)</v>
      </c>
      <c r="CQ324" s="36" t="str">
        <f t="shared" si="3951"/>
        <v>InitUnitAdd('',,,,,,,,,,)</v>
      </c>
      <c r="CR324" s="36" t="str">
        <f t="shared" si="3952"/>
        <v>InitEquipData('',,"",,,,,'','','','','','',"")</v>
      </c>
      <c r="CU324" s="19" t="str">
        <f t="shared" si="3947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48"/>
        <v>InitUnitState('',,,,,,,,,,)</v>
      </c>
      <c r="CO325" s="36" t="str">
        <f t="shared" si="3949"/>
        <v>InitUnitNormal('',,,,,,,,,,)</v>
      </c>
      <c r="CP325" s="36" t="str">
        <f t="shared" si="3950"/>
        <v>InitUnitMagic('',,,,,,,,,,)</v>
      </c>
      <c r="CQ325" s="36" t="str">
        <f t="shared" si="3951"/>
        <v>InitUnitAdd('',,,,,,,,,,)</v>
      </c>
      <c r="CR325" s="36" t="str">
        <f t="shared" si="3952"/>
        <v>InitEquipData('',,"",,,,,'','','','','','',"")</v>
      </c>
      <c r="CU325" s="19" t="str">
        <f t="shared" si="3947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48"/>
        <v>InitUnitState('',,,,,,,,,,)</v>
      </c>
      <c r="CO326" s="36" t="str">
        <f t="shared" si="3949"/>
        <v>InitUnitNormal('',,,,,,,,,,)</v>
      </c>
      <c r="CP326" s="36" t="str">
        <f t="shared" si="3950"/>
        <v>InitUnitMagic('',,,,,,,,,,)</v>
      </c>
      <c r="CQ326" s="36" t="str">
        <f t="shared" si="3951"/>
        <v>InitUnitAdd('',,,,,,,,,,)</v>
      </c>
      <c r="CR326" s="36" t="str">
        <f t="shared" si="3952"/>
        <v>InitEquipData('',,"",,,,,'','','','','','',"")</v>
      </c>
      <c r="CU326" s="19" t="str">
        <f t="shared" si="3947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48"/>
        <v>InitUnitState('',,,,,,,,,,)</v>
      </c>
      <c r="CO327" s="36" t="str">
        <f t="shared" si="3949"/>
        <v>InitUnitNormal('',,,,,,,,,,)</v>
      </c>
      <c r="CP327" s="36" t="str">
        <f t="shared" si="3950"/>
        <v>InitUnitMagic('',,,,,,,,,,)</v>
      </c>
      <c r="CQ327" s="36" t="str">
        <f t="shared" si="3951"/>
        <v>InitUnitAdd('',,,,,,,,,,)</v>
      </c>
      <c r="CR327" s="36" t="str">
        <f t="shared" si="3952"/>
        <v>InitEquipData('',,"",,,,,'','','','','','',"")</v>
      </c>
      <c r="CU327" s="19" t="str">
        <f t="shared" si="3947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48"/>
        <v>InitUnitState('',,,,,,,,,,)</v>
      </c>
      <c r="CO328" s="36" t="str">
        <f t="shared" si="3949"/>
        <v>InitUnitNormal('',,,,,,,,,,)</v>
      </c>
      <c r="CP328" s="36" t="str">
        <f t="shared" si="3950"/>
        <v>InitUnitMagic('',,,,,,,,,,)</v>
      </c>
      <c r="CQ328" s="36" t="str">
        <f t="shared" si="3951"/>
        <v>InitUnitAdd('',,,,,,,,,,)</v>
      </c>
      <c r="CR328" s="36" t="str">
        <f t="shared" si="3952"/>
        <v>InitEquipData('',,"",,,,,'','','','','','',"")</v>
      </c>
      <c r="CU328" s="19" t="str">
        <f t="shared" si="3947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948"/>
        <v>InitUnitState('',,,,,,,,,,)</v>
      </c>
      <c r="CO329" s="36" t="str">
        <f t="shared" si="3949"/>
        <v>InitUnitNormal('',,,,,,,,,,)</v>
      </c>
      <c r="CP329" s="36" t="str">
        <f t="shared" si="3950"/>
        <v>InitUnitMagic('',,,,,,,,,,)</v>
      </c>
      <c r="CQ329" s="36" t="str">
        <f t="shared" si="3951"/>
        <v>InitUnitAdd('',,,,,,,,,,)</v>
      </c>
      <c r="CR329" s="36" t="str">
        <f t="shared" si="3952"/>
        <v>InitEquipData('',,"",,,,,'','','','','','',"")</v>
      </c>
      <c r="CU329" s="19" t="str">
        <f t="shared" si="3947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948"/>
        <v>InitUnitState('',,,,,,,,,,)</v>
      </c>
      <c r="CO330" s="36" t="str">
        <f t="shared" si="3949"/>
        <v>InitUnitNormal('',,,,,,,,,,)</v>
      </c>
      <c r="CP330" s="36" t="str">
        <f t="shared" si="3950"/>
        <v>InitUnitMagic('',,,,,,,,,,)</v>
      </c>
      <c r="CQ330" s="36" t="str">
        <f t="shared" si="3951"/>
        <v>InitUnitAdd('',,,,,,,,,,)</v>
      </c>
      <c r="CR330" s="36" t="str">
        <f t="shared" si="3952"/>
        <v>InitEquipData('',,"",,,,,'','','','','','',"")</v>
      </c>
      <c r="CU330" s="19" t="str">
        <f t="shared" si="3947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948"/>
        <v>InitUnitState('',,,,,,,,,,)</v>
      </c>
      <c r="CO331" s="36" t="str">
        <f t="shared" si="3949"/>
        <v>InitUnitNormal('',,,,,,,,,,)</v>
      </c>
      <c r="CP331" s="36" t="str">
        <f t="shared" si="3950"/>
        <v>InitUnitMagic('',,,,,,,,,,)</v>
      </c>
      <c r="CQ331" s="36" t="str">
        <f t="shared" si="3951"/>
        <v>InitUnitAdd('',,,,,,,,,,)</v>
      </c>
      <c r="CR331" s="36" t="str">
        <f t="shared" si="3952"/>
        <v>InitEquipData('',,"",,,,,'','','','','','',"")</v>
      </c>
      <c r="CU331" s="19" t="str">
        <f t="shared" si="3947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948"/>
        <v>InitUnitState('',,,,,,,,,,)</v>
      </c>
      <c r="CO332" s="36" t="str">
        <f t="shared" si="3949"/>
        <v>InitUnitNormal('',,,,,,,,,,)</v>
      </c>
      <c r="CP332" s="36" t="str">
        <f t="shared" si="3950"/>
        <v>InitUnitMagic('',,,,,,,,,,)</v>
      </c>
      <c r="CQ332" s="36" t="str">
        <f t="shared" si="3951"/>
        <v>InitUnitAdd('',,,,,,,,,,)</v>
      </c>
      <c r="CR332" s="36" t="str">
        <f t="shared" si="3952"/>
        <v>InitEquipData('',,"",,,,,'','','','','','',"")</v>
      </c>
      <c r="CU332" s="19" t="str">
        <f t="shared" si="3947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948"/>
        <v>InitUnitState('',,,,,,,,,,)</v>
      </c>
      <c r="CO333" s="36" t="str">
        <f t="shared" si="3949"/>
        <v>InitUnitNormal('',,,,,,,,,,)</v>
      </c>
      <c r="CP333" s="36" t="str">
        <f t="shared" si="3950"/>
        <v>InitUnitMagic('',,,,,,,,,,)</v>
      </c>
      <c r="CQ333" s="36" t="str">
        <f t="shared" si="3951"/>
        <v>InitUnitAdd('',,,,,,,,,,)</v>
      </c>
      <c r="CR333" s="36" t="str">
        <f t="shared" si="3952"/>
        <v>InitEquipData('',,"",,,,,'','','','','','',"")</v>
      </c>
      <c r="CU333" s="19" t="str">
        <f t="shared" si="3947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948"/>
        <v>InitUnitState('',,,,,,,,,,)</v>
      </c>
      <c r="CO334" s="36" t="str">
        <f t="shared" si="3949"/>
        <v>InitUnitNormal('',,,,,,,,,,)</v>
      </c>
      <c r="CP334" s="36" t="str">
        <f t="shared" si="3950"/>
        <v>InitUnitMagic('',,,,,,,,,,)</v>
      </c>
      <c r="CQ334" s="36" t="str">
        <f t="shared" si="3951"/>
        <v>InitUnitAdd('',,,,,,,,,,)</v>
      </c>
      <c r="CR334" s="36" t="str">
        <f t="shared" si="3952"/>
        <v>InitEquipData('',,"",,,,,'','','','','','',"")</v>
      </c>
      <c r="CU334" s="19" t="str">
        <f t="shared" si="3947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3948"/>
        <v>InitUnitState('',,,,,,,,,,)</v>
      </c>
      <c r="CO335" s="36" t="str">
        <f t="shared" si="3949"/>
        <v>InitUnitNormal('',,,,,,,,,,)</v>
      </c>
      <c r="CP335" s="36" t="str">
        <f t="shared" si="3950"/>
        <v>InitUnitMagic('',,,,,,,,,,)</v>
      </c>
      <c r="CQ335" s="36" t="str">
        <f t="shared" si="3951"/>
        <v>InitUnitAdd('',,,,,,,,,,)</v>
      </c>
      <c r="CR335" s="36" t="str">
        <f t="shared" si="3952"/>
        <v>InitEquipData('',,"",,,,,'','','','','','',"")</v>
      </c>
      <c r="CU335" s="19" t="str">
        <f t="shared" si="3947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3948"/>
        <v>InitUnitState('',,,,,,,,,,)</v>
      </c>
      <c r="CO336" s="36" t="str">
        <f t="shared" si="3949"/>
        <v>InitUnitNormal('',,,,,,,,,,)</v>
      </c>
      <c r="CP336" s="36" t="str">
        <f t="shared" si="3950"/>
        <v>InitUnitMagic('',,,,,,,,,,)</v>
      </c>
      <c r="CQ336" s="36" t="str">
        <f t="shared" si="3951"/>
        <v>InitUnitAdd('',,,,,,,,,,)</v>
      </c>
      <c r="CR336" s="36" t="str">
        <f t="shared" si="3952"/>
        <v>InitEquipData('',,"",,,,,'','','','','','',"")</v>
      </c>
      <c r="CU336" s="19" t="str">
        <f t="shared" si="3947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3948"/>
        <v>InitUnitState('',,,,,,,,,,)</v>
      </c>
      <c r="CO337" s="36" t="str">
        <f t="shared" si="3949"/>
        <v>InitUnitNormal('',,,,,,,,,,)</v>
      </c>
      <c r="CP337" s="36" t="str">
        <f t="shared" si="3950"/>
        <v>InitUnitMagic('',,,,,,,,,,)</v>
      </c>
      <c r="CQ337" s="36" t="str">
        <f t="shared" si="3951"/>
        <v>InitUnitAdd('',,,,,,,,,,)</v>
      </c>
      <c r="CR337" s="36" t="str">
        <f t="shared" si="3952"/>
        <v>InitEquipData('',,"",,,,,'','','','','','',"")</v>
      </c>
      <c r="CU337" s="19" t="str">
        <f t="shared" si="3947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3948"/>
        <v>InitUnitState('',,,,,,,,,,)</v>
      </c>
      <c r="CO338" s="36" t="str">
        <f t="shared" si="3949"/>
        <v>InitUnitNormal('',,,,,,,,,,)</v>
      </c>
      <c r="CP338" s="36" t="str">
        <f t="shared" si="3950"/>
        <v>InitUnitMagic('',,,,,,,,,,)</v>
      </c>
      <c r="CQ338" s="36" t="str">
        <f t="shared" si="3951"/>
        <v>InitUnitAdd('',,,,,,,,,,)</v>
      </c>
      <c r="CR338" s="36" t="str">
        <f t="shared" si="3952"/>
        <v>InitEquipData('',,"",,,,,'','','','','','',"")</v>
      </c>
      <c r="CU338" s="19" t="str">
        <f t="shared" si="3947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803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804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物品!A152</f>
        <v>0</v>
      </c>
      <c r="B173" s="55" t="str">
        <f>"'"&amp;物品!B152&amp;"'"</f>
        <v>'IP01'</v>
      </c>
      <c r="C173" s="55">
        <f>物品!J152</f>
        <v>0</v>
      </c>
      <c r="D173" s="55">
        <f>物品!K152</f>
        <v>0</v>
      </c>
      <c r="E173" s="55">
        <f>物品!L152</f>
        <v>0</v>
      </c>
      <c r="F173" s="55">
        <f>物品!M152</f>
        <v>0</v>
      </c>
      <c r="G173" s="55">
        <f>物品!N152</f>
        <v>0</v>
      </c>
      <c r="H173" s="55">
        <f>物品!O152</f>
        <v>0</v>
      </c>
      <c r="I173" s="55">
        <f>IF(物品!J152=0,0,"'"&amp;物品!J152&amp;"'")</f>
        <v>0</v>
      </c>
      <c r="J173" s="55">
        <f>IF(物品!K152=0,0,"'"&amp;物品!K152&amp;"'")</f>
        <v>0</v>
      </c>
      <c r="K173" s="55">
        <f>IF(物品!L152=0,0,"'"&amp;物品!L152&amp;"'")</f>
        <v>0</v>
      </c>
      <c r="L173" s="55">
        <f>IF(物品!M152=0,0,"'"&amp;物品!M152&amp;"'")</f>
        <v>0</v>
      </c>
      <c r="M173" s="55">
        <f>IF(物品!N152=0,0,"'"&amp;物品!N152&amp;"'")</f>
        <v>0</v>
      </c>
      <c r="N173" s="55">
        <f>IF(物品!O152=0,0,"'"&amp;物品!O152&amp;"'")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物品!A153</f>
        <v>0</v>
      </c>
      <c r="B174" s="55" t="str">
        <f>"'"&amp;物品!B153&amp;"'"</f>
        <v>'IP02'</v>
      </c>
      <c r="C174" s="55">
        <f>物品!J153</f>
        <v>0</v>
      </c>
      <c r="D174" s="55">
        <f>物品!K153</f>
        <v>0</v>
      </c>
      <c r="E174" s="55">
        <f>物品!L153</f>
        <v>0</v>
      </c>
      <c r="F174" s="55">
        <f>物品!M153</f>
        <v>0</v>
      </c>
      <c r="G174" s="55">
        <f>物品!N153</f>
        <v>0</v>
      </c>
      <c r="H174" s="55">
        <f>物品!O153</f>
        <v>0</v>
      </c>
      <c r="I174" s="55">
        <f>IF(物品!J153=0,0,"'"&amp;物品!J153&amp;"'")</f>
        <v>0</v>
      </c>
      <c r="J174" s="55">
        <f>IF(物品!K153=0,0,"'"&amp;物品!K153&amp;"'")</f>
        <v>0</v>
      </c>
      <c r="K174" s="55">
        <f>IF(物品!L153=0,0,"'"&amp;物品!L153&amp;"'")</f>
        <v>0</v>
      </c>
      <c r="L174" s="55">
        <f>IF(物品!M153=0,0,"'"&amp;物品!M153&amp;"'")</f>
        <v>0</v>
      </c>
      <c r="M174" s="55">
        <f>IF(物品!N153=0,0,"'"&amp;物品!N153&amp;"'")</f>
        <v>0</v>
      </c>
      <c r="N174" s="55">
        <f>IF(物品!O153=0,0,"'"&amp;物品!O153&amp;"'")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物品!A154</f>
        <v>0</v>
      </c>
      <c r="B175" s="55" t="str">
        <f>"'"&amp;物品!B154&amp;"'"</f>
        <v>'IP03'</v>
      </c>
      <c r="C175" s="55">
        <f>物品!J154</f>
        <v>0</v>
      </c>
      <c r="D175" s="55">
        <f>物品!K154</f>
        <v>0</v>
      </c>
      <c r="E175" s="55">
        <f>物品!L154</f>
        <v>0</v>
      </c>
      <c r="F175" s="55">
        <f>物品!M154</f>
        <v>0</v>
      </c>
      <c r="G175" s="55">
        <f>物品!N154</f>
        <v>0</v>
      </c>
      <c r="H175" s="55">
        <f>物品!O154</f>
        <v>0</v>
      </c>
      <c r="I175" s="55">
        <f>IF(物品!J154=0,0,"'"&amp;物品!J154&amp;"'")</f>
        <v>0</v>
      </c>
      <c r="J175" s="55">
        <f>IF(物品!K154=0,0,"'"&amp;物品!K154&amp;"'")</f>
        <v>0</v>
      </c>
      <c r="K175" s="55">
        <f>IF(物品!L154=0,0,"'"&amp;物品!L154&amp;"'")</f>
        <v>0</v>
      </c>
      <c r="L175" s="55">
        <f>IF(物品!M154=0,0,"'"&amp;物品!M154&amp;"'")</f>
        <v>0</v>
      </c>
      <c r="M175" s="55">
        <f>IF(物品!N154=0,0,"'"&amp;物品!N154&amp;"'")</f>
        <v>0</v>
      </c>
      <c r="N175" s="55">
        <f>IF(物品!O154=0,0,"'"&amp;物品!O154&amp;"'")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物品!A161</f>
        <v>0</v>
      </c>
      <c r="B176" s="55" t="str">
        <f>"'"&amp;物品!B161&amp;"'"</f>
        <v>'IT01'</v>
      </c>
      <c r="C176" s="55">
        <f>物品!J161</f>
        <v>0</v>
      </c>
      <c r="D176" s="55">
        <f>物品!K161</f>
        <v>0</v>
      </c>
      <c r="E176" s="55">
        <f>物品!L161</f>
        <v>0</v>
      </c>
      <c r="F176" s="55">
        <f>物品!M161</f>
        <v>0</v>
      </c>
      <c r="G176" s="55">
        <f>物品!N161</f>
        <v>0</v>
      </c>
      <c r="H176" s="55">
        <f>物品!O161</f>
        <v>0</v>
      </c>
      <c r="I176" s="55">
        <f>IF(物品!J161=0,0,"'"&amp;物品!J161&amp;"'")</f>
        <v>0</v>
      </c>
      <c r="J176" s="55">
        <f>IF(物品!K161=0,0,"'"&amp;物品!K161&amp;"'")</f>
        <v>0</v>
      </c>
      <c r="K176" s="55">
        <f>IF(物品!L161=0,0,"'"&amp;物品!L161&amp;"'")</f>
        <v>0</v>
      </c>
      <c r="L176" s="55">
        <f>IF(物品!M161=0,0,"'"&amp;物品!M161&amp;"'")</f>
        <v>0</v>
      </c>
      <c r="M176" s="55">
        <f>IF(物品!N161=0,0,"'"&amp;物品!N161&amp;"'")</f>
        <v>0</v>
      </c>
      <c r="N176" s="55">
        <f>IF(物品!O161=0,0,"'"&amp;物品!O161&amp;"'")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物品!A162</f>
        <v>0</v>
      </c>
      <c r="B177" s="55" t="str">
        <f>"'"&amp;物品!B162&amp;"'"</f>
        <v>'IT02'</v>
      </c>
      <c r="C177" s="55">
        <f>物品!J162</f>
        <v>0</v>
      </c>
      <c r="D177" s="55">
        <f>物品!K162</f>
        <v>0</v>
      </c>
      <c r="E177" s="55">
        <f>物品!L162</f>
        <v>0</v>
      </c>
      <c r="F177" s="55">
        <f>物品!M162</f>
        <v>0</v>
      </c>
      <c r="G177" s="55">
        <f>物品!N162</f>
        <v>0</v>
      </c>
      <c r="H177" s="55">
        <f>物品!O162</f>
        <v>0</v>
      </c>
      <c r="I177" s="55">
        <f>IF(物品!J162=0,0,"'"&amp;物品!J162&amp;"'")</f>
        <v>0</v>
      </c>
      <c r="J177" s="55">
        <f>IF(物品!K162=0,0,"'"&amp;物品!K162&amp;"'")</f>
        <v>0</v>
      </c>
      <c r="K177" s="55">
        <f>IF(物品!L162=0,0,"'"&amp;物品!L162&amp;"'")</f>
        <v>0</v>
      </c>
      <c r="L177" s="55">
        <f>IF(物品!M162=0,0,"'"&amp;物品!M162&amp;"'")</f>
        <v>0</v>
      </c>
      <c r="M177" s="55">
        <f>IF(物品!N162=0,0,"'"&amp;物品!N162&amp;"'")</f>
        <v>0</v>
      </c>
      <c r="N177" s="55">
        <f>IF(物品!O162=0,0,"'"&amp;物品!O162&amp;"'")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物品!A163</f>
        <v>0</v>
      </c>
      <c r="B178" s="55" t="str">
        <f>"'"&amp;物品!B163&amp;"'"</f>
        <v>'IT03'</v>
      </c>
      <c r="C178" s="55">
        <f>物品!J163</f>
        <v>0</v>
      </c>
      <c r="D178" s="55">
        <f>物品!K163</f>
        <v>0</v>
      </c>
      <c r="E178" s="55">
        <f>物品!L163</f>
        <v>0</v>
      </c>
      <c r="F178" s="55">
        <f>物品!M163</f>
        <v>0</v>
      </c>
      <c r="G178" s="55">
        <f>物品!N163</f>
        <v>0</v>
      </c>
      <c r="H178" s="55">
        <f>物品!O163</f>
        <v>0</v>
      </c>
      <c r="I178" s="55">
        <f>IF(物品!J163=0,0,"'"&amp;物品!J163&amp;"'")</f>
        <v>0</v>
      </c>
      <c r="J178" s="55">
        <f>IF(物品!K163=0,0,"'"&amp;物品!K163&amp;"'")</f>
        <v>0</v>
      </c>
      <c r="K178" s="55">
        <f>IF(物品!L163=0,0,"'"&amp;物品!L163&amp;"'")</f>
        <v>0</v>
      </c>
      <c r="L178" s="55">
        <f>IF(物品!M163=0,0,"'"&amp;物品!M163&amp;"'")</f>
        <v>0</v>
      </c>
      <c r="M178" s="55">
        <f>IF(物品!N163=0,0,"'"&amp;物品!N163&amp;"'")</f>
        <v>0</v>
      </c>
      <c r="N178" s="55">
        <f>IF(物品!O163=0,0,"'"&amp;物品!O163&amp;"'")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物品!A164</f>
        <v>0</v>
      </c>
      <c r="B179" s="55" t="str">
        <f>"'"&amp;物品!B164&amp;"'"</f>
        <v>'IT04'</v>
      </c>
      <c r="C179" s="55">
        <f>物品!J164</f>
        <v>0</v>
      </c>
      <c r="D179" s="55">
        <f>物品!K164</f>
        <v>0</v>
      </c>
      <c r="E179" s="55">
        <f>物品!L164</f>
        <v>0</v>
      </c>
      <c r="F179" s="55">
        <f>物品!M164</f>
        <v>0</v>
      </c>
      <c r="G179" s="55">
        <f>物品!N164</f>
        <v>0</v>
      </c>
      <c r="H179" s="55">
        <f>物品!O164</f>
        <v>0</v>
      </c>
      <c r="I179" s="55">
        <f>IF(物品!J164=0,0,"'"&amp;物品!J164&amp;"'")</f>
        <v>0</v>
      </c>
      <c r="J179" s="55">
        <f>IF(物品!K164=0,0,"'"&amp;物品!K164&amp;"'")</f>
        <v>0</v>
      </c>
      <c r="K179" s="55">
        <f>IF(物品!L164=0,0,"'"&amp;物品!L164&amp;"'")</f>
        <v>0</v>
      </c>
      <c r="L179" s="55">
        <f>IF(物品!M164=0,0,"'"&amp;物品!M164&amp;"'")</f>
        <v>0</v>
      </c>
      <c r="M179" s="55">
        <f>IF(物品!N164=0,0,"'"&amp;物品!N164&amp;"'")</f>
        <v>0</v>
      </c>
      <c r="N179" s="55">
        <f>IF(物品!O164=0,0,"'"&amp;物品!O164&amp;"'")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物品!A165</f>
        <v>0</v>
      </c>
      <c r="B180" s="55" t="str">
        <f>"'"&amp;物品!B165&amp;"'"</f>
        <v>'IT05'</v>
      </c>
      <c r="C180" s="55">
        <f>物品!J165</f>
        <v>0</v>
      </c>
      <c r="D180" s="55">
        <f>物品!K165</f>
        <v>0</v>
      </c>
      <c r="E180" s="55">
        <f>物品!L165</f>
        <v>0</v>
      </c>
      <c r="F180" s="55">
        <f>物品!M165</f>
        <v>0</v>
      </c>
      <c r="G180" s="55">
        <f>物品!N165</f>
        <v>0</v>
      </c>
      <c r="H180" s="55">
        <f>物品!O165</f>
        <v>0</v>
      </c>
      <c r="I180" s="55">
        <f>IF(物品!J165=0,0,"'"&amp;物品!J165&amp;"'")</f>
        <v>0</v>
      </c>
      <c r="J180" s="55">
        <f>IF(物品!K165=0,0,"'"&amp;物品!K165&amp;"'")</f>
        <v>0</v>
      </c>
      <c r="K180" s="55">
        <f>IF(物品!L165=0,0,"'"&amp;物品!L165&amp;"'")</f>
        <v>0</v>
      </c>
      <c r="L180" s="55">
        <f>IF(物品!M165=0,0,"'"&amp;物品!M165&amp;"'")</f>
        <v>0</v>
      </c>
      <c r="M180" s="55">
        <f>IF(物品!N165=0,0,"'"&amp;物品!N165&amp;"'")</f>
        <v>0</v>
      </c>
      <c r="N180" s="55">
        <f>IF(物品!O165=0,0,"'"&amp;物品!O165&amp;"'")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物品!A166</f>
        <v>0</v>
      </c>
      <c r="B181" s="55" t="str">
        <f>"'"&amp;物品!B166&amp;"'"</f>
        <v>'IT06'</v>
      </c>
      <c r="C181" s="55">
        <f>物品!J166</f>
        <v>0</v>
      </c>
      <c r="D181" s="55">
        <f>物品!K166</f>
        <v>0</v>
      </c>
      <c r="E181" s="55">
        <f>物品!L166</f>
        <v>0</v>
      </c>
      <c r="F181" s="55">
        <f>物品!M166</f>
        <v>0</v>
      </c>
      <c r="G181" s="55">
        <f>物品!N166</f>
        <v>0</v>
      </c>
      <c r="H181" s="55">
        <f>物品!O166</f>
        <v>0</v>
      </c>
      <c r="I181" s="55">
        <f>IF(物品!J166=0,0,"'"&amp;物品!J166&amp;"'")</f>
        <v>0</v>
      </c>
      <c r="J181" s="55">
        <f>IF(物品!K166=0,0,"'"&amp;物品!K166&amp;"'")</f>
        <v>0</v>
      </c>
      <c r="K181" s="55">
        <f>IF(物品!L166=0,0,"'"&amp;物品!L166&amp;"'")</f>
        <v>0</v>
      </c>
      <c r="L181" s="55">
        <f>IF(物品!M166=0,0,"'"&amp;物品!M166&amp;"'")</f>
        <v>0</v>
      </c>
      <c r="M181" s="55">
        <f>IF(物品!N166=0,0,"'"&amp;物品!N166&amp;"'")</f>
        <v>0</v>
      </c>
      <c r="N181" s="55">
        <f>IF(物品!O166=0,0,"'"&amp;物品!O166&amp;"'")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物品!A167</f>
        <v>0</v>
      </c>
      <c r="B182" s="55" t="str">
        <f>"'"&amp;物品!B167&amp;"'"</f>
        <v>'IT07'</v>
      </c>
      <c r="C182" s="55">
        <f>物品!J167</f>
        <v>0</v>
      </c>
      <c r="D182" s="55">
        <f>物品!K167</f>
        <v>0</v>
      </c>
      <c r="E182" s="55">
        <f>物品!L167</f>
        <v>0</v>
      </c>
      <c r="F182" s="55">
        <f>物品!M167</f>
        <v>0</v>
      </c>
      <c r="G182" s="55">
        <f>物品!N167</f>
        <v>0</v>
      </c>
      <c r="H182" s="55">
        <f>物品!O167</f>
        <v>0</v>
      </c>
      <c r="I182" s="55">
        <f>IF(物品!J167=0,0,"'"&amp;物品!J167&amp;"'")</f>
        <v>0</v>
      </c>
      <c r="J182" s="55">
        <f>IF(物品!K167=0,0,"'"&amp;物品!K167&amp;"'")</f>
        <v>0</v>
      </c>
      <c r="K182" s="55">
        <f>IF(物品!L167=0,0,"'"&amp;物品!L167&amp;"'")</f>
        <v>0</v>
      </c>
      <c r="L182" s="55">
        <f>IF(物品!M167=0,0,"'"&amp;物品!M167&amp;"'")</f>
        <v>0</v>
      </c>
      <c r="M182" s="55">
        <f>IF(物品!N167=0,0,"'"&amp;物品!N167&amp;"'")</f>
        <v>0</v>
      </c>
      <c r="N182" s="55">
        <f>IF(物品!O167=0,0,"'"&amp;物品!O167&amp;"'")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物品!A168</f>
        <v>.</v>
      </c>
      <c r="B183" s="55" t="str">
        <f>"'"&amp;物品!B168&amp;"'"</f>
        <v>'IT08'</v>
      </c>
      <c r="C183" s="55">
        <f>物品!J168</f>
        <v>0</v>
      </c>
      <c r="D183" s="55">
        <f>物品!K168</f>
        <v>0</v>
      </c>
      <c r="E183" s="55">
        <f>物品!L168</f>
        <v>0</v>
      </c>
      <c r="F183" s="55">
        <f>物品!M168</f>
        <v>0</v>
      </c>
      <c r="G183" s="55">
        <f>物品!N168</f>
        <v>0</v>
      </c>
      <c r="H183" s="55">
        <f>物品!O168</f>
        <v>0</v>
      </c>
      <c r="I183" s="55">
        <f>IF(物品!J168=0,0,"'"&amp;物品!J168&amp;"'")</f>
        <v>0</v>
      </c>
      <c r="J183" s="55">
        <f>IF(物品!K168=0,0,"'"&amp;物品!K168&amp;"'")</f>
        <v>0</v>
      </c>
      <c r="K183" s="55">
        <f>IF(物品!L168=0,0,"'"&amp;物品!L168&amp;"'")</f>
        <v>0</v>
      </c>
      <c r="L183" s="55">
        <f>IF(物品!M168=0,0,"'"&amp;物品!M168&amp;"'")</f>
        <v>0</v>
      </c>
      <c r="M183" s="55">
        <f>IF(物品!N168=0,0,"'"&amp;物品!N168&amp;"'")</f>
        <v>0</v>
      </c>
      <c r="N183" s="55">
        <f>IF(物品!O168=0,0,"'"&amp;物品!O168&amp;"'")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物品!A169</f>
        <v>0</v>
      </c>
      <c r="B184" s="55" t="str">
        <f>"'"&amp;物品!B169&amp;"'"</f>
        <v>'IT09'</v>
      </c>
      <c r="C184" s="55">
        <f>物品!J169</f>
        <v>0</v>
      </c>
      <c r="D184" s="55">
        <f>物品!K169</f>
        <v>0</v>
      </c>
      <c r="E184" s="55">
        <f>物品!L169</f>
        <v>0</v>
      </c>
      <c r="F184" s="55">
        <f>物品!M169</f>
        <v>0</v>
      </c>
      <c r="G184" s="55">
        <f>物品!N169</f>
        <v>0</v>
      </c>
      <c r="H184" s="55">
        <f>物品!O169</f>
        <v>0</v>
      </c>
      <c r="I184" s="55">
        <f>IF(物品!J169=0,0,"'"&amp;物品!J169&amp;"'")</f>
        <v>0</v>
      </c>
      <c r="J184" s="55">
        <f>IF(物品!K169=0,0,"'"&amp;物品!K169&amp;"'")</f>
        <v>0</v>
      </c>
      <c r="K184" s="55">
        <f>IF(物品!L169=0,0,"'"&amp;物品!L169&amp;"'")</f>
        <v>0</v>
      </c>
      <c r="L184" s="55">
        <f>IF(物品!M169=0,0,"'"&amp;物品!M169&amp;"'")</f>
        <v>0</v>
      </c>
      <c r="M184" s="55">
        <f>IF(物品!N169=0,0,"'"&amp;物品!N169&amp;"'")</f>
        <v>0</v>
      </c>
      <c r="N184" s="55">
        <f>IF(物品!O169=0,0,"'"&amp;物品!O169&amp;"'")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物品!A170</f>
        <v>0</v>
      </c>
      <c r="B185" s="55" t="str">
        <f>"'"&amp;物品!B170&amp;"'"</f>
        <v>'IT10'</v>
      </c>
      <c r="C185" s="55">
        <f>物品!J170</f>
        <v>0</v>
      </c>
      <c r="D185" s="55">
        <f>物品!K170</f>
        <v>0</v>
      </c>
      <c r="E185" s="55">
        <f>物品!L170</f>
        <v>0</v>
      </c>
      <c r="F185" s="55">
        <f>物品!M170</f>
        <v>0</v>
      </c>
      <c r="G185" s="55">
        <f>物品!N170</f>
        <v>0</v>
      </c>
      <c r="H185" s="55">
        <f>物品!O170</f>
        <v>0</v>
      </c>
      <c r="I185" s="55">
        <f>IF(物品!J170=0,0,"'"&amp;物品!J170&amp;"'")</f>
        <v>0</v>
      </c>
      <c r="J185" s="55">
        <f>IF(物品!K170=0,0,"'"&amp;物品!K170&amp;"'")</f>
        <v>0</v>
      </c>
      <c r="K185" s="55">
        <f>IF(物品!L170=0,0,"'"&amp;物品!L170&amp;"'")</f>
        <v>0</v>
      </c>
      <c r="L185" s="55">
        <f>IF(物品!M170=0,0,"'"&amp;物品!M170&amp;"'")</f>
        <v>0</v>
      </c>
      <c r="M185" s="55">
        <f>IF(物品!N170=0,0,"'"&amp;物品!N170&amp;"'")</f>
        <v>0</v>
      </c>
      <c r="N185" s="55">
        <f>IF(物品!O170=0,0,"'"&amp;物品!O170&amp;"'")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物品!A179</f>
        <v>0</v>
      </c>
      <c r="B186" s="55" t="str">
        <f>"'"&amp;物品!B179&amp;"'"</f>
        <v>'IS02'</v>
      </c>
      <c r="C186" s="55">
        <f>物品!J179</f>
        <v>0</v>
      </c>
      <c r="D186" s="55">
        <f>物品!K179</f>
        <v>0</v>
      </c>
      <c r="E186" s="55">
        <f>物品!L179</f>
        <v>0</v>
      </c>
      <c r="F186" s="55">
        <f>物品!M179</f>
        <v>0</v>
      </c>
      <c r="G186" s="55">
        <f>物品!N179</f>
        <v>0</v>
      </c>
      <c r="H186" s="55">
        <f>物品!O179</f>
        <v>0</v>
      </c>
      <c r="I186" s="55">
        <f>IF(物品!J179=0,0,"'"&amp;物品!J179&amp;"'")</f>
        <v>0</v>
      </c>
      <c r="J186" s="55">
        <f>IF(物品!K179=0,0,"'"&amp;物品!K179&amp;"'")</f>
        <v>0</v>
      </c>
      <c r="K186" s="55">
        <f>IF(物品!L179=0,0,"'"&amp;物品!L179&amp;"'")</f>
        <v>0</v>
      </c>
      <c r="L186" s="55">
        <f>IF(物品!M179=0,0,"'"&amp;物品!M179&amp;"'")</f>
        <v>0</v>
      </c>
      <c r="M186" s="55">
        <f>IF(物品!N179=0,0,"'"&amp;物品!N179&amp;"'")</f>
        <v>0</v>
      </c>
      <c r="N186" s="55">
        <f>IF(物品!O179=0,0,"'"&amp;物品!O179&amp;"'")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物品!A180</f>
        <v>0</v>
      </c>
      <c r="B187" s="55" t="str">
        <f>"'"&amp;物品!B180&amp;"'"</f>
        <v>'IS03'</v>
      </c>
      <c r="C187" s="55">
        <f>物品!J180</f>
        <v>0</v>
      </c>
      <c r="D187" s="55">
        <f>物品!K180</f>
        <v>0</v>
      </c>
      <c r="E187" s="55">
        <f>物品!L180</f>
        <v>0</v>
      </c>
      <c r="F187" s="55">
        <f>物品!M180</f>
        <v>0</v>
      </c>
      <c r="G187" s="55">
        <f>物品!N180</f>
        <v>0</v>
      </c>
      <c r="H187" s="55">
        <f>物品!O180</f>
        <v>0</v>
      </c>
      <c r="I187" s="55">
        <f>IF(物品!J180=0,0,"'"&amp;物品!J180&amp;"'")</f>
        <v>0</v>
      </c>
      <c r="J187" s="55">
        <f>IF(物品!K180=0,0,"'"&amp;物品!K180&amp;"'")</f>
        <v>0</v>
      </c>
      <c r="K187" s="55">
        <f>IF(物品!L180=0,0,"'"&amp;物品!L180&amp;"'")</f>
        <v>0</v>
      </c>
      <c r="L187" s="55">
        <f>IF(物品!M180=0,0,"'"&amp;物品!M180&amp;"'")</f>
        <v>0</v>
      </c>
      <c r="M187" s="55">
        <f>IF(物品!N180=0,0,"'"&amp;物品!N180&amp;"'")</f>
        <v>0</v>
      </c>
      <c r="N187" s="55">
        <f>IF(物品!O180=0,0,"'"&amp;物品!O180&amp;"'")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物品!A188</f>
        <v>0</v>
      </c>
      <c r="B190" s="55" t="str">
        <f>"'"&amp;物品!B188&amp;"'"</f>
        <v>'IS12'</v>
      </c>
      <c r="C190" s="55">
        <f>物品!J188</f>
        <v>0</v>
      </c>
      <c r="D190" s="55">
        <f>物品!K188</f>
        <v>0</v>
      </c>
      <c r="E190" s="55">
        <f>物品!L188</f>
        <v>0</v>
      </c>
      <c r="F190" s="55">
        <f>物品!M188</f>
        <v>0</v>
      </c>
      <c r="G190" s="55">
        <f>物品!N188</f>
        <v>0</v>
      </c>
      <c r="H190" s="55">
        <f>物品!O188</f>
        <v>0</v>
      </c>
      <c r="I190" s="55">
        <f>IF(物品!J188=0,0,"'"&amp;物品!J188&amp;"'")</f>
        <v>0</v>
      </c>
      <c r="J190" s="55">
        <f>IF(物品!K188=0,0,"'"&amp;物品!K188&amp;"'")</f>
        <v>0</v>
      </c>
      <c r="K190" s="55">
        <f>IF(物品!L188=0,0,"'"&amp;物品!L188&amp;"'")</f>
        <v>0</v>
      </c>
      <c r="L190" s="55">
        <f>IF(物品!M188=0,0,"'"&amp;物品!M188&amp;"'")</f>
        <v>0</v>
      </c>
      <c r="M190" s="55">
        <f>IF(物品!N188=0,0,"'"&amp;物品!N188&amp;"'")</f>
        <v>0</v>
      </c>
      <c r="N190" s="55">
        <f>IF(物品!O188=0,0,"'"&amp;物品!O188&amp;"'")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物品!A216</f>
        <v>0</v>
      </c>
      <c r="B199" s="55" t="str">
        <f>"'"&amp;物品!B216&amp;"'"</f>
        <v>'IF01'</v>
      </c>
      <c r="C199" s="55">
        <f>物品!J216</f>
        <v>0</v>
      </c>
      <c r="D199" s="55">
        <f>物品!K216</f>
        <v>0</v>
      </c>
      <c r="E199" s="55">
        <f>物品!L216</f>
        <v>0</v>
      </c>
      <c r="F199" s="55">
        <f>物品!M216</f>
        <v>0</v>
      </c>
      <c r="G199" s="55">
        <f>物品!N216</f>
        <v>0</v>
      </c>
      <c r="H199" s="55">
        <f>物品!O216</f>
        <v>0</v>
      </c>
      <c r="I199" s="55">
        <f>IF(物品!J216=0,0,"'"&amp;物品!J216&amp;"'")</f>
        <v>0</v>
      </c>
      <c r="J199" s="55">
        <f>IF(物品!K216=0,0,"'"&amp;物品!K216&amp;"'")</f>
        <v>0</v>
      </c>
      <c r="K199" s="55">
        <f>IF(物品!L216=0,0,"'"&amp;物品!L216&amp;"'")</f>
        <v>0</v>
      </c>
      <c r="L199" s="55">
        <f>IF(物品!M216=0,0,"'"&amp;物品!M216&amp;"'")</f>
        <v>0</v>
      </c>
      <c r="M199" s="55">
        <f>IF(物品!N216=0,0,"'"&amp;物品!N216&amp;"'")</f>
        <v>0</v>
      </c>
      <c r="N199" s="55">
        <f>IF(物品!O216=0,0,"'"&amp;物品!O216&amp;"'")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物品!A217</f>
        <v>0</v>
      </c>
      <c r="B200" s="55" t="str">
        <f>"'"&amp;物品!B217&amp;"'"</f>
        <v>'IF02'</v>
      </c>
      <c r="C200" s="55">
        <f>物品!J217</f>
        <v>0</v>
      </c>
      <c r="D200" s="55">
        <f>物品!K217</f>
        <v>0</v>
      </c>
      <c r="E200" s="55">
        <f>物品!L217</f>
        <v>0</v>
      </c>
      <c r="F200" s="55">
        <f>物品!M217</f>
        <v>0</v>
      </c>
      <c r="G200" s="55">
        <f>物品!N217</f>
        <v>0</v>
      </c>
      <c r="H200" s="55">
        <f>物品!O217</f>
        <v>0</v>
      </c>
      <c r="I200" s="55">
        <f>IF(物品!J217=0,0,"'"&amp;物品!J217&amp;"'")</f>
        <v>0</v>
      </c>
      <c r="J200" s="55">
        <f>IF(物品!K217=0,0,"'"&amp;物品!K217&amp;"'")</f>
        <v>0</v>
      </c>
      <c r="K200" s="55">
        <f>IF(物品!L217=0,0,"'"&amp;物品!L217&amp;"'")</f>
        <v>0</v>
      </c>
      <c r="L200" s="55">
        <f>IF(物品!M217=0,0,"'"&amp;物品!M217&amp;"'")</f>
        <v>0</v>
      </c>
      <c r="M200" s="55">
        <f>IF(物品!N217=0,0,"'"&amp;物品!N217&amp;"'")</f>
        <v>0</v>
      </c>
      <c r="N200" s="55">
        <f>IF(物品!O217=0,0,"'"&amp;物品!O217&amp;"'")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物品!A218</f>
        <v>0</v>
      </c>
      <c r="B201" s="55" t="str">
        <f>"'"&amp;物品!B218&amp;"'"</f>
        <v>'IF03'</v>
      </c>
      <c r="C201" s="55">
        <f>物品!J218</f>
        <v>0</v>
      </c>
      <c r="D201" s="55">
        <f>物品!K218</f>
        <v>0</v>
      </c>
      <c r="E201" s="55">
        <f>物品!L218</f>
        <v>0</v>
      </c>
      <c r="F201" s="55">
        <f>物品!M218</f>
        <v>0</v>
      </c>
      <c r="G201" s="55">
        <f>物品!N218</f>
        <v>0</v>
      </c>
      <c r="H201" s="55">
        <f>物品!O218</f>
        <v>0</v>
      </c>
      <c r="I201" s="55">
        <f>IF(物品!J218=0,0,"'"&amp;物品!J218&amp;"'")</f>
        <v>0</v>
      </c>
      <c r="J201" s="55">
        <f>IF(物品!K218=0,0,"'"&amp;物品!K218&amp;"'")</f>
        <v>0</v>
      </c>
      <c r="K201" s="55">
        <f>IF(物品!L218=0,0,"'"&amp;物品!L218&amp;"'")</f>
        <v>0</v>
      </c>
      <c r="L201" s="55">
        <f>IF(物品!M218=0,0,"'"&amp;物品!M218&amp;"'")</f>
        <v>0</v>
      </c>
      <c r="M201" s="55">
        <f>IF(物品!N218=0,0,"'"&amp;物品!N218&amp;"'")</f>
        <v>0</v>
      </c>
      <c r="N201" s="55">
        <f>IF(物品!O218=0,0,"'"&amp;物品!O218&amp;"'")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物品!A219</f>
        <v>0</v>
      </c>
      <c r="B202" s="55" t="str">
        <f>"'"&amp;物品!B219&amp;"'"</f>
        <v>'IF04'</v>
      </c>
      <c r="C202" s="55">
        <f>物品!J219</f>
        <v>0</v>
      </c>
      <c r="D202" s="55">
        <f>物品!K219</f>
        <v>0</v>
      </c>
      <c r="E202" s="55">
        <f>物品!L219</f>
        <v>0</v>
      </c>
      <c r="F202" s="55">
        <f>物品!M219</f>
        <v>0</v>
      </c>
      <c r="G202" s="55">
        <f>物品!N219</f>
        <v>0</v>
      </c>
      <c r="H202" s="55">
        <f>物品!O219</f>
        <v>0</v>
      </c>
      <c r="I202" s="55">
        <f>IF(物品!J219=0,0,"'"&amp;物品!J219&amp;"'")</f>
        <v>0</v>
      </c>
      <c r="J202" s="55">
        <f>IF(物品!K219=0,0,"'"&amp;物品!K219&amp;"'")</f>
        <v>0</v>
      </c>
      <c r="K202" s="55">
        <f>IF(物品!L219=0,0,"'"&amp;物品!L219&amp;"'")</f>
        <v>0</v>
      </c>
      <c r="L202" s="55">
        <f>IF(物品!M219=0,0,"'"&amp;物品!M219&amp;"'")</f>
        <v>0</v>
      </c>
      <c r="M202" s="55">
        <f>IF(物品!N219=0,0,"'"&amp;物品!N219&amp;"'")</f>
        <v>0</v>
      </c>
      <c r="N202" s="55">
        <f>IF(物品!O219=0,0,"'"&amp;物品!O219&amp;"'")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物品!A220</f>
        <v>0</v>
      </c>
      <c r="B203" s="55" t="str">
        <f>"'"&amp;物品!B220&amp;"'"</f>
        <v>'IF05'</v>
      </c>
      <c r="C203" s="55">
        <f>物品!J220</f>
        <v>0</v>
      </c>
      <c r="D203" s="55">
        <f>物品!K220</f>
        <v>0</v>
      </c>
      <c r="E203" s="55">
        <f>物品!L220</f>
        <v>0</v>
      </c>
      <c r="F203" s="55">
        <f>物品!M220</f>
        <v>0</v>
      </c>
      <c r="G203" s="55">
        <f>物品!N220</f>
        <v>0</v>
      </c>
      <c r="H203" s="55">
        <f>物品!O220</f>
        <v>0</v>
      </c>
      <c r="I203" s="55">
        <f>IF(物品!J220=0,0,"'"&amp;物品!J220&amp;"'")</f>
        <v>0</v>
      </c>
      <c r="J203" s="55">
        <f>IF(物品!K220=0,0,"'"&amp;物品!K220&amp;"'")</f>
        <v>0</v>
      </c>
      <c r="K203" s="55">
        <f>IF(物品!L220=0,0,"'"&amp;物品!L220&amp;"'")</f>
        <v>0</v>
      </c>
      <c r="L203" s="55">
        <f>IF(物品!M220=0,0,"'"&amp;物品!M220&amp;"'")</f>
        <v>0</v>
      </c>
      <c r="M203" s="55">
        <f>IF(物品!N220=0,0,"'"&amp;物品!N220&amp;"'")</f>
        <v>0</v>
      </c>
      <c r="N203" s="55">
        <f>IF(物品!O220=0,0,"'"&amp;物品!O220&amp;"'")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物品!A221</f>
        <v>0</v>
      </c>
      <c r="B204" s="55" t="str">
        <f>"'"&amp;物品!B221&amp;"'"</f>
        <v>'IF06'</v>
      </c>
      <c r="C204" s="55">
        <f>物品!J221</f>
        <v>0</v>
      </c>
      <c r="D204" s="55">
        <f>物品!K221</f>
        <v>0</v>
      </c>
      <c r="E204" s="55">
        <f>物品!L221</f>
        <v>0</v>
      </c>
      <c r="F204" s="55">
        <f>物品!M221</f>
        <v>0</v>
      </c>
      <c r="G204" s="55">
        <f>物品!N221</f>
        <v>0</v>
      </c>
      <c r="H204" s="55">
        <f>物品!O221</f>
        <v>0</v>
      </c>
      <c r="I204" s="55">
        <f>IF(物品!J221=0,0,"'"&amp;物品!J221&amp;"'")</f>
        <v>0</v>
      </c>
      <c r="J204" s="55">
        <f>IF(物品!K221=0,0,"'"&amp;物品!K221&amp;"'")</f>
        <v>0</v>
      </c>
      <c r="K204" s="55">
        <f>IF(物品!L221=0,0,"'"&amp;物品!L221&amp;"'")</f>
        <v>0</v>
      </c>
      <c r="L204" s="55">
        <f>IF(物品!M221=0,0,"'"&amp;物品!M221&amp;"'")</f>
        <v>0</v>
      </c>
      <c r="M204" s="55">
        <f>IF(物品!N221=0,0,"'"&amp;物品!N221&amp;"'")</f>
        <v>0</v>
      </c>
      <c r="N204" s="55">
        <f>IF(物品!O221=0,0,"'"&amp;物品!O221&amp;"'")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物品!A222</f>
        <v>0</v>
      </c>
      <c r="B205" s="55" t="str">
        <f>"'"&amp;物品!B222&amp;"'"</f>
        <v>'IF07'</v>
      </c>
      <c r="C205" s="55">
        <f>物品!J222</f>
        <v>0</v>
      </c>
      <c r="D205" s="55">
        <f>物品!K222</f>
        <v>0</v>
      </c>
      <c r="E205" s="55">
        <f>物品!L222</f>
        <v>0</v>
      </c>
      <c r="F205" s="55">
        <f>物品!M222</f>
        <v>0</v>
      </c>
      <c r="G205" s="55">
        <f>物品!N222</f>
        <v>0</v>
      </c>
      <c r="H205" s="55">
        <f>物品!O222</f>
        <v>0</v>
      </c>
      <c r="I205" s="55">
        <f>IF(物品!J222=0,0,"'"&amp;物品!J222&amp;"'")</f>
        <v>0</v>
      </c>
      <c r="J205" s="55">
        <f>IF(物品!K222=0,0,"'"&amp;物品!K222&amp;"'")</f>
        <v>0</v>
      </c>
      <c r="K205" s="55">
        <f>IF(物品!L222=0,0,"'"&amp;物品!L222&amp;"'")</f>
        <v>0</v>
      </c>
      <c r="L205" s="55">
        <f>IF(物品!M222=0,0,"'"&amp;物品!M222&amp;"'")</f>
        <v>0</v>
      </c>
      <c r="M205" s="55">
        <f>IF(物品!N222=0,0,"'"&amp;物品!N222&amp;"'")</f>
        <v>0</v>
      </c>
      <c r="N205" s="55">
        <f>IF(物品!O222=0,0,"'"&amp;物品!O222&amp;"'")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物品!A223</f>
        <v>0</v>
      </c>
      <c r="B206" s="55" t="str">
        <f>"'"&amp;物品!B223&amp;"'"</f>
        <v>'IF08'</v>
      </c>
      <c r="C206" s="55">
        <f>物品!J223</f>
        <v>0</v>
      </c>
      <c r="D206" s="55">
        <f>物品!K223</f>
        <v>0</v>
      </c>
      <c r="E206" s="55">
        <f>物品!L223</f>
        <v>0</v>
      </c>
      <c r="F206" s="55">
        <f>物品!M223</f>
        <v>0</v>
      </c>
      <c r="G206" s="55">
        <f>物品!N223</f>
        <v>0</v>
      </c>
      <c r="H206" s="55">
        <f>物品!O223</f>
        <v>0</v>
      </c>
      <c r="I206" s="55">
        <f>IF(物品!J223=0,0,"'"&amp;物品!J223&amp;"'")</f>
        <v>0</v>
      </c>
      <c r="J206" s="55">
        <f>IF(物品!K223=0,0,"'"&amp;物品!K223&amp;"'")</f>
        <v>0</v>
      </c>
      <c r="K206" s="55">
        <f>IF(物品!L223=0,0,"'"&amp;物品!L223&amp;"'")</f>
        <v>0</v>
      </c>
      <c r="L206" s="55">
        <f>IF(物品!M223=0,0,"'"&amp;物品!M223&amp;"'")</f>
        <v>0</v>
      </c>
      <c r="M206" s="55">
        <f>IF(物品!N223=0,0,"'"&amp;物品!N223&amp;"'")</f>
        <v>0</v>
      </c>
      <c r="N206" s="55">
        <f>IF(物品!O223=0,0,"'"&amp;物品!O223&amp;"'")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物品!A224</f>
        <v>0</v>
      </c>
      <c r="B207" s="55" t="str">
        <f>"'"&amp;物品!B224&amp;"'"</f>
        <v>'IF09'</v>
      </c>
      <c r="C207" s="55">
        <f>物品!J224</f>
        <v>0</v>
      </c>
      <c r="D207" s="55">
        <f>物品!K224</f>
        <v>0</v>
      </c>
      <c r="E207" s="55">
        <f>物品!L224</f>
        <v>0</v>
      </c>
      <c r="F207" s="55">
        <f>物品!M224</f>
        <v>0</v>
      </c>
      <c r="G207" s="55">
        <f>物品!N224</f>
        <v>0</v>
      </c>
      <c r="H207" s="55">
        <f>物品!O224</f>
        <v>0</v>
      </c>
      <c r="I207" s="55">
        <f>IF(物品!J224=0,0,"'"&amp;物品!J224&amp;"'")</f>
        <v>0</v>
      </c>
      <c r="J207" s="55">
        <f>IF(物品!K224=0,0,"'"&amp;物品!K224&amp;"'")</f>
        <v>0</v>
      </c>
      <c r="K207" s="55">
        <f>IF(物品!L224=0,0,"'"&amp;物品!L224&amp;"'")</f>
        <v>0</v>
      </c>
      <c r="L207" s="55">
        <f>IF(物品!M224=0,0,"'"&amp;物品!M224&amp;"'")</f>
        <v>0</v>
      </c>
      <c r="M207" s="55">
        <f>IF(物品!N224=0,0,"'"&amp;物品!N224&amp;"'")</f>
        <v>0</v>
      </c>
      <c r="N207" s="55">
        <f>IF(物品!O224=0,0,"'"&amp;物品!O224&amp;"'")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物品!A225</f>
        <v>0</v>
      </c>
      <c r="B208" s="55" t="str">
        <f>"'"&amp;物品!B225&amp;"'"</f>
        <v>'IF10'</v>
      </c>
      <c r="C208" s="55">
        <f>物品!J225</f>
        <v>0</v>
      </c>
      <c r="D208" s="55">
        <f>物品!K225</f>
        <v>0</v>
      </c>
      <c r="E208" s="55">
        <f>物品!L225</f>
        <v>0</v>
      </c>
      <c r="F208" s="55">
        <f>物品!M225</f>
        <v>0</v>
      </c>
      <c r="G208" s="55">
        <f>物品!N225</f>
        <v>0</v>
      </c>
      <c r="H208" s="55">
        <f>物品!O225</f>
        <v>0</v>
      </c>
      <c r="I208" s="55">
        <f>IF(物品!J225=0,0,"'"&amp;物品!J225&amp;"'")</f>
        <v>0</v>
      </c>
      <c r="J208" s="55">
        <f>IF(物品!K225=0,0,"'"&amp;物品!K225&amp;"'")</f>
        <v>0</v>
      </c>
      <c r="K208" s="55">
        <f>IF(物品!L225=0,0,"'"&amp;物品!L225&amp;"'")</f>
        <v>0</v>
      </c>
      <c r="L208" s="55">
        <f>IF(物品!M225=0,0,"'"&amp;物品!M225&amp;"'")</f>
        <v>0</v>
      </c>
      <c r="M208" s="55">
        <f>IF(物品!N225=0,0,"'"&amp;物品!N225&amp;"'")</f>
        <v>0</v>
      </c>
      <c r="N208" s="55">
        <f>IF(物品!O225=0,0,"'"&amp;物品!O225&amp;"'")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物品!A226</f>
        <v>0</v>
      </c>
      <c r="B209" s="55" t="str">
        <f>"'"&amp;物品!B226&amp;"'"</f>
        <v>'IF11'</v>
      </c>
      <c r="C209" s="55">
        <f>物品!J226</f>
        <v>0</v>
      </c>
      <c r="D209" s="55">
        <f>物品!K226</f>
        <v>0</v>
      </c>
      <c r="E209" s="55">
        <f>物品!L226</f>
        <v>0</v>
      </c>
      <c r="F209" s="55">
        <f>物品!M226</f>
        <v>0</v>
      </c>
      <c r="G209" s="55">
        <f>物品!N226</f>
        <v>0</v>
      </c>
      <c r="H209" s="55">
        <f>物品!O226</f>
        <v>0</v>
      </c>
      <c r="I209" s="55">
        <f>IF(物品!J226=0,0,"'"&amp;物品!J226&amp;"'")</f>
        <v>0</v>
      </c>
      <c r="J209" s="55">
        <f>IF(物品!K226=0,0,"'"&amp;物品!K226&amp;"'")</f>
        <v>0</v>
      </c>
      <c r="K209" s="55">
        <f>IF(物品!L226=0,0,"'"&amp;物品!L226&amp;"'")</f>
        <v>0</v>
      </c>
      <c r="L209" s="55">
        <f>IF(物品!M226=0,0,"'"&amp;物品!M226&amp;"'")</f>
        <v>0</v>
      </c>
      <c r="M209" s="55">
        <f>IF(物品!N226=0,0,"'"&amp;物品!N226&amp;"'")</f>
        <v>0</v>
      </c>
      <c r="N209" s="55">
        <f>IF(物品!O226=0,0,"'"&amp;物品!O226&amp;"'")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物品!A227</f>
        <v>0</v>
      </c>
      <c r="B210" s="55" t="str">
        <f>"'"&amp;物品!B227&amp;"'"</f>
        <v>'IF12'</v>
      </c>
      <c r="C210" s="55">
        <f>物品!J227</f>
        <v>0</v>
      </c>
      <c r="D210" s="55">
        <f>物品!K227</f>
        <v>0</v>
      </c>
      <c r="E210" s="55">
        <f>物品!L227</f>
        <v>0</v>
      </c>
      <c r="F210" s="55">
        <f>物品!M227</f>
        <v>0</v>
      </c>
      <c r="G210" s="55">
        <f>物品!N227</f>
        <v>0</v>
      </c>
      <c r="H210" s="55">
        <f>物品!O227</f>
        <v>0</v>
      </c>
      <c r="I210" s="55">
        <f>IF(物品!J227=0,0,"'"&amp;物品!J227&amp;"'")</f>
        <v>0</v>
      </c>
      <c r="J210" s="55">
        <f>IF(物品!K227=0,0,"'"&amp;物品!K227&amp;"'")</f>
        <v>0</v>
      </c>
      <c r="K210" s="55">
        <f>IF(物品!L227=0,0,"'"&amp;物品!L227&amp;"'")</f>
        <v>0</v>
      </c>
      <c r="L210" s="55">
        <f>IF(物品!M227=0,0,"'"&amp;物品!M227&amp;"'")</f>
        <v>0</v>
      </c>
      <c r="M210" s="55">
        <f>IF(物品!N227=0,0,"'"&amp;物品!N227&amp;"'")</f>
        <v>0</v>
      </c>
      <c r="N210" s="55">
        <f>IF(物品!O227=0,0,"'"&amp;物品!O227&amp;"'")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物品!A228</f>
        <v>0</v>
      </c>
      <c r="B211" s="55" t="str">
        <f>"'"&amp;物品!B228&amp;"'"</f>
        <v>'IF13'</v>
      </c>
      <c r="C211" s="55">
        <f>物品!J228</f>
        <v>0</v>
      </c>
      <c r="D211" s="55">
        <f>物品!K228</f>
        <v>0</v>
      </c>
      <c r="E211" s="55">
        <f>物品!L228</f>
        <v>0</v>
      </c>
      <c r="F211" s="55">
        <f>物品!M228</f>
        <v>0</v>
      </c>
      <c r="G211" s="55">
        <f>物品!N228</f>
        <v>0</v>
      </c>
      <c r="H211" s="55">
        <f>物品!O228</f>
        <v>0</v>
      </c>
      <c r="I211" s="55">
        <f>IF(物品!J228=0,0,"'"&amp;物品!J228&amp;"'")</f>
        <v>0</v>
      </c>
      <c r="J211" s="55">
        <f>IF(物品!K228=0,0,"'"&amp;物品!K228&amp;"'")</f>
        <v>0</v>
      </c>
      <c r="K211" s="55">
        <f>IF(物品!L228=0,0,"'"&amp;物品!L228&amp;"'")</f>
        <v>0</v>
      </c>
      <c r="L211" s="55">
        <f>IF(物品!M228=0,0,"'"&amp;物品!M228&amp;"'")</f>
        <v>0</v>
      </c>
      <c r="M211" s="55">
        <f>IF(物品!N228=0,0,"'"&amp;物品!N228&amp;"'")</f>
        <v>0</v>
      </c>
      <c r="N211" s="55">
        <f>IF(物品!O228=0,0,"'"&amp;物品!O228&amp;"'")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物品!A229</f>
        <v>0</v>
      </c>
      <c r="B212" s="55" t="str">
        <f>"'"&amp;物品!B229&amp;"'"</f>
        <v>'IF14'</v>
      </c>
      <c r="C212" s="55">
        <f>物品!J229</f>
        <v>0</v>
      </c>
      <c r="D212" s="55">
        <f>物品!K229</f>
        <v>0</v>
      </c>
      <c r="E212" s="55">
        <f>物品!L229</f>
        <v>0</v>
      </c>
      <c r="F212" s="55">
        <f>物品!M229</f>
        <v>0</v>
      </c>
      <c r="G212" s="55">
        <f>物品!N229</f>
        <v>0</v>
      </c>
      <c r="H212" s="55">
        <f>物品!O229</f>
        <v>0</v>
      </c>
      <c r="I212" s="55">
        <f>IF(物品!J229=0,0,"'"&amp;物品!J229&amp;"'")</f>
        <v>0</v>
      </c>
      <c r="J212" s="55">
        <f>IF(物品!K229=0,0,"'"&amp;物品!K229&amp;"'")</f>
        <v>0</v>
      </c>
      <c r="K212" s="55">
        <f>IF(物品!L229=0,0,"'"&amp;物品!L229&amp;"'")</f>
        <v>0</v>
      </c>
      <c r="L212" s="55">
        <f>IF(物品!M229=0,0,"'"&amp;物品!M229&amp;"'")</f>
        <v>0</v>
      </c>
      <c r="M212" s="55">
        <f>IF(物品!N229=0,0,"'"&amp;物品!N229&amp;"'")</f>
        <v>0</v>
      </c>
      <c r="N212" s="55">
        <f>IF(物品!O229=0,0,"'"&amp;物品!O229&amp;"'")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物品!A230</f>
        <v>0</v>
      </c>
      <c r="B213" s="55" t="str">
        <f>"'"&amp;物品!B230&amp;"'"</f>
        <v>'IF15'</v>
      </c>
      <c r="C213" s="55">
        <f>物品!J230</f>
        <v>0</v>
      </c>
      <c r="D213" s="55">
        <f>物品!K230</f>
        <v>0</v>
      </c>
      <c r="E213" s="55">
        <f>物品!L230</f>
        <v>0</v>
      </c>
      <c r="F213" s="55">
        <f>物品!M230</f>
        <v>0</v>
      </c>
      <c r="G213" s="55">
        <f>物品!N230</f>
        <v>0</v>
      </c>
      <c r="H213" s="55">
        <f>物品!O230</f>
        <v>0</v>
      </c>
      <c r="I213" s="55">
        <f>IF(物品!J230=0,0,"'"&amp;物品!J230&amp;"'")</f>
        <v>0</v>
      </c>
      <c r="J213" s="55">
        <f>IF(物品!K230=0,0,"'"&amp;物品!K230&amp;"'")</f>
        <v>0</v>
      </c>
      <c r="K213" s="55">
        <f>IF(物品!L230=0,0,"'"&amp;物品!L230&amp;"'")</f>
        <v>0</v>
      </c>
      <c r="L213" s="55">
        <f>IF(物品!M230=0,0,"'"&amp;物品!M230&amp;"'")</f>
        <v>0</v>
      </c>
      <c r="M213" s="55">
        <f>IF(物品!N230=0,0,"'"&amp;物品!N230&amp;"'")</f>
        <v>0</v>
      </c>
      <c r="N213" s="55">
        <f>IF(物品!O230=0,0,"'"&amp;物品!O230&amp;"'")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物品!A231</f>
        <v>0</v>
      </c>
      <c r="B214" s="55" t="str">
        <f>"'"&amp;物品!B231&amp;"'"</f>
        <v>'IF16'</v>
      </c>
      <c r="C214" s="55">
        <f>物品!J231</f>
        <v>0</v>
      </c>
      <c r="D214" s="55">
        <f>物品!K231</f>
        <v>0</v>
      </c>
      <c r="E214" s="55">
        <f>物品!L231</f>
        <v>0</v>
      </c>
      <c r="F214" s="55">
        <f>物品!M231</f>
        <v>0</v>
      </c>
      <c r="G214" s="55">
        <f>物品!N231</f>
        <v>0</v>
      </c>
      <c r="H214" s="55">
        <f>物品!O231</f>
        <v>0</v>
      </c>
      <c r="I214" s="55">
        <f>IF(物品!J231=0,0,"'"&amp;物品!J231&amp;"'")</f>
        <v>0</v>
      </c>
      <c r="J214" s="55">
        <f>IF(物品!K231=0,0,"'"&amp;物品!K231&amp;"'")</f>
        <v>0</v>
      </c>
      <c r="K214" s="55">
        <f>IF(物品!L231=0,0,"'"&amp;物品!L231&amp;"'")</f>
        <v>0</v>
      </c>
      <c r="L214" s="55">
        <f>IF(物品!M231=0,0,"'"&amp;物品!M231&amp;"'")</f>
        <v>0</v>
      </c>
      <c r="M214" s="55">
        <f>IF(物品!N231=0,0,"'"&amp;物品!N231&amp;"'")</f>
        <v>0</v>
      </c>
      <c r="N214" s="55">
        <f>IF(物品!O231=0,0,"'"&amp;物品!O231&amp;"'")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物品!A232</f>
        <v>0</v>
      </c>
      <c r="B215" s="55" t="str">
        <f>"'"&amp;物品!B232&amp;"'"</f>
        <v>'IF17'</v>
      </c>
      <c r="C215" s="55">
        <f>物品!J232</f>
        <v>0</v>
      </c>
      <c r="D215" s="55">
        <f>物品!K232</f>
        <v>0</v>
      </c>
      <c r="E215" s="55">
        <f>物品!L232</f>
        <v>0</v>
      </c>
      <c r="F215" s="55">
        <f>物品!M232</f>
        <v>0</v>
      </c>
      <c r="G215" s="55">
        <f>物品!N232</f>
        <v>0</v>
      </c>
      <c r="H215" s="55">
        <f>物品!O232</f>
        <v>0</v>
      </c>
      <c r="I215" s="55">
        <f>IF(物品!J232=0,0,"'"&amp;物品!J232&amp;"'")</f>
        <v>0</v>
      </c>
      <c r="J215" s="55">
        <f>IF(物品!K232=0,0,"'"&amp;物品!K232&amp;"'")</f>
        <v>0</v>
      </c>
      <c r="K215" s="55">
        <f>IF(物品!L232=0,0,"'"&amp;物品!L232&amp;"'")</f>
        <v>0</v>
      </c>
      <c r="L215" s="55">
        <f>IF(物品!M232=0,0,"'"&amp;物品!M232&amp;"'")</f>
        <v>0</v>
      </c>
      <c r="M215" s="55">
        <f>IF(物品!N232=0,0,"'"&amp;物品!N232&amp;"'")</f>
        <v>0</v>
      </c>
      <c r="N215" s="55">
        <f>IF(物品!O232=0,0,"'"&amp;物品!O232&amp;"'")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物品!A233</f>
        <v>0</v>
      </c>
      <c r="B216" s="55" t="str">
        <f>"'"&amp;物品!B233&amp;"'"</f>
        <v>'IF18'</v>
      </c>
      <c r="C216" s="55">
        <f>物品!J233</f>
        <v>0</v>
      </c>
      <c r="D216" s="55">
        <f>物品!K233</f>
        <v>0</v>
      </c>
      <c r="E216" s="55">
        <f>物品!L233</f>
        <v>0</v>
      </c>
      <c r="F216" s="55">
        <f>物品!M233</f>
        <v>0</v>
      </c>
      <c r="G216" s="55">
        <f>物品!N233</f>
        <v>0</v>
      </c>
      <c r="H216" s="55">
        <f>物品!O233</f>
        <v>0</v>
      </c>
      <c r="I216" s="55">
        <f>IF(物品!J233=0,0,"'"&amp;物品!J233&amp;"'")</f>
        <v>0</v>
      </c>
      <c r="J216" s="55">
        <f>IF(物品!K233=0,0,"'"&amp;物品!K233&amp;"'")</f>
        <v>0</v>
      </c>
      <c r="K216" s="55">
        <f>IF(物品!L233=0,0,"'"&amp;物品!L233&amp;"'")</f>
        <v>0</v>
      </c>
      <c r="L216" s="55">
        <f>IF(物品!M233=0,0,"'"&amp;物品!M233&amp;"'")</f>
        <v>0</v>
      </c>
      <c r="M216" s="55">
        <f>IF(物品!N233=0,0,"'"&amp;物品!N233&amp;"'")</f>
        <v>0</v>
      </c>
      <c r="N216" s="55">
        <f>IF(物品!O233=0,0,"'"&amp;物品!O233&amp;"'")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物品!A234</f>
        <v>0</v>
      </c>
      <c r="B217" s="55" t="str">
        <f>"'"&amp;物品!B234&amp;"'"</f>
        <v>'IF19'</v>
      </c>
      <c r="C217" s="55">
        <f>物品!J234</f>
        <v>0</v>
      </c>
      <c r="D217" s="55">
        <f>物品!K234</f>
        <v>0</v>
      </c>
      <c r="E217" s="55">
        <f>物品!L234</f>
        <v>0</v>
      </c>
      <c r="F217" s="55">
        <f>物品!M234</f>
        <v>0</v>
      </c>
      <c r="G217" s="55">
        <f>物品!N234</f>
        <v>0</v>
      </c>
      <c r="H217" s="55">
        <f>物品!O234</f>
        <v>0</v>
      </c>
      <c r="I217" s="55">
        <f>IF(物品!J234=0,0,"'"&amp;物品!J234&amp;"'")</f>
        <v>0</v>
      </c>
      <c r="J217" s="55">
        <f>IF(物品!K234=0,0,"'"&amp;物品!K234&amp;"'")</f>
        <v>0</v>
      </c>
      <c r="K217" s="55">
        <f>IF(物品!L234=0,0,"'"&amp;物品!L234&amp;"'")</f>
        <v>0</v>
      </c>
      <c r="L217" s="55">
        <f>IF(物品!M234=0,0,"'"&amp;物品!M234&amp;"'")</f>
        <v>0</v>
      </c>
      <c r="M217" s="55">
        <f>IF(物品!N234=0,0,"'"&amp;物品!N234&amp;"'")</f>
        <v>0</v>
      </c>
      <c r="N217" s="55">
        <f>IF(物品!O234=0,0,"'"&amp;物品!O234&amp;"'")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物品!A235</f>
        <v>0</v>
      </c>
      <c r="B218" s="55" t="str">
        <f>"'"&amp;物品!B235&amp;"'"</f>
        <v>'IF20'</v>
      </c>
      <c r="C218" s="55">
        <f>物品!J235</f>
        <v>0</v>
      </c>
      <c r="D218" s="55">
        <f>物品!K235</f>
        <v>0</v>
      </c>
      <c r="E218" s="55">
        <f>物品!L235</f>
        <v>0</v>
      </c>
      <c r="F218" s="55">
        <f>物品!M235</f>
        <v>0</v>
      </c>
      <c r="G218" s="55">
        <f>物品!N235</f>
        <v>0</v>
      </c>
      <c r="H218" s="55">
        <f>物品!O235</f>
        <v>0</v>
      </c>
      <c r="I218" s="55">
        <f>IF(物品!J235=0,0,"'"&amp;物品!J235&amp;"'")</f>
        <v>0</v>
      </c>
      <c r="J218" s="55">
        <f>IF(物品!K235=0,0,"'"&amp;物品!K235&amp;"'")</f>
        <v>0</v>
      </c>
      <c r="K218" s="55">
        <f>IF(物品!L235=0,0,"'"&amp;物品!L235&amp;"'")</f>
        <v>0</v>
      </c>
      <c r="L218" s="55">
        <f>IF(物品!M235=0,0,"'"&amp;物品!M235&amp;"'")</f>
        <v>0</v>
      </c>
      <c r="M218" s="55">
        <f>IF(物品!N235=0,0,"'"&amp;物品!N235&amp;"'")</f>
        <v>0</v>
      </c>
      <c r="N218" s="55">
        <f>IF(物品!O235=0,0,"'"&amp;物品!O235&amp;"'")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物品!A236</f>
        <v>0</v>
      </c>
      <c r="B219" s="55" t="str">
        <f>"'"&amp;物品!B236&amp;"'"</f>
        <v>'IF21'</v>
      </c>
      <c r="C219" s="55">
        <f>物品!J236</f>
        <v>0</v>
      </c>
      <c r="D219" s="55">
        <f>物品!K236</f>
        <v>0</v>
      </c>
      <c r="E219" s="55">
        <f>物品!L236</f>
        <v>0</v>
      </c>
      <c r="F219" s="55">
        <f>物品!M236</f>
        <v>0</v>
      </c>
      <c r="G219" s="55">
        <f>物品!N236</f>
        <v>0</v>
      </c>
      <c r="H219" s="55">
        <f>物品!O236</f>
        <v>0</v>
      </c>
      <c r="I219" s="55">
        <f>IF(物品!J236=0,0,"'"&amp;物品!J236&amp;"'")</f>
        <v>0</v>
      </c>
      <c r="J219" s="55">
        <f>IF(物品!K236=0,0,"'"&amp;物品!K236&amp;"'")</f>
        <v>0</v>
      </c>
      <c r="K219" s="55">
        <f>IF(物品!L236=0,0,"'"&amp;物品!L236&amp;"'")</f>
        <v>0</v>
      </c>
      <c r="L219" s="55">
        <f>IF(物品!M236=0,0,"'"&amp;物品!M236&amp;"'")</f>
        <v>0</v>
      </c>
      <c r="M219" s="55">
        <f>IF(物品!N236=0,0,"'"&amp;物品!N236&amp;"'")</f>
        <v>0</v>
      </c>
      <c r="N219" s="55">
        <f>IF(物品!O236=0,0,"'"&amp;物品!O236&amp;"'")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物品!A237</f>
        <v>0</v>
      </c>
      <c r="B220" s="55" t="str">
        <f>"'"&amp;物品!B237&amp;"'"</f>
        <v>'IF22'</v>
      </c>
      <c r="C220" s="55">
        <f>物品!J237</f>
        <v>0</v>
      </c>
      <c r="D220" s="55">
        <f>物品!K237</f>
        <v>0</v>
      </c>
      <c r="E220" s="55">
        <f>物品!L237</f>
        <v>0</v>
      </c>
      <c r="F220" s="55">
        <f>物品!M237</f>
        <v>0</v>
      </c>
      <c r="G220" s="55">
        <f>物品!N237</f>
        <v>0</v>
      </c>
      <c r="H220" s="55">
        <f>物品!O237</f>
        <v>0</v>
      </c>
      <c r="I220" s="55">
        <f>IF(物品!J237=0,0,"'"&amp;物品!J237&amp;"'")</f>
        <v>0</v>
      </c>
      <c r="J220" s="55">
        <f>IF(物品!K237=0,0,"'"&amp;物品!K237&amp;"'")</f>
        <v>0</v>
      </c>
      <c r="K220" s="55">
        <f>IF(物品!L237=0,0,"'"&amp;物品!L237&amp;"'")</f>
        <v>0</v>
      </c>
      <c r="L220" s="55">
        <f>IF(物品!M237=0,0,"'"&amp;物品!M237&amp;"'")</f>
        <v>0</v>
      </c>
      <c r="M220" s="55">
        <f>IF(物品!N237=0,0,"'"&amp;物品!N237&amp;"'")</f>
        <v>0</v>
      </c>
      <c r="N220" s="55">
        <f>IF(物品!O237=0,0,"'"&amp;物品!O237&amp;"'")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物品!A238</f>
        <v>0</v>
      </c>
      <c r="B221" s="55" t="str">
        <f>"'"&amp;物品!B238&amp;"'"</f>
        <v>'IF23'</v>
      </c>
      <c r="C221" s="55">
        <f>物品!J238</f>
        <v>0</v>
      </c>
      <c r="D221" s="55">
        <f>物品!K238</f>
        <v>0</v>
      </c>
      <c r="E221" s="55">
        <f>物品!L238</f>
        <v>0</v>
      </c>
      <c r="F221" s="55">
        <f>物品!M238</f>
        <v>0</v>
      </c>
      <c r="G221" s="55">
        <f>物品!N238</f>
        <v>0</v>
      </c>
      <c r="H221" s="55">
        <f>物品!O238</f>
        <v>0</v>
      </c>
      <c r="I221" s="55">
        <f>IF(物品!J238=0,0,"'"&amp;物品!J238&amp;"'")</f>
        <v>0</v>
      </c>
      <c r="J221" s="55">
        <f>IF(物品!K238=0,0,"'"&amp;物品!K238&amp;"'")</f>
        <v>0</v>
      </c>
      <c r="K221" s="55">
        <f>IF(物品!L238=0,0,"'"&amp;物品!L238&amp;"'")</f>
        <v>0</v>
      </c>
      <c r="L221" s="55">
        <f>IF(物品!M238=0,0,"'"&amp;物品!M238&amp;"'")</f>
        <v>0</v>
      </c>
      <c r="M221" s="55">
        <f>IF(物品!N238=0,0,"'"&amp;物品!N238&amp;"'")</f>
        <v>0</v>
      </c>
      <c r="N221" s="55">
        <f>IF(物品!O238=0,0,"'"&amp;物品!O238&amp;"'")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物品!A239</f>
        <v>0</v>
      </c>
      <c r="B222" s="55" t="str">
        <f>"'"&amp;物品!B239&amp;"'"</f>
        <v>'IF24'</v>
      </c>
      <c r="C222" s="55">
        <f>物品!J239</f>
        <v>0</v>
      </c>
      <c r="D222" s="55">
        <f>物品!K239</f>
        <v>0</v>
      </c>
      <c r="E222" s="55">
        <f>物品!L239</f>
        <v>0</v>
      </c>
      <c r="F222" s="55">
        <f>物品!M239</f>
        <v>0</v>
      </c>
      <c r="G222" s="55">
        <f>物品!N239</f>
        <v>0</v>
      </c>
      <c r="H222" s="55">
        <f>物品!O239</f>
        <v>0</v>
      </c>
      <c r="I222" s="55">
        <f>IF(物品!J239=0,0,"'"&amp;物品!J239&amp;"'")</f>
        <v>0</v>
      </c>
      <c r="J222" s="55">
        <f>IF(物品!K239=0,0,"'"&amp;物品!K239&amp;"'")</f>
        <v>0</v>
      </c>
      <c r="K222" s="55">
        <f>IF(物品!L239=0,0,"'"&amp;物品!L239&amp;"'")</f>
        <v>0</v>
      </c>
      <c r="L222" s="55">
        <f>IF(物品!M239=0,0,"'"&amp;物品!M239&amp;"'")</f>
        <v>0</v>
      </c>
      <c r="M222" s="55">
        <f>IF(物品!N239=0,0,"'"&amp;物品!N239&amp;"'")</f>
        <v>0</v>
      </c>
      <c r="N222" s="55">
        <f>IF(物品!O239=0,0,"'"&amp;物品!O239&amp;"'")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物品!A240</f>
        <v>0</v>
      </c>
      <c r="B223" s="55" t="str">
        <f>"'"&amp;物品!B240&amp;"'"</f>
        <v>'IF25'</v>
      </c>
      <c r="C223" s="55">
        <f>物品!J240</f>
        <v>0</v>
      </c>
      <c r="D223" s="55">
        <f>物品!K240</f>
        <v>0</v>
      </c>
      <c r="E223" s="55">
        <f>物品!L240</f>
        <v>0</v>
      </c>
      <c r="F223" s="55">
        <f>物品!M240</f>
        <v>0</v>
      </c>
      <c r="G223" s="55">
        <f>物品!N240</f>
        <v>0</v>
      </c>
      <c r="H223" s="55">
        <f>物品!O240</f>
        <v>0</v>
      </c>
      <c r="I223" s="55">
        <f>IF(物品!J240=0,0,"'"&amp;物品!J240&amp;"'")</f>
        <v>0</v>
      </c>
      <c r="J223" s="55">
        <f>IF(物品!K240=0,0,"'"&amp;物品!K240&amp;"'")</f>
        <v>0</v>
      </c>
      <c r="K223" s="55">
        <f>IF(物品!L240=0,0,"'"&amp;物品!L240&amp;"'")</f>
        <v>0</v>
      </c>
      <c r="L223" s="55">
        <f>IF(物品!M240=0,0,"'"&amp;物品!M240&amp;"'")</f>
        <v>0</v>
      </c>
      <c r="M223" s="55">
        <f>IF(物品!N240=0,0,"'"&amp;物品!N240&amp;"'")</f>
        <v>0</v>
      </c>
      <c r="N223" s="55">
        <f>IF(物品!O240=0,0,"'"&amp;物品!O240&amp;"'")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物品!A241</f>
        <v>0</v>
      </c>
      <c r="B224" s="55" t="str">
        <f>"'"&amp;物品!B241&amp;"'"</f>
        <v>'IF26'</v>
      </c>
      <c r="C224" s="55">
        <f>物品!J241</f>
        <v>0</v>
      </c>
      <c r="D224" s="55">
        <f>物品!K241</f>
        <v>0</v>
      </c>
      <c r="E224" s="55">
        <f>物品!L241</f>
        <v>0</v>
      </c>
      <c r="F224" s="55">
        <f>物品!M241</f>
        <v>0</v>
      </c>
      <c r="G224" s="55">
        <f>物品!N241</f>
        <v>0</v>
      </c>
      <c r="H224" s="55">
        <f>物品!O241</f>
        <v>0</v>
      </c>
      <c r="I224" s="55">
        <f>IF(物品!J241=0,0,"'"&amp;物品!J241&amp;"'")</f>
        <v>0</v>
      </c>
      <c r="J224" s="55">
        <f>IF(物品!K241=0,0,"'"&amp;物品!K241&amp;"'")</f>
        <v>0</v>
      </c>
      <c r="K224" s="55">
        <f>IF(物品!L241=0,0,"'"&amp;物品!L241&amp;"'")</f>
        <v>0</v>
      </c>
      <c r="L224" s="55">
        <f>IF(物品!M241=0,0,"'"&amp;物品!M241&amp;"'")</f>
        <v>0</v>
      </c>
      <c r="M224" s="55">
        <f>IF(物品!N241=0,0,"'"&amp;物品!N241&amp;"'")</f>
        <v>0</v>
      </c>
      <c r="N224" s="55">
        <f>IF(物品!O241=0,0,"'"&amp;物品!O241&amp;"'")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物品!A242</f>
        <v>0</v>
      </c>
      <c r="B225" s="55" t="str">
        <f>"'"&amp;物品!B242&amp;"'"</f>
        <v>'IF27'</v>
      </c>
      <c r="C225" s="55">
        <f>物品!J242</f>
        <v>0</v>
      </c>
      <c r="D225" s="55">
        <f>物品!K242</f>
        <v>0</v>
      </c>
      <c r="E225" s="55">
        <f>物品!L242</f>
        <v>0</v>
      </c>
      <c r="F225" s="55">
        <f>物品!M242</f>
        <v>0</v>
      </c>
      <c r="G225" s="55">
        <f>物品!N242</f>
        <v>0</v>
      </c>
      <c r="H225" s="55">
        <f>物品!O242</f>
        <v>0</v>
      </c>
      <c r="I225" s="55">
        <f>IF(物品!J242=0,0,"'"&amp;物品!J242&amp;"'")</f>
        <v>0</v>
      </c>
      <c r="J225" s="55">
        <f>IF(物品!K242=0,0,"'"&amp;物品!K242&amp;"'")</f>
        <v>0</v>
      </c>
      <c r="K225" s="55">
        <f>IF(物品!L242=0,0,"'"&amp;物品!L242&amp;"'")</f>
        <v>0</v>
      </c>
      <c r="L225" s="55">
        <f>IF(物品!M242=0,0,"'"&amp;物品!M242&amp;"'")</f>
        <v>0</v>
      </c>
      <c r="M225" s="55">
        <f>IF(物品!N242=0,0,"'"&amp;物品!N242&amp;"'")</f>
        <v>0</v>
      </c>
      <c r="N225" s="55">
        <f>IF(物品!O242=0,0,"'"&amp;物品!O242&amp;"'")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物品!A249</f>
        <v>0</v>
      </c>
      <c r="B226" s="55" t="str">
        <f>"'"&amp;物品!B249&amp;"'"</f>
        <v>'IC01'</v>
      </c>
      <c r="C226" s="55">
        <f>物品!J249</f>
        <v>0</v>
      </c>
      <c r="D226" s="55">
        <f>物品!K249</f>
        <v>0</v>
      </c>
      <c r="E226" s="55">
        <f>物品!L249</f>
        <v>0</v>
      </c>
      <c r="F226" s="55">
        <f>物品!M249</f>
        <v>0</v>
      </c>
      <c r="G226" s="55">
        <f>物品!N249</f>
        <v>0</v>
      </c>
      <c r="H226" s="55">
        <f>物品!O249</f>
        <v>0</v>
      </c>
      <c r="I226" s="55">
        <f>IF(物品!J249=0,0,"'"&amp;物品!J249&amp;"'")</f>
        <v>0</v>
      </c>
      <c r="J226" s="55">
        <f>IF(物品!K249=0,0,"'"&amp;物品!K249&amp;"'")</f>
        <v>0</v>
      </c>
      <c r="K226" s="55">
        <f>IF(物品!L249=0,0,"'"&amp;物品!L249&amp;"'")</f>
        <v>0</v>
      </c>
      <c r="L226" s="55">
        <f>IF(物品!M249=0,0,"'"&amp;物品!M249&amp;"'")</f>
        <v>0</v>
      </c>
      <c r="M226" s="55">
        <f>IF(物品!N249=0,0,"'"&amp;物品!N249&amp;"'")</f>
        <v>0</v>
      </c>
      <c r="N226" s="55">
        <f>IF(物品!O249=0,0,"'"&amp;物品!O249&amp;"'")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物品!A250</f>
        <v>0</v>
      </c>
      <c r="B227" s="55" t="str">
        <f>"'"&amp;物品!B250&amp;"'"</f>
        <v>'IC02'</v>
      </c>
      <c r="C227" s="55">
        <f>物品!J250</f>
        <v>0</v>
      </c>
      <c r="D227" s="55">
        <f>物品!K250</f>
        <v>0</v>
      </c>
      <c r="E227" s="55">
        <f>物品!L250</f>
        <v>0</v>
      </c>
      <c r="F227" s="55">
        <f>物品!M250</f>
        <v>0</v>
      </c>
      <c r="G227" s="55">
        <f>物品!N250</f>
        <v>0</v>
      </c>
      <c r="H227" s="55">
        <f>物品!O250</f>
        <v>0</v>
      </c>
      <c r="I227" s="55">
        <f>IF(物品!J250=0,0,"'"&amp;物品!J250&amp;"'")</f>
        <v>0</v>
      </c>
      <c r="J227" s="55">
        <f>IF(物品!K250=0,0,"'"&amp;物品!K250&amp;"'")</f>
        <v>0</v>
      </c>
      <c r="K227" s="55">
        <f>IF(物品!L250=0,0,"'"&amp;物品!L250&amp;"'")</f>
        <v>0</v>
      </c>
      <c r="L227" s="55">
        <f>IF(物品!M250=0,0,"'"&amp;物品!M250&amp;"'")</f>
        <v>0</v>
      </c>
      <c r="M227" s="55">
        <f>IF(物品!N250=0,0,"'"&amp;物品!N250&amp;"'")</f>
        <v>0</v>
      </c>
      <c r="N227" s="55">
        <f>IF(物品!O250=0,0,"'"&amp;物品!O250&amp;"'")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物品!A251</f>
        <v>0</v>
      </c>
      <c r="B228" s="55" t="str">
        <f>"'"&amp;物品!B251&amp;"'"</f>
        <v>'IC03'</v>
      </c>
      <c r="C228" s="55">
        <f>物品!J251</f>
        <v>0</v>
      </c>
      <c r="D228" s="55">
        <f>物品!K251</f>
        <v>0</v>
      </c>
      <c r="E228" s="55">
        <f>物品!L251</f>
        <v>0</v>
      </c>
      <c r="F228" s="55">
        <f>物品!M251</f>
        <v>0</v>
      </c>
      <c r="G228" s="55">
        <f>物品!N251</f>
        <v>0</v>
      </c>
      <c r="H228" s="55">
        <f>物品!O251</f>
        <v>0</v>
      </c>
      <c r="I228" s="55">
        <f>IF(物品!J251=0,0,"'"&amp;物品!J251&amp;"'")</f>
        <v>0</v>
      </c>
      <c r="J228" s="55">
        <f>IF(物品!K251=0,0,"'"&amp;物品!K251&amp;"'")</f>
        <v>0</v>
      </c>
      <c r="K228" s="55">
        <f>IF(物品!L251=0,0,"'"&amp;物品!L251&amp;"'")</f>
        <v>0</v>
      </c>
      <c r="L228" s="55">
        <f>IF(物品!M251=0,0,"'"&amp;物品!M251&amp;"'")</f>
        <v>0</v>
      </c>
      <c r="M228" s="55">
        <f>IF(物品!N251=0,0,"'"&amp;物品!N251&amp;"'")</f>
        <v>0</v>
      </c>
      <c r="N228" s="55">
        <f>IF(物品!O251=0,0,"'"&amp;物品!O251&amp;"'")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物品!A252</f>
        <v>0</v>
      </c>
      <c r="B229" s="55" t="str">
        <f>"'"&amp;物品!B252&amp;"'"</f>
        <v>'IC04'</v>
      </c>
      <c r="C229" s="55">
        <f>物品!J252</f>
        <v>0</v>
      </c>
      <c r="D229" s="55">
        <f>物品!K252</f>
        <v>0</v>
      </c>
      <c r="E229" s="55">
        <f>物品!L252</f>
        <v>0</v>
      </c>
      <c r="F229" s="55">
        <f>物品!M252</f>
        <v>0</v>
      </c>
      <c r="G229" s="55">
        <f>物品!N252</f>
        <v>0</v>
      </c>
      <c r="H229" s="55">
        <f>物品!O252</f>
        <v>0</v>
      </c>
      <c r="I229" s="55">
        <f>IF(物品!J252=0,0,"'"&amp;物品!J252&amp;"'")</f>
        <v>0</v>
      </c>
      <c r="J229" s="55">
        <f>IF(物品!K252=0,0,"'"&amp;物品!K252&amp;"'")</f>
        <v>0</v>
      </c>
      <c r="K229" s="55">
        <f>IF(物品!L252=0,0,"'"&amp;物品!L252&amp;"'")</f>
        <v>0</v>
      </c>
      <c r="L229" s="55">
        <f>IF(物品!M252=0,0,"'"&amp;物品!M252&amp;"'")</f>
        <v>0</v>
      </c>
      <c r="M229" s="55">
        <f>IF(物品!N252=0,0,"'"&amp;物品!N252&amp;"'")</f>
        <v>0</v>
      </c>
      <c r="N229" s="55">
        <f>IF(物品!O252=0,0,"'"&amp;物品!O252&amp;"'")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物品!A253</f>
        <v>0</v>
      </c>
      <c r="B230" s="55" t="str">
        <f>"'"&amp;物品!B253&amp;"'"</f>
        <v>'IC05'</v>
      </c>
      <c r="C230" s="55">
        <f>物品!J253</f>
        <v>0</v>
      </c>
      <c r="D230" s="55">
        <f>物品!K253</f>
        <v>0</v>
      </c>
      <c r="E230" s="55">
        <f>物品!L253</f>
        <v>0</v>
      </c>
      <c r="F230" s="55">
        <f>物品!M253</f>
        <v>0</v>
      </c>
      <c r="G230" s="55">
        <f>物品!N253</f>
        <v>0</v>
      </c>
      <c r="H230" s="55">
        <f>物品!O253</f>
        <v>0</v>
      </c>
      <c r="I230" s="55">
        <f>IF(物品!J253=0,0,"'"&amp;物品!J253&amp;"'")</f>
        <v>0</v>
      </c>
      <c r="J230" s="55">
        <f>IF(物品!K253=0,0,"'"&amp;物品!K253&amp;"'")</f>
        <v>0</v>
      </c>
      <c r="K230" s="55">
        <f>IF(物品!L253=0,0,"'"&amp;物品!L253&amp;"'")</f>
        <v>0</v>
      </c>
      <c r="L230" s="55">
        <f>IF(物品!M253=0,0,"'"&amp;物品!M253&amp;"'")</f>
        <v>0</v>
      </c>
      <c r="M230" s="55">
        <f>IF(物品!N253=0,0,"'"&amp;物品!N253&amp;"'")</f>
        <v>0</v>
      </c>
      <c r="N230" s="55">
        <f>IF(物品!O253=0,0,"'"&amp;物品!O253&amp;"'")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物品!A254</f>
        <v>0</v>
      </c>
      <c r="B231" s="55" t="str">
        <f>"'"&amp;物品!B254&amp;"'"</f>
        <v>'IC06'</v>
      </c>
      <c r="C231" s="55">
        <f>物品!J254</f>
        <v>0</v>
      </c>
      <c r="D231" s="55">
        <f>物品!K254</f>
        <v>0</v>
      </c>
      <c r="E231" s="55">
        <f>物品!L254</f>
        <v>0</v>
      </c>
      <c r="F231" s="55">
        <f>物品!M254</f>
        <v>0</v>
      </c>
      <c r="G231" s="55">
        <f>物品!N254</f>
        <v>0</v>
      </c>
      <c r="H231" s="55">
        <f>物品!O254</f>
        <v>0</v>
      </c>
      <c r="I231" s="55">
        <f>IF(物品!J254=0,0,"'"&amp;物品!J254&amp;"'")</f>
        <v>0</v>
      </c>
      <c r="J231" s="55">
        <f>IF(物品!K254=0,0,"'"&amp;物品!K254&amp;"'")</f>
        <v>0</v>
      </c>
      <c r="K231" s="55">
        <f>IF(物品!L254=0,0,"'"&amp;物品!L254&amp;"'")</f>
        <v>0</v>
      </c>
      <c r="L231" s="55">
        <f>IF(物品!M254=0,0,"'"&amp;物品!M254&amp;"'")</f>
        <v>0</v>
      </c>
      <c r="M231" s="55">
        <f>IF(物品!N254=0,0,"'"&amp;物品!N254&amp;"'")</f>
        <v>0</v>
      </c>
      <c r="N231" s="55">
        <f>IF(物品!O254=0,0,"'"&amp;物品!O254&amp;"'")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物品!A255</f>
        <v>0</v>
      </c>
      <c r="B232" s="55" t="str">
        <f>"'"&amp;物品!B255&amp;"'"</f>
        <v>'IC07'</v>
      </c>
      <c r="C232" s="55">
        <f>物品!J255</f>
        <v>0</v>
      </c>
      <c r="D232" s="55">
        <f>物品!K255</f>
        <v>0</v>
      </c>
      <c r="E232" s="55">
        <f>物品!L255</f>
        <v>0</v>
      </c>
      <c r="F232" s="55">
        <f>物品!M255</f>
        <v>0</v>
      </c>
      <c r="G232" s="55">
        <f>物品!N255</f>
        <v>0</v>
      </c>
      <c r="H232" s="55">
        <f>物品!O255</f>
        <v>0</v>
      </c>
      <c r="I232" s="55">
        <f>IF(物品!J255=0,0,"'"&amp;物品!J255&amp;"'")</f>
        <v>0</v>
      </c>
      <c r="J232" s="55">
        <f>IF(物品!K255=0,0,"'"&amp;物品!K255&amp;"'")</f>
        <v>0</v>
      </c>
      <c r="K232" s="55">
        <f>IF(物品!L255=0,0,"'"&amp;物品!L255&amp;"'")</f>
        <v>0</v>
      </c>
      <c r="L232" s="55">
        <f>IF(物品!M255=0,0,"'"&amp;物品!M255&amp;"'")</f>
        <v>0</v>
      </c>
      <c r="M232" s="55">
        <f>IF(物品!N255=0,0,"'"&amp;物品!N255&amp;"'")</f>
        <v>0</v>
      </c>
      <c r="N232" s="55">
        <f>IF(物品!O255=0,0,"'"&amp;物品!O255&amp;"'")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物品!A256</f>
        <v>0</v>
      </c>
      <c r="B233" s="55" t="str">
        <f>"'"&amp;物品!B256&amp;"'"</f>
        <v>'IC08'</v>
      </c>
      <c r="C233" s="55">
        <f>物品!J256</f>
        <v>0</v>
      </c>
      <c r="D233" s="55">
        <f>物品!K256</f>
        <v>0</v>
      </c>
      <c r="E233" s="55">
        <f>物品!L256</f>
        <v>0</v>
      </c>
      <c r="F233" s="55">
        <f>物品!M256</f>
        <v>0</v>
      </c>
      <c r="G233" s="55">
        <f>物品!N256</f>
        <v>0</v>
      </c>
      <c r="H233" s="55">
        <f>物品!O256</f>
        <v>0</v>
      </c>
      <c r="I233" s="55">
        <f>IF(物品!J256=0,0,"'"&amp;物品!J256&amp;"'")</f>
        <v>0</v>
      </c>
      <c r="J233" s="55">
        <f>IF(物品!K256=0,0,"'"&amp;物品!K256&amp;"'")</f>
        <v>0</v>
      </c>
      <c r="K233" s="55">
        <f>IF(物品!L256=0,0,"'"&amp;物品!L256&amp;"'")</f>
        <v>0</v>
      </c>
      <c r="L233" s="55">
        <f>IF(物品!M256=0,0,"'"&amp;物品!M256&amp;"'")</f>
        <v>0</v>
      </c>
      <c r="M233" s="55">
        <f>IF(物品!N256=0,0,"'"&amp;物品!N256&amp;"'")</f>
        <v>0</v>
      </c>
      <c r="N233" s="55">
        <f>IF(物品!O256=0,0,"'"&amp;物品!O256&amp;"'")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物品!A257</f>
        <v>0</v>
      </c>
      <c r="B234" s="55" t="str">
        <f>"'"&amp;物品!B257&amp;"'"</f>
        <v>'IC09'</v>
      </c>
      <c r="C234" s="55">
        <f>物品!J257</f>
        <v>0</v>
      </c>
      <c r="D234" s="55">
        <f>物品!K257</f>
        <v>0</v>
      </c>
      <c r="E234" s="55">
        <f>物品!L257</f>
        <v>0</v>
      </c>
      <c r="F234" s="55">
        <f>物品!M257</f>
        <v>0</v>
      </c>
      <c r="G234" s="55">
        <f>物品!N257</f>
        <v>0</v>
      </c>
      <c r="H234" s="55">
        <f>物品!O257</f>
        <v>0</v>
      </c>
      <c r="I234" s="55">
        <f>IF(物品!J257=0,0,"'"&amp;物品!J257&amp;"'")</f>
        <v>0</v>
      </c>
      <c r="J234" s="55">
        <f>IF(物品!K257=0,0,"'"&amp;物品!K257&amp;"'")</f>
        <v>0</v>
      </c>
      <c r="K234" s="55">
        <f>IF(物品!L257=0,0,"'"&amp;物品!L257&amp;"'")</f>
        <v>0</v>
      </c>
      <c r="L234" s="55">
        <f>IF(物品!M257=0,0,"'"&amp;物品!M257&amp;"'")</f>
        <v>0</v>
      </c>
      <c r="M234" s="55">
        <f>IF(物品!N257=0,0,"'"&amp;物品!N257&amp;"'")</f>
        <v>0</v>
      </c>
      <c r="N234" s="55">
        <f>IF(物品!O257=0,0,"'"&amp;物品!O257&amp;"'")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物品!A258</f>
        <v>0</v>
      </c>
      <c r="B235" s="55" t="str">
        <f>"'"&amp;物品!B258&amp;"'"</f>
        <v>'IC10'</v>
      </c>
      <c r="C235" s="55">
        <f>物品!J258</f>
        <v>0</v>
      </c>
      <c r="D235" s="55">
        <f>物品!K258</f>
        <v>0</v>
      </c>
      <c r="E235" s="55">
        <f>物品!L258</f>
        <v>0</v>
      </c>
      <c r="F235" s="55">
        <f>物品!M258</f>
        <v>0</v>
      </c>
      <c r="G235" s="55">
        <f>物品!N258</f>
        <v>0</v>
      </c>
      <c r="H235" s="55">
        <f>物品!O258</f>
        <v>0</v>
      </c>
      <c r="I235" s="55">
        <f>IF(物品!J258=0,0,"'"&amp;物品!J258&amp;"'")</f>
        <v>0</v>
      </c>
      <c r="J235" s="55">
        <f>IF(物品!K258=0,0,"'"&amp;物品!K258&amp;"'")</f>
        <v>0</v>
      </c>
      <c r="K235" s="55">
        <f>IF(物品!L258=0,0,"'"&amp;物品!L258&amp;"'")</f>
        <v>0</v>
      </c>
      <c r="L235" s="55">
        <f>IF(物品!M258=0,0,"'"&amp;物品!M258&amp;"'")</f>
        <v>0</v>
      </c>
      <c r="M235" s="55">
        <f>IF(物品!N258=0,0,"'"&amp;物品!N258&amp;"'")</f>
        <v>0</v>
      </c>
      <c r="N235" s="55">
        <f>IF(物品!O258=0,0,"'"&amp;物品!O258&amp;"'")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物品!A259</f>
        <v>0</v>
      </c>
      <c r="B236" s="55" t="str">
        <f>"'"&amp;物品!B259&amp;"'"</f>
        <v>'IC11'</v>
      </c>
      <c r="C236" s="55">
        <f>物品!J259</f>
        <v>0</v>
      </c>
      <c r="D236" s="55">
        <f>物品!K259</f>
        <v>0</v>
      </c>
      <c r="E236" s="55">
        <f>物品!L259</f>
        <v>0</v>
      </c>
      <c r="F236" s="55">
        <f>物品!M259</f>
        <v>0</v>
      </c>
      <c r="G236" s="55">
        <f>物品!N259</f>
        <v>0</v>
      </c>
      <c r="H236" s="55">
        <f>物品!O259</f>
        <v>0</v>
      </c>
      <c r="I236" s="55">
        <f>IF(物品!J259=0,0,"'"&amp;物品!J259&amp;"'")</f>
        <v>0</v>
      </c>
      <c r="J236" s="55">
        <f>IF(物品!K259=0,0,"'"&amp;物品!K259&amp;"'")</f>
        <v>0</v>
      </c>
      <c r="K236" s="55">
        <f>IF(物品!L259=0,0,"'"&amp;物品!L259&amp;"'")</f>
        <v>0</v>
      </c>
      <c r="L236" s="55">
        <f>IF(物品!M259=0,0,"'"&amp;物品!M259&amp;"'")</f>
        <v>0</v>
      </c>
      <c r="M236" s="55">
        <f>IF(物品!N259=0,0,"'"&amp;物品!N259&amp;"'")</f>
        <v>0</v>
      </c>
      <c r="N236" s="55">
        <f>IF(物品!O259=0,0,"'"&amp;物品!O259&amp;"'")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物品!A260</f>
        <v>0</v>
      </c>
      <c r="B237" s="55" t="str">
        <f>"'"&amp;物品!B260&amp;"'"</f>
        <v>''</v>
      </c>
      <c r="C237" s="55">
        <f>物品!J260</f>
        <v>0</v>
      </c>
      <c r="D237" s="55">
        <f>物品!K260</f>
        <v>0</v>
      </c>
      <c r="E237" s="55">
        <f>物品!L260</f>
        <v>0</v>
      </c>
      <c r="F237" s="55">
        <f>物品!M260</f>
        <v>0</v>
      </c>
      <c r="G237" s="55">
        <f>物品!N260</f>
        <v>0</v>
      </c>
      <c r="H237" s="55">
        <f>物品!O260</f>
        <v>0</v>
      </c>
      <c r="I237" s="55">
        <f>IF(物品!J260=0,0,"'"&amp;物品!J260&amp;"'")</f>
        <v>0</v>
      </c>
      <c r="J237" s="55">
        <f>IF(物品!K260=0,0,"'"&amp;物品!K260&amp;"'")</f>
        <v>0</v>
      </c>
      <c r="K237" s="55">
        <f>IF(物品!L260=0,0,"'"&amp;物品!L260&amp;"'")</f>
        <v>0</v>
      </c>
      <c r="L237" s="55">
        <f>IF(物品!M260=0,0,"'"&amp;物品!M260&amp;"'")</f>
        <v>0</v>
      </c>
      <c r="M237" s="55">
        <f>IF(物品!N260=0,0,"'"&amp;物品!N260&amp;"'")</f>
        <v>0</v>
      </c>
      <c r="N237" s="55">
        <f>IF(物品!O260=0,0,"'"&amp;物品!O260&amp;"'")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物品!A261</f>
        <v>0</v>
      </c>
      <c r="B238" s="55" t="str">
        <f>"'"&amp;物品!B261&amp;"'"</f>
        <v>''</v>
      </c>
      <c r="C238" s="55">
        <f>物品!J261</f>
        <v>0</v>
      </c>
      <c r="D238" s="55">
        <f>物品!K261</f>
        <v>0</v>
      </c>
      <c r="E238" s="55">
        <f>物品!L261</f>
        <v>0</v>
      </c>
      <c r="F238" s="55">
        <f>物品!M261</f>
        <v>0</v>
      </c>
      <c r="G238" s="55">
        <f>物品!N261</f>
        <v>0</v>
      </c>
      <c r="H238" s="55">
        <f>物品!O261</f>
        <v>0</v>
      </c>
      <c r="I238" s="55">
        <f>IF(物品!J261=0,0,"'"&amp;物品!J261&amp;"'")</f>
        <v>0</v>
      </c>
      <c r="J238" s="55">
        <f>IF(物品!K261=0,0,"'"&amp;物品!K261&amp;"'")</f>
        <v>0</v>
      </c>
      <c r="K238" s="55">
        <f>IF(物品!L261=0,0,"'"&amp;物品!L261&amp;"'")</f>
        <v>0</v>
      </c>
      <c r="L238" s="55">
        <f>IF(物品!M261=0,0,"'"&amp;物品!M261&amp;"'")</f>
        <v>0</v>
      </c>
      <c r="M238" s="55">
        <f>IF(物品!N261=0,0,"'"&amp;物品!N261&amp;"'")</f>
        <v>0</v>
      </c>
      <c r="N238" s="55">
        <f>IF(物品!O261=0,0,"'"&amp;物品!O261&amp;"'")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物品!A262</f>
        <v>0</v>
      </c>
      <c r="B239" s="55" t="str">
        <f>"'"&amp;物品!B262&amp;"'"</f>
        <v>''</v>
      </c>
      <c r="C239" s="55">
        <f>物品!J262</f>
        <v>0</v>
      </c>
      <c r="D239" s="55">
        <f>物品!K262</f>
        <v>0</v>
      </c>
      <c r="E239" s="55">
        <f>物品!L262</f>
        <v>0</v>
      </c>
      <c r="F239" s="55">
        <f>物品!M262</f>
        <v>0</v>
      </c>
      <c r="G239" s="55">
        <f>物品!N262</f>
        <v>0</v>
      </c>
      <c r="H239" s="55">
        <f>物品!O262</f>
        <v>0</v>
      </c>
      <c r="I239" s="55">
        <f>IF(物品!J262=0,0,"'"&amp;物品!J262&amp;"'")</f>
        <v>0</v>
      </c>
      <c r="J239" s="55">
        <f>IF(物品!K262=0,0,"'"&amp;物品!K262&amp;"'")</f>
        <v>0</v>
      </c>
      <c r="K239" s="55">
        <f>IF(物品!L262=0,0,"'"&amp;物品!L262&amp;"'")</f>
        <v>0</v>
      </c>
      <c r="L239" s="55">
        <f>IF(物品!M262=0,0,"'"&amp;物品!M262&amp;"'")</f>
        <v>0</v>
      </c>
      <c r="M239" s="55">
        <f>IF(物品!N262=0,0,"'"&amp;物品!N262&amp;"'")</f>
        <v>0</v>
      </c>
      <c r="N239" s="55">
        <f>IF(物品!O262=0,0,"'"&amp;物品!O262&amp;"'")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物品!A263</f>
        <v>0</v>
      </c>
      <c r="B240" s="55" t="str">
        <f>"'"&amp;物品!B263&amp;"'"</f>
        <v>''</v>
      </c>
      <c r="C240" s="55">
        <f>物品!J263</f>
        <v>0</v>
      </c>
      <c r="D240" s="55">
        <f>物品!K263</f>
        <v>0</v>
      </c>
      <c r="E240" s="55">
        <f>物品!L263</f>
        <v>0</v>
      </c>
      <c r="F240" s="55">
        <f>物品!M263</f>
        <v>0</v>
      </c>
      <c r="G240" s="55">
        <f>物品!N263</f>
        <v>0</v>
      </c>
      <c r="H240" s="55">
        <f>物品!O263</f>
        <v>0</v>
      </c>
      <c r="I240" s="55">
        <f>IF(物品!J263=0,0,"'"&amp;物品!J263&amp;"'")</f>
        <v>0</v>
      </c>
      <c r="J240" s="55">
        <f>IF(物品!K263=0,0,"'"&amp;物品!K263&amp;"'")</f>
        <v>0</v>
      </c>
      <c r="K240" s="55">
        <f>IF(物品!L263=0,0,"'"&amp;物品!L263&amp;"'")</f>
        <v>0</v>
      </c>
      <c r="L240" s="55">
        <f>IF(物品!M263=0,0,"'"&amp;物品!M263&amp;"'")</f>
        <v>0</v>
      </c>
      <c r="M240" s="55">
        <f>IF(物品!N263=0,0,"'"&amp;物品!N263&amp;"'")</f>
        <v>0</v>
      </c>
      <c r="N240" s="55">
        <f>IF(物品!O263=0,0,"'"&amp;物品!O263&amp;"'")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物品!A264</f>
        <v>0</v>
      </c>
      <c r="B241" s="55" t="str">
        <f>"'"&amp;物品!B264&amp;"'"</f>
        <v>''</v>
      </c>
      <c r="C241" s="55">
        <f>物品!J264</f>
        <v>0</v>
      </c>
      <c r="D241" s="55">
        <f>物品!K264</f>
        <v>0</v>
      </c>
      <c r="E241" s="55">
        <f>物品!L264</f>
        <v>0</v>
      </c>
      <c r="F241" s="55">
        <f>物品!M264</f>
        <v>0</v>
      </c>
      <c r="G241" s="55">
        <f>物品!N264</f>
        <v>0</v>
      </c>
      <c r="H241" s="55">
        <f>物品!O264</f>
        <v>0</v>
      </c>
      <c r="I241" s="55">
        <f>IF(物品!J264=0,0,"'"&amp;物品!J264&amp;"'")</f>
        <v>0</v>
      </c>
      <c r="J241" s="55">
        <f>IF(物品!K264=0,0,"'"&amp;物品!K264&amp;"'")</f>
        <v>0</v>
      </c>
      <c r="K241" s="55">
        <f>IF(物品!L264=0,0,"'"&amp;物品!L264&amp;"'")</f>
        <v>0</v>
      </c>
      <c r="L241" s="55">
        <f>IF(物品!M264=0,0,"'"&amp;物品!M264&amp;"'")</f>
        <v>0</v>
      </c>
      <c r="M241" s="55">
        <f>IF(物品!N264=0,0,"'"&amp;物品!N264&amp;"'")</f>
        <v>0</v>
      </c>
      <c r="N241" s="55">
        <f>IF(物品!O264=0,0,"'"&amp;物品!O264&amp;"'")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物品!A265</f>
        <v>0</v>
      </c>
      <c r="B242" s="55" t="str">
        <f>"'"&amp;物品!B265&amp;"'"</f>
        <v>''</v>
      </c>
      <c r="C242" s="55">
        <f>物品!J265</f>
        <v>0</v>
      </c>
      <c r="D242" s="55">
        <f>物品!K265</f>
        <v>0</v>
      </c>
      <c r="E242" s="55">
        <f>物品!L265</f>
        <v>0</v>
      </c>
      <c r="F242" s="55">
        <f>物品!M265</f>
        <v>0</v>
      </c>
      <c r="G242" s="55">
        <f>物品!N265</f>
        <v>0</v>
      </c>
      <c r="H242" s="55">
        <f>物品!O265</f>
        <v>0</v>
      </c>
      <c r="I242" s="55">
        <f>IF(物品!J265=0,0,"'"&amp;物品!J265&amp;"'")</f>
        <v>0</v>
      </c>
      <c r="J242" s="55">
        <f>IF(物品!K265=0,0,"'"&amp;物品!K265&amp;"'")</f>
        <v>0</v>
      </c>
      <c r="K242" s="55">
        <f>IF(物品!L265=0,0,"'"&amp;物品!L265&amp;"'")</f>
        <v>0</v>
      </c>
      <c r="L242" s="55">
        <f>IF(物品!M265=0,0,"'"&amp;物品!M265&amp;"'")</f>
        <v>0</v>
      </c>
      <c r="M242" s="55">
        <f>IF(物品!N265=0,0,"'"&amp;物品!N265&amp;"'")</f>
        <v>0</v>
      </c>
      <c r="N242" s="55">
        <f>IF(物品!O265=0,0,"'"&amp;物品!O265&amp;"'")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物品!A266</f>
        <v>0</v>
      </c>
      <c r="B243" s="55" t="str">
        <f>"'"&amp;物品!B266&amp;"'"</f>
        <v>''</v>
      </c>
      <c r="C243" s="55">
        <f>物品!J266</f>
        <v>0</v>
      </c>
      <c r="D243" s="55">
        <f>物品!K266</f>
        <v>0</v>
      </c>
      <c r="E243" s="55">
        <f>物品!L266</f>
        <v>0</v>
      </c>
      <c r="F243" s="55">
        <f>物品!M266</f>
        <v>0</v>
      </c>
      <c r="G243" s="55">
        <f>物品!N266</f>
        <v>0</v>
      </c>
      <c r="H243" s="55">
        <f>物品!O266</f>
        <v>0</v>
      </c>
      <c r="I243" s="55">
        <f>IF(物品!J266=0,0,"'"&amp;物品!J266&amp;"'")</f>
        <v>0</v>
      </c>
      <c r="J243" s="55">
        <f>IF(物品!K266=0,0,"'"&amp;物品!K266&amp;"'")</f>
        <v>0</v>
      </c>
      <c r="K243" s="55">
        <f>IF(物品!L266=0,0,"'"&amp;物品!L266&amp;"'")</f>
        <v>0</v>
      </c>
      <c r="L243" s="55">
        <f>IF(物品!M266=0,0,"'"&amp;物品!M266&amp;"'")</f>
        <v>0</v>
      </c>
      <c r="M243" s="55">
        <f>IF(物品!N266=0,0,"'"&amp;物品!N266&amp;"'")</f>
        <v>0</v>
      </c>
      <c r="N243" s="55">
        <f>IF(物品!O266=0,0,"'"&amp;物品!O266&amp;"'")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物品!A267</f>
        <v>0</v>
      </c>
      <c r="B244" s="55" t="str">
        <f>"'"&amp;物品!B267&amp;"'"</f>
        <v>''</v>
      </c>
      <c r="C244" s="55">
        <f>物品!J267</f>
        <v>0</v>
      </c>
      <c r="D244" s="55">
        <f>物品!K267</f>
        <v>0</v>
      </c>
      <c r="E244" s="55">
        <f>物品!L267</f>
        <v>0</v>
      </c>
      <c r="F244" s="55">
        <f>物品!M267</f>
        <v>0</v>
      </c>
      <c r="G244" s="55">
        <f>物品!N267</f>
        <v>0</v>
      </c>
      <c r="H244" s="55">
        <f>物品!O267</f>
        <v>0</v>
      </c>
      <c r="I244" s="55">
        <f>IF(物品!J267=0,0,"'"&amp;物品!J267&amp;"'")</f>
        <v>0</v>
      </c>
      <c r="J244" s="55">
        <f>IF(物品!K267=0,0,"'"&amp;物品!K267&amp;"'")</f>
        <v>0</v>
      </c>
      <c r="K244" s="55">
        <f>IF(物品!L267=0,0,"'"&amp;物品!L267&amp;"'")</f>
        <v>0</v>
      </c>
      <c r="L244" s="55">
        <f>IF(物品!M267=0,0,"'"&amp;物品!M267&amp;"'")</f>
        <v>0</v>
      </c>
      <c r="M244" s="55">
        <f>IF(物品!N267=0,0,"'"&amp;物品!N267&amp;"'")</f>
        <v>0</v>
      </c>
      <c r="N244" s="55">
        <f>IF(物品!O267=0,0,"'"&amp;物品!O267&amp;"'")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物品!A268</f>
        <v>0</v>
      </c>
      <c r="B245" s="55" t="str">
        <f>"'"&amp;物品!B268&amp;"'"</f>
        <v>''</v>
      </c>
      <c r="C245" s="55">
        <f>物品!J268</f>
        <v>0</v>
      </c>
      <c r="D245" s="55">
        <f>物品!K268</f>
        <v>0</v>
      </c>
      <c r="E245" s="55">
        <f>物品!L268</f>
        <v>0</v>
      </c>
      <c r="F245" s="55">
        <f>物品!M268</f>
        <v>0</v>
      </c>
      <c r="G245" s="55">
        <f>物品!N268</f>
        <v>0</v>
      </c>
      <c r="H245" s="55">
        <f>物品!O268</f>
        <v>0</v>
      </c>
      <c r="I245" s="55">
        <f>IF(物品!J268=0,0,"'"&amp;物品!J268&amp;"'")</f>
        <v>0</v>
      </c>
      <c r="J245" s="55">
        <f>IF(物品!K268=0,0,"'"&amp;物品!K268&amp;"'")</f>
        <v>0</v>
      </c>
      <c r="K245" s="55">
        <f>IF(物品!L268=0,0,"'"&amp;物品!L268&amp;"'")</f>
        <v>0</v>
      </c>
      <c r="L245" s="55">
        <f>IF(物品!M268=0,0,"'"&amp;物品!M268&amp;"'")</f>
        <v>0</v>
      </c>
      <c r="M245" s="55">
        <f>IF(物品!N268=0,0,"'"&amp;物品!N268&amp;"'")</f>
        <v>0</v>
      </c>
      <c r="N245" s="55">
        <f>IF(物品!O268=0,0,"'"&amp;物品!O268&amp;"'")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物品!A269</f>
        <v>0</v>
      </c>
      <c r="B246" s="55" t="str">
        <f>"'"&amp;物品!B269&amp;"'"</f>
        <v>''</v>
      </c>
      <c r="C246" s="55">
        <f>物品!J269</f>
        <v>0</v>
      </c>
      <c r="D246" s="55">
        <f>物品!K269</f>
        <v>0</v>
      </c>
      <c r="E246" s="55">
        <f>物品!L269</f>
        <v>0</v>
      </c>
      <c r="F246" s="55">
        <f>物品!M269</f>
        <v>0</v>
      </c>
      <c r="G246" s="55">
        <f>物品!N269</f>
        <v>0</v>
      </c>
      <c r="H246" s="55">
        <f>物品!O269</f>
        <v>0</v>
      </c>
      <c r="I246" s="55">
        <f>IF(物品!J269=0,0,"'"&amp;物品!J269&amp;"'")</f>
        <v>0</v>
      </c>
      <c r="J246" s="55">
        <f>IF(物品!K269=0,0,"'"&amp;物品!K269&amp;"'")</f>
        <v>0</v>
      </c>
      <c r="K246" s="55">
        <f>IF(物品!L269=0,0,"'"&amp;物品!L269&amp;"'")</f>
        <v>0</v>
      </c>
      <c r="L246" s="55">
        <f>IF(物品!M269=0,0,"'"&amp;物品!M269&amp;"'")</f>
        <v>0</v>
      </c>
      <c r="M246" s="55">
        <f>IF(物品!N269=0,0,"'"&amp;物品!N269&amp;"'")</f>
        <v>0</v>
      </c>
      <c r="N246" s="55">
        <f>IF(物品!O269=0,0,"'"&amp;物品!O269&amp;"'")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物品!A270</f>
        <v>0</v>
      </c>
      <c r="B247" s="55" t="str">
        <f>"'"&amp;物品!B270&amp;"'"</f>
        <v>''</v>
      </c>
      <c r="C247" s="55">
        <f>物品!J270</f>
        <v>0</v>
      </c>
      <c r="D247" s="55">
        <f>物品!K270</f>
        <v>0</v>
      </c>
      <c r="E247" s="55">
        <f>物品!L270</f>
        <v>0</v>
      </c>
      <c r="F247" s="55">
        <f>物品!M270</f>
        <v>0</v>
      </c>
      <c r="G247" s="55">
        <f>物品!N270</f>
        <v>0</v>
      </c>
      <c r="H247" s="55">
        <f>物品!O270</f>
        <v>0</v>
      </c>
      <c r="I247" s="55">
        <f>IF(物品!J270=0,0,"'"&amp;物品!J270&amp;"'")</f>
        <v>0</v>
      </c>
      <c r="J247" s="55">
        <f>IF(物品!K270=0,0,"'"&amp;物品!K270&amp;"'")</f>
        <v>0</v>
      </c>
      <c r="K247" s="55">
        <f>IF(物品!L270=0,0,"'"&amp;物品!L270&amp;"'")</f>
        <v>0</v>
      </c>
      <c r="L247" s="55">
        <f>IF(物品!M270=0,0,"'"&amp;物品!M270&amp;"'")</f>
        <v>0</v>
      </c>
      <c r="M247" s="55">
        <f>IF(物品!N270=0,0,"'"&amp;物品!N270&amp;"'")</f>
        <v>0</v>
      </c>
      <c r="N247" s="55">
        <f>IF(物品!O270=0,0,"'"&amp;物品!O270&amp;"'")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物品!A271</f>
        <v>0</v>
      </c>
      <c r="B248" s="55" t="str">
        <f>"'"&amp;物品!B271&amp;"'"</f>
        <v>''</v>
      </c>
      <c r="C248" s="55">
        <f>物品!J271</f>
        <v>0</v>
      </c>
      <c r="D248" s="55">
        <f>物品!K271</f>
        <v>0</v>
      </c>
      <c r="E248" s="55">
        <f>物品!L271</f>
        <v>0</v>
      </c>
      <c r="F248" s="55">
        <f>物品!M271</f>
        <v>0</v>
      </c>
      <c r="G248" s="55">
        <f>物品!N271</f>
        <v>0</v>
      </c>
      <c r="H248" s="55">
        <f>物品!O271</f>
        <v>0</v>
      </c>
      <c r="I248" s="55">
        <f>IF(物品!J271=0,0,"'"&amp;物品!J271&amp;"'")</f>
        <v>0</v>
      </c>
      <c r="J248" s="55">
        <f>IF(物品!K271=0,0,"'"&amp;物品!K271&amp;"'")</f>
        <v>0</v>
      </c>
      <c r="K248" s="55">
        <f>IF(物品!L271=0,0,"'"&amp;物品!L271&amp;"'")</f>
        <v>0</v>
      </c>
      <c r="L248" s="55">
        <f>IF(物品!M271=0,0,"'"&amp;物品!M271&amp;"'")</f>
        <v>0</v>
      </c>
      <c r="M248" s="55">
        <f>IF(物品!N271=0,0,"'"&amp;物品!N271&amp;"'")</f>
        <v>0</v>
      </c>
      <c r="N248" s="55">
        <f>IF(物品!O271=0,0,"'"&amp;物品!O271&amp;"'")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物品!A272</f>
        <v>0</v>
      </c>
      <c r="B249" s="55" t="str">
        <f>"'"&amp;物品!B272&amp;"'"</f>
        <v>''</v>
      </c>
      <c r="C249" s="55">
        <f>物品!J272</f>
        <v>0</v>
      </c>
      <c r="D249" s="55">
        <f>物品!K272</f>
        <v>0</v>
      </c>
      <c r="E249" s="55">
        <f>物品!L272</f>
        <v>0</v>
      </c>
      <c r="F249" s="55">
        <f>物品!M272</f>
        <v>0</v>
      </c>
      <c r="G249" s="55">
        <f>物品!N272</f>
        <v>0</v>
      </c>
      <c r="H249" s="55">
        <f>物品!O272</f>
        <v>0</v>
      </c>
      <c r="I249" s="55">
        <f>IF(物品!J272=0,0,"'"&amp;物品!J272&amp;"'")</f>
        <v>0</v>
      </c>
      <c r="J249" s="55">
        <f>IF(物品!K272=0,0,"'"&amp;物品!K272&amp;"'")</f>
        <v>0</v>
      </c>
      <c r="K249" s="55">
        <f>IF(物品!L272=0,0,"'"&amp;物品!L272&amp;"'")</f>
        <v>0</v>
      </c>
      <c r="L249" s="55">
        <f>IF(物品!M272=0,0,"'"&amp;物品!M272&amp;"'")</f>
        <v>0</v>
      </c>
      <c r="M249" s="55">
        <f>IF(物品!N272=0,0,"'"&amp;物品!N272&amp;"'")</f>
        <v>0</v>
      </c>
      <c r="N249" s="55">
        <f>IF(物品!O272=0,0,"'"&amp;物品!O272&amp;"'")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物品!A273</f>
        <v>0</v>
      </c>
      <c r="B250" s="55" t="str">
        <f>"'"&amp;物品!B273&amp;"'"</f>
        <v>''</v>
      </c>
      <c r="C250" s="55">
        <f>物品!J273</f>
        <v>0</v>
      </c>
      <c r="D250" s="55">
        <f>物品!K273</f>
        <v>0</v>
      </c>
      <c r="E250" s="55">
        <f>物品!L273</f>
        <v>0</v>
      </c>
      <c r="F250" s="55">
        <f>物品!M273</f>
        <v>0</v>
      </c>
      <c r="G250" s="55">
        <f>物品!N273</f>
        <v>0</v>
      </c>
      <c r="H250" s="55">
        <f>物品!O273</f>
        <v>0</v>
      </c>
      <c r="I250" s="55">
        <f>IF(物品!J273=0,0,"'"&amp;物品!J273&amp;"'")</f>
        <v>0</v>
      </c>
      <c r="J250" s="55">
        <f>IF(物品!K273=0,0,"'"&amp;物品!K273&amp;"'")</f>
        <v>0</v>
      </c>
      <c r="K250" s="55">
        <f>IF(物品!L273=0,0,"'"&amp;物品!L273&amp;"'")</f>
        <v>0</v>
      </c>
      <c r="L250" s="55">
        <f>IF(物品!M273=0,0,"'"&amp;物品!M273&amp;"'")</f>
        <v>0</v>
      </c>
      <c r="M250" s="55">
        <f>IF(物品!N273=0,0,"'"&amp;物品!N273&amp;"'")</f>
        <v>0</v>
      </c>
      <c r="N250" s="55">
        <f>IF(物品!O273=0,0,"'"&amp;物品!O273&amp;"'")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物品!A274</f>
        <v>0</v>
      </c>
      <c r="B251" s="55" t="str">
        <f>"'"&amp;物品!B274&amp;"'"</f>
        <v>''</v>
      </c>
      <c r="C251" s="55">
        <f>物品!J274</f>
        <v>0</v>
      </c>
      <c r="D251" s="55">
        <f>物品!K274</f>
        <v>0</v>
      </c>
      <c r="E251" s="55">
        <f>物品!L274</f>
        <v>0</v>
      </c>
      <c r="F251" s="55">
        <f>物品!M274</f>
        <v>0</v>
      </c>
      <c r="G251" s="55">
        <f>物品!N274</f>
        <v>0</v>
      </c>
      <c r="H251" s="55">
        <f>物品!O274</f>
        <v>0</v>
      </c>
      <c r="I251" s="55">
        <f>IF(物品!J274=0,0,"'"&amp;物品!J274&amp;"'")</f>
        <v>0</v>
      </c>
      <c r="J251" s="55">
        <f>IF(物品!K274=0,0,"'"&amp;物品!K274&amp;"'")</f>
        <v>0</v>
      </c>
      <c r="K251" s="55">
        <f>IF(物品!L274=0,0,"'"&amp;物品!L274&amp;"'")</f>
        <v>0</v>
      </c>
      <c r="L251" s="55">
        <f>IF(物品!M274=0,0,"'"&amp;物品!M274&amp;"'")</f>
        <v>0</v>
      </c>
      <c r="M251" s="55">
        <f>IF(物品!N274=0,0,"'"&amp;物品!N274&amp;"'")</f>
        <v>0</v>
      </c>
      <c r="N251" s="55">
        <f>IF(物品!O274=0,0,"'"&amp;物品!O274&amp;"'")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物品!A275</f>
        <v>0</v>
      </c>
      <c r="B252" s="55" t="str">
        <f>"'"&amp;物品!B275&amp;"'"</f>
        <v>''</v>
      </c>
      <c r="C252" s="55">
        <f>物品!J275</f>
        <v>0</v>
      </c>
      <c r="D252" s="55">
        <f>物品!K275</f>
        <v>0</v>
      </c>
      <c r="E252" s="55">
        <f>物品!L275</f>
        <v>0</v>
      </c>
      <c r="F252" s="55">
        <f>物品!M275</f>
        <v>0</v>
      </c>
      <c r="G252" s="55">
        <f>物品!N275</f>
        <v>0</v>
      </c>
      <c r="H252" s="55">
        <f>物品!O275</f>
        <v>0</v>
      </c>
      <c r="I252" s="55">
        <f>IF(物品!J275=0,0,"'"&amp;物品!J275&amp;"'")</f>
        <v>0</v>
      </c>
      <c r="J252" s="55">
        <f>IF(物品!K275=0,0,"'"&amp;物品!K275&amp;"'")</f>
        <v>0</v>
      </c>
      <c r="K252" s="55">
        <f>IF(物品!L275=0,0,"'"&amp;物品!L275&amp;"'")</f>
        <v>0</v>
      </c>
      <c r="L252" s="55">
        <f>IF(物品!M275=0,0,"'"&amp;物品!M275&amp;"'")</f>
        <v>0</v>
      </c>
      <c r="M252" s="55">
        <f>IF(物品!N275=0,0,"'"&amp;物品!N275&amp;"'")</f>
        <v>0</v>
      </c>
      <c r="N252" s="55">
        <f>IF(物品!O275=0,0,"'"&amp;物品!O275&amp;"'")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物品!A276</f>
        <v>0</v>
      </c>
      <c r="B253" s="55" t="str">
        <f>"'"&amp;物品!B276&amp;"'"</f>
        <v>''</v>
      </c>
      <c r="C253" s="55">
        <f>物品!J276</f>
        <v>0</v>
      </c>
      <c r="D253" s="55">
        <f>物品!K276</f>
        <v>0</v>
      </c>
      <c r="E253" s="55">
        <f>物品!L276</f>
        <v>0</v>
      </c>
      <c r="F253" s="55">
        <f>物品!M276</f>
        <v>0</v>
      </c>
      <c r="G253" s="55">
        <f>物品!N276</f>
        <v>0</v>
      </c>
      <c r="H253" s="55">
        <f>物品!O276</f>
        <v>0</v>
      </c>
      <c r="I253" s="55">
        <f>IF(物品!J276=0,0,"'"&amp;物品!J276&amp;"'")</f>
        <v>0</v>
      </c>
      <c r="J253" s="55">
        <f>IF(物品!K276=0,0,"'"&amp;物品!K276&amp;"'")</f>
        <v>0</v>
      </c>
      <c r="K253" s="55">
        <f>IF(物品!L276=0,0,"'"&amp;物品!L276&amp;"'")</f>
        <v>0</v>
      </c>
      <c r="L253" s="55">
        <f>IF(物品!M276=0,0,"'"&amp;物品!M276&amp;"'")</f>
        <v>0</v>
      </c>
      <c r="M253" s="55">
        <f>IF(物品!N276=0,0,"'"&amp;物品!N276&amp;"'")</f>
        <v>0</v>
      </c>
      <c r="N253" s="55">
        <f>IF(物品!O276=0,0,"'"&amp;物品!O276&amp;"'")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物品!A277</f>
        <v>0</v>
      </c>
      <c r="B254" s="55" t="str">
        <f>"'"&amp;物品!B277&amp;"'"</f>
        <v>''</v>
      </c>
      <c r="C254" s="55">
        <f>物品!J277</f>
        <v>0</v>
      </c>
      <c r="D254" s="55">
        <f>物品!K277</f>
        <v>0</v>
      </c>
      <c r="E254" s="55">
        <f>物品!L277</f>
        <v>0</v>
      </c>
      <c r="F254" s="55">
        <f>物品!M277</f>
        <v>0</v>
      </c>
      <c r="G254" s="55">
        <f>物品!N277</f>
        <v>0</v>
      </c>
      <c r="H254" s="55">
        <f>物品!O277</f>
        <v>0</v>
      </c>
      <c r="I254" s="55">
        <f>IF(物品!J277=0,0,"'"&amp;物品!J277&amp;"'")</f>
        <v>0</v>
      </c>
      <c r="J254" s="55">
        <f>IF(物品!K277=0,0,"'"&amp;物品!K277&amp;"'")</f>
        <v>0</v>
      </c>
      <c r="K254" s="55">
        <f>IF(物品!L277=0,0,"'"&amp;物品!L277&amp;"'")</f>
        <v>0</v>
      </c>
      <c r="L254" s="55">
        <f>IF(物品!M277=0,0,"'"&amp;物品!M277&amp;"'")</f>
        <v>0</v>
      </c>
      <c r="M254" s="55">
        <f>IF(物品!N277=0,0,"'"&amp;物品!N277&amp;"'")</f>
        <v>0</v>
      </c>
      <c r="N254" s="55">
        <f>IF(物品!O277=0,0,"'"&amp;物品!O277&amp;"'")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物品!A278</f>
        <v>0</v>
      </c>
      <c r="B255" s="55" t="str">
        <f>"'"&amp;物品!B278&amp;"'"</f>
        <v>''</v>
      </c>
      <c r="C255" s="55">
        <f>物品!J278</f>
        <v>0</v>
      </c>
      <c r="D255" s="55">
        <f>物品!K278</f>
        <v>0</v>
      </c>
      <c r="E255" s="55">
        <f>物品!L278</f>
        <v>0</v>
      </c>
      <c r="F255" s="55">
        <f>物品!M278</f>
        <v>0</v>
      </c>
      <c r="G255" s="55">
        <f>物品!N278</f>
        <v>0</v>
      </c>
      <c r="H255" s="55">
        <f>物品!O278</f>
        <v>0</v>
      </c>
      <c r="I255" s="55">
        <f>IF(物品!J278=0,0,"'"&amp;物品!J278&amp;"'")</f>
        <v>0</v>
      </c>
      <c r="J255" s="55">
        <f>IF(物品!K278=0,0,"'"&amp;物品!K278&amp;"'")</f>
        <v>0</v>
      </c>
      <c r="K255" s="55">
        <f>IF(物品!L278=0,0,"'"&amp;物品!L278&amp;"'")</f>
        <v>0</v>
      </c>
      <c r="L255" s="55">
        <f>IF(物品!M278=0,0,"'"&amp;物品!M278&amp;"'")</f>
        <v>0</v>
      </c>
      <c r="M255" s="55">
        <f>IF(物品!N278=0,0,"'"&amp;物品!N278&amp;"'")</f>
        <v>0</v>
      </c>
      <c r="N255" s="55">
        <f>IF(物品!O278=0,0,"'"&amp;物品!O278&amp;"'")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物品!A279</f>
        <v>0</v>
      </c>
      <c r="B256" s="55" t="str">
        <f>"'"&amp;物品!B279&amp;"'"</f>
        <v>''</v>
      </c>
      <c r="C256" s="55">
        <f>物品!J279</f>
        <v>0</v>
      </c>
      <c r="D256" s="55">
        <f>物品!K279</f>
        <v>0</v>
      </c>
      <c r="E256" s="55">
        <f>物品!L279</f>
        <v>0</v>
      </c>
      <c r="F256" s="55">
        <f>物品!M279</f>
        <v>0</v>
      </c>
      <c r="G256" s="55">
        <f>物品!N279</f>
        <v>0</v>
      </c>
      <c r="H256" s="55">
        <f>物品!O279</f>
        <v>0</v>
      </c>
      <c r="I256" s="55">
        <f>IF(物品!J279=0,0,"'"&amp;物品!J279&amp;"'")</f>
        <v>0</v>
      </c>
      <c r="J256" s="55">
        <f>IF(物品!K279=0,0,"'"&amp;物品!K279&amp;"'")</f>
        <v>0</v>
      </c>
      <c r="K256" s="55">
        <f>IF(物品!L279=0,0,"'"&amp;物品!L279&amp;"'")</f>
        <v>0</v>
      </c>
      <c r="L256" s="55">
        <f>IF(物品!M279=0,0,"'"&amp;物品!M279&amp;"'")</f>
        <v>0</v>
      </c>
      <c r="M256" s="55">
        <f>IF(物品!N279=0,0,"'"&amp;物品!N279&amp;"'")</f>
        <v>0</v>
      </c>
      <c r="N256" s="55">
        <f>IF(物品!O279=0,0,"'"&amp;物品!O279&amp;"'")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物品!A280</f>
        <v>0</v>
      </c>
      <c r="B257" s="55" t="str">
        <f>"'"&amp;物品!B280&amp;"'"</f>
        <v>''</v>
      </c>
      <c r="C257" s="55">
        <f>物品!J280</f>
        <v>0</v>
      </c>
      <c r="D257" s="55">
        <f>物品!K280</f>
        <v>0</v>
      </c>
      <c r="E257" s="55">
        <f>物品!L280</f>
        <v>0</v>
      </c>
      <c r="F257" s="55">
        <f>物品!M280</f>
        <v>0</v>
      </c>
      <c r="G257" s="55">
        <f>物品!N280</f>
        <v>0</v>
      </c>
      <c r="H257" s="55">
        <f>物品!O280</f>
        <v>0</v>
      </c>
      <c r="I257" s="55">
        <f>IF(物品!J280=0,0,"'"&amp;物品!J280&amp;"'")</f>
        <v>0</v>
      </c>
      <c r="J257" s="55">
        <f>IF(物品!K280=0,0,"'"&amp;物品!K280&amp;"'")</f>
        <v>0</v>
      </c>
      <c r="K257" s="55">
        <f>IF(物品!L280=0,0,"'"&amp;物品!L280&amp;"'")</f>
        <v>0</v>
      </c>
      <c r="L257" s="55">
        <f>IF(物品!M280=0,0,"'"&amp;物品!M280&amp;"'")</f>
        <v>0</v>
      </c>
      <c r="M257" s="55">
        <f>IF(物品!N280=0,0,"'"&amp;物品!N280&amp;"'")</f>
        <v>0</v>
      </c>
      <c r="N257" s="55">
        <f>IF(物品!O280=0,0,"'"&amp;物品!O280&amp;"'")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物品!A281</f>
        <v>0</v>
      </c>
      <c r="B258" s="55" t="str">
        <f>"'"&amp;物品!B281&amp;"'"</f>
        <v>''</v>
      </c>
      <c r="C258" s="55">
        <f>物品!J281</f>
        <v>0</v>
      </c>
      <c r="D258" s="55">
        <f>物品!K281</f>
        <v>0</v>
      </c>
      <c r="E258" s="55">
        <f>物品!L281</f>
        <v>0</v>
      </c>
      <c r="F258" s="55">
        <f>物品!M281</f>
        <v>0</v>
      </c>
      <c r="G258" s="55">
        <f>物品!N281</f>
        <v>0</v>
      </c>
      <c r="H258" s="55">
        <f>物品!O281</f>
        <v>0</v>
      </c>
      <c r="I258" s="55">
        <f>IF(物品!J281=0,0,"'"&amp;物品!J281&amp;"'")</f>
        <v>0</v>
      </c>
      <c r="J258" s="55">
        <f>IF(物品!K281=0,0,"'"&amp;物品!K281&amp;"'")</f>
        <v>0</v>
      </c>
      <c r="K258" s="55">
        <f>IF(物品!L281=0,0,"'"&amp;物品!L281&amp;"'")</f>
        <v>0</v>
      </c>
      <c r="L258" s="55">
        <f>IF(物品!M281=0,0,"'"&amp;物品!M281&amp;"'")</f>
        <v>0</v>
      </c>
      <c r="M258" s="55">
        <f>IF(物品!N281=0,0,"'"&amp;物品!N281&amp;"'")</f>
        <v>0</v>
      </c>
      <c r="N258" s="55">
        <f>IF(物品!O281=0,0,"'"&amp;物品!O281&amp;"'")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物品!A282</f>
        <v>0</v>
      </c>
      <c r="B259" s="55" t="str">
        <f>"'"&amp;物品!B282&amp;"'"</f>
        <v>''</v>
      </c>
      <c r="C259" s="55">
        <f>物品!J282</f>
        <v>0</v>
      </c>
      <c r="D259" s="55">
        <f>物品!K282</f>
        <v>0</v>
      </c>
      <c r="E259" s="55">
        <f>物品!L282</f>
        <v>0</v>
      </c>
      <c r="F259" s="55">
        <f>物品!M282</f>
        <v>0</v>
      </c>
      <c r="G259" s="55">
        <f>物品!N282</f>
        <v>0</v>
      </c>
      <c r="H259" s="55">
        <f>物品!O282</f>
        <v>0</v>
      </c>
      <c r="I259" s="55">
        <f>IF(物品!J282=0,0,"'"&amp;物品!J282&amp;"'")</f>
        <v>0</v>
      </c>
      <c r="J259" s="55">
        <f>IF(物品!K282=0,0,"'"&amp;物品!K282&amp;"'")</f>
        <v>0</v>
      </c>
      <c r="K259" s="55">
        <f>IF(物品!L282=0,0,"'"&amp;物品!L282&amp;"'")</f>
        <v>0</v>
      </c>
      <c r="L259" s="55">
        <f>IF(物品!M282=0,0,"'"&amp;物品!M282&amp;"'")</f>
        <v>0</v>
      </c>
      <c r="M259" s="55">
        <f>IF(物品!N282=0,0,"'"&amp;物品!N282&amp;"'")</f>
        <v>0</v>
      </c>
      <c r="N259" s="55">
        <f>IF(物品!O282=0,0,"'"&amp;物品!O282&amp;"'")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物品!A283</f>
        <v>0</v>
      </c>
      <c r="B260" s="55" t="str">
        <f>"'"&amp;物品!B283&amp;"'"</f>
        <v>''</v>
      </c>
      <c r="C260" s="55">
        <f>物品!J283</f>
        <v>0</v>
      </c>
      <c r="D260" s="55">
        <f>物品!K283</f>
        <v>0</v>
      </c>
      <c r="E260" s="55">
        <f>物品!L283</f>
        <v>0</v>
      </c>
      <c r="F260" s="55">
        <f>物品!M283</f>
        <v>0</v>
      </c>
      <c r="G260" s="55">
        <f>物品!N283</f>
        <v>0</v>
      </c>
      <c r="H260" s="55">
        <f>物品!O283</f>
        <v>0</v>
      </c>
      <c r="I260" s="55">
        <f>IF(物品!J283=0,0,"'"&amp;物品!J283&amp;"'")</f>
        <v>0</v>
      </c>
      <c r="J260" s="55">
        <f>IF(物品!K283=0,0,"'"&amp;物品!K283&amp;"'")</f>
        <v>0</v>
      </c>
      <c r="K260" s="55">
        <f>IF(物品!L283=0,0,"'"&amp;物品!L283&amp;"'")</f>
        <v>0</v>
      </c>
      <c r="L260" s="55">
        <f>IF(物品!M283=0,0,"'"&amp;物品!M283&amp;"'")</f>
        <v>0</v>
      </c>
      <c r="M260" s="55">
        <f>IF(物品!N283=0,0,"'"&amp;物品!N283&amp;"'")</f>
        <v>0</v>
      </c>
      <c r="N260" s="55">
        <f>IF(物品!O283=0,0,"'"&amp;物品!O283&amp;"'")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物品!A284</f>
        <v>0</v>
      </c>
      <c r="B261" s="55" t="str">
        <f>"'"&amp;物品!B284&amp;"'"</f>
        <v>''</v>
      </c>
      <c r="C261" s="55">
        <f>物品!J284</f>
        <v>0</v>
      </c>
      <c r="D261" s="55">
        <f>物品!K284</f>
        <v>0</v>
      </c>
      <c r="E261" s="55">
        <f>物品!L284</f>
        <v>0</v>
      </c>
      <c r="F261" s="55">
        <f>物品!M284</f>
        <v>0</v>
      </c>
      <c r="G261" s="55">
        <f>物品!N284</f>
        <v>0</v>
      </c>
      <c r="H261" s="55">
        <f>物品!O284</f>
        <v>0</v>
      </c>
      <c r="I261" s="55">
        <f>IF(物品!J284=0,0,"'"&amp;物品!J284&amp;"'")</f>
        <v>0</v>
      </c>
      <c r="J261" s="55">
        <f>IF(物品!K284=0,0,"'"&amp;物品!K284&amp;"'")</f>
        <v>0</v>
      </c>
      <c r="K261" s="55">
        <f>IF(物品!L284=0,0,"'"&amp;物品!L284&amp;"'")</f>
        <v>0</v>
      </c>
      <c r="L261" s="55">
        <f>IF(物品!M284=0,0,"'"&amp;物品!M284&amp;"'")</f>
        <v>0</v>
      </c>
      <c r="M261" s="55">
        <f>IF(物品!N284=0,0,"'"&amp;物品!N284&amp;"'")</f>
        <v>0</v>
      </c>
      <c r="N261" s="55">
        <f>IF(物品!O284=0,0,"'"&amp;物品!O284&amp;"'")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物品!A285</f>
        <v>0</v>
      </c>
      <c r="B262" s="55" t="str">
        <f>"'"&amp;物品!B285&amp;"'"</f>
        <v>''</v>
      </c>
      <c r="C262" s="55">
        <f>物品!J285</f>
        <v>0</v>
      </c>
      <c r="D262" s="55">
        <f>物品!K285</f>
        <v>0</v>
      </c>
      <c r="E262" s="55">
        <f>物品!L285</f>
        <v>0</v>
      </c>
      <c r="F262" s="55">
        <f>物品!M285</f>
        <v>0</v>
      </c>
      <c r="G262" s="55">
        <f>物品!N285</f>
        <v>0</v>
      </c>
      <c r="H262" s="55">
        <f>物品!O285</f>
        <v>0</v>
      </c>
      <c r="I262" s="55">
        <f>IF(物品!J285=0,0,"'"&amp;物品!J285&amp;"'")</f>
        <v>0</v>
      </c>
      <c r="J262" s="55">
        <f>IF(物品!K285=0,0,"'"&amp;物品!K285&amp;"'")</f>
        <v>0</v>
      </c>
      <c r="K262" s="55">
        <f>IF(物品!L285=0,0,"'"&amp;物品!L285&amp;"'")</f>
        <v>0</v>
      </c>
      <c r="L262" s="55">
        <f>IF(物品!M285=0,0,"'"&amp;物品!M285&amp;"'")</f>
        <v>0</v>
      </c>
      <c r="M262" s="55">
        <f>IF(物品!N285=0,0,"'"&amp;物品!N285&amp;"'")</f>
        <v>0</v>
      </c>
      <c r="N262" s="55">
        <f>IF(物品!O285=0,0,"'"&amp;物品!O285&amp;"'")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物品!A286</f>
        <v>0</v>
      </c>
      <c r="B263" s="55" t="str">
        <f>"'"&amp;物品!B286&amp;"'"</f>
        <v>''</v>
      </c>
      <c r="C263" s="55">
        <f>物品!J286</f>
        <v>0</v>
      </c>
      <c r="D263" s="55">
        <f>物品!K286</f>
        <v>0</v>
      </c>
      <c r="E263" s="55">
        <f>物品!L286</f>
        <v>0</v>
      </c>
      <c r="F263" s="55">
        <f>物品!M286</f>
        <v>0</v>
      </c>
      <c r="G263" s="55">
        <f>物品!N286</f>
        <v>0</v>
      </c>
      <c r="H263" s="55">
        <f>物品!O286</f>
        <v>0</v>
      </c>
      <c r="I263" s="55">
        <f>IF(物品!J286=0,0,"'"&amp;物品!J286&amp;"'")</f>
        <v>0</v>
      </c>
      <c r="J263" s="55">
        <f>IF(物品!K286=0,0,"'"&amp;物品!K286&amp;"'")</f>
        <v>0</v>
      </c>
      <c r="K263" s="55">
        <f>IF(物品!L286=0,0,"'"&amp;物品!L286&amp;"'")</f>
        <v>0</v>
      </c>
      <c r="L263" s="55">
        <f>IF(物品!M286=0,0,"'"&amp;物品!M286&amp;"'")</f>
        <v>0</v>
      </c>
      <c r="M263" s="55">
        <f>IF(物品!N286=0,0,"'"&amp;物品!N286&amp;"'")</f>
        <v>0</v>
      </c>
      <c r="N263" s="55">
        <f>IF(物品!O286=0,0,"'"&amp;物品!O286&amp;"'")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805</v>
      </c>
      <c r="H1" s="39" t="s">
        <v>806</v>
      </c>
      <c r="I1" s="43" t="s">
        <v>807</v>
      </c>
      <c r="J1" s="44" t="s">
        <v>803</v>
      </c>
      <c r="K1" s="45" t="s">
        <v>125</v>
      </c>
      <c r="L1" s="46" t="s">
        <v>126</v>
      </c>
      <c r="M1" s="47" t="s">
        <v>808</v>
      </c>
      <c r="N1" s="48" t="s">
        <v>809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IF(物品!B152="",0,"'"&amp;物品!B152&amp;"'")</f>
        <v>'IP01'</v>
      </c>
      <c r="B93" t="e">
        <f>物品!#REF!</f>
        <v>#REF!</v>
      </c>
      <c r="C93">
        <f>物品!E152</f>
        <v>0</v>
      </c>
      <c r="D93">
        <f>物品!F152</f>
        <v>0</v>
      </c>
      <c r="E93">
        <f>IF(ISTEXT(物品!G152)=TRUE,"'"&amp;物品!G152&amp;"'",物品!G152)</f>
        <v>0</v>
      </c>
      <c r="F93">
        <f>IF(ISTEXT(物品!H152)=TRUE,"'"&amp;物品!H152&amp;"'",物品!H152)</f>
        <v>0</v>
      </c>
      <c r="G93">
        <f>IF(物品!I152="",0,"'"&amp;物品!I152&amp;"'")</f>
        <v>0</v>
      </c>
      <c r="H93">
        <f>IF(物品!R152="",0,物品!R152)</f>
        <v>0</v>
      </c>
      <c r="I93">
        <f>IF(物品!S152="",0,物品!S152)</f>
        <v>0</v>
      </c>
      <c r="J93" t="str">
        <f>IF(物品!C152="",0,""""&amp;物品!C152&amp;"""")</f>
        <v>"|CffFF0000时渊入场券|r"</v>
      </c>
      <c r="K93" t="str">
        <f>IF(物品!T152="","""""",""""&amp;物品!T152&amp;"""")</f>
        <v>"每次|Cffffd24d完成|r时渊副本将消耗|Cffffd24d1|r个|Cffffd24d时渊入场券|r"</v>
      </c>
      <c r="L93" t="str">
        <f>IF(物品!U152="",0,""""&amp;物品!U152&amp;"""")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IF(物品!B153="",0,"'"&amp;物品!B153&amp;"'")</f>
        <v>'IP02'</v>
      </c>
      <c r="B94">
        <f>物品!D113</f>
        <v>0</v>
      </c>
      <c r="C94">
        <f>物品!E153</f>
        <v>0</v>
      </c>
      <c r="D94">
        <f>物品!F153</f>
        <v>0</v>
      </c>
      <c r="E94">
        <f>IF(ISTEXT(物品!G153)=TRUE,"'"&amp;物品!G153&amp;"'",物品!G153)</f>
        <v>0</v>
      </c>
      <c r="F94">
        <f>IF(ISTEXT(物品!H153)=TRUE,"'"&amp;物品!H153&amp;"'",物品!H153)</f>
        <v>0</v>
      </c>
      <c r="G94">
        <f>IF(物品!I153="",0,"'"&amp;物品!I153&amp;"'")</f>
        <v>0</v>
      </c>
      <c r="H94">
        <f>IF(物品!R153="",0,物品!R153)</f>
        <v>0</v>
      </c>
      <c r="I94">
        <f>IF(物品!S153="",0,物品!S153)</f>
        <v>0</v>
      </c>
      <c r="J94" t="str">
        <f>IF(物品!C153="",0,""""&amp;物品!C153&amp;"""")</f>
        <v>"|CffFFD24D补天石|r"</v>
      </c>
      <c r="K94" t="str">
        <f>IF(物品!T153="","""""",""""&amp;物品!T153&amp;"""")</f>
        <v>"点击|Cffffc926选中指定法宝|r后，再点击|Cffffc926重铸|r，可|Cffffc926重置|r指定法宝，|Cffffc926品质不变|r。|n|n|Cff00ff7f每次重铸消耗1个补天石|r"</v>
      </c>
      <c r="L94" t="str">
        <f>IF(物品!U153="",0,""""&amp;物品!U153&amp;"""")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IF(物品!B154="",0,"'"&amp;物品!B154&amp;"'")</f>
        <v>'IP03'</v>
      </c>
      <c r="B95">
        <f>物品!D114</f>
        <v>0</v>
      </c>
      <c r="C95">
        <f>物品!E154</f>
        <v>0</v>
      </c>
      <c r="D95">
        <f>物品!F154</f>
        <v>0</v>
      </c>
      <c r="E95">
        <f>IF(ISTEXT(物品!G154)=TRUE,"'"&amp;物品!G154&amp;"'",物品!G154)</f>
        <v>0</v>
      </c>
      <c r="F95">
        <f>IF(ISTEXT(物品!H154)=TRUE,"'"&amp;物品!H154&amp;"'",物品!H154)</f>
        <v>0</v>
      </c>
      <c r="G95">
        <f>IF(物品!I154="",0,"'"&amp;物品!I154&amp;"'")</f>
        <v>0</v>
      </c>
      <c r="H95">
        <f>IF(物品!R154="",0,物品!R154)</f>
        <v>0</v>
      </c>
      <c r="I95">
        <f>IF(物品!S154="",0,物品!S154)</f>
        <v>0</v>
      </c>
      <c r="J95" t="str">
        <f>IF(物品!C154="",0,""""&amp;物品!C154&amp;"""")</f>
        <v>"|CffFF0000鸿蒙结晶|r"</v>
      </c>
      <c r="K95" t="str">
        <f>IF(物品!T154="","""""",""""&amp;物品!T154&amp;"""")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IF(物品!U154="",0,""""&amp;物品!U154&amp;"""")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IF(物品!B161="",0,"'"&amp;物品!B161&amp;"'")</f>
        <v>'IT01'</v>
      </c>
      <c r="B96">
        <f>物品!D115</f>
        <v>0</v>
      </c>
      <c r="C96">
        <f>物品!E161</f>
        <v>0</v>
      </c>
      <c r="D96">
        <f>物品!F161</f>
        <v>0</v>
      </c>
      <c r="E96">
        <f>IF(ISTEXT(物品!G161)=TRUE,"'"&amp;物品!G161&amp;"'",物品!G161)</f>
        <v>0</v>
      </c>
      <c r="F96">
        <f>IF(ISTEXT(物品!H161)=TRUE,"'"&amp;物品!H161&amp;"'",物品!H161)</f>
        <v>0</v>
      </c>
      <c r="G96">
        <f>IF(物品!I161="",0,"'"&amp;物品!I161&amp;"'")</f>
        <v>0</v>
      </c>
      <c r="H96">
        <f>IF(物品!R161="",0,物品!R161)</f>
        <v>-8086</v>
      </c>
      <c r="I96">
        <f>IF(物品!S161="",0,物品!S161)</f>
        <v>-3245</v>
      </c>
      <c r="J96" t="str">
        <f>IF(物品!C161="",0,""""&amp;物品!C161&amp;"""")</f>
        <v>"噬心劫"</v>
      </c>
      <c r="K96" t="str">
        <f>IF(物品!T161="","""""",""""&amp;物品!T161&amp;"""")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IF(物品!U161="",0,""""&amp;物品!U161&amp;"""")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IF(物品!B162="",0,"'"&amp;物品!B162&amp;"'")</f>
        <v>'IT02'</v>
      </c>
      <c r="B97">
        <f>物品!D116</f>
        <v>0</v>
      </c>
      <c r="C97">
        <f>物品!E162</f>
        <v>0</v>
      </c>
      <c r="D97">
        <f>物品!F162</f>
        <v>0</v>
      </c>
      <c r="E97">
        <f>IF(ISTEXT(物品!G162)=TRUE,"'"&amp;物品!G162&amp;"'",物品!G162)</f>
        <v>0</v>
      </c>
      <c r="F97">
        <f>IF(ISTEXT(物品!H162)=TRUE,"'"&amp;物品!H162&amp;"'",物品!H162)</f>
        <v>0</v>
      </c>
      <c r="G97">
        <f>IF(物品!I162="",0,"'"&amp;物品!I162&amp;"'")</f>
        <v>0</v>
      </c>
      <c r="H97">
        <f>IF(物品!R162="",0,物品!R162)</f>
        <v>-7991</v>
      </c>
      <c r="I97">
        <f>IF(物品!S162="",0,物品!S162)</f>
        <v>-2312</v>
      </c>
      <c r="J97" t="str">
        <f>IF(物品!C162="",0,""""&amp;物品!C162&amp;"""")</f>
        <v>"三重轰雷劫"</v>
      </c>
      <c r="K97" t="str">
        <f>IF(物品!T162="","""""",""""&amp;物品!T162&amp;"""")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IF(物品!U162="",0,""""&amp;物品!U162&amp;"""")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IF(物品!B163="",0,"'"&amp;物品!B163&amp;"'")</f>
        <v>'IT03'</v>
      </c>
      <c r="B98">
        <f>物品!D117</f>
        <v>0</v>
      </c>
      <c r="C98">
        <f>物品!E163</f>
        <v>0</v>
      </c>
      <c r="D98">
        <f>物品!F163</f>
        <v>0</v>
      </c>
      <c r="E98">
        <f>IF(ISTEXT(物品!G163)=TRUE,"'"&amp;物品!G163&amp;"'",物品!G163)</f>
        <v>0</v>
      </c>
      <c r="F98">
        <f>IF(ISTEXT(物品!H163)=TRUE,"'"&amp;物品!H163&amp;"'",物品!H163)</f>
        <v>0</v>
      </c>
      <c r="G98">
        <f>IF(物品!I163="",0,"'"&amp;物品!I163&amp;"'")</f>
        <v>0</v>
      </c>
      <c r="H98">
        <f>IF(物品!R163="",0,物品!R163)</f>
        <v>-8089</v>
      </c>
      <c r="I98">
        <f>IF(物品!S163="",0,物品!S163)</f>
        <v>-1230</v>
      </c>
      <c r="J98" t="str">
        <f>IF(物品!C163="",0,""""&amp;物品!C163&amp;"""")</f>
        <v>"|Cff00FF7F六重天雷劫|r"</v>
      </c>
      <c r="K98" t="str">
        <f>IF(物品!T163="","""""",""""&amp;物品!T163&amp;"""")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IF(物品!U163="",0,""""&amp;物品!U163&amp;"""")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IF(物品!B164="",0,"'"&amp;物品!B164&amp;"'")</f>
        <v>'IT04'</v>
      </c>
      <c r="B99">
        <f>物品!D118</f>
        <v>0</v>
      </c>
      <c r="C99">
        <f>物品!E164</f>
        <v>0</v>
      </c>
      <c r="D99">
        <f>物品!F164</f>
        <v>0</v>
      </c>
      <c r="E99">
        <f>IF(ISTEXT(物品!G164)=TRUE,"'"&amp;物品!G164&amp;"'",物品!G164)</f>
        <v>0</v>
      </c>
      <c r="F99">
        <f>IF(ISTEXT(物品!H164)=TRUE,"'"&amp;物品!H164&amp;"'",物品!H164)</f>
        <v>0</v>
      </c>
      <c r="G99">
        <f>IF(物品!I164="",0,"'"&amp;物品!I164&amp;"'")</f>
        <v>0</v>
      </c>
      <c r="H99">
        <f>IF(物品!R164="",0,物品!R164)</f>
        <v>-7794</v>
      </c>
      <c r="I99">
        <f>IF(物品!S164="",0,物品!S164)</f>
        <v>195</v>
      </c>
      <c r="J99" t="str">
        <f>IF(物品!C164="",0,""""&amp;物品!C164&amp;"""")</f>
        <v>"|Cff00FF7F九重煅神劫|r"</v>
      </c>
      <c r="K99" t="str">
        <f>IF(物品!T164="","""""",""""&amp;物品!T164&amp;"""")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IF(物品!U164="",0,""""&amp;物品!U164&amp;"""")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IF(物品!B165="",0,"'"&amp;物品!B165&amp;"'")</f>
        <v>'IT05'</v>
      </c>
      <c r="B100">
        <f>物品!D120</f>
        <v>0</v>
      </c>
      <c r="C100">
        <f>物品!E165</f>
        <v>0</v>
      </c>
      <c r="D100">
        <f>物品!F165</f>
        <v>0</v>
      </c>
      <c r="E100">
        <f>IF(ISTEXT(物品!G165)=TRUE,"'"&amp;物品!G165&amp;"'",物品!G165)</f>
        <v>0</v>
      </c>
      <c r="F100">
        <f>IF(ISTEXT(物品!H165)=TRUE,"'"&amp;物品!H165&amp;"'",物品!H165)</f>
        <v>0</v>
      </c>
      <c r="G100">
        <f>IF(物品!I165="",0,"'"&amp;物品!I165&amp;"'")</f>
        <v>0</v>
      </c>
      <c r="H100">
        <f>IF(物品!R165="",0,物品!R165)</f>
        <v>-8110</v>
      </c>
      <c r="I100">
        <f>IF(物品!S165="",0,物品!S165)</f>
        <v>1810</v>
      </c>
      <c r="J100" t="str">
        <f>IF(物品!C165="",0,""""&amp;物品!C165&amp;"""")</f>
        <v>"|Cff00BFFF灭魄血煞劫|r"</v>
      </c>
      <c r="K100" t="str">
        <f>IF(物品!T165="","""""",""""&amp;物品!T165&amp;"""")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IF(物品!U165="",0,""""&amp;物品!U165&amp;"""")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IF(物品!B166="",0,"'"&amp;物品!B166&amp;"'")</f>
        <v>'IT06'</v>
      </c>
      <c r="B101">
        <f>物品!D121</f>
        <v>0</v>
      </c>
      <c r="C101">
        <f>物品!E166</f>
        <v>0</v>
      </c>
      <c r="D101">
        <f>物品!F166</f>
        <v>0</v>
      </c>
      <c r="E101">
        <f>IF(ISTEXT(物品!G166)=TRUE,"'"&amp;物品!G166&amp;"'",物品!G166)</f>
        <v>0</v>
      </c>
      <c r="F101">
        <f>IF(ISTEXT(物品!H166)=TRUE,"'"&amp;物品!H166&amp;"'",物品!H166)</f>
        <v>0</v>
      </c>
      <c r="G101">
        <f>IF(物品!I166="",0,"'"&amp;物品!I166&amp;"'")</f>
        <v>0</v>
      </c>
      <c r="H101">
        <f>IF(物品!R166="",0,物品!R166)</f>
        <v>-7896</v>
      </c>
      <c r="I101">
        <f>IF(物品!S166="",0,物品!S166)</f>
        <v>3839</v>
      </c>
      <c r="J101" t="str">
        <f>IF(物品!C166="",0,""""&amp;物品!C166&amp;"""")</f>
        <v>"|Cff00BFFF入微洞虚劫|r"</v>
      </c>
      <c r="K101" t="str">
        <f>IF(物品!T166="","""""",""""&amp;物品!T166&amp;"""")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IF(物品!U166="",0,""""&amp;物品!U166&amp;"""")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IF(物品!B167="",0,"'"&amp;物品!B167&amp;"'")</f>
        <v>'IT07'</v>
      </c>
      <c r="B102">
        <f>物品!D122</f>
        <v>0</v>
      </c>
      <c r="C102">
        <f>物品!E167</f>
        <v>0</v>
      </c>
      <c r="D102">
        <f>物品!F167</f>
        <v>0</v>
      </c>
      <c r="E102">
        <f>IF(ISTEXT(物品!G167)=TRUE,"'"&amp;物品!G167&amp;"'",物品!G167)</f>
        <v>0</v>
      </c>
      <c r="F102">
        <f>IF(ISTEXT(物品!H167)=TRUE,"'"&amp;物品!H167&amp;"'",物品!H167)</f>
        <v>0</v>
      </c>
      <c r="G102">
        <f>IF(物品!I167="",0,"'"&amp;物品!I167&amp;"'")</f>
        <v>0</v>
      </c>
      <c r="H102">
        <f>IF(物品!R167="",0,物品!R167)</f>
        <v>-7896</v>
      </c>
      <c r="I102">
        <f>IF(物品!S167="",0,物品!S167)</f>
        <v>5906</v>
      </c>
      <c r="J102" t="str">
        <f>IF(物品!C167="",0,""""&amp;物品!C167&amp;"""")</f>
        <v>"|CffFFD24D因果厄难劫|r"</v>
      </c>
      <c r="K102" t="str">
        <f>IF(物品!T167="","""""",""""&amp;物品!T167&amp;"""")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IF(物品!U167="",0,""""&amp;物品!U167&amp;"""")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IF(物品!B168="",0,"'"&amp;物品!B168&amp;"'")</f>
        <v>'IT08'</v>
      </c>
      <c r="B103">
        <f>物品!D123</f>
        <v>0</v>
      </c>
      <c r="C103">
        <f>物品!E168</f>
        <v>0</v>
      </c>
      <c r="D103">
        <f>物品!F168</f>
        <v>0</v>
      </c>
      <c r="E103">
        <f>IF(ISTEXT(物品!G168)=TRUE,"'"&amp;物品!G168&amp;"'",物品!G168)</f>
        <v>0</v>
      </c>
      <c r="F103">
        <f>IF(ISTEXT(物品!H168)=TRUE,"'"&amp;物品!H168&amp;"'",物品!H168)</f>
        <v>0</v>
      </c>
      <c r="G103">
        <f>IF(物品!I168="",0,"'"&amp;物品!I168&amp;"'")</f>
        <v>0</v>
      </c>
      <c r="H103">
        <f>IF(物品!R168="",0,物品!R168)</f>
        <v>-7970</v>
      </c>
      <c r="I103">
        <f>IF(物品!S168="",0,物品!S168)</f>
        <v>7965</v>
      </c>
      <c r="J103" t="str">
        <f>IF(物品!C168="",0,""""&amp;物品!C168&amp;"""")</f>
        <v>"|CffFFD24D迷魂幻世劫|r"</v>
      </c>
      <c r="K103" t="str">
        <f>IF(物品!T168="","""""",""""&amp;物品!T168&amp;"""")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IF(物品!U168="",0,""""&amp;物品!U168&amp;"""")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IF(物品!B169="",0,"'"&amp;物品!B169&amp;"'")</f>
        <v>'IT09'</v>
      </c>
      <c r="B104" t="e">
        <f>物品!#REF!</f>
        <v>#REF!</v>
      </c>
      <c r="C104">
        <f>物品!E169</f>
        <v>0</v>
      </c>
      <c r="D104">
        <f>物品!F169</f>
        <v>0</v>
      </c>
      <c r="E104">
        <f>IF(ISTEXT(物品!G169)=TRUE,"'"&amp;物品!G169&amp;"'",物品!G169)</f>
        <v>0</v>
      </c>
      <c r="F104">
        <f>IF(ISTEXT(物品!H169)=TRUE,"'"&amp;物品!H169&amp;"'",物品!H169)</f>
        <v>0</v>
      </c>
      <c r="G104">
        <f>IF(物品!I169="",0,"'"&amp;物品!I169&amp;"'")</f>
        <v>0</v>
      </c>
      <c r="H104">
        <f>IF(物品!R169="",0,物品!R169)</f>
        <v>2100</v>
      </c>
      <c r="I104">
        <f>IF(物品!S169="",0,物品!S169)</f>
        <v>-5120</v>
      </c>
      <c r="J104" t="str">
        <f>IF(物品!C169="",0,""""&amp;物品!C169&amp;"""")</f>
        <v>"|CffFF0000天人五衰劫|r"</v>
      </c>
      <c r="K104" t="str">
        <f>IF(物品!T169="","""""",""""&amp;物品!T169&amp;"""")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IF(物品!U169="",0,""""&amp;物品!U169&amp;"""")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IF(物品!B170="",0,"'"&amp;物品!B170&amp;"'")</f>
        <v>'IT10'</v>
      </c>
      <c r="B105" t="e">
        <f>物品!#REF!</f>
        <v>#REF!</v>
      </c>
      <c r="C105">
        <f>物品!E170</f>
        <v>0</v>
      </c>
      <c r="D105">
        <f>物品!F170</f>
        <v>0</v>
      </c>
      <c r="E105">
        <f>IF(ISTEXT(物品!G170)=TRUE,"'"&amp;物品!G170&amp;"'",物品!G170)</f>
        <v>0</v>
      </c>
      <c r="F105">
        <f>IF(ISTEXT(物品!H170)=TRUE,"'"&amp;物品!H170&amp;"'",物品!H170)</f>
        <v>0</v>
      </c>
      <c r="G105">
        <f>IF(物品!I170="",0,"'"&amp;物品!I170&amp;"'")</f>
        <v>0</v>
      </c>
      <c r="H105">
        <f>IF(物品!R170="",0,物品!R170)</f>
        <v>2268</v>
      </c>
      <c r="I105">
        <f>IF(物品!S170="",0,物品!S170)</f>
        <v>-8065</v>
      </c>
      <c r="J105" t="str">
        <f>IF(物品!C170="",0,""""&amp;物品!C170&amp;"""")</f>
        <v>"|CffFF0000混元灭世劫|r"</v>
      </c>
      <c r="K105" t="str">
        <f>IF(物品!T170="","""""",""""&amp;物品!T170&amp;"""")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IF(物品!U170="",0,""""&amp;物品!U170&amp;"""")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IF(物品!B171="",0,"'"&amp;物品!B171&amp;"'")</f>
        <v>'IT11'</v>
      </c>
      <c r="B106" t="e">
        <f>物品!#REF!</f>
        <v>#REF!</v>
      </c>
      <c r="C106">
        <f>物品!E171</f>
        <v>0</v>
      </c>
      <c r="D106">
        <f>物品!F171</f>
        <v>0</v>
      </c>
      <c r="E106">
        <f>IF(ISTEXT(物品!G171)=TRUE,"'"&amp;物品!G171&amp;"'",物品!G171)</f>
        <v>0</v>
      </c>
      <c r="F106">
        <f>IF(ISTEXT(物品!H171)=TRUE,"'"&amp;物品!H171&amp;"'",物品!H171)</f>
        <v>0</v>
      </c>
      <c r="G106">
        <f>IF(物品!I171="",0,"'"&amp;物品!I171&amp;"'")</f>
        <v>0</v>
      </c>
      <c r="H106">
        <f>IF(物品!R171="",0,物品!R171)</f>
        <v>0</v>
      </c>
      <c r="I106">
        <f>IF(物品!S171="",0,物品!S171)</f>
        <v>0</v>
      </c>
      <c r="J106" t="str">
        <f>IF(物品!C171="",0,""""&amp;物品!C171&amp;"""")</f>
        <v>"斩三尸"</v>
      </c>
      <c r="K106" t="str">
        <f>IF(物品!T171="","""""",""""&amp;物品!T171&amp;"""")</f>
        <v>"境界挑战11"</v>
      </c>
      <c r="L106" t="str">
        <f>IF(物品!U171="",0,""""&amp;物品!U171&amp;"""")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IF(物品!B172="",0,"'"&amp;物品!B172&amp;"'")</f>
        <v>'IT12'</v>
      </c>
      <c r="B107" t="e">
        <f>物品!#REF!</f>
        <v>#REF!</v>
      </c>
      <c r="C107">
        <f>物品!E172</f>
        <v>0</v>
      </c>
      <c r="D107">
        <f>物品!F172</f>
        <v>0</v>
      </c>
      <c r="E107">
        <f>IF(ISTEXT(物品!G172)=TRUE,"'"&amp;物品!G172&amp;"'",物品!G172)</f>
        <v>0</v>
      </c>
      <c r="F107">
        <f>IF(ISTEXT(物品!H172)=TRUE,"'"&amp;物品!H172&amp;"'",物品!H172)</f>
        <v>0</v>
      </c>
      <c r="G107">
        <f>IF(物品!I172="",0,"'"&amp;物品!I172&amp;"'")</f>
        <v>0</v>
      </c>
      <c r="H107">
        <f>IF(物品!R172="",0,物品!R172)</f>
        <v>0</v>
      </c>
      <c r="I107">
        <f>IF(物品!S172="",0,物品!S172)</f>
        <v>0</v>
      </c>
      <c r="J107" t="str">
        <f>IF(物品!C172="",0,""""&amp;物品!C172&amp;"""")</f>
        <v>"无量量劫"</v>
      </c>
      <c r="K107" t="str">
        <f>IF(物品!T172="","""""",""""&amp;物品!T172&amp;"""")</f>
        <v>"境界挑战12"</v>
      </c>
      <c r="L107" t="str">
        <f>IF(物品!U172="",0,""""&amp;物品!U172&amp;"""")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IF(物品!B173="",0,"'"&amp;物品!B173&amp;"'")</f>
        <v>'IT13'</v>
      </c>
      <c r="B108" t="e">
        <f>物品!#REF!</f>
        <v>#REF!</v>
      </c>
      <c r="C108">
        <f>物品!E173</f>
        <v>0</v>
      </c>
      <c r="D108">
        <f>物品!F173</f>
        <v>0</v>
      </c>
      <c r="E108">
        <f>IF(ISTEXT(物品!G173)=TRUE,"'"&amp;物品!G173&amp;"'",物品!G173)</f>
        <v>0</v>
      </c>
      <c r="F108">
        <f>IF(ISTEXT(物品!H173)=TRUE,"'"&amp;物品!H173&amp;"'",物品!H173)</f>
        <v>0</v>
      </c>
      <c r="G108">
        <f>IF(物品!I173="",0,"'"&amp;物品!I173&amp;"'")</f>
        <v>0</v>
      </c>
      <c r="H108">
        <f>IF(物品!R173="",0,物品!R173)</f>
        <v>0</v>
      </c>
      <c r="I108">
        <f>IF(物品!S173="",0,物品!S173)</f>
        <v>0</v>
      </c>
      <c r="J108" t="str">
        <f>IF(物品!C173="",0,""""&amp;物品!C173&amp;"""")</f>
        <v>"鸿钧对练"</v>
      </c>
      <c r="K108" t="str">
        <f>IF(物品!T173="","""""",""""&amp;物品!T173&amp;"""")</f>
        <v>"境界挑战13"</v>
      </c>
      <c r="L108" t="str">
        <f>IF(物品!U173="",0,""""&amp;物品!U173&amp;"""")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IF(物品!B174="",0,"'"&amp;物品!B174&amp;"'")</f>
        <v>'IT14'</v>
      </c>
      <c r="B109" t="e">
        <f>物品!#REF!</f>
        <v>#REF!</v>
      </c>
      <c r="C109">
        <f>物品!E174</f>
        <v>0</v>
      </c>
      <c r="D109">
        <f>物品!F174</f>
        <v>0</v>
      </c>
      <c r="E109">
        <f>IF(ISTEXT(物品!G174)=TRUE,"'"&amp;物品!G174&amp;"'",物品!G174)</f>
        <v>0</v>
      </c>
      <c r="F109">
        <f>IF(ISTEXT(物品!H174)=TRUE,"'"&amp;物品!H174&amp;"'",物品!H174)</f>
        <v>0</v>
      </c>
      <c r="G109">
        <f>IF(物品!I174="",0,"'"&amp;物品!I174&amp;"'")</f>
        <v>0</v>
      </c>
      <c r="H109">
        <f>IF(物品!R174="",0,物品!R174)</f>
        <v>0</v>
      </c>
      <c r="I109">
        <f>IF(物品!S174="",0,物品!S174)</f>
        <v>0</v>
      </c>
      <c r="J109" t="str">
        <f>IF(物品!C174="",0,""""&amp;物品!C174&amp;"""")</f>
        <v>"境界挑战14"</v>
      </c>
      <c r="K109" t="str">
        <f>IF(物品!T174="","""""",""""&amp;物品!T174&amp;"""")</f>
        <v>"境界挑战14"</v>
      </c>
      <c r="L109" t="str">
        <f>IF(物品!U174="",0,""""&amp;物品!U174&amp;"""")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IF(物品!B179="",0,"'"&amp;物品!B179&amp;"'")</f>
        <v>'IS02'</v>
      </c>
      <c r="B110" t="e">
        <f>物品!#REF!</f>
        <v>#REF!</v>
      </c>
      <c r="C110">
        <f>物品!E179</f>
        <v>0</v>
      </c>
      <c r="D110">
        <f>物品!F179</f>
        <v>0</v>
      </c>
      <c r="E110">
        <f>IF(ISTEXT(物品!G179)=TRUE,"'"&amp;物品!G179&amp;"'",物品!G179)</f>
        <v>0</v>
      </c>
      <c r="F110">
        <f>IF(ISTEXT(物品!H179)=TRUE,"'"&amp;物品!H179&amp;"'",物品!H179)</f>
        <v>0</v>
      </c>
      <c r="G110">
        <f>IF(物品!I179="",0,"'"&amp;物品!I179&amp;"'")</f>
        <v>0</v>
      </c>
      <c r="H110">
        <f>IF(物品!R179="",0,物品!R179)</f>
        <v>0</v>
      </c>
      <c r="I110">
        <f>IF(物品!S179="",0,物品!S179)</f>
        <v>0</v>
      </c>
      <c r="J110" t="str">
        <f>IF(物品!C179="",0,""""&amp;物品!C179&amp;"""")</f>
        <v>"学习W技能"</v>
      </c>
      <c r="K110" t="str">
        <f>IF(物品!T179="","""""",""""&amp;物品!T179&amp;"""")</f>
        <v>"学习或重置当前|cffffd24dW技能|r。|n|cffffcc00抽取消耗：|r5000金币*次数|n|cffffcc00抽取次数：|r0/10|n|n|cff00ff7f单局最多抽取10次|r"</v>
      </c>
      <c r="L110" t="str">
        <f>IF(物品!U179="",0,""""&amp;物品!U179&amp;"""")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IF(物品!B180="",0,"'"&amp;物品!B180&amp;"'")</f>
        <v>'IS03'</v>
      </c>
      <c r="B111" t="e">
        <f>物品!#REF!</f>
        <v>#REF!</v>
      </c>
      <c r="C111">
        <f>物品!E180</f>
        <v>0</v>
      </c>
      <c r="D111">
        <f>物品!F180</f>
        <v>0</v>
      </c>
      <c r="E111">
        <f>IF(ISTEXT(物品!G180)=TRUE,"'"&amp;物品!G180&amp;"'",物品!G180)</f>
        <v>0</v>
      </c>
      <c r="F111">
        <f>IF(ISTEXT(物品!H180)=TRUE,"'"&amp;物品!H180&amp;"'",物品!H180)</f>
        <v>0</v>
      </c>
      <c r="G111">
        <f>IF(物品!I180="",0,"'"&amp;物品!I180&amp;"'")</f>
        <v>0</v>
      </c>
      <c r="H111">
        <f>IF(物品!R180="",0,物品!R180)</f>
        <v>0</v>
      </c>
      <c r="I111">
        <f>IF(物品!S180="",0,物品!S180)</f>
        <v>0</v>
      </c>
      <c r="J111" t="str">
        <f>IF(物品!C180="",0,""""&amp;物品!C180&amp;"""")</f>
        <v>"学习E技能"</v>
      </c>
      <c r="K111" t="str">
        <f>IF(物品!T180="","""""",""""&amp;物品!T180&amp;"""")</f>
        <v>"学习或重置当前|cffffd24dE技能|r。|n|cffffcc00抽取消耗：|r15000金币*次数|n|cffffcc00抽取次数：|r0/10|n|n|cff00ff7f单局最多抽取10次|r"</v>
      </c>
      <c r="L111" t="str">
        <f>IF(物品!U180="",0,""""&amp;物品!U180&amp;"""")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IF(物品!B188="",0,"'"&amp;物品!B188&amp;"'")</f>
        <v>'IS12'</v>
      </c>
      <c r="B114" t="e">
        <f>物品!#REF!</f>
        <v>#REF!</v>
      </c>
      <c r="C114">
        <f>物品!E188</f>
        <v>0</v>
      </c>
      <c r="D114">
        <f>物品!F188</f>
        <v>0</v>
      </c>
      <c r="E114">
        <f>IF(ISTEXT(物品!G188)=TRUE,"'"&amp;物品!G188&amp;"'",物品!G188)</f>
        <v>0</v>
      </c>
      <c r="F114">
        <f>IF(ISTEXT(物品!H188)=TRUE,"'"&amp;物品!H188&amp;"'",物品!H188)</f>
        <v>0</v>
      </c>
      <c r="G114">
        <f>IF(物品!I188="",0,"'"&amp;物品!I188&amp;"'")</f>
        <v>0</v>
      </c>
      <c r="H114">
        <f>IF(物品!R188="",0,物品!R188)</f>
        <v>0</v>
      </c>
      <c r="I114">
        <f>IF(物品!S188="",0,物品!S188)</f>
        <v>0</v>
      </c>
      <c r="J114" t="str">
        <f>IF(物品!C188="",0,""""&amp;物品!C188&amp;"""")</f>
        <v>"|CffFFD24D兽魂抽奖|r"</v>
      </c>
      <c r="K114" t="str">
        <f>IF(物品!T188="","""""",""""&amp;物品!T188&amp;"""")</f>
        <v>"|CffFFD24D兽魂抽奖|r"</v>
      </c>
      <c r="L114" t="str">
        <f>IF(物品!U188="",0,""""&amp;物品!U188&amp;"""")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IF(物品!B194="",0,"'"&amp;物品!B194&amp;"'")</f>
        <v>'IB01'</v>
      </c>
      <c r="B123" t="e">
        <f>物品!#REF!</f>
        <v>#REF!</v>
      </c>
      <c r="C123">
        <f>物品!E194</f>
        <v>0</v>
      </c>
      <c r="D123">
        <f>物品!F194</f>
        <v>0</v>
      </c>
      <c r="E123">
        <f>IF(ISTEXT(物品!G194)=TRUE,"'"&amp;物品!G194&amp;"'",物品!G194)</f>
        <v>0</v>
      </c>
      <c r="F123">
        <f>IF(ISTEXT(物品!H194)=TRUE,"'"&amp;物品!H194&amp;"'",物品!H194)</f>
        <v>0</v>
      </c>
      <c r="G123">
        <f>IF(物品!I194="",0,"'"&amp;物品!I194&amp;"'")</f>
        <v>0</v>
      </c>
      <c r="H123">
        <f>IF(物品!R194="",0,物品!R194)</f>
        <v>0</v>
      </c>
      <c r="I123">
        <f>IF(物品!S194="",0,物品!S194)</f>
        <v>0</v>
      </c>
      <c r="J123" t="str">
        <f>IF(物品!C194="",0,""""&amp;物品!C194&amp;"""")</f>
        <v>"公众号礼包"</v>
      </c>
      <c r="K123" t="str">
        <f>IF(物品!T194="","""""",""""&amp;物品!T194&amp;"""")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IF(物品!U194="",0,""""&amp;物品!U194&amp;"""")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IF(物品!B195="",0,"'"&amp;物品!B195&amp;"'")</f>
        <v>'IB02'</v>
      </c>
      <c r="B124" t="e">
        <f>物品!#REF!</f>
        <v>#REF!</v>
      </c>
      <c r="C124">
        <f>物品!E195</f>
        <v>0</v>
      </c>
      <c r="D124">
        <f>物品!F195</f>
        <v>0</v>
      </c>
      <c r="E124">
        <f>IF(ISTEXT(物品!G195)=TRUE,"'"&amp;物品!G195&amp;"'",物品!G195)</f>
        <v>0</v>
      </c>
      <c r="F124">
        <f>IF(ISTEXT(物品!H195)=TRUE,"'"&amp;物品!H195&amp;"'",物品!H195)</f>
        <v>0</v>
      </c>
      <c r="G124">
        <f>IF(物品!I195="",0,"'"&amp;物品!I195&amp;"'")</f>
        <v>0</v>
      </c>
      <c r="H124">
        <f>IF(物品!R195="",0,物品!R195)</f>
        <v>0</v>
      </c>
      <c r="I124">
        <f>IF(物品!S195="",0,物品!S195)</f>
        <v>0</v>
      </c>
      <c r="J124" t="str">
        <f>IF(物品!C195="",0,""""&amp;物品!C195&amp;"""")</f>
        <v>"入群礼包"</v>
      </c>
      <c r="K124" t="str">
        <f>IF(物品!T195="","""""",""""&amp;物品!T195&amp;"""")</f>
        <v>"加入《|cff00ffcc全民封神|r》官方QQ群，即可获得入群礼包码！|n|n输入礼包码即可获得：|n|cff00ff7f招魂幡Lv2|r"</v>
      </c>
      <c r="L124" t="str">
        <f>IF(物品!U195="",0,""""&amp;物品!U195&amp;"""")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IF(物品!B196="",0,"'"&amp;物品!B196&amp;"'")</f>
        <v>'IB03'</v>
      </c>
      <c r="B125" t="e">
        <f>物品!#REF!</f>
        <v>#REF!</v>
      </c>
      <c r="C125">
        <f>物品!E196</f>
        <v>0</v>
      </c>
      <c r="D125">
        <f>物品!F196</f>
        <v>0</v>
      </c>
      <c r="E125">
        <f>IF(ISTEXT(物品!G196)=TRUE,"'"&amp;物品!G196&amp;"'",物品!G196)</f>
        <v>0</v>
      </c>
      <c r="F125">
        <f>IF(ISTEXT(物品!H196)=TRUE,"'"&amp;物品!H196&amp;"'",物品!H196)</f>
        <v>0</v>
      </c>
      <c r="G125">
        <f>IF(物品!I196="",0,"'"&amp;物品!I196&amp;"'")</f>
        <v>0</v>
      </c>
      <c r="H125">
        <f>IF(物品!R196="",0,物品!R196)</f>
        <v>0</v>
      </c>
      <c r="I125">
        <f>IF(物品!S196="",0,物品!S196)</f>
        <v>0</v>
      </c>
      <c r="J125" t="str">
        <f>IF(物品!C196="",0,""""&amp;物品!C196&amp;"""")</f>
        <v>"拜年礼包"</v>
      </c>
      <c r="K125" t="str">
        <f>IF(物品!T196="","""""",""""&amp;物品!T196&amp;"""")</f>
        <v>"|cff99ccff给与地图有效评论建议|r即可领取：|n|cffffff00杀敌生命+5+3*通行证等级|n杀敌业力+1|n|n|r|cff808080地图等级达到3级可领取|r"</v>
      </c>
      <c r="L125" t="str">
        <f>IF(物品!U196="",0,""""&amp;物品!U196&amp;"""")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IF(物品!B197="",0,"'"&amp;物品!B197&amp;"'")</f>
        <v>'IB04'</v>
      </c>
      <c r="B126" t="e">
        <f>物品!#REF!</f>
        <v>#REF!</v>
      </c>
      <c r="C126">
        <f>物品!E197</f>
        <v>0</v>
      </c>
      <c r="D126">
        <f>物品!F197</f>
        <v>0</v>
      </c>
      <c r="E126">
        <f>IF(ISTEXT(物品!G197)=TRUE,"'"&amp;物品!G197&amp;"'",物品!G197)</f>
        <v>0</v>
      </c>
      <c r="F126">
        <f>IF(ISTEXT(物品!H197)=TRUE,"'"&amp;物品!H197&amp;"'",物品!H197)</f>
        <v>0</v>
      </c>
      <c r="G126">
        <f>IF(物品!I197="",0,"'"&amp;物品!I197&amp;"'")</f>
        <v>0</v>
      </c>
      <c r="H126">
        <f>IF(物品!R197="",0,物品!R197)</f>
        <v>0</v>
      </c>
      <c r="I126">
        <f>IF(物品!S197="",0,物品!S197)</f>
        <v>0</v>
      </c>
      <c r="J126" t="str">
        <f>IF(物品!C197="",0,""""&amp;物品!C197&amp;"""")</f>
        <v>"收藏礼包"</v>
      </c>
      <c r="K126" t="str">
        <f>IF(物品!T197="","""""",""""&amp;物品!T197&amp;"""")</f>
        <v>"|cff99ccff房间大厅界面点击右上角《|r|cffcc99ff收藏|r|cff99ccff》后可领取该礼包。|n|n|r属性：|n|cffffcc33物理伤害+5%|n法术伤害+5%|r"</v>
      </c>
      <c r="L126" t="str">
        <f>IF(物品!U197="",0,""""&amp;物品!U197&amp;"""")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IF(物品!B198="",0,"'"&amp;物品!B198&amp;"'")</f>
        <v>'IB05'</v>
      </c>
      <c r="B127" t="e">
        <f>物品!#REF!</f>
        <v>#REF!</v>
      </c>
      <c r="C127">
        <f>物品!E198</f>
        <v>0</v>
      </c>
      <c r="D127">
        <f>物品!F198</f>
        <v>0</v>
      </c>
      <c r="E127">
        <f>IF(ISTEXT(物品!G198)=TRUE,"'"&amp;物品!G198&amp;"'",物品!G198)</f>
        <v>0</v>
      </c>
      <c r="F127">
        <f>IF(ISTEXT(物品!H198)=TRUE,"'"&amp;物品!H198&amp;"'",物品!H198)</f>
        <v>0</v>
      </c>
      <c r="G127">
        <f>IF(物品!I198="",0,"'"&amp;物品!I198&amp;"'")</f>
        <v>0</v>
      </c>
      <c r="H127">
        <f>IF(物品!R198="",0,物品!R198)</f>
        <v>0</v>
      </c>
      <c r="I127">
        <f>IF(物品!S198="",0,物品!S198)</f>
        <v>0</v>
      </c>
      <c r="J127" t="str">
        <f>IF(物品!C198="",0,""""&amp;物品!C198&amp;"""")</f>
        <v>"重置版礼包"</v>
      </c>
      <c r="K127" t="str">
        <f>IF(物品!T198="","""""",""""&amp;物品!T198&amp;"""")</f>
        <v>"|cff33ff00购买魔兽重制版可领取该礼包！|n|n|r属性：|n|cffffcc33金币+1000|n每秒攻击+2|n每秒业力+1|r"</v>
      </c>
      <c r="L127" t="str">
        <f>IF(物品!U198="",0,""""&amp;物品!U198&amp;"""")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IF(物品!B216="",0,"'"&amp;物品!B216&amp;"'")</f>
        <v>'IF01'</v>
      </c>
      <c r="B128">
        <f>物品!D125</f>
        <v>0</v>
      </c>
      <c r="C128">
        <f>物品!E216</f>
        <v>0</v>
      </c>
      <c r="D128">
        <f>物品!F216</f>
        <v>0</v>
      </c>
      <c r="E128">
        <f>IF(ISTEXT(物品!G216)=TRUE,"'"&amp;物品!G216&amp;"'",物品!G216)</f>
        <v>0</v>
      </c>
      <c r="F128">
        <f>IF(ISTEXT(物品!H216)=TRUE,"'"&amp;物品!H216&amp;"'",物品!H216)</f>
        <v>0</v>
      </c>
      <c r="G128">
        <f>IF(物品!I216="",0,"'"&amp;物品!I216&amp;"'")</f>
        <v>0</v>
      </c>
      <c r="H128">
        <f>IF(物品!R216="",0,物品!R216)</f>
        <v>0</v>
      </c>
      <c r="I128">
        <f>IF(物品!S216="",0,物品!S216)</f>
        <v>0</v>
      </c>
      <c r="J128" t="str">
        <f>IF(物品!C216="",0,""""&amp;物品!C216&amp;"""")</f>
        <v>"附魔"</v>
      </c>
      <c r="K128" t="str">
        <f>IF(物品!T216="","""""",""""&amp;物品!T216&amp;"""")</f>
        <v>""</v>
      </c>
      <c r="L128">
        <f>IF(物品!U216="",0,""""&amp;物品!U216&amp;"""")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IF(物品!B217="",0,"'"&amp;物品!B217&amp;"'")</f>
        <v>'IF02'</v>
      </c>
      <c r="B129" t="e">
        <f>物品!#REF!</f>
        <v>#REF!</v>
      </c>
      <c r="C129">
        <f>物品!E217</f>
        <v>0</v>
      </c>
      <c r="D129">
        <f>物品!F217</f>
        <v>0</v>
      </c>
      <c r="E129">
        <f>IF(ISTEXT(物品!G217)=TRUE,"'"&amp;物品!G217&amp;"'",物品!G217)</f>
        <v>0</v>
      </c>
      <c r="F129">
        <f>IF(ISTEXT(物品!H217)=TRUE,"'"&amp;物品!H217&amp;"'",物品!H217)</f>
        <v>0</v>
      </c>
      <c r="G129">
        <f>IF(物品!I217="",0,"'"&amp;物品!I217&amp;"'")</f>
        <v>0</v>
      </c>
      <c r="H129">
        <f>IF(物品!R217="",0,物品!R217)</f>
        <v>0</v>
      </c>
      <c r="I129">
        <f>IF(物品!S217="",0,物品!S217)</f>
        <v>0</v>
      </c>
      <c r="J129" t="str">
        <f>IF(物品!C217="",0,""""&amp;物品!C217&amp;"""")</f>
        <v>"附魔"</v>
      </c>
      <c r="K129" t="str">
        <f>IF(物品!T217="","""""",""""&amp;物品!T217&amp;"""")</f>
        <v>""</v>
      </c>
      <c r="L129">
        <f>IF(物品!U217="",0,""""&amp;物品!U217&amp;"""")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IF(物品!B218="",0,"'"&amp;物品!B218&amp;"'")</f>
        <v>'IF03'</v>
      </c>
      <c r="B130" t="e">
        <f>物品!#REF!</f>
        <v>#REF!</v>
      </c>
      <c r="C130">
        <f>物品!E218</f>
        <v>0</v>
      </c>
      <c r="D130">
        <f>物品!F218</f>
        <v>0</v>
      </c>
      <c r="E130">
        <f>IF(ISTEXT(物品!G218)=TRUE,"'"&amp;物品!G218&amp;"'",物品!G218)</f>
        <v>0</v>
      </c>
      <c r="F130">
        <f>IF(ISTEXT(物品!H218)=TRUE,"'"&amp;物品!H218&amp;"'",物品!H218)</f>
        <v>0</v>
      </c>
      <c r="G130">
        <f>IF(物品!I218="",0,"'"&amp;物品!I218&amp;"'")</f>
        <v>0</v>
      </c>
      <c r="H130">
        <f>IF(物品!R218="",0,物品!R218)</f>
        <v>0</v>
      </c>
      <c r="I130">
        <f>IF(物品!S218="",0,物品!S218)</f>
        <v>0</v>
      </c>
      <c r="J130" t="str">
        <f>IF(物品!C218="",0,""""&amp;物品!C218&amp;"""")</f>
        <v>"附魔"</v>
      </c>
      <c r="K130" t="str">
        <f>IF(物品!T218="","""""",""""&amp;物品!T218&amp;"""")</f>
        <v>""</v>
      </c>
      <c r="L130">
        <f>IF(物品!U218="",0,""""&amp;物品!U218&amp;"""")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IF(物品!B219="",0,"'"&amp;物品!B219&amp;"'")</f>
        <v>'IF04'</v>
      </c>
      <c r="B131" t="e">
        <f>物品!#REF!</f>
        <v>#REF!</v>
      </c>
      <c r="C131">
        <f>物品!E219</f>
        <v>0</v>
      </c>
      <c r="D131">
        <f>物品!F219</f>
        <v>0</v>
      </c>
      <c r="E131">
        <f>IF(ISTEXT(物品!G219)=TRUE,"'"&amp;物品!G219&amp;"'",物品!G219)</f>
        <v>0</v>
      </c>
      <c r="F131">
        <f>IF(ISTEXT(物品!H219)=TRUE,"'"&amp;物品!H219&amp;"'",物品!H219)</f>
        <v>0</v>
      </c>
      <c r="G131">
        <f>IF(物品!I219="",0,"'"&amp;物品!I219&amp;"'")</f>
        <v>0</v>
      </c>
      <c r="H131">
        <f>IF(物品!R219="",0,物品!R219)</f>
        <v>0</v>
      </c>
      <c r="I131">
        <f>IF(物品!S219="",0,物品!S219)</f>
        <v>0</v>
      </c>
      <c r="J131" t="str">
        <f>IF(物品!C219="",0,""""&amp;物品!C219&amp;"""")</f>
        <v>"附魔"</v>
      </c>
      <c r="K131" t="str">
        <f>IF(物品!T219="","""""",""""&amp;物品!T219&amp;"""")</f>
        <v>""</v>
      </c>
      <c r="L131">
        <f>IF(物品!U219="",0,""""&amp;物品!U219&amp;"""")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IF(物品!B220="",0,"'"&amp;物品!B220&amp;"'")</f>
        <v>'IF05'</v>
      </c>
      <c r="B132" t="e">
        <f>物品!#REF!</f>
        <v>#REF!</v>
      </c>
      <c r="C132">
        <f>物品!E220</f>
        <v>0</v>
      </c>
      <c r="D132">
        <f>物品!F220</f>
        <v>0</v>
      </c>
      <c r="E132">
        <f>IF(ISTEXT(物品!G220)=TRUE,"'"&amp;物品!G220&amp;"'",物品!G220)</f>
        <v>0</v>
      </c>
      <c r="F132">
        <f>IF(ISTEXT(物品!H220)=TRUE,"'"&amp;物品!H220&amp;"'",物品!H220)</f>
        <v>0</v>
      </c>
      <c r="G132">
        <f>IF(物品!I220="",0,"'"&amp;物品!I220&amp;"'")</f>
        <v>0</v>
      </c>
      <c r="H132">
        <f>IF(物品!R220="",0,物品!R220)</f>
        <v>0</v>
      </c>
      <c r="I132">
        <f>IF(物品!S220="",0,物品!S220)</f>
        <v>0</v>
      </c>
      <c r="J132" t="str">
        <f>IF(物品!C220="",0,""""&amp;物品!C220&amp;"""")</f>
        <v>"附魔"</v>
      </c>
      <c r="K132" t="str">
        <f>IF(物品!T220="","""""",""""&amp;物品!T220&amp;"""")</f>
        <v>""</v>
      </c>
      <c r="L132">
        <f>IF(物品!U220="",0,""""&amp;物品!U220&amp;"""")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IF(物品!B221="",0,"'"&amp;物品!B221&amp;"'")</f>
        <v>'IF06'</v>
      </c>
      <c r="B133" t="e">
        <f>物品!#REF!</f>
        <v>#REF!</v>
      </c>
      <c r="C133">
        <f>物品!E221</f>
        <v>0</v>
      </c>
      <c r="D133">
        <f>物品!F221</f>
        <v>0</v>
      </c>
      <c r="E133">
        <f>IF(ISTEXT(物品!G221)=TRUE,"'"&amp;物品!G221&amp;"'",物品!G221)</f>
        <v>0</v>
      </c>
      <c r="F133">
        <f>IF(ISTEXT(物品!H221)=TRUE,"'"&amp;物品!H221&amp;"'",物品!H221)</f>
        <v>0</v>
      </c>
      <c r="G133">
        <f>IF(物品!I221="",0,"'"&amp;物品!I221&amp;"'")</f>
        <v>0</v>
      </c>
      <c r="H133">
        <f>IF(物品!R221="",0,物品!R221)</f>
        <v>0</v>
      </c>
      <c r="I133">
        <f>IF(物品!S221="",0,物品!S221)</f>
        <v>0</v>
      </c>
      <c r="J133" t="str">
        <f>IF(物品!C221="",0,""""&amp;物品!C221&amp;"""")</f>
        <v>"附魔"</v>
      </c>
      <c r="K133" t="str">
        <f>IF(物品!T221="","""""",""""&amp;物品!T221&amp;"""")</f>
        <v>""</v>
      </c>
      <c r="L133">
        <f>IF(物品!U221="",0,""""&amp;物品!U221&amp;"""")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IF(物品!B222="",0,"'"&amp;物品!B222&amp;"'")</f>
        <v>'IF07'</v>
      </c>
      <c r="B134" t="e">
        <f>物品!#REF!</f>
        <v>#REF!</v>
      </c>
      <c r="C134">
        <f>物品!E222</f>
        <v>0</v>
      </c>
      <c r="D134">
        <f>物品!F222</f>
        <v>0</v>
      </c>
      <c r="E134">
        <f>IF(ISTEXT(物品!G222)=TRUE,"'"&amp;物品!G222&amp;"'",物品!G222)</f>
        <v>0</v>
      </c>
      <c r="F134">
        <f>IF(ISTEXT(物品!H222)=TRUE,"'"&amp;物品!H222&amp;"'",物品!H222)</f>
        <v>0</v>
      </c>
      <c r="G134">
        <f>IF(物品!I222="",0,"'"&amp;物品!I222&amp;"'")</f>
        <v>0</v>
      </c>
      <c r="H134">
        <f>IF(物品!R222="",0,物品!R222)</f>
        <v>0</v>
      </c>
      <c r="I134">
        <f>IF(物品!S222="",0,物品!S222)</f>
        <v>0</v>
      </c>
      <c r="J134" t="str">
        <f>IF(物品!C222="",0,""""&amp;物品!C222&amp;"""")</f>
        <v>"附魔"</v>
      </c>
      <c r="K134" t="str">
        <f>IF(物品!T222="","""""",""""&amp;物品!T222&amp;"""")</f>
        <v>""</v>
      </c>
      <c r="L134">
        <f>IF(物品!U222="",0,""""&amp;物品!U222&amp;"""")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IF(物品!B223="",0,"'"&amp;物品!B223&amp;"'")</f>
        <v>'IF08'</v>
      </c>
      <c r="B135">
        <f>物品!D126</f>
        <v>0</v>
      </c>
      <c r="C135">
        <f>物品!E223</f>
        <v>0</v>
      </c>
      <c r="D135">
        <f>物品!F223</f>
        <v>0</v>
      </c>
      <c r="E135">
        <f>IF(ISTEXT(物品!G223)=TRUE,"'"&amp;物品!G223&amp;"'",物品!G223)</f>
        <v>0</v>
      </c>
      <c r="F135">
        <f>IF(ISTEXT(物品!H223)=TRUE,"'"&amp;物品!H223&amp;"'",物品!H223)</f>
        <v>0</v>
      </c>
      <c r="G135">
        <f>IF(物品!I223="",0,"'"&amp;物品!I223&amp;"'")</f>
        <v>0</v>
      </c>
      <c r="H135">
        <f>IF(物品!R223="",0,物品!R223)</f>
        <v>0</v>
      </c>
      <c r="I135">
        <f>IF(物品!S223="",0,物品!S223)</f>
        <v>0</v>
      </c>
      <c r="J135" t="str">
        <f>IF(物品!C223="",0,""""&amp;物品!C223&amp;"""")</f>
        <v>"附魔"</v>
      </c>
      <c r="K135" t="str">
        <f>IF(物品!T223="","""""",""""&amp;物品!T223&amp;"""")</f>
        <v>""</v>
      </c>
      <c r="L135">
        <f>IF(物品!U223="",0,""""&amp;物品!U223&amp;"""")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IF(物品!B224="",0,"'"&amp;物品!B224&amp;"'")</f>
        <v>'IF09'</v>
      </c>
      <c r="B136">
        <f>物品!D127</f>
        <v>0</v>
      </c>
      <c r="C136">
        <f>物品!E224</f>
        <v>0</v>
      </c>
      <c r="D136">
        <f>物品!F224</f>
        <v>0</v>
      </c>
      <c r="E136">
        <f>IF(ISTEXT(物品!G224)=TRUE,"'"&amp;物品!G224&amp;"'",物品!G224)</f>
        <v>0</v>
      </c>
      <c r="F136">
        <f>IF(ISTEXT(物品!H224)=TRUE,"'"&amp;物品!H224&amp;"'",物品!H224)</f>
        <v>0</v>
      </c>
      <c r="G136">
        <f>IF(物品!I224="",0,"'"&amp;物品!I224&amp;"'")</f>
        <v>0</v>
      </c>
      <c r="H136">
        <f>IF(物品!R224="",0,物品!R224)</f>
        <v>0</v>
      </c>
      <c r="I136">
        <f>IF(物品!S224="",0,物品!S224)</f>
        <v>0</v>
      </c>
      <c r="J136" t="str">
        <f>IF(物品!C224="",0,""""&amp;物品!C224&amp;"""")</f>
        <v>"附魔"</v>
      </c>
      <c r="K136" t="str">
        <f>IF(物品!T224="","""""",""""&amp;物品!T224&amp;"""")</f>
        <v>""</v>
      </c>
      <c r="L136">
        <f>IF(物品!U224="",0,""""&amp;物品!U224&amp;"""")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IF(物品!B225="",0,"'"&amp;物品!B225&amp;"'")</f>
        <v>'IF10'</v>
      </c>
      <c r="B137">
        <f>物品!D128</f>
        <v>0</v>
      </c>
      <c r="C137">
        <f>物品!E225</f>
        <v>0</v>
      </c>
      <c r="D137">
        <f>物品!F225</f>
        <v>0</v>
      </c>
      <c r="E137">
        <f>IF(ISTEXT(物品!G225)=TRUE,"'"&amp;物品!G225&amp;"'",物品!G225)</f>
        <v>0</v>
      </c>
      <c r="F137">
        <f>IF(ISTEXT(物品!H225)=TRUE,"'"&amp;物品!H225&amp;"'",物品!H225)</f>
        <v>0</v>
      </c>
      <c r="G137">
        <f>IF(物品!I225="",0,"'"&amp;物品!I225&amp;"'")</f>
        <v>0</v>
      </c>
      <c r="H137">
        <f>IF(物品!R225="",0,物品!R225)</f>
        <v>0</v>
      </c>
      <c r="I137">
        <f>IF(物品!S225="",0,物品!S225)</f>
        <v>0</v>
      </c>
      <c r="J137" t="str">
        <f>IF(物品!C225="",0,""""&amp;物品!C225&amp;"""")</f>
        <v>"附魔"</v>
      </c>
      <c r="K137" t="str">
        <f>IF(物品!T225="","""""",""""&amp;物品!T225&amp;"""")</f>
        <v>""</v>
      </c>
      <c r="L137">
        <f>IF(物品!U225="",0,""""&amp;物品!U225&amp;"""")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IF(物品!B226="",0,"'"&amp;物品!B226&amp;"'")</f>
        <v>'IF11'</v>
      </c>
      <c r="B138">
        <f>物品!D129</f>
        <v>0</v>
      </c>
      <c r="C138">
        <f>物品!E226</f>
        <v>0</v>
      </c>
      <c r="D138">
        <f>物品!F226</f>
        <v>0</v>
      </c>
      <c r="E138">
        <f>IF(ISTEXT(物品!G226)=TRUE,"'"&amp;物品!G226&amp;"'",物品!G226)</f>
        <v>0</v>
      </c>
      <c r="F138">
        <f>IF(ISTEXT(物品!H226)=TRUE,"'"&amp;物品!H226&amp;"'",物品!H226)</f>
        <v>0</v>
      </c>
      <c r="G138">
        <f>IF(物品!I226="",0,"'"&amp;物品!I226&amp;"'")</f>
        <v>0</v>
      </c>
      <c r="H138">
        <f>IF(物品!R226="",0,物品!R226)</f>
        <v>0</v>
      </c>
      <c r="I138">
        <f>IF(物品!S226="",0,物品!S226)</f>
        <v>0</v>
      </c>
      <c r="J138" t="str">
        <f>IF(物品!C226="",0,""""&amp;物品!C226&amp;"""")</f>
        <v>"附魔"</v>
      </c>
      <c r="K138" t="str">
        <f>IF(物品!T226="","""""",""""&amp;物品!T226&amp;"""")</f>
        <v>""</v>
      </c>
      <c r="L138">
        <f>IF(物品!U226="",0,""""&amp;物品!U226&amp;"""")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IF(物品!B227="",0,"'"&amp;物品!B227&amp;"'")</f>
        <v>'IF12'</v>
      </c>
      <c r="B139">
        <f>物品!D130</f>
        <v>0</v>
      </c>
      <c r="C139">
        <f>物品!E227</f>
        <v>0</v>
      </c>
      <c r="D139">
        <f>物品!F227</f>
        <v>0</v>
      </c>
      <c r="E139">
        <f>IF(ISTEXT(物品!G227)=TRUE,"'"&amp;物品!G227&amp;"'",物品!G227)</f>
        <v>0</v>
      </c>
      <c r="F139">
        <f>IF(ISTEXT(物品!H227)=TRUE,"'"&amp;物品!H227&amp;"'",物品!H227)</f>
        <v>0</v>
      </c>
      <c r="G139">
        <f>IF(物品!I227="",0,"'"&amp;物品!I227&amp;"'")</f>
        <v>0</v>
      </c>
      <c r="H139">
        <f>IF(物品!R227="",0,物品!R227)</f>
        <v>0</v>
      </c>
      <c r="I139">
        <f>IF(物品!S227="",0,物品!S227)</f>
        <v>0</v>
      </c>
      <c r="J139" t="str">
        <f>IF(物品!C227="",0,""""&amp;物品!C227&amp;"""")</f>
        <v>"附魔"</v>
      </c>
      <c r="K139" t="str">
        <f>IF(物品!T227="","""""",""""&amp;物品!T227&amp;"""")</f>
        <v>""</v>
      </c>
      <c r="L139">
        <f>IF(物品!U227="",0,""""&amp;物品!U227&amp;"""")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IF(物品!B228="",0,"'"&amp;物品!B228&amp;"'")</f>
        <v>'IF13'</v>
      </c>
      <c r="B140">
        <f>物品!D131</f>
        <v>0</v>
      </c>
      <c r="C140">
        <f>物品!E228</f>
        <v>0</v>
      </c>
      <c r="D140">
        <f>物品!F228</f>
        <v>0</v>
      </c>
      <c r="E140">
        <f>IF(ISTEXT(物品!G228)=TRUE,"'"&amp;物品!G228&amp;"'",物品!G228)</f>
        <v>0</v>
      </c>
      <c r="F140">
        <f>IF(ISTEXT(物品!H228)=TRUE,"'"&amp;物品!H228&amp;"'",物品!H228)</f>
        <v>0</v>
      </c>
      <c r="G140">
        <f>IF(物品!I228="",0,"'"&amp;物品!I228&amp;"'")</f>
        <v>0</v>
      </c>
      <c r="H140">
        <f>IF(物品!R228="",0,物品!R228)</f>
        <v>0</v>
      </c>
      <c r="I140">
        <f>IF(物品!S228="",0,物品!S228)</f>
        <v>0</v>
      </c>
      <c r="J140" t="str">
        <f>IF(物品!C228="",0,""""&amp;物品!C228&amp;"""")</f>
        <v>"附魔"</v>
      </c>
      <c r="K140" t="str">
        <f>IF(物品!T228="","""""",""""&amp;物品!T228&amp;"""")</f>
        <v>""</v>
      </c>
      <c r="L140">
        <f>IF(物品!U228="",0,""""&amp;物品!U228&amp;"""")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IF(物品!B229="",0,"'"&amp;物品!B229&amp;"'")</f>
        <v>'IF14'</v>
      </c>
      <c r="B141">
        <f>物品!D132</f>
        <v>0</v>
      </c>
      <c r="C141">
        <f>物品!E229</f>
        <v>0</v>
      </c>
      <c r="D141">
        <f>物品!F229</f>
        <v>0</v>
      </c>
      <c r="E141">
        <f>IF(ISTEXT(物品!G229)=TRUE,"'"&amp;物品!G229&amp;"'",物品!G229)</f>
        <v>0</v>
      </c>
      <c r="F141">
        <f>IF(ISTEXT(物品!H229)=TRUE,"'"&amp;物品!H229&amp;"'",物品!H229)</f>
        <v>0</v>
      </c>
      <c r="G141">
        <f>IF(物品!I229="",0,"'"&amp;物品!I229&amp;"'")</f>
        <v>0</v>
      </c>
      <c r="H141">
        <f>IF(物品!R229="",0,物品!R229)</f>
        <v>0</v>
      </c>
      <c r="I141">
        <f>IF(物品!S229="",0,物品!S229)</f>
        <v>0</v>
      </c>
      <c r="J141" t="str">
        <f>IF(物品!C229="",0,""""&amp;物品!C229&amp;"""")</f>
        <v>"附魔"</v>
      </c>
      <c r="K141" t="str">
        <f>IF(物品!T229="","""""",""""&amp;物品!T229&amp;"""")</f>
        <v>""</v>
      </c>
      <c r="L141">
        <f>IF(物品!U229="",0,""""&amp;物品!U229&amp;"""")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IF(物品!B230="",0,"'"&amp;物品!B230&amp;"'")</f>
        <v>'IF15'</v>
      </c>
      <c r="B142">
        <f>物品!D133</f>
        <v>0</v>
      </c>
      <c r="C142">
        <f>物品!E230</f>
        <v>0</v>
      </c>
      <c r="D142">
        <f>物品!F230</f>
        <v>0</v>
      </c>
      <c r="E142">
        <f>IF(ISTEXT(物品!G230)=TRUE,"'"&amp;物品!G230&amp;"'",物品!G230)</f>
        <v>0</v>
      </c>
      <c r="F142">
        <f>IF(ISTEXT(物品!H230)=TRUE,"'"&amp;物品!H230&amp;"'",物品!H230)</f>
        <v>0</v>
      </c>
      <c r="G142">
        <f>IF(物品!I230="",0,"'"&amp;物品!I230&amp;"'")</f>
        <v>0</v>
      </c>
      <c r="H142">
        <f>IF(物品!R230="",0,物品!R230)</f>
        <v>0</v>
      </c>
      <c r="I142">
        <f>IF(物品!S230="",0,物品!S230)</f>
        <v>0</v>
      </c>
      <c r="J142" t="str">
        <f>IF(物品!C230="",0,""""&amp;物品!C230&amp;"""")</f>
        <v>"附魔"</v>
      </c>
      <c r="K142" t="str">
        <f>IF(物品!T230="","""""",""""&amp;物品!T230&amp;"""")</f>
        <v>""</v>
      </c>
      <c r="L142">
        <f>IF(物品!U230="",0,""""&amp;物品!U230&amp;"""")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IF(物品!B231="",0,"'"&amp;物品!B231&amp;"'")</f>
        <v>'IF16'</v>
      </c>
      <c r="B143">
        <f>物品!D134</f>
        <v>0</v>
      </c>
      <c r="C143">
        <f>物品!E231</f>
        <v>0</v>
      </c>
      <c r="D143">
        <f>物品!F231</f>
        <v>0</v>
      </c>
      <c r="E143">
        <f>IF(ISTEXT(物品!G231)=TRUE,"'"&amp;物品!G231&amp;"'",物品!G231)</f>
        <v>0</v>
      </c>
      <c r="F143">
        <f>IF(ISTEXT(物品!H231)=TRUE,"'"&amp;物品!H231&amp;"'",物品!H231)</f>
        <v>0</v>
      </c>
      <c r="G143">
        <f>IF(物品!I231="",0,"'"&amp;物品!I231&amp;"'")</f>
        <v>0</v>
      </c>
      <c r="H143">
        <f>IF(物品!R231="",0,物品!R231)</f>
        <v>0</v>
      </c>
      <c r="I143">
        <f>IF(物品!S231="",0,物品!S231)</f>
        <v>0</v>
      </c>
      <c r="J143" t="str">
        <f>IF(物品!C231="",0,""""&amp;物品!C231&amp;"""")</f>
        <v>"附魔"</v>
      </c>
      <c r="K143" t="str">
        <f>IF(物品!T231="","""""",""""&amp;物品!T231&amp;"""")</f>
        <v>""</v>
      </c>
      <c r="L143">
        <f>IF(物品!U231="",0,""""&amp;物品!U231&amp;"""")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IF(物品!B232="",0,"'"&amp;物品!B232&amp;"'")</f>
        <v>'IF17'</v>
      </c>
      <c r="B144">
        <f>物品!D135</f>
        <v>0</v>
      </c>
      <c r="C144">
        <f>物品!E232</f>
        <v>0</v>
      </c>
      <c r="D144">
        <f>物品!F232</f>
        <v>0</v>
      </c>
      <c r="E144">
        <f>IF(ISTEXT(物品!G232)=TRUE,"'"&amp;物品!G232&amp;"'",物品!G232)</f>
        <v>0</v>
      </c>
      <c r="F144">
        <f>IF(ISTEXT(物品!H232)=TRUE,"'"&amp;物品!H232&amp;"'",物品!H232)</f>
        <v>0</v>
      </c>
      <c r="G144">
        <f>IF(物品!I232="",0,"'"&amp;物品!I232&amp;"'")</f>
        <v>0</v>
      </c>
      <c r="H144">
        <f>IF(物品!R232="",0,物品!R232)</f>
        <v>0</v>
      </c>
      <c r="I144">
        <f>IF(物品!S232="",0,物品!S232)</f>
        <v>0</v>
      </c>
      <c r="J144" t="str">
        <f>IF(物品!C232="",0,""""&amp;物品!C232&amp;"""")</f>
        <v>"附魔"</v>
      </c>
      <c r="K144" t="str">
        <f>IF(物品!T232="","""""",""""&amp;物品!T232&amp;"""")</f>
        <v>""</v>
      </c>
      <c r="L144">
        <f>IF(物品!U232="",0,""""&amp;物品!U232&amp;"""")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IF(物品!B233="",0,"'"&amp;物品!B233&amp;"'")</f>
        <v>'IF18'</v>
      </c>
      <c r="B145">
        <f>物品!D136</f>
        <v>0</v>
      </c>
      <c r="C145">
        <f>物品!E233</f>
        <v>0</v>
      </c>
      <c r="D145">
        <f>物品!F233</f>
        <v>0</v>
      </c>
      <c r="E145">
        <f>IF(ISTEXT(物品!G233)=TRUE,"'"&amp;物品!G233&amp;"'",物品!G233)</f>
        <v>0</v>
      </c>
      <c r="F145">
        <f>IF(ISTEXT(物品!H233)=TRUE,"'"&amp;物品!H233&amp;"'",物品!H233)</f>
        <v>0</v>
      </c>
      <c r="G145">
        <f>IF(物品!I233="",0,"'"&amp;物品!I233&amp;"'")</f>
        <v>0</v>
      </c>
      <c r="H145">
        <f>IF(物品!R233="",0,物品!R233)</f>
        <v>0</v>
      </c>
      <c r="I145">
        <f>IF(物品!S233="",0,物品!S233)</f>
        <v>0</v>
      </c>
      <c r="J145" t="str">
        <f>IF(物品!C233="",0,""""&amp;物品!C233&amp;"""")</f>
        <v>"附魔"</v>
      </c>
      <c r="K145" t="str">
        <f>IF(物品!T233="","""""",""""&amp;物品!T233&amp;"""")</f>
        <v>""</v>
      </c>
      <c r="L145">
        <f>IF(物品!U233="",0,""""&amp;物品!U233&amp;"""")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IF(物品!B234="",0,"'"&amp;物品!B234&amp;"'")</f>
        <v>'IF19'</v>
      </c>
      <c r="B146">
        <f>物品!D137</f>
        <v>0</v>
      </c>
      <c r="C146">
        <f>物品!E234</f>
        <v>0</v>
      </c>
      <c r="D146">
        <f>物品!F234</f>
        <v>0</v>
      </c>
      <c r="E146">
        <f>IF(ISTEXT(物品!G234)=TRUE,"'"&amp;物品!G234&amp;"'",物品!G234)</f>
        <v>0</v>
      </c>
      <c r="F146">
        <f>IF(ISTEXT(物品!H234)=TRUE,"'"&amp;物品!H234&amp;"'",物品!H234)</f>
        <v>0</v>
      </c>
      <c r="G146">
        <f>IF(物品!I234="",0,"'"&amp;物品!I234&amp;"'")</f>
        <v>0</v>
      </c>
      <c r="H146">
        <f>IF(物品!R234="",0,物品!R234)</f>
        <v>0</v>
      </c>
      <c r="I146">
        <f>IF(物品!S234="",0,物品!S234)</f>
        <v>0</v>
      </c>
      <c r="J146" t="str">
        <f>IF(物品!C234="",0,""""&amp;物品!C234&amp;"""")</f>
        <v>"附魔"</v>
      </c>
      <c r="K146" t="str">
        <f>IF(物品!T234="","""""",""""&amp;物品!T234&amp;"""")</f>
        <v>""</v>
      </c>
      <c r="L146">
        <f>IF(物品!U234="",0,""""&amp;物品!U234&amp;"""")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IF(物品!B235="",0,"'"&amp;物品!B235&amp;"'")</f>
        <v>'IF20'</v>
      </c>
      <c r="B147">
        <f>物品!D138</f>
        <v>0</v>
      </c>
      <c r="C147">
        <f>物品!E235</f>
        <v>0</v>
      </c>
      <c r="D147">
        <f>物品!F235</f>
        <v>0</v>
      </c>
      <c r="E147">
        <f>IF(ISTEXT(物品!G235)=TRUE,"'"&amp;物品!G235&amp;"'",物品!G235)</f>
        <v>0</v>
      </c>
      <c r="F147">
        <f>IF(ISTEXT(物品!H235)=TRUE,"'"&amp;物品!H235&amp;"'",物品!H235)</f>
        <v>0</v>
      </c>
      <c r="G147">
        <f>IF(物品!I235="",0,"'"&amp;物品!I235&amp;"'")</f>
        <v>0</v>
      </c>
      <c r="H147">
        <f>IF(物品!R235="",0,物品!R235)</f>
        <v>0</v>
      </c>
      <c r="I147">
        <f>IF(物品!S235="",0,物品!S235)</f>
        <v>0</v>
      </c>
      <c r="J147" t="str">
        <f>IF(物品!C235="",0,""""&amp;物品!C235&amp;"""")</f>
        <v>"附魔"</v>
      </c>
      <c r="K147" t="str">
        <f>IF(物品!T235="","""""",""""&amp;物品!T235&amp;"""")</f>
        <v>""</v>
      </c>
      <c r="L147">
        <f>IF(物品!U235="",0,""""&amp;物品!U235&amp;"""")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IF(物品!B236="",0,"'"&amp;物品!B236&amp;"'")</f>
        <v>'IF21'</v>
      </c>
      <c r="B148">
        <f>物品!D152</f>
        <v>0</v>
      </c>
      <c r="C148">
        <f>物品!E236</f>
        <v>0</v>
      </c>
      <c r="D148">
        <f>物品!F236</f>
        <v>0</v>
      </c>
      <c r="E148">
        <f>IF(ISTEXT(物品!G236)=TRUE,"'"&amp;物品!G236&amp;"'",物品!G236)</f>
        <v>0</v>
      </c>
      <c r="F148">
        <f>IF(ISTEXT(物品!H236)=TRUE,"'"&amp;物品!H236&amp;"'",物品!H236)</f>
        <v>0</v>
      </c>
      <c r="G148">
        <f>IF(物品!I236="",0,"'"&amp;物品!I236&amp;"'")</f>
        <v>0</v>
      </c>
      <c r="H148">
        <f>IF(物品!R236="",0,物品!R236)</f>
        <v>0</v>
      </c>
      <c r="I148">
        <f>IF(物品!S236="",0,物品!S236)</f>
        <v>0</v>
      </c>
      <c r="J148" t="str">
        <f>IF(物品!C236="",0,""""&amp;物品!C236&amp;"""")</f>
        <v>"附魔"</v>
      </c>
      <c r="K148" t="str">
        <f>IF(物品!T236="","""""",""""&amp;物品!T236&amp;"""")</f>
        <v>""</v>
      </c>
      <c r="L148">
        <f>IF(物品!U236="",0,""""&amp;物品!U236&amp;"""")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IF(物品!B237="",0,"'"&amp;物品!B237&amp;"'")</f>
        <v>'IF22'</v>
      </c>
      <c r="B149">
        <f>物品!D153</f>
        <v>0</v>
      </c>
      <c r="C149">
        <f>物品!E237</f>
        <v>0</v>
      </c>
      <c r="D149">
        <f>物品!F237</f>
        <v>0</v>
      </c>
      <c r="E149">
        <f>IF(ISTEXT(物品!G237)=TRUE,"'"&amp;物品!G237&amp;"'",物品!G237)</f>
        <v>0</v>
      </c>
      <c r="F149">
        <f>IF(ISTEXT(物品!H237)=TRUE,"'"&amp;物品!H237&amp;"'",物品!H237)</f>
        <v>0</v>
      </c>
      <c r="G149">
        <f>IF(物品!I237="",0,"'"&amp;物品!I237&amp;"'")</f>
        <v>0</v>
      </c>
      <c r="H149">
        <f>IF(物品!R237="",0,物品!R237)</f>
        <v>0</v>
      </c>
      <c r="I149">
        <f>IF(物品!S237="",0,物品!S237)</f>
        <v>0</v>
      </c>
      <c r="J149" t="str">
        <f>IF(物品!C237="",0,""""&amp;物品!C237&amp;"""")</f>
        <v>"附魔"</v>
      </c>
      <c r="K149" t="str">
        <f>IF(物品!T237="","""""",""""&amp;物品!T237&amp;"""")</f>
        <v>""</v>
      </c>
      <c r="L149">
        <f>IF(物品!U237="",0,""""&amp;物品!U237&amp;"""")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IF(物品!B238="",0,"'"&amp;物品!B238&amp;"'")</f>
        <v>'IF23'</v>
      </c>
      <c r="B150">
        <f>物品!D154</f>
        <v>0</v>
      </c>
      <c r="C150">
        <f>物品!E238</f>
        <v>0</v>
      </c>
      <c r="D150">
        <f>物品!F238</f>
        <v>0</v>
      </c>
      <c r="E150">
        <f>IF(ISTEXT(物品!G238)=TRUE,"'"&amp;物品!G238&amp;"'",物品!G238)</f>
        <v>0</v>
      </c>
      <c r="F150">
        <f>IF(ISTEXT(物品!H238)=TRUE,"'"&amp;物品!H238&amp;"'",物品!H238)</f>
        <v>0</v>
      </c>
      <c r="G150">
        <f>IF(物品!I238="",0,"'"&amp;物品!I238&amp;"'")</f>
        <v>0</v>
      </c>
      <c r="H150">
        <f>IF(物品!R238="",0,物品!R238)</f>
        <v>0</v>
      </c>
      <c r="I150">
        <f>IF(物品!S238="",0,物品!S238)</f>
        <v>0</v>
      </c>
      <c r="J150" t="str">
        <f>IF(物品!C238="",0,""""&amp;物品!C238&amp;"""")</f>
        <v>"附魔"</v>
      </c>
      <c r="K150" t="str">
        <f>IF(物品!T238="","""""",""""&amp;物品!T238&amp;"""")</f>
        <v>""</v>
      </c>
      <c r="L150">
        <f>IF(物品!U238="",0,""""&amp;物品!U238&amp;"""")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IF(物品!B239="",0,"'"&amp;物品!B239&amp;"'")</f>
        <v>'IF24'</v>
      </c>
      <c r="B151">
        <f>物品!D155</f>
        <v>0</v>
      </c>
      <c r="C151">
        <f>物品!E239</f>
        <v>0</v>
      </c>
      <c r="D151">
        <f>物品!F239</f>
        <v>0</v>
      </c>
      <c r="E151">
        <f>IF(ISTEXT(物品!G239)=TRUE,"'"&amp;物品!G239&amp;"'",物品!G239)</f>
        <v>0</v>
      </c>
      <c r="F151">
        <f>IF(ISTEXT(物品!H239)=TRUE,"'"&amp;物品!H239&amp;"'",物品!H239)</f>
        <v>0</v>
      </c>
      <c r="G151">
        <f>IF(物品!I239="",0,"'"&amp;物品!I239&amp;"'")</f>
        <v>0</v>
      </c>
      <c r="H151">
        <f>IF(物品!R239="",0,物品!R239)</f>
        <v>0</v>
      </c>
      <c r="I151">
        <f>IF(物品!S239="",0,物品!S239)</f>
        <v>0</v>
      </c>
      <c r="J151" t="str">
        <f>IF(物品!C239="",0,""""&amp;物品!C239&amp;"""")</f>
        <v>"附魔"</v>
      </c>
      <c r="K151" t="str">
        <f>IF(物品!T239="","""""",""""&amp;物品!T239&amp;"""")</f>
        <v>""</v>
      </c>
      <c r="L151">
        <f>IF(物品!U239="",0,""""&amp;物品!U239&amp;"""")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IF(物品!B240="",0,"'"&amp;物品!B240&amp;"'")</f>
        <v>'IF25'</v>
      </c>
      <c r="B152">
        <f>物品!D156</f>
        <v>0</v>
      </c>
      <c r="C152">
        <f>物品!E240</f>
        <v>0</v>
      </c>
      <c r="D152">
        <f>物品!F240</f>
        <v>0</v>
      </c>
      <c r="E152">
        <f>IF(ISTEXT(物品!G240)=TRUE,"'"&amp;物品!G240&amp;"'",物品!G240)</f>
        <v>0</v>
      </c>
      <c r="F152">
        <f>IF(ISTEXT(物品!H240)=TRUE,"'"&amp;物品!H240&amp;"'",物品!H240)</f>
        <v>0</v>
      </c>
      <c r="G152">
        <f>IF(物品!I240="",0,"'"&amp;物品!I240&amp;"'")</f>
        <v>0</v>
      </c>
      <c r="H152">
        <f>IF(物品!R240="",0,物品!R240)</f>
        <v>0</v>
      </c>
      <c r="I152">
        <f>IF(物品!S240="",0,物品!S240)</f>
        <v>0</v>
      </c>
      <c r="J152" t="str">
        <f>IF(物品!C240="",0,""""&amp;物品!C240&amp;"""")</f>
        <v>"附魔"</v>
      </c>
      <c r="K152" t="str">
        <f>IF(物品!T240="","""""",""""&amp;物品!T240&amp;"""")</f>
        <v>""</v>
      </c>
      <c r="L152">
        <f>IF(物品!U240="",0,""""&amp;物品!U240&amp;"""")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IF(物品!B241="",0,"'"&amp;物品!B241&amp;"'")</f>
        <v>'IF26'</v>
      </c>
      <c r="B153">
        <f>物品!D161</f>
        <v>0</v>
      </c>
      <c r="C153">
        <f>物品!E241</f>
        <v>0</v>
      </c>
      <c r="D153">
        <f>物品!F241</f>
        <v>0</v>
      </c>
      <c r="E153">
        <f>IF(ISTEXT(物品!G241)=TRUE,"'"&amp;物品!G241&amp;"'",物品!G241)</f>
        <v>0</v>
      </c>
      <c r="F153">
        <f>IF(ISTEXT(物品!H241)=TRUE,"'"&amp;物品!H241&amp;"'",物品!H241)</f>
        <v>0</v>
      </c>
      <c r="G153">
        <f>IF(物品!I241="",0,"'"&amp;物品!I241&amp;"'")</f>
        <v>0</v>
      </c>
      <c r="H153">
        <f>IF(物品!R241="",0,物品!R241)</f>
        <v>0</v>
      </c>
      <c r="I153">
        <f>IF(物品!S241="",0,物品!S241)</f>
        <v>0</v>
      </c>
      <c r="J153" t="str">
        <f>IF(物品!C241="",0,""""&amp;物品!C241&amp;"""")</f>
        <v>"附魔"</v>
      </c>
      <c r="K153" t="str">
        <f>IF(物品!T241="","""""",""""&amp;物品!T241&amp;"""")</f>
        <v>""</v>
      </c>
      <c r="L153">
        <f>IF(物品!U241="",0,""""&amp;物品!U241&amp;"""")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IF(物品!B242="",0,"'"&amp;物品!B242&amp;"'")</f>
        <v>'IF27'</v>
      </c>
      <c r="B154">
        <f>物品!D162</f>
        <v>0</v>
      </c>
      <c r="C154">
        <f>物品!E242</f>
        <v>0</v>
      </c>
      <c r="D154">
        <f>物品!F242</f>
        <v>0</v>
      </c>
      <c r="E154">
        <f>IF(ISTEXT(物品!G242)=TRUE,"'"&amp;物品!G242&amp;"'",物品!G242)</f>
        <v>0</v>
      </c>
      <c r="F154">
        <f>IF(ISTEXT(物品!H242)=TRUE,"'"&amp;物品!H242&amp;"'",物品!H242)</f>
        <v>0</v>
      </c>
      <c r="G154">
        <f>IF(物品!I242="",0,"'"&amp;物品!I242&amp;"'")</f>
        <v>0</v>
      </c>
      <c r="H154">
        <f>IF(物品!R242="",0,物品!R242)</f>
        <v>0</v>
      </c>
      <c r="I154">
        <f>IF(物品!S242="",0,物品!S242)</f>
        <v>0</v>
      </c>
      <c r="J154" t="str">
        <f>IF(物品!C242="",0,""""&amp;物品!C242&amp;"""")</f>
        <v>"附魔"</v>
      </c>
      <c r="K154" t="str">
        <f>IF(物品!T242="","""""",""""&amp;物品!T242&amp;"""")</f>
        <v>""</v>
      </c>
      <c r="L154">
        <f>IF(物品!U242="",0,""""&amp;物品!U242&amp;"""")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IF(物品!B249="",0,"'"&amp;物品!B249&amp;"'")</f>
        <v>'IC01'</v>
      </c>
      <c r="B155">
        <f>物品!D163</f>
        <v>0</v>
      </c>
      <c r="C155">
        <f>物品!E249</f>
        <v>0</v>
      </c>
      <c r="D155">
        <f>物品!F249</f>
        <v>0</v>
      </c>
      <c r="E155">
        <f>IF(ISTEXT(物品!G249)=TRUE,"'"&amp;物品!G249&amp;"'",物品!G249)</f>
        <v>0</v>
      </c>
      <c r="F155">
        <f>IF(ISTEXT(物品!H249)=TRUE,"'"&amp;物品!H249&amp;"'",物品!H249)</f>
        <v>0</v>
      </c>
      <c r="G155">
        <f>IF(物品!I249="",0,"'"&amp;物品!I249&amp;"'")</f>
        <v>0</v>
      </c>
      <c r="H155">
        <f>IF(物品!R249="",0,物品!R249)</f>
        <v>0</v>
      </c>
      <c r="I155">
        <f>IF(物品!S249="",0,物品!S249)</f>
        <v>0</v>
      </c>
      <c r="J155" t="str">
        <f>IF(物品!C249="",0,""""&amp;物品!C249&amp;"""")</f>
        <v>"玄铁"</v>
      </c>
      <c r="K155" t="str">
        <f>IF(物品!T249="","""""",""""&amp;物品!T249&amp;"""")</f>
        <v>""</v>
      </c>
      <c r="L155">
        <f>IF(物品!U249="",0,""""&amp;物品!U249&amp;"""")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IF(物品!B250="",0,"'"&amp;物品!B250&amp;"'")</f>
        <v>'IC02'</v>
      </c>
      <c r="B156">
        <f>物品!D164</f>
        <v>0</v>
      </c>
      <c r="C156">
        <f>物品!E250</f>
        <v>0</v>
      </c>
      <c r="D156">
        <f>物品!F250</f>
        <v>0</v>
      </c>
      <c r="E156">
        <f>IF(ISTEXT(物品!G250)=TRUE,"'"&amp;物品!G250&amp;"'",物品!G250)</f>
        <v>0</v>
      </c>
      <c r="F156">
        <f>IF(ISTEXT(物品!H250)=TRUE,"'"&amp;物品!H250&amp;"'",物品!H250)</f>
        <v>0</v>
      </c>
      <c r="G156">
        <f>IF(物品!I250="",0,"'"&amp;物品!I250&amp;"'")</f>
        <v>0</v>
      </c>
      <c r="H156">
        <f>IF(物品!R250="",0,物品!R250)</f>
        <v>0</v>
      </c>
      <c r="I156">
        <f>IF(物品!S250="",0,物品!S250)</f>
        <v>0</v>
      </c>
      <c r="J156" t="str">
        <f>IF(物品!C250="",0,""""&amp;物品!C250&amp;"""")</f>
        <v>"杀敌数"</v>
      </c>
      <c r="K156" t="str">
        <f>IF(物品!T250="","""""",""""&amp;物品!T250&amp;"""")</f>
        <v>""</v>
      </c>
      <c r="L156">
        <f>IF(物品!U250="",0,""""&amp;物品!U250&amp;"""")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IF(物品!B251="",0,"'"&amp;物品!B251&amp;"'")</f>
        <v>'IC03'</v>
      </c>
      <c r="B157">
        <f>物品!D165</f>
        <v>0</v>
      </c>
      <c r="C157">
        <f>物品!E251</f>
        <v>0</v>
      </c>
      <c r="D157">
        <f>物品!F251</f>
        <v>0</v>
      </c>
      <c r="E157">
        <f>IF(ISTEXT(物品!G251)=TRUE,"'"&amp;物品!G251&amp;"'",物品!G251)</f>
        <v>0</v>
      </c>
      <c r="F157">
        <f>IF(ISTEXT(物品!H251)=TRUE,"'"&amp;物品!H251&amp;"'",物品!H251)</f>
        <v>0</v>
      </c>
      <c r="G157">
        <f>IF(物品!I251="",0,"'"&amp;物品!I251&amp;"'")</f>
        <v>0</v>
      </c>
      <c r="H157">
        <f>IF(物品!R251="",0,物品!R251)</f>
        <v>0</v>
      </c>
      <c r="I157">
        <f>IF(物品!S251="",0,物品!S251)</f>
        <v>0</v>
      </c>
      <c r="J157" t="str">
        <f>IF(物品!C251="",0,""""&amp;物品!C251&amp;"""")</f>
        <v>"攻击力低"</v>
      </c>
      <c r="K157" t="str">
        <f>IF(物品!T251="","""""",""""&amp;物品!T251&amp;"""")</f>
        <v>""</v>
      </c>
      <c r="L157">
        <f>IF(物品!U251="",0,""""&amp;物品!U251&amp;"""")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IF(物品!B252="",0,"'"&amp;物品!B252&amp;"'")</f>
        <v>'IC04'</v>
      </c>
      <c r="B158">
        <f>物品!D166</f>
        <v>0</v>
      </c>
      <c r="C158">
        <f>物品!E252</f>
        <v>0</v>
      </c>
      <c r="D158">
        <f>物品!F252</f>
        <v>0</v>
      </c>
      <c r="E158">
        <f>IF(ISTEXT(物品!G252)=TRUE,"'"&amp;物品!G252&amp;"'",物品!G252)</f>
        <v>0</v>
      </c>
      <c r="F158">
        <f>IF(ISTEXT(物品!H252)=TRUE,"'"&amp;物品!H252&amp;"'",物品!H252)</f>
        <v>0</v>
      </c>
      <c r="G158">
        <f>IF(物品!I252="",0,"'"&amp;物品!I252&amp;"'")</f>
        <v>0</v>
      </c>
      <c r="H158">
        <f>IF(物品!R252="",0,物品!R252)</f>
        <v>0</v>
      </c>
      <c r="I158">
        <f>IF(物品!S252="",0,物品!S252)</f>
        <v>0</v>
      </c>
      <c r="J158" t="str">
        <f>IF(物品!C252="",0,""""&amp;物品!C252&amp;"""")</f>
        <v>"攻击力中"</v>
      </c>
      <c r="K158" t="str">
        <f>IF(物品!T252="","""""",""""&amp;物品!T252&amp;"""")</f>
        <v>""</v>
      </c>
      <c r="L158">
        <f>IF(物品!U252="",0,""""&amp;物品!U252&amp;"""")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IF(物品!B253="",0,"'"&amp;物品!B253&amp;"'")</f>
        <v>'IC05'</v>
      </c>
      <c r="B159">
        <f>物品!D167</f>
        <v>0</v>
      </c>
      <c r="C159">
        <f>物品!E253</f>
        <v>0</v>
      </c>
      <c r="D159">
        <f>物品!F253</f>
        <v>0</v>
      </c>
      <c r="E159">
        <f>IF(ISTEXT(物品!G253)=TRUE,"'"&amp;物品!G253&amp;"'",物品!G253)</f>
        <v>0</v>
      </c>
      <c r="F159">
        <f>IF(ISTEXT(物品!H253)=TRUE,"'"&amp;物品!H253&amp;"'",物品!H253)</f>
        <v>0</v>
      </c>
      <c r="G159">
        <f>IF(物品!I253="",0,"'"&amp;物品!I253&amp;"'")</f>
        <v>0</v>
      </c>
      <c r="H159">
        <f>IF(物品!R253="",0,物品!R253)</f>
        <v>0</v>
      </c>
      <c r="I159">
        <f>IF(物品!S253="",0,物品!S253)</f>
        <v>0</v>
      </c>
      <c r="J159" t="str">
        <f>IF(物品!C253="",0,""""&amp;物品!C253&amp;"""")</f>
        <v>"攻击力高"</v>
      </c>
      <c r="K159" t="str">
        <f>IF(物品!T253="","""""",""""&amp;物品!T253&amp;"""")</f>
        <v>""</v>
      </c>
      <c r="L159">
        <f>IF(物品!U253="",0,""""&amp;物品!U253&amp;"""")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IF(物品!B254="",0,"'"&amp;物品!B254&amp;"'")</f>
        <v>'IC06'</v>
      </c>
      <c r="B160">
        <f>物品!D168</f>
        <v>0</v>
      </c>
      <c r="C160">
        <f>物品!E254</f>
        <v>0</v>
      </c>
      <c r="D160">
        <f>物品!F254</f>
        <v>0</v>
      </c>
      <c r="E160">
        <f>IF(ISTEXT(物品!G254)=TRUE,"'"&amp;物品!G254&amp;"'",物品!G254)</f>
        <v>0</v>
      </c>
      <c r="F160">
        <f>IF(ISTEXT(物品!H254)=TRUE,"'"&amp;物品!H254&amp;"'",物品!H254)</f>
        <v>0</v>
      </c>
      <c r="G160">
        <f>IF(物品!I254="",0,"'"&amp;物品!I254&amp;"'")</f>
        <v>0</v>
      </c>
      <c r="H160">
        <f>IF(物品!R254="",0,物品!R254)</f>
        <v>0</v>
      </c>
      <c r="I160">
        <f>IF(物品!S254="",0,物品!S254)</f>
        <v>0</v>
      </c>
      <c r="J160" t="str">
        <f>IF(物品!C254="",0,""""&amp;物品!C254&amp;"""")</f>
        <v>"生命值低"</v>
      </c>
      <c r="K160" t="str">
        <f>IF(物品!T254="","""""",""""&amp;物品!T254&amp;"""")</f>
        <v>""</v>
      </c>
      <c r="L160">
        <f>IF(物品!U254="",0,""""&amp;物品!U254&amp;"""")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IF(物品!B255="",0,"'"&amp;物品!B255&amp;"'")</f>
        <v>'IC07'</v>
      </c>
      <c r="B161">
        <f>物品!D169</f>
        <v>0</v>
      </c>
      <c r="C161">
        <f>物品!E255</f>
        <v>0</v>
      </c>
      <c r="D161">
        <f>物品!F255</f>
        <v>0</v>
      </c>
      <c r="E161">
        <f>IF(ISTEXT(物品!G255)=TRUE,"'"&amp;物品!G255&amp;"'",物品!G255)</f>
        <v>0</v>
      </c>
      <c r="F161">
        <f>IF(ISTEXT(物品!H255)=TRUE,"'"&amp;物品!H255&amp;"'",物品!H255)</f>
        <v>0</v>
      </c>
      <c r="G161">
        <f>IF(物品!I255="",0,"'"&amp;物品!I255&amp;"'")</f>
        <v>0</v>
      </c>
      <c r="H161">
        <f>IF(物品!R255="",0,物品!R255)</f>
        <v>0</v>
      </c>
      <c r="I161">
        <f>IF(物品!S255="",0,物品!S255)</f>
        <v>0</v>
      </c>
      <c r="J161" t="str">
        <f>IF(物品!C255="",0,""""&amp;物品!C255&amp;"""")</f>
        <v>"生命值中"</v>
      </c>
      <c r="K161" t="str">
        <f>IF(物品!T255="","""""",""""&amp;物品!T255&amp;"""")</f>
        <v>""</v>
      </c>
      <c r="L161">
        <f>IF(物品!U255="",0,""""&amp;物品!U255&amp;"""")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IF(物品!B256="",0,"'"&amp;物品!B256&amp;"'")</f>
        <v>'IC08'</v>
      </c>
      <c r="B162">
        <f>物品!D170</f>
        <v>0</v>
      </c>
      <c r="C162">
        <f>物品!E256</f>
        <v>0</v>
      </c>
      <c r="D162">
        <f>物品!F256</f>
        <v>0</v>
      </c>
      <c r="E162">
        <f>IF(ISTEXT(物品!G256)=TRUE,"'"&amp;物品!G256&amp;"'",物品!G256)</f>
        <v>0</v>
      </c>
      <c r="F162">
        <f>IF(ISTEXT(物品!H256)=TRUE,"'"&amp;物品!H256&amp;"'",物品!H256)</f>
        <v>0</v>
      </c>
      <c r="G162">
        <f>IF(物品!I256="",0,"'"&amp;物品!I256&amp;"'")</f>
        <v>0</v>
      </c>
      <c r="H162">
        <f>IF(物品!R256="",0,物品!R256)</f>
        <v>0</v>
      </c>
      <c r="I162">
        <f>IF(物品!S256="",0,物品!S256)</f>
        <v>0</v>
      </c>
      <c r="J162" t="str">
        <f>IF(物品!C256="",0,""""&amp;物品!C256&amp;"""")</f>
        <v>"生命值高"</v>
      </c>
      <c r="K162" t="str">
        <f>IF(物品!T256="","""""",""""&amp;物品!T256&amp;"""")</f>
        <v>""</v>
      </c>
      <c r="L162">
        <f>IF(物品!U256="",0,""""&amp;物品!U256&amp;"""")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IF(物品!B257="",0,"'"&amp;物品!B257&amp;"'")</f>
        <v>'IC09'</v>
      </c>
      <c r="B163">
        <f>物品!D171</f>
        <v>0</v>
      </c>
      <c r="C163">
        <f>物品!E257</f>
        <v>0</v>
      </c>
      <c r="D163">
        <f>物品!F257</f>
        <v>0</v>
      </c>
      <c r="E163">
        <f>IF(ISTEXT(物品!G257)=TRUE,"'"&amp;物品!G257&amp;"'",物品!G257)</f>
        <v>0</v>
      </c>
      <c r="F163">
        <f>IF(ISTEXT(物品!H257)=TRUE,"'"&amp;物品!H257&amp;"'",物品!H257)</f>
        <v>0</v>
      </c>
      <c r="G163">
        <f>IF(物品!I257="",0,"'"&amp;物品!I257&amp;"'")</f>
        <v>0</v>
      </c>
      <c r="H163">
        <f>IF(物品!R257="",0,物品!R257)</f>
        <v>0</v>
      </c>
      <c r="I163">
        <f>IF(物品!S257="",0,物品!S257)</f>
        <v>0</v>
      </c>
      <c r="J163" t="str">
        <f>IF(物品!C257="",0,""""&amp;物品!C257&amp;"""")</f>
        <v>"业力低"</v>
      </c>
      <c r="K163" t="str">
        <f>IF(物品!T257="","""""",""""&amp;物品!T257&amp;"""")</f>
        <v>""</v>
      </c>
      <c r="L163">
        <f>IF(物品!U257="",0,""""&amp;物品!U257&amp;"""")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IF(物品!B258="",0,"'"&amp;物品!B258&amp;"'")</f>
        <v>'IC10'</v>
      </c>
      <c r="B164">
        <f>物品!D172</f>
        <v>0</v>
      </c>
      <c r="C164">
        <f>物品!E258</f>
        <v>0</v>
      </c>
      <c r="D164">
        <f>物品!F258</f>
        <v>0</v>
      </c>
      <c r="E164">
        <f>IF(ISTEXT(物品!G258)=TRUE,"'"&amp;物品!G258&amp;"'",物品!G258)</f>
        <v>0</v>
      </c>
      <c r="F164">
        <f>IF(ISTEXT(物品!H258)=TRUE,"'"&amp;物品!H258&amp;"'",物品!H258)</f>
        <v>0</v>
      </c>
      <c r="G164">
        <f>IF(物品!I258="",0,"'"&amp;物品!I258&amp;"'")</f>
        <v>0</v>
      </c>
      <c r="H164">
        <f>IF(物品!R258="",0,物品!R258)</f>
        <v>0</v>
      </c>
      <c r="I164">
        <f>IF(物品!S258="",0,物品!S258)</f>
        <v>0</v>
      </c>
      <c r="J164" t="str">
        <f>IF(物品!C258="",0,""""&amp;物品!C258&amp;"""")</f>
        <v>"业力中"</v>
      </c>
      <c r="K164" t="str">
        <f>IF(物品!T258="","""""",""""&amp;物品!T258&amp;"""")</f>
        <v>""</v>
      </c>
      <c r="L164">
        <f>IF(物品!U258="",0,""""&amp;物品!U258&amp;"""")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IF(物品!B259="",0,"'"&amp;物品!B259&amp;"'")</f>
        <v>'IC11'</v>
      </c>
      <c r="B165">
        <f>物品!D173</f>
        <v>0</v>
      </c>
      <c r="C165">
        <f>物品!E259</f>
        <v>0</v>
      </c>
      <c r="D165">
        <f>物品!F259</f>
        <v>0</v>
      </c>
      <c r="E165">
        <f>IF(ISTEXT(物品!G259)=TRUE,"'"&amp;物品!G259&amp;"'",物品!G259)</f>
        <v>0</v>
      </c>
      <c r="F165">
        <f>IF(ISTEXT(物品!H259)=TRUE,"'"&amp;物品!H259&amp;"'",物品!H259)</f>
        <v>0</v>
      </c>
      <c r="G165">
        <f>IF(物品!I259="",0,"'"&amp;物品!I259&amp;"'")</f>
        <v>0</v>
      </c>
      <c r="H165">
        <f>IF(物品!R259="",0,物品!R259)</f>
        <v>0</v>
      </c>
      <c r="I165">
        <f>IF(物品!S259="",0,物品!S259)</f>
        <v>0</v>
      </c>
      <c r="J165" t="str">
        <f>IF(物品!C259="",0,""""&amp;物品!C259&amp;"""")</f>
        <v>"业力高"</v>
      </c>
      <c r="K165" t="str">
        <f>IF(物品!T259="","""""",""""&amp;物品!T259&amp;"""")</f>
        <v>""</v>
      </c>
      <c r="L165">
        <f>IF(物品!U259="",0,""""&amp;物品!U259&amp;"""")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IF(物品!B260="",0,"'"&amp;物品!B260&amp;"'")</f>
        <v>0</v>
      </c>
      <c r="B166">
        <f>物品!D174</f>
        <v>0</v>
      </c>
      <c r="C166">
        <f>物品!E260</f>
        <v>0</v>
      </c>
      <c r="D166">
        <f>物品!F260</f>
        <v>0</v>
      </c>
      <c r="E166">
        <f>IF(ISTEXT(物品!G260)=TRUE,"'"&amp;物品!G260&amp;"'",物品!G260)</f>
        <v>0</v>
      </c>
      <c r="F166">
        <f>IF(ISTEXT(物品!H260)=TRUE,"'"&amp;物品!H260&amp;"'",物品!H260)</f>
        <v>0</v>
      </c>
      <c r="G166">
        <f>IF(物品!I260="",0,"'"&amp;物品!I260&amp;"'")</f>
        <v>0</v>
      </c>
      <c r="H166">
        <f>IF(物品!R260="",0,物品!R260)</f>
        <v>0</v>
      </c>
      <c r="I166">
        <f>IF(物品!S260="",0,物品!S260)</f>
        <v>0</v>
      </c>
      <c r="J166">
        <f>IF(物品!C260="",0,""""&amp;物品!C260&amp;"""")</f>
        <v>0</v>
      </c>
      <c r="K166" t="str">
        <f>IF(物品!T260="","""""",""""&amp;物品!T260&amp;"""")</f>
        <v>""</v>
      </c>
      <c r="L166">
        <f>IF(物品!U260="",0,""""&amp;物品!U260&amp;"""")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IF(物品!B261="",0,"'"&amp;物品!B261&amp;"'")</f>
        <v>0</v>
      </c>
      <c r="B167">
        <f>物品!D177</f>
        <v>0</v>
      </c>
      <c r="C167">
        <f>物品!E261</f>
        <v>0</v>
      </c>
      <c r="D167">
        <f>物品!F261</f>
        <v>0</v>
      </c>
      <c r="E167">
        <f>IF(ISTEXT(物品!G261)=TRUE,"'"&amp;物品!G261&amp;"'",物品!G261)</f>
        <v>0</v>
      </c>
      <c r="F167">
        <f>IF(ISTEXT(物品!H261)=TRUE,"'"&amp;物品!H261&amp;"'",物品!H261)</f>
        <v>0</v>
      </c>
      <c r="G167">
        <f>IF(物品!I261="",0,"'"&amp;物品!I261&amp;"'")</f>
        <v>0</v>
      </c>
      <c r="H167">
        <f>IF(物品!R261="",0,物品!R261)</f>
        <v>0</v>
      </c>
      <c r="I167">
        <f>IF(物品!S261="",0,物品!S261)</f>
        <v>0</v>
      </c>
      <c r="J167">
        <f>IF(物品!C261="",0,""""&amp;物品!C261&amp;"""")</f>
        <v>0</v>
      </c>
      <c r="K167" t="str">
        <f>IF(物品!T261="","""""",""""&amp;物品!T261&amp;"""")</f>
        <v>""</v>
      </c>
      <c r="L167">
        <f>IF(物品!U261="",0,""""&amp;物品!U261&amp;"""")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IF(物品!B262="",0,"'"&amp;物品!B262&amp;"'")</f>
        <v>0</v>
      </c>
      <c r="B168">
        <f>物品!D178</f>
        <v>0</v>
      </c>
      <c r="C168">
        <f>物品!E262</f>
        <v>0</v>
      </c>
      <c r="D168">
        <f>物品!F262</f>
        <v>0</v>
      </c>
      <c r="E168">
        <f>IF(ISTEXT(物品!G262)=TRUE,"'"&amp;物品!G262&amp;"'",物品!G262)</f>
        <v>0</v>
      </c>
      <c r="F168">
        <f>IF(ISTEXT(物品!H262)=TRUE,"'"&amp;物品!H262&amp;"'",物品!H262)</f>
        <v>0</v>
      </c>
      <c r="G168">
        <f>IF(物品!I262="",0,"'"&amp;物品!I262&amp;"'")</f>
        <v>0</v>
      </c>
      <c r="H168">
        <f>IF(物品!R262="",0,物品!R262)</f>
        <v>0</v>
      </c>
      <c r="I168">
        <f>IF(物品!S262="",0,物品!S262)</f>
        <v>0</v>
      </c>
      <c r="J168">
        <f>IF(物品!C262="",0,""""&amp;物品!C262&amp;"""")</f>
        <v>0</v>
      </c>
      <c r="K168" t="str">
        <f>IF(物品!T262="","""""",""""&amp;物品!T262&amp;"""")</f>
        <v>""</v>
      </c>
      <c r="L168">
        <f>IF(物品!U262="",0,""""&amp;物品!U262&amp;"""")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IF(物品!B263="",0,"'"&amp;物品!B263&amp;"'")</f>
        <v>0</v>
      </c>
      <c r="B169">
        <f>物品!D179</f>
        <v>0</v>
      </c>
      <c r="C169">
        <f>物品!E263</f>
        <v>0</v>
      </c>
      <c r="D169">
        <f>物品!F263</f>
        <v>0</v>
      </c>
      <c r="E169">
        <f>IF(ISTEXT(物品!G263)=TRUE,"'"&amp;物品!G263&amp;"'",物品!G263)</f>
        <v>0</v>
      </c>
      <c r="F169">
        <f>IF(ISTEXT(物品!H263)=TRUE,"'"&amp;物品!H263&amp;"'",物品!H263)</f>
        <v>0</v>
      </c>
      <c r="G169">
        <f>IF(物品!I263="",0,"'"&amp;物品!I263&amp;"'")</f>
        <v>0</v>
      </c>
      <c r="H169">
        <f>IF(物品!R263="",0,物品!R263)</f>
        <v>0</v>
      </c>
      <c r="I169">
        <f>IF(物品!S263="",0,物品!S263)</f>
        <v>0</v>
      </c>
      <c r="J169">
        <f>IF(物品!C263="",0,""""&amp;物品!C263&amp;"""")</f>
        <v>0</v>
      </c>
      <c r="K169" t="str">
        <f>IF(物品!T263="","""""",""""&amp;物品!T263&amp;"""")</f>
        <v>""</v>
      </c>
      <c r="L169">
        <f>IF(物品!U263="",0,""""&amp;物品!U263&amp;"""")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IF(物品!B264="",0,"'"&amp;物品!B264&amp;"'")</f>
        <v>0</v>
      </c>
      <c r="B170">
        <f>物品!D180</f>
        <v>0</v>
      </c>
      <c r="C170">
        <f>物品!E264</f>
        <v>0</v>
      </c>
      <c r="D170">
        <f>物品!F264</f>
        <v>0</v>
      </c>
      <c r="E170">
        <f>IF(ISTEXT(物品!G264)=TRUE,"'"&amp;物品!G264&amp;"'",物品!G264)</f>
        <v>0</v>
      </c>
      <c r="F170">
        <f>IF(ISTEXT(物品!H264)=TRUE,"'"&amp;物品!H264&amp;"'",物品!H264)</f>
        <v>0</v>
      </c>
      <c r="G170">
        <f>IF(物品!I264="",0,"'"&amp;物品!I264&amp;"'")</f>
        <v>0</v>
      </c>
      <c r="H170">
        <f>IF(物品!R264="",0,物品!R264)</f>
        <v>0</v>
      </c>
      <c r="I170">
        <f>IF(物品!S264="",0,物品!S264)</f>
        <v>0</v>
      </c>
      <c r="J170">
        <f>IF(物品!C264="",0,""""&amp;物品!C264&amp;"""")</f>
        <v>0</v>
      </c>
      <c r="K170" t="str">
        <f>IF(物品!T264="","""""",""""&amp;物品!T264&amp;"""")</f>
        <v>""</v>
      </c>
      <c r="L170">
        <f>IF(物品!U264="",0,""""&amp;物品!U264&amp;"""")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IF(物品!B265="",0,"'"&amp;物品!B265&amp;"'")</f>
        <v>0</v>
      </c>
      <c r="B171">
        <f>物品!D181</f>
        <v>0</v>
      </c>
      <c r="C171">
        <f>物品!E265</f>
        <v>0</v>
      </c>
      <c r="D171">
        <f>物品!F265</f>
        <v>0</v>
      </c>
      <c r="E171">
        <f>IF(ISTEXT(物品!G265)=TRUE,"'"&amp;物品!G265&amp;"'",物品!G265)</f>
        <v>0</v>
      </c>
      <c r="F171">
        <f>IF(ISTEXT(物品!H265)=TRUE,"'"&amp;物品!H265&amp;"'",物品!H265)</f>
        <v>0</v>
      </c>
      <c r="G171">
        <f>IF(物品!I265="",0,"'"&amp;物品!I265&amp;"'")</f>
        <v>0</v>
      </c>
      <c r="H171">
        <f>IF(物品!R265="",0,物品!R265)</f>
        <v>0</v>
      </c>
      <c r="I171">
        <f>IF(物品!S265="",0,物品!S265)</f>
        <v>0</v>
      </c>
      <c r="J171">
        <f>IF(物品!C265="",0,""""&amp;物品!C265&amp;"""")</f>
        <v>0</v>
      </c>
      <c r="K171" t="str">
        <f>IF(物品!T265="","""""",""""&amp;物品!T265&amp;"""")</f>
        <v>""</v>
      </c>
      <c r="L171">
        <f>IF(物品!U265="",0,""""&amp;物品!U265&amp;"""")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IF(物品!B266="",0,"'"&amp;物品!B266&amp;"'")</f>
        <v>0</v>
      </c>
      <c r="B172">
        <f>物品!D182</f>
        <v>0</v>
      </c>
      <c r="C172">
        <f>物品!E266</f>
        <v>0</v>
      </c>
      <c r="D172">
        <f>物品!F266</f>
        <v>0</v>
      </c>
      <c r="E172">
        <f>IF(ISTEXT(物品!G266)=TRUE,"'"&amp;物品!G266&amp;"'",物品!G266)</f>
        <v>0</v>
      </c>
      <c r="F172">
        <f>IF(ISTEXT(物品!H266)=TRUE,"'"&amp;物品!H266&amp;"'",物品!H266)</f>
        <v>0</v>
      </c>
      <c r="G172">
        <f>IF(物品!I266="",0,"'"&amp;物品!I266&amp;"'")</f>
        <v>0</v>
      </c>
      <c r="H172">
        <f>IF(物品!R266="",0,物品!R266)</f>
        <v>0</v>
      </c>
      <c r="I172">
        <f>IF(物品!S266="",0,物品!S266)</f>
        <v>0</v>
      </c>
      <c r="J172">
        <f>IF(物品!C266="",0,""""&amp;物品!C266&amp;"""")</f>
        <v>0</v>
      </c>
      <c r="K172" t="str">
        <f>IF(物品!T266="","""""",""""&amp;物品!T266&amp;"""")</f>
        <v>""</v>
      </c>
      <c r="L172">
        <f>IF(物品!U266="",0,""""&amp;物品!U266&amp;"""")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IF(物品!B267="",0,"'"&amp;物品!B267&amp;"'")</f>
        <v>0</v>
      </c>
      <c r="B173">
        <f>物品!D183</f>
        <v>0</v>
      </c>
      <c r="C173">
        <f>物品!E267</f>
        <v>0</v>
      </c>
      <c r="D173">
        <f>物品!F267</f>
        <v>0</v>
      </c>
      <c r="E173">
        <f>IF(ISTEXT(物品!G267)=TRUE,"'"&amp;物品!G267&amp;"'",物品!G267)</f>
        <v>0</v>
      </c>
      <c r="F173">
        <f>IF(ISTEXT(物品!H267)=TRUE,"'"&amp;物品!H267&amp;"'",物品!H267)</f>
        <v>0</v>
      </c>
      <c r="G173">
        <f>IF(物品!I267="",0,"'"&amp;物品!I267&amp;"'")</f>
        <v>0</v>
      </c>
      <c r="H173">
        <f>IF(物品!R267="",0,物品!R267)</f>
        <v>0</v>
      </c>
      <c r="I173">
        <f>IF(物品!S267="",0,物品!S267)</f>
        <v>0</v>
      </c>
      <c r="J173">
        <f>IF(物品!C267="",0,""""&amp;物品!C267&amp;"""")</f>
        <v>0</v>
      </c>
      <c r="K173" t="str">
        <f>IF(物品!T267="","""""",""""&amp;物品!T267&amp;"""")</f>
        <v>""</v>
      </c>
      <c r="L173">
        <f>IF(物品!U267="",0,""""&amp;物品!U267&amp;"""")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IF(物品!B268="",0,"'"&amp;物品!B268&amp;"'")</f>
        <v>0</v>
      </c>
      <c r="B174">
        <f>物品!D187</f>
        <v>0</v>
      </c>
      <c r="C174">
        <f>物品!E268</f>
        <v>0</v>
      </c>
      <c r="D174">
        <f>物品!F268</f>
        <v>0</v>
      </c>
      <c r="E174">
        <f>IF(ISTEXT(物品!G268)=TRUE,"'"&amp;物品!G268&amp;"'",物品!G268)</f>
        <v>0</v>
      </c>
      <c r="F174">
        <f>IF(ISTEXT(物品!H268)=TRUE,"'"&amp;物品!H268&amp;"'",物品!H268)</f>
        <v>0</v>
      </c>
      <c r="G174">
        <f>IF(物品!I268="",0,"'"&amp;物品!I268&amp;"'")</f>
        <v>0</v>
      </c>
      <c r="H174">
        <f>IF(物品!R268="",0,物品!R268)</f>
        <v>0</v>
      </c>
      <c r="I174">
        <f>IF(物品!S268="",0,物品!S268)</f>
        <v>0</v>
      </c>
      <c r="J174">
        <f>IF(物品!C268="",0,""""&amp;物品!C268&amp;"""")</f>
        <v>0</v>
      </c>
      <c r="K174" t="str">
        <f>IF(物品!T268="","""""",""""&amp;物品!T268&amp;"""")</f>
        <v>""</v>
      </c>
      <c r="L174">
        <f>IF(物品!U268="",0,""""&amp;物品!U268&amp;"""")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IF(物品!B269="",0,"'"&amp;物品!B269&amp;"'")</f>
        <v>0</v>
      </c>
      <c r="B175">
        <f>物品!D188</f>
        <v>0</v>
      </c>
      <c r="C175">
        <f>物品!E269</f>
        <v>0</v>
      </c>
      <c r="D175">
        <f>物品!F269</f>
        <v>0</v>
      </c>
      <c r="E175">
        <f>IF(ISTEXT(物品!G269)=TRUE,"'"&amp;物品!G269&amp;"'",物品!G269)</f>
        <v>0</v>
      </c>
      <c r="F175">
        <f>IF(ISTEXT(物品!H269)=TRUE,"'"&amp;物品!H269&amp;"'",物品!H269)</f>
        <v>0</v>
      </c>
      <c r="G175">
        <f>IF(物品!I269="",0,"'"&amp;物品!I269&amp;"'")</f>
        <v>0</v>
      </c>
      <c r="H175">
        <f>IF(物品!R269="",0,物品!R269)</f>
        <v>0</v>
      </c>
      <c r="I175">
        <f>IF(物品!S269="",0,物品!S269)</f>
        <v>0</v>
      </c>
      <c r="J175">
        <f>IF(物品!C269="",0,""""&amp;物品!C269&amp;"""")</f>
        <v>0</v>
      </c>
      <c r="K175" t="str">
        <f>IF(物品!T269="","""""",""""&amp;物品!T269&amp;"""")</f>
        <v>""</v>
      </c>
      <c r="L175">
        <f>IF(物品!U269="",0,""""&amp;物品!U269&amp;"""")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IF(物品!B270="",0,"'"&amp;物品!B270&amp;"'")</f>
        <v>0</v>
      </c>
      <c r="B176" t="e">
        <f>物品!#REF!</f>
        <v>#REF!</v>
      </c>
      <c r="C176">
        <f>物品!E270</f>
        <v>0</v>
      </c>
      <c r="D176">
        <f>物品!F270</f>
        <v>0</v>
      </c>
      <c r="E176">
        <f>IF(ISTEXT(物品!G270)=TRUE,"'"&amp;物品!G270&amp;"'",物品!G270)</f>
        <v>0</v>
      </c>
      <c r="F176">
        <f>IF(ISTEXT(物品!H270)=TRUE,"'"&amp;物品!H270&amp;"'",物品!H270)</f>
        <v>0</v>
      </c>
      <c r="G176">
        <f>IF(物品!I270="",0,"'"&amp;物品!I270&amp;"'")</f>
        <v>0</v>
      </c>
      <c r="H176">
        <f>IF(物品!R270="",0,物品!R270)</f>
        <v>0</v>
      </c>
      <c r="I176">
        <f>IF(物品!S270="",0,物品!S270)</f>
        <v>0</v>
      </c>
      <c r="J176">
        <f>IF(物品!C270="",0,""""&amp;物品!C270&amp;"""")</f>
        <v>0</v>
      </c>
      <c r="K176" t="str">
        <f>IF(物品!T270="","""""",""""&amp;物品!T270&amp;"""")</f>
        <v>""</v>
      </c>
      <c r="L176">
        <f>IF(物品!U270="",0,""""&amp;物品!U270&amp;"""")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IF(物品!B271="",0,"'"&amp;物品!B271&amp;"'")</f>
        <v>0</v>
      </c>
      <c r="B177" t="e">
        <f>物品!#REF!</f>
        <v>#REF!</v>
      </c>
      <c r="C177">
        <f>物品!E271</f>
        <v>0</v>
      </c>
      <c r="D177">
        <f>物品!F271</f>
        <v>0</v>
      </c>
      <c r="E177">
        <f>IF(ISTEXT(物品!G271)=TRUE,"'"&amp;物品!G271&amp;"'",物品!G271)</f>
        <v>0</v>
      </c>
      <c r="F177">
        <f>IF(ISTEXT(物品!H271)=TRUE,"'"&amp;物品!H271&amp;"'",物品!H271)</f>
        <v>0</v>
      </c>
      <c r="G177">
        <f>IF(物品!I271="",0,"'"&amp;物品!I271&amp;"'")</f>
        <v>0</v>
      </c>
      <c r="H177">
        <f>IF(物品!R271="",0,物品!R271)</f>
        <v>0</v>
      </c>
      <c r="I177">
        <f>IF(物品!S271="",0,物品!S271)</f>
        <v>0</v>
      </c>
      <c r="J177">
        <f>IF(物品!C271="",0,""""&amp;物品!C271&amp;"""")</f>
        <v>0</v>
      </c>
      <c r="K177" t="str">
        <f>IF(物品!T271="","""""",""""&amp;物品!T271&amp;"""")</f>
        <v>""</v>
      </c>
      <c r="L177">
        <f>IF(物品!U271="",0,""""&amp;物品!U271&amp;"""")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IF(物品!B272="",0,"'"&amp;物品!B272&amp;"'")</f>
        <v>0</v>
      </c>
      <c r="B178" t="e">
        <f>物品!#REF!</f>
        <v>#REF!</v>
      </c>
      <c r="C178">
        <f>物品!E272</f>
        <v>0</v>
      </c>
      <c r="D178">
        <f>物品!F272</f>
        <v>0</v>
      </c>
      <c r="E178">
        <f>IF(ISTEXT(物品!G272)=TRUE,"'"&amp;物品!G272&amp;"'",物品!G272)</f>
        <v>0</v>
      </c>
      <c r="F178">
        <f>IF(ISTEXT(物品!H272)=TRUE,"'"&amp;物品!H272&amp;"'",物品!H272)</f>
        <v>0</v>
      </c>
      <c r="G178">
        <f>IF(物品!I272="",0,"'"&amp;物品!I272&amp;"'")</f>
        <v>0</v>
      </c>
      <c r="H178">
        <f>IF(物品!R272="",0,物品!R272)</f>
        <v>0</v>
      </c>
      <c r="I178">
        <f>IF(物品!S272="",0,物品!S272)</f>
        <v>0</v>
      </c>
      <c r="J178">
        <f>IF(物品!C272="",0,""""&amp;物品!C272&amp;"""")</f>
        <v>0</v>
      </c>
      <c r="K178" t="str">
        <f>IF(物品!T272="","""""",""""&amp;物品!T272&amp;"""")</f>
        <v>""</v>
      </c>
      <c r="L178">
        <f>IF(物品!U272="",0,""""&amp;物品!U272&amp;"""")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IF(物品!B273="",0,"'"&amp;物品!B273&amp;"'")</f>
        <v>0</v>
      </c>
      <c r="B179" t="e">
        <f>物品!#REF!</f>
        <v>#REF!</v>
      </c>
      <c r="C179">
        <f>物品!E273</f>
        <v>0</v>
      </c>
      <c r="D179">
        <f>物品!F273</f>
        <v>0</v>
      </c>
      <c r="E179">
        <f>IF(ISTEXT(物品!G273)=TRUE,"'"&amp;物品!G273&amp;"'",物品!G273)</f>
        <v>0</v>
      </c>
      <c r="F179">
        <f>IF(ISTEXT(物品!H273)=TRUE,"'"&amp;物品!H273&amp;"'",物品!H273)</f>
        <v>0</v>
      </c>
      <c r="G179">
        <f>IF(物品!I273="",0,"'"&amp;物品!I273&amp;"'")</f>
        <v>0</v>
      </c>
      <c r="H179">
        <f>IF(物品!R273="",0,物品!R273)</f>
        <v>0</v>
      </c>
      <c r="I179">
        <f>IF(物品!S273="",0,物品!S273)</f>
        <v>0</v>
      </c>
      <c r="J179">
        <f>IF(物品!C273="",0,""""&amp;物品!C273&amp;"""")</f>
        <v>0</v>
      </c>
      <c r="K179" t="str">
        <f>IF(物品!T273="","""""",""""&amp;物品!T273&amp;"""")</f>
        <v>""</v>
      </c>
      <c r="L179">
        <f>IF(物品!U273="",0,""""&amp;物品!U273&amp;"""")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IF(物品!B274="",0,"'"&amp;物品!B274&amp;"'")</f>
        <v>0</v>
      </c>
      <c r="B180" t="e">
        <f>物品!#REF!</f>
        <v>#REF!</v>
      </c>
      <c r="C180">
        <f>物品!E274</f>
        <v>0</v>
      </c>
      <c r="D180">
        <f>物品!F274</f>
        <v>0</v>
      </c>
      <c r="E180">
        <f>IF(ISTEXT(物品!G274)=TRUE,"'"&amp;物品!G274&amp;"'",物品!G274)</f>
        <v>0</v>
      </c>
      <c r="F180">
        <f>IF(ISTEXT(物品!H274)=TRUE,"'"&amp;物品!H274&amp;"'",物品!H274)</f>
        <v>0</v>
      </c>
      <c r="G180">
        <f>IF(物品!I274="",0,"'"&amp;物品!I274&amp;"'")</f>
        <v>0</v>
      </c>
      <c r="H180">
        <f>IF(物品!R274="",0,物品!R274)</f>
        <v>0</v>
      </c>
      <c r="I180">
        <f>IF(物品!S274="",0,物品!S274)</f>
        <v>0</v>
      </c>
      <c r="J180">
        <f>IF(物品!C274="",0,""""&amp;物品!C274&amp;"""")</f>
        <v>0</v>
      </c>
      <c r="K180" t="str">
        <f>IF(物品!T274="","""""",""""&amp;物品!T274&amp;"""")</f>
        <v>""</v>
      </c>
      <c r="L180">
        <f>IF(物品!U274="",0,""""&amp;物品!U274&amp;"""")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IF(物品!B275="",0,"'"&amp;物品!B275&amp;"'")</f>
        <v>0</v>
      </c>
      <c r="B181" t="e">
        <f>物品!#REF!</f>
        <v>#REF!</v>
      </c>
      <c r="C181">
        <f>物品!E275</f>
        <v>0</v>
      </c>
      <c r="D181">
        <f>物品!F275</f>
        <v>0</v>
      </c>
      <c r="E181">
        <f>IF(ISTEXT(物品!G275)=TRUE,"'"&amp;物品!G275&amp;"'",物品!G275)</f>
        <v>0</v>
      </c>
      <c r="F181">
        <f>IF(ISTEXT(物品!H275)=TRUE,"'"&amp;物品!H275&amp;"'",物品!H275)</f>
        <v>0</v>
      </c>
      <c r="G181">
        <f>IF(物品!I275="",0,"'"&amp;物品!I275&amp;"'")</f>
        <v>0</v>
      </c>
      <c r="H181">
        <f>IF(物品!R275="",0,物品!R275)</f>
        <v>0</v>
      </c>
      <c r="I181">
        <f>IF(物品!S275="",0,物品!S275)</f>
        <v>0</v>
      </c>
      <c r="J181">
        <f>IF(物品!C275="",0,""""&amp;物品!C275&amp;"""")</f>
        <v>0</v>
      </c>
      <c r="K181" t="str">
        <f>IF(物品!T275="","""""",""""&amp;物品!T275&amp;"""")</f>
        <v>""</v>
      </c>
      <c r="L181">
        <f>IF(物品!U275="",0,""""&amp;物品!U275&amp;"""")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IF(物品!B276="",0,"'"&amp;物品!B276&amp;"'")</f>
        <v>0</v>
      </c>
      <c r="B182" t="e">
        <f>物品!#REF!</f>
        <v>#REF!</v>
      </c>
      <c r="C182">
        <f>物品!E276</f>
        <v>0</v>
      </c>
      <c r="D182">
        <f>物品!F276</f>
        <v>0</v>
      </c>
      <c r="E182">
        <f>IF(ISTEXT(物品!G276)=TRUE,"'"&amp;物品!G276&amp;"'",物品!G276)</f>
        <v>0</v>
      </c>
      <c r="F182">
        <f>IF(ISTEXT(物品!H276)=TRUE,"'"&amp;物品!H276&amp;"'",物品!H276)</f>
        <v>0</v>
      </c>
      <c r="G182">
        <f>IF(物品!I276="",0,"'"&amp;物品!I276&amp;"'")</f>
        <v>0</v>
      </c>
      <c r="H182">
        <f>IF(物品!R276="",0,物品!R276)</f>
        <v>0</v>
      </c>
      <c r="I182">
        <f>IF(物品!S276="",0,物品!S276)</f>
        <v>0</v>
      </c>
      <c r="J182">
        <f>IF(物品!C276="",0,""""&amp;物品!C276&amp;"""")</f>
        <v>0</v>
      </c>
      <c r="K182" t="str">
        <f>IF(物品!T276="","""""",""""&amp;物品!T276&amp;"""")</f>
        <v>""</v>
      </c>
      <c r="L182">
        <f>IF(物品!U276="",0,""""&amp;物品!U276&amp;"""")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IF(物品!B277="",0,"'"&amp;物品!B277&amp;"'")</f>
        <v>0</v>
      </c>
      <c r="B183" t="e">
        <f>物品!#REF!</f>
        <v>#REF!</v>
      </c>
      <c r="C183">
        <f>物品!E277</f>
        <v>0</v>
      </c>
      <c r="D183">
        <f>物品!F277</f>
        <v>0</v>
      </c>
      <c r="E183">
        <f>IF(ISTEXT(物品!G277)=TRUE,"'"&amp;物品!G277&amp;"'",物品!G277)</f>
        <v>0</v>
      </c>
      <c r="F183">
        <f>IF(ISTEXT(物品!H277)=TRUE,"'"&amp;物品!H277&amp;"'",物品!H277)</f>
        <v>0</v>
      </c>
      <c r="G183">
        <f>IF(物品!I277="",0,"'"&amp;物品!I277&amp;"'")</f>
        <v>0</v>
      </c>
      <c r="H183">
        <f>IF(物品!R277="",0,物品!R277)</f>
        <v>0</v>
      </c>
      <c r="I183">
        <f>IF(物品!S277="",0,物品!S277)</f>
        <v>0</v>
      </c>
      <c r="J183">
        <f>IF(物品!C277="",0,""""&amp;物品!C277&amp;"""")</f>
        <v>0</v>
      </c>
      <c r="K183" t="str">
        <f>IF(物品!T277="","""""",""""&amp;物品!T277&amp;"""")</f>
        <v>""</v>
      </c>
      <c r="L183">
        <f>IF(物品!U277="",0,""""&amp;物品!U277&amp;"""")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IF(物品!B278="",0,"'"&amp;物品!B278&amp;"'")</f>
        <v>0</v>
      </c>
      <c r="B184">
        <f>物品!D194</f>
        <v>0</v>
      </c>
      <c r="C184">
        <f>物品!E278</f>
        <v>0</v>
      </c>
      <c r="D184">
        <f>物品!F278</f>
        <v>0</v>
      </c>
      <c r="E184">
        <f>IF(ISTEXT(物品!G278)=TRUE,"'"&amp;物品!G278&amp;"'",物品!G278)</f>
        <v>0</v>
      </c>
      <c r="F184">
        <f>IF(ISTEXT(物品!H278)=TRUE,"'"&amp;物品!H278&amp;"'",物品!H278)</f>
        <v>0</v>
      </c>
      <c r="G184">
        <f>IF(物品!I278="",0,"'"&amp;物品!I278&amp;"'")</f>
        <v>0</v>
      </c>
      <c r="H184">
        <f>IF(物品!R278="",0,物品!R278)</f>
        <v>0</v>
      </c>
      <c r="I184">
        <f>IF(物品!S278="",0,物品!S278)</f>
        <v>0</v>
      </c>
      <c r="J184">
        <f>IF(物品!C278="",0,""""&amp;物品!C278&amp;"""")</f>
        <v>0</v>
      </c>
      <c r="K184" t="str">
        <f>IF(物品!T278="","""""",""""&amp;物品!T278&amp;"""")</f>
        <v>""</v>
      </c>
      <c r="L184">
        <f>IF(物品!U278="",0,""""&amp;物品!U278&amp;"""")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IF(物品!B288="",0,"'"&amp;物品!B288&amp;"'")</f>
        <v>0</v>
      </c>
      <c r="B185">
        <f>物品!D195</f>
        <v>0</v>
      </c>
      <c r="C185">
        <f>物品!E288</f>
        <v>0</v>
      </c>
      <c r="D185">
        <f>物品!F288</f>
        <v>0</v>
      </c>
      <c r="E185">
        <f>IF(ISTEXT(物品!G279)=TRUE,"'"&amp;物品!G279&amp;"'",物品!G279)</f>
        <v>0</v>
      </c>
      <c r="F185">
        <f>IF(ISTEXT(物品!H279)=TRUE,"'"&amp;物品!H279&amp;"'",物品!H279)</f>
        <v>0</v>
      </c>
      <c r="G185">
        <f>IF(物品!I288="",0,"'"&amp;物品!I288&amp;"'")</f>
        <v>0</v>
      </c>
      <c r="H185">
        <f>IF(物品!R279="",0,物品!R279)</f>
        <v>0</v>
      </c>
      <c r="I185">
        <f>IF(物品!S279="",0,物品!S279)</f>
        <v>0</v>
      </c>
      <c r="J185">
        <f>IF(物品!C288="",0,""""&amp;物品!C288&amp;"""")</f>
        <v>0</v>
      </c>
      <c r="K185" t="str">
        <f>IF(物品!T288="","""""",""""&amp;物品!T288&amp;"""")</f>
        <v>""</v>
      </c>
      <c r="L185">
        <f>IF(物品!U288="",0,""""&amp;物品!U288&amp;"""")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IF(物品!B289="",0,"'"&amp;物品!B289&amp;"'")</f>
        <v>0</v>
      </c>
      <c r="B186">
        <f>物品!D196</f>
        <v>0</v>
      </c>
      <c r="C186">
        <f>物品!E289</f>
        <v>0</v>
      </c>
      <c r="D186">
        <f>物品!F289</f>
        <v>0</v>
      </c>
      <c r="E186">
        <f>IF(ISTEXT(物品!G280)=TRUE,"'"&amp;物品!G280&amp;"'",物品!G280)</f>
        <v>0</v>
      </c>
      <c r="F186">
        <f>IF(ISTEXT(物品!H280)=TRUE,"'"&amp;物品!H280&amp;"'",物品!H280)</f>
        <v>0</v>
      </c>
      <c r="G186">
        <f>IF(物品!I289="",0,"'"&amp;物品!I289&amp;"'")</f>
        <v>0</v>
      </c>
      <c r="H186">
        <f>IF(物品!R280="",0,物品!R280)</f>
        <v>0</v>
      </c>
      <c r="I186">
        <f>IF(物品!S280="",0,物品!S280)</f>
        <v>0</v>
      </c>
      <c r="J186">
        <f>IF(物品!C289="",0,""""&amp;物品!C289&amp;"""")</f>
        <v>0</v>
      </c>
      <c r="K186" t="str">
        <f>IF(物品!T289="","""""",""""&amp;物品!T289&amp;"""")</f>
        <v>""</v>
      </c>
      <c r="L186">
        <f>IF(物品!U289="",0,""""&amp;物品!U289&amp;"""")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IF(物品!B290="",0,"'"&amp;物品!B290&amp;"'")</f>
        <v>0</v>
      </c>
      <c r="B187">
        <f>物品!D197</f>
        <v>0</v>
      </c>
      <c r="C187">
        <f>物品!E290</f>
        <v>0</v>
      </c>
      <c r="D187">
        <f>物品!F290</f>
        <v>0</v>
      </c>
      <c r="E187">
        <f>IF(ISTEXT(物品!G281)=TRUE,"'"&amp;物品!G281&amp;"'",物品!G281)</f>
        <v>0</v>
      </c>
      <c r="F187">
        <f>IF(ISTEXT(物品!H281)=TRUE,"'"&amp;物品!H281&amp;"'",物品!H281)</f>
        <v>0</v>
      </c>
      <c r="G187">
        <f>IF(物品!I290="",0,"'"&amp;物品!I290&amp;"'")</f>
        <v>0</v>
      </c>
      <c r="H187">
        <f>IF(物品!R281="",0,物品!R281)</f>
        <v>0</v>
      </c>
      <c r="I187">
        <f>IF(物品!S281="",0,物品!S281)</f>
        <v>0</v>
      </c>
      <c r="J187">
        <f>IF(物品!C290="",0,""""&amp;物品!C290&amp;"""")</f>
        <v>0</v>
      </c>
      <c r="K187" t="str">
        <f>IF(物品!T290="","""""",""""&amp;物品!T290&amp;"""")</f>
        <v>""</v>
      </c>
      <c r="L187">
        <f>IF(物品!U290="",0,""""&amp;物品!U290&amp;"""")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IF(物品!B291="",0,"'"&amp;物品!B291&amp;"'")</f>
        <v>0</v>
      </c>
      <c r="B188">
        <f>物品!D198</f>
        <v>0</v>
      </c>
      <c r="C188">
        <f>物品!E291</f>
        <v>0</v>
      </c>
      <c r="D188">
        <f>物品!F291</f>
        <v>0</v>
      </c>
      <c r="E188">
        <f>IF(ISTEXT(物品!G282)=TRUE,"'"&amp;物品!G282&amp;"'",物品!G282)</f>
        <v>0</v>
      </c>
      <c r="F188">
        <f>IF(ISTEXT(物品!H282)=TRUE,"'"&amp;物品!H282&amp;"'",物品!H282)</f>
        <v>0</v>
      </c>
      <c r="G188">
        <f>IF(物品!I291="",0,"'"&amp;物品!I291&amp;"'")</f>
        <v>0</v>
      </c>
      <c r="H188">
        <f>IF(物品!R282="",0,物品!R282)</f>
        <v>0</v>
      </c>
      <c r="I188">
        <f>IF(物品!S282="",0,物品!S282)</f>
        <v>0</v>
      </c>
      <c r="J188">
        <f>IF(物品!C291="",0,""""&amp;物品!C291&amp;"""")</f>
        <v>0</v>
      </c>
      <c r="K188" t="str">
        <f>IF(物品!T291="","""""",""""&amp;物品!T291&amp;"""")</f>
        <v>""</v>
      </c>
      <c r="L188">
        <f>IF(物品!U291="",0,""""&amp;物品!U291&amp;"""")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IF(物品!B292="",0,"'"&amp;物品!B292&amp;"'")</f>
        <v>0</v>
      </c>
      <c r="B189">
        <f>物品!D199</f>
        <v>0</v>
      </c>
      <c r="C189">
        <f>物品!E292</f>
        <v>0</v>
      </c>
      <c r="D189">
        <f>物品!F292</f>
        <v>0</v>
      </c>
      <c r="E189">
        <f>IF(ISTEXT(物品!G283)=TRUE,"'"&amp;物品!G283&amp;"'",物品!G283)</f>
        <v>0</v>
      </c>
      <c r="F189">
        <f>IF(ISTEXT(物品!H283)=TRUE,"'"&amp;物品!H283&amp;"'",物品!H283)</f>
        <v>0</v>
      </c>
      <c r="G189">
        <f>IF(物品!I292="",0,"'"&amp;物品!I292&amp;"'")</f>
        <v>0</v>
      </c>
      <c r="H189">
        <f>IF(物品!R283="",0,物品!R283)</f>
        <v>0</v>
      </c>
      <c r="I189">
        <f>IF(物品!S283="",0,物品!S283)</f>
        <v>0</v>
      </c>
      <c r="J189">
        <f>IF(物品!C292="",0,""""&amp;物品!C292&amp;"""")</f>
        <v>0</v>
      </c>
      <c r="K189" t="str">
        <f>IF(物品!T292="","""""",""""&amp;物品!T292&amp;"""")</f>
        <v>""</v>
      </c>
      <c r="L189">
        <f>IF(物品!U292="",0,""""&amp;物品!U292&amp;"""")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IF(物品!B293="",0,"'"&amp;物品!B293&amp;"'")</f>
        <v>0</v>
      </c>
      <c r="B190">
        <f>物品!D200</f>
        <v>0</v>
      </c>
      <c r="C190">
        <f>物品!E293</f>
        <v>0</v>
      </c>
      <c r="D190">
        <f>物品!F293</f>
        <v>0</v>
      </c>
      <c r="E190">
        <f>IF(ISTEXT(物品!G284)=TRUE,"'"&amp;物品!G284&amp;"'",物品!G284)</f>
        <v>0</v>
      </c>
      <c r="F190">
        <f>IF(ISTEXT(物品!H284)=TRUE,"'"&amp;物品!H284&amp;"'",物品!H284)</f>
        <v>0</v>
      </c>
      <c r="G190">
        <f>IF(物品!I293="",0,"'"&amp;物品!I293&amp;"'")</f>
        <v>0</v>
      </c>
      <c r="H190">
        <f>IF(物品!R284="",0,物品!R284)</f>
        <v>0</v>
      </c>
      <c r="I190">
        <f>IF(物品!S284="",0,物品!S284)</f>
        <v>0</v>
      </c>
      <c r="J190">
        <f>IF(物品!C293="",0,""""&amp;物品!C293&amp;"""")</f>
        <v>0</v>
      </c>
      <c r="K190" t="str">
        <f>IF(物品!T293="","""""",""""&amp;物品!T293&amp;"""")</f>
        <v>""</v>
      </c>
      <c r="L190">
        <f>IF(物品!U293="",0,""""&amp;物品!U293&amp;"""")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IF(物品!B294="",0,"'"&amp;物品!B294&amp;"'")</f>
        <v>0</v>
      </c>
      <c r="B191">
        <f>物品!D201</f>
        <v>0</v>
      </c>
      <c r="C191">
        <f>物品!E294</f>
        <v>0</v>
      </c>
      <c r="D191">
        <f>物品!F294</f>
        <v>0</v>
      </c>
      <c r="E191">
        <f>IF(ISTEXT(物品!G285)=TRUE,"'"&amp;物品!G285&amp;"'",物品!G285)</f>
        <v>0</v>
      </c>
      <c r="F191">
        <f>IF(ISTEXT(物品!H285)=TRUE,"'"&amp;物品!H285&amp;"'",物品!H285)</f>
        <v>0</v>
      </c>
      <c r="G191">
        <f>IF(物品!I294="",0,"'"&amp;物品!I294&amp;"'")</f>
        <v>0</v>
      </c>
      <c r="H191">
        <f>IF(物品!R285="",0,物品!R285)</f>
        <v>0</v>
      </c>
      <c r="I191">
        <f>IF(物品!S285="",0,物品!S285)</f>
        <v>0</v>
      </c>
      <c r="J191">
        <f>IF(物品!C294="",0,""""&amp;物品!C294&amp;"""")</f>
        <v>0</v>
      </c>
      <c r="K191" t="str">
        <f>IF(物品!T294="","""""",""""&amp;物品!T294&amp;"""")</f>
        <v>""</v>
      </c>
      <c r="L191">
        <f>IF(物品!U294="",0,""""&amp;物品!U294&amp;"""")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IF(物品!B295="",0,"'"&amp;物品!B295&amp;"'")</f>
        <v>0</v>
      </c>
      <c r="B192">
        <f>物品!D216</f>
        <v>0</v>
      </c>
      <c r="C192">
        <f>物品!E295</f>
        <v>0</v>
      </c>
      <c r="D192">
        <f>物品!F295</f>
        <v>0</v>
      </c>
      <c r="E192">
        <f>IF(ISTEXT(物品!G286)=TRUE,"'"&amp;物品!G286&amp;"'",物品!G286)</f>
        <v>0</v>
      </c>
      <c r="F192">
        <f>IF(ISTEXT(物品!H286)=TRUE,"'"&amp;物品!H286&amp;"'",物品!H286)</f>
        <v>0</v>
      </c>
      <c r="G192">
        <f>IF(物品!I295="",0,"'"&amp;物品!I295&amp;"'")</f>
        <v>0</v>
      </c>
      <c r="H192">
        <f>IF(物品!R286="",0,物品!R286)</f>
        <v>0</v>
      </c>
      <c r="I192">
        <f>IF(物品!S286="",0,物品!S286)</f>
        <v>0</v>
      </c>
      <c r="J192">
        <f>IF(物品!C295="",0,""""&amp;物品!C295&amp;"""")</f>
        <v>0</v>
      </c>
      <c r="K192" t="str">
        <f>IF(物品!T295="","""""",""""&amp;物品!T295&amp;"""")</f>
        <v>""</v>
      </c>
      <c r="L192">
        <f>IF(物品!U295="",0,""""&amp;物品!U295&amp;"""")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IF(物品!B296="",0,"'"&amp;物品!B296&amp;"'")</f>
        <v>0</v>
      </c>
      <c r="B193">
        <f>物品!D217</f>
        <v>0</v>
      </c>
      <c r="C193">
        <f>物品!E296</f>
        <v>0</v>
      </c>
      <c r="D193">
        <f>物品!F296</f>
        <v>0</v>
      </c>
      <c r="E193">
        <f>IF(ISTEXT(物品!G287)=TRUE,"'"&amp;物品!G287&amp;"'",物品!G287)</f>
        <v>0</v>
      </c>
      <c r="F193">
        <f>IF(ISTEXT(物品!H287)=TRUE,"'"&amp;物品!H287&amp;"'",物品!H287)</f>
        <v>0</v>
      </c>
      <c r="G193">
        <f>IF(物品!I296="",0,"'"&amp;物品!I296&amp;"'")</f>
        <v>0</v>
      </c>
      <c r="H193">
        <f>IF(物品!R287="",0,物品!R287)</f>
        <v>0</v>
      </c>
      <c r="I193">
        <f>IF(物品!S287="",0,物品!S287)</f>
        <v>0</v>
      </c>
      <c r="J193">
        <f>IF(物品!C296="",0,""""&amp;物品!C296&amp;"""")</f>
        <v>0</v>
      </c>
      <c r="K193" t="str">
        <f>IF(物品!T296="","""""",""""&amp;物品!T296&amp;"""")</f>
        <v>""</v>
      </c>
      <c r="L193">
        <f>IF(物品!U296="",0,""""&amp;物品!U296&amp;"""")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IF(物品!B297="",0,"'"&amp;物品!B297&amp;"'")</f>
        <v>0</v>
      </c>
      <c r="B194">
        <f>物品!D218</f>
        <v>0</v>
      </c>
      <c r="C194">
        <f>物品!E297</f>
        <v>0</v>
      </c>
      <c r="D194">
        <f>物品!F297</f>
        <v>0</v>
      </c>
      <c r="E194">
        <f>IF(ISTEXT(物品!G288)=TRUE,"'"&amp;物品!G288&amp;"'",物品!G288)</f>
        <v>0</v>
      </c>
      <c r="F194">
        <f>IF(ISTEXT(物品!H288)=TRUE,"'"&amp;物品!H288&amp;"'",物品!H288)</f>
        <v>0</v>
      </c>
      <c r="G194">
        <f>IF(物品!I297="",0,"'"&amp;物品!I297&amp;"'")</f>
        <v>0</v>
      </c>
      <c r="H194">
        <f>IF(物品!R288="",0,物品!R288)</f>
        <v>0</v>
      </c>
      <c r="I194">
        <f>IF(物品!S288="",0,物品!S288)</f>
        <v>0</v>
      </c>
      <c r="J194">
        <f>IF(物品!C297="",0,""""&amp;物品!C297&amp;"""")</f>
        <v>0</v>
      </c>
      <c r="K194" t="str">
        <f>IF(物品!T297="","""""",""""&amp;物品!T297&amp;"""")</f>
        <v>""</v>
      </c>
      <c r="L194">
        <f>IF(物品!U297="",0,""""&amp;物品!U297&amp;"""")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IF(物品!B298="",0,"'"&amp;物品!B298&amp;"'")</f>
        <v>0</v>
      </c>
      <c r="B195">
        <f>物品!D219</f>
        <v>0</v>
      </c>
      <c r="C195">
        <f>物品!E298</f>
        <v>0</v>
      </c>
      <c r="D195">
        <f>物品!F298</f>
        <v>0</v>
      </c>
      <c r="E195">
        <f>IF(ISTEXT(物品!G289)=TRUE,"'"&amp;物品!G289&amp;"'",物品!G289)</f>
        <v>0</v>
      </c>
      <c r="F195">
        <f>IF(ISTEXT(物品!H289)=TRUE,"'"&amp;物品!H289&amp;"'",物品!H289)</f>
        <v>0</v>
      </c>
      <c r="G195">
        <f>IF(物品!I298="",0,"'"&amp;物品!I298&amp;"'")</f>
        <v>0</v>
      </c>
      <c r="H195">
        <f>IF(物品!R289="",0,物品!R289)</f>
        <v>0</v>
      </c>
      <c r="I195">
        <f>IF(物品!S289="",0,物品!S289)</f>
        <v>0</v>
      </c>
      <c r="J195">
        <f>IF(物品!C298="",0,""""&amp;物品!C298&amp;"""")</f>
        <v>0</v>
      </c>
      <c r="K195" t="str">
        <f>IF(物品!T298="","""""",""""&amp;物品!T298&amp;"""")</f>
        <v>""</v>
      </c>
      <c r="L195">
        <f>IF(物品!U298="",0,""""&amp;物品!U298&amp;"""")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IF(物品!B299="",0,"'"&amp;物品!B299&amp;"'")</f>
        <v>0</v>
      </c>
      <c r="B196">
        <f>物品!D220</f>
        <v>0</v>
      </c>
      <c r="C196">
        <f>物品!E299</f>
        <v>0</v>
      </c>
      <c r="D196">
        <f>物品!F299</f>
        <v>0</v>
      </c>
      <c r="E196">
        <f>IF(ISTEXT(物品!G290)=TRUE,"'"&amp;物品!G290&amp;"'",物品!G290)</f>
        <v>0</v>
      </c>
      <c r="F196">
        <f>IF(ISTEXT(物品!H290)=TRUE,"'"&amp;物品!H290&amp;"'",物品!H290)</f>
        <v>0</v>
      </c>
      <c r="G196">
        <f>IF(物品!I299="",0,"'"&amp;物品!I299&amp;"'")</f>
        <v>0</v>
      </c>
      <c r="H196">
        <f>IF(物品!R290="",0,物品!R290)</f>
        <v>0</v>
      </c>
      <c r="I196">
        <f>IF(物品!S290="",0,物品!S290)</f>
        <v>0</v>
      </c>
      <c r="J196">
        <f>IF(物品!C299="",0,""""&amp;物品!C299&amp;"""")</f>
        <v>0</v>
      </c>
      <c r="K196" t="str">
        <f>IF(物品!T299="","""""",""""&amp;物品!T299&amp;"""")</f>
        <v>""</v>
      </c>
      <c r="L196">
        <f>IF(物品!U299="",0,""""&amp;物品!U299&amp;"""")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IF(物品!B300="",0,"'"&amp;物品!B300&amp;"'")</f>
        <v>0</v>
      </c>
      <c r="B197">
        <f>物品!D221</f>
        <v>0</v>
      </c>
      <c r="C197">
        <f>物品!E300</f>
        <v>0</v>
      </c>
      <c r="D197">
        <f>物品!F300</f>
        <v>0</v>
      </c>
      <c r="E197">
        <f>IF(ISTEXT(物品!G291)=TRUE,"'"&amp;物品!G291&amp;"'",物品!G291)</f>
        <v>0</v>
      </c>
      <c r="F197">
        <f>IF(ISTEXT(物品!H291)=TRUE,"'"&amp;物品!H291&amp;"'",物品!H291)</f>
        <v>0</v>
      </c>
      <c r="G197">
        <f>IF(物品!I300="",0,"'"&amp;物品!I300&amp;"'")</f>
        <v>0</v>
      </c>
      <c r="H197">
        <f>IF(物品!R291="",0,物品!R291)</f>
        <v>0</v>
      </c>
      <c r="I197">
        <f>IF(物品!S291="",0,物品!S291)</f>
        <v>0</v>
      </c>
      <c r="J197">
        <f>IF(物品!C300="",0,""""&amp;物品!C300&amp;"""")</f>
        <v>0</v>
      </c>
      <c r="K197" t="str">
        <f>IF(物品!T300="","""""",""""&amp;物品!T300&amp;"""")</f>
        <v>""</v>
      </c>
      <c r="L197">
        <f>IF(物品!U300="",0,""""&amp;物品!U300&amp;"""")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IF(物品!B301="",0,"'"&amp;物品!B301&amp;"'")</f>
        <v>0</v>
      </c>
      <c r="B198">
        <f>物品!D222</f>
        <v>0</v>
      </c>
      <c r="C198">
        <f>物品!E301</f>
        <v>0</v>
      </c>
      <c r="D198">
        <f>物品!F301</f>
        <v>0</v>
      </c>
      <c r="E198">
        <f>IF(ISTEXT(物品!G292)=TRUE,"'"&amp;物品!G292&amp;"'",物品!G292)</f>
        <v>0</v>
      </c>
      <c r="F198">
        <f>IF(ISTEXT(物品!H292)=TRUE,"'"&amp;物品!H292&amp;"'",物品!H292)</f>
        <v>0</v>
      </c>
      <c r="G198">
        <f>IF(物品!I301="",0,"'"&amp;物品!I301&amp;"'")</f>
        <v>0</v>
      </c>
      <c r="H198">
        <f>IF(物品!R292="",0,物品!R292)</f>
        <v>0</v>
      </c>
      <c r="I198">
        <f>IF(物品!S292="",0,物品!S292)</f>
        <v>0</v>
      </c>
      <c r="J198">
        <f>IF(物品!C301="",0,""""&amp;物品!C301&amp;"""")</f>
        <v>0</v>
      </c>
      <c r="K198" t="str">
        <f>IF(物品!T301="","""""",""""&amp;物品!T301&amp;"""")</f>
        <v>""</v>
      </c>
      <c r="L198">
        <f>IF(物品!U301="",0,""""&amp;物品!U301&amp;"""")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IF(物品!B302="",0,"'"&amp;物品!B302&amp;"'")</f>
        <v>0</v>
      </c>
      <c r="B199">
        <f>物品!D223</f>
        <v>0</v>
      </c>
      <c r="C199">
        <f>物品!E302</f>
        <v>0</v>
      </c>
      <c r="D199">
        <f>物品!F302</f>
        <v>0</v>
      </c>
      <c r="E199">
        <f>IF(ISTEXT(物品!G293)=TRUE,"'"&amp;物品!G293&amp;"'",物品!G293)</f>
        <v>0</v>
      </c>
      <c r="F199">
        <f>IF(ISTEXT(物品!H293)=TRUE,"'"&amp;物品!H293&amp;"'",物品!H293)</f>
        <v>0</v>
      </c>
      <c r="G199">
        <f>IF(物品!I302="",0,"'"&amp;物品!I302&amp;"'")</f>
        <v>0</v>
      </c>
      <c r="H199">
        <f>IF(物品!R293="",0,物品!R293)</f>
        <v>0</v>
      </c>
      <c r="I199">
        <f>IF(物品!S293="",0,物品!S293)</f>
        <v>0</v>
      </c>
      <c r="J199">
        <f>IF(物品!C302="",0,""""&amp;物品!C302&amp;"""")</f>
        <v>0</v>
      </c>
      <c r="K199" t="str">
        <f>IF(物品!T302="","""""",""""&amp;物品!T302&amp;"""")</f>
        <v>""</v>
      </c>
      <c r="L199">
        <f>IF(物品!U302="",0,""""&amp;物品!U302&amp;"""")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IF(物品!B303="",0,"'"&amp;物品!B303&amp;"'")</f>
        <v>0</v>
      </c>
      <c r="B200">
        <f>物品!D224</f>
        <v>0</v>
      </c>
      <c r="C200">
        <f>物品!E303</f>
        <v>0</v>
      </c>
      <c r="D200">
        <f>物品!F303</f>
        <v>0</v>
      </c>
      <c r="E200">
        <f>IF(ISTEXT(物品!G294)=TRUE,"'"&amp;物品!G294&amp;"'",物品!G294)</f>
        <v>0</v>
      </c>
      <c r="F200">
        <f>IF(ISTEXT(物品!H294)=TRUE,"'"&amp;物品!H294&amp;"'",物品!H294)</f>
        <v>0</v>
      </c>
      <c r="G200">
        <f>IF(物品!I303="",0,"'"&amp;物品!I303&amp;"'")</f>
        <v>0</v>
      </c>
      <c r="H200">
        <f>IF(物品!R294="",0,物品!R294)</f>
        <v>0</v>
      </c>
      <c r="I200">
        <f>IF(物品!S294="",0,物品!S294)</f>
        <v>0</v>
      </c>
      <c r="J200">
        <f>IF(物品!C303="",0,""""&amp;物品!C303&amp;"""")</f>
        <v>0</v>
      </c>
      <c r="K200" t="str">
        <f>IF(物品!T303="","""""",""""&amp;物品!T303&amp;"""")</f>
        <v>""</v>
      </c>
      <c r="L200">
        <f>IF(物品!U303="",0,""""&amp;物品!U303&amp;"""")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IF(物品!B304="",0,"'"&amp;物品!B304&amp;"'")</f>
        <v>0</v>
      </c>
      <c r="B201">
        <f>物品!D225</f>
        <v>0</v>
      </c>
      <c r="C201">
        <f>物品!E304</f>
        <v>0</v>
      </c>
      <c r="D201">
        <f>物品!F304</f>
        <v>0</v>
      </c>
      <c r="E201">
        <f>IF(ISTEXT(物品!G295)=TRUE,"'"&amp;物品!G295&amp;"'",物品!G295)</f>
        <v>0</v>
      </c>
      <c r="F201">
        <f>IF(ISTEXT(物品!H295)=TRUE,"'"&amp;物品!H295&amp;"'",物品!H295)</f>
        <v>0</v>
      </c>
      <c r="G201">
        <f>IF(物品!I304="",0,"'"&amp;物品!I304&amp;"'")</f>
        <v>0</v>
      </c>
      <c r="H201">
        <f>IF(物品!R295="",0,物品!R295)</f>
        <v>0</v>
      </c>
      <c r="I201">
        <f>IF(物品!S295="",0,物品!S295)</f>
        <v>0</v>
      </c>
      <c r="J201">
        <f>IF(物品!C304="",0,""""&amp;物品!C304&amp;"""")</f>
        <v>0</v>
      </c>
      <c r="K201" t="str">
        <f>IF(物品!T304="","""""",""""&amp;物品!T304&amp;"""")</f>
        <v>""</v>
      </c>
      <c r="L201">
        <f>IF(物品!U304="",0,""""&amp;物品!U304&amp;"""")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IF(物品!B305="",0,"'"&amp;物品!B305&amp;"'")</f>
        <v>0</v>
      </c>
      <c r="B202">
        <f>物品!D226</f>
        <v>0</v>
      </c>
      <c r="C202">
        <f>物品!E305</f>
        <v>0</v>
      </c>
      <c r="D202">
        <f>物品!F305</f>
        <v>0</v>
      </c>
      <c r="E202">
        <f>IF(ISTEXT(物品!G296)=TRUE,"'"&amp;物品!G296&amp;"'",物品!G296)</f>
        <v>0</v>
      </c>
      <c r="F202">
        <f>IF(ISTEXT(物品!H296)=TRUE,"'"&amp;物品!H296&amp;"'",物品!H296)</f>
        <v>0</v>
      </c>
      <c r="G202">
        <f>IF(物品!I305="",0,"'"&amp;物品!I305&amp;"'")</f>
        <v>0</v>
      </c>
      <c r="H202">
        <f>IF(物品!R296="",0,物品!R296)</f>
        <v>0</v>
      </c>
      <c r="I202">
        <f>IF(物品!S296="",0,物品!S296)</f>
        <v>0</v>
      </c>
      <c r="J202">
        <f>IF(物品!C305="",0,""""&amp;物品!C305&amp;"""")</f>
        <v>0</v>
      </c>
      <c r="K202" t="str">
        <f>IF(物品!T305="","""""",""""&amp;物品!T305&amp;"""")</f>
        <v>""</v>
      </c>
      <c r="L202">
        <f>IF(物品!U305="",0,""""&amp;物品!U305&amp;"""")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IF(物品!B306="",0,"'"&amp;物品!B306&amp;"'")</f>
        <v>0</v>
      </c>
      <c r="B203">
        <f>物品!D227</f>
        <v>0</v>
      </c>
      <c r="C203">
        <f>物品!E306</f>
        <v>0</v>
      </c>
      <c r="D203">
        <f>物品!F306</f>
        <v>0</v>
      </c>
      <c r="E203">
        <f>IF(ISTEXT(物品!G297)=TRUE,"'"&amp;物品!G297&amp;"'",物品!G297)</f>
        <v>0</v>
      </c>
      <c r="F203">
        <f>IF(ISTEXT(物品!H297)=TRUE,"'"&amp;物品!H297&amp;"'",物品!H297)</f>
        <v>0</v>
      </c>
      <c r="G203">
        <f>IF(物品!I306="",0,"'"&amp;物品!I306&amp;"'")</f>
        <v>0</v>
      </c>
      <c r="H203">
        <f>IF(物品!R297="",0,物品!R297)</f>
        <v>0</v>
      </c>
      <c r="I203">
        <f>IF(物品!S297="",0,物品!S297)</f>
        <v>0</v>
      </c>
      <c r="J203">
        <f>IF(物品!C306="",0,""""&amp;物品!C306&amp;"""")</f>
        <v>0</v>
      </c>
      <c r="K203" t="str">
        <f>IF(物品!T306="","""""",""""&amp;物品!T306&amp;"""")</f>
        <v>""</v>
      </c>
      <c r="L203">
        <f>IF(物品!U306="",0,""""&amp;物品!U306&amp;"""")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IF(物品!B307="",0,"'"&amp;物品!B307&amp;"'")</f>
        <v>0</v>
      </c>
      <c r="B204">
        <f>物品!D228</f>
        <v>0</v>
      </c>
      <c r="C204">
        <f>物品!E307</f>
        <v>0</v>
      </c>
      <c r="D204">
        <f>物品!F307</f>
        <v>0</v>
      </c>
      <c r="E204">
        <f>IF(ISTEXT(物品!G298)=TRUE,"'"&amp;物品!G298&amp;"'",物品!G298)</f>
        <v>0</v>
      </c>
      <c r="F204">
        <f>IF(ISTEXT(物品!H298)=TRUE,"'"&amp;物品!H298&amp;"'",物品!H298)</f>
        <v>0</v>
      </c>
      <c r="G204">
        <f>IF(物品!I307="",0,"'"&amp;物品!I307&amp;"'")</f>
        <v>0</v>
      </c>
      <c r="H204">
        <f>IF(物品!R298="",0,物品!R298)</f>
        <v>0</v>
      </c>
      <c r="I204">
        <f>IF(物品!S298="",0,物品!S298)</f>
        <v>0</v>
      </c>
      <c r="J204">
        <f>IF(物品!C307="",0,""""&amp;物品!C307&amp;"""")</f>
        <v>0</v>
      </c>
      <c r="K204" t="str">
        <f>IF(物品!T307="","""""",""""&amp;物品!T307&amp;"""")</f>
        <v>""</v>
      </c>
      <c r="L204">
        <f>IF(物品!U307="",0,""""&amp;物品!U307&amp;"""")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IF(物品!B308="",0,"'"&amp;物品!B308&amp;"'")</f>
        <v>0</v>
      </c>
      <c r="B205">
        <f>物品!D229</f>
        <v>0</v>
      </c>
      <c r="C205">
        <f>物品!E308</f>
        <v>0</v>
      </c>
      <c r="D205">
        <f>物品!F308</f>
        <v>0</v>
      </c>
      <c r="E205">
        <f>IF(ISTEXT(物品!G299)=TRUE,"'"&amp;物品!G299&amp;"'",物品!G299)</f>
        <v>0</v>
      </c>
      <c r="F205">
        <f>IF(ISTEXT(物品!H299)=TRUE,"'"&amp;物品!H299&amp;"'",物品!H299)</f>
        <v>0</v>
      </c>
      <c r="G205">
        <f>IF(物品!I308="",0,"'"&amp;物品!I308&amp;"'")</f>
        <v>0</v>
      </c>
      <c r="H205">
        <f>IF(物品!R299="",0,物品!R299)</f>
        <v>0</v>
      </c>
      <c r="I205">
        <f>IF(物品!S299="",0,物品!S299)</f>
        <v>0</v>
      </c>
      <c r="J205">
        <f>IF(物品!C308="",0,""""&amp;物品!C308&amp;"""")</f>
        <v>0</v>
      </c>
      <c r="K205" t="str">
        <f>IF(物品!T308="","""""",""""&amp;物品!T308&amp;"""")</f>
        <v>""</v>
      </c>
      <c r="L205">
        <f>IF(物品!U308="",0,""""&amp;物品!U308&amp;"""")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IF(物品!B309="",0,"'"&amp;物品!B309&amp;"'")</f>
        <v>0</v>
      </c>
      <c r="B206">
        <f>物品!D230</f>
        <v>0</v>
      </c>
      <c r="C206">
        <f>物品!E309</f>
        <v>0</v>
      </c>
      <c r="D206">
        <f>物品!F309</f>
        <v>0</v>
      </c>
      <c r="E206">
        <f>IF(ISTEXT(物品!G300)=TRUE,"'"&amp;物品!G300&amp;"'",物品!G300)</f>
        <v>0</v>
      </c>
      <c r="F206">
        <f>IF(ISTEXT(物品!H300)=TRUE,"'"&amp;物品!H300&amp;"'",物品!H300)</f>
        <v>0</v>
      </c>
      <c r="G206">
        <f>IF(物品!I309="",0,"'"&amp;物品!I309&amp;"'")</f>
        <v>0</v>
      </c>
      <c r="H206">
        <f>IF(物品!R300="",0,物品!R300)</f>
        <v>0</v>
      </c>
      <c r="I206">
        <f>IF(物品!S300="",0,物品!S300)</f>
        <v>0</v>
      </c>
      <c r="J206">
        <f>IF(物品!C309="",0,""""&amp;物品!C309&amp;"""")</f>
        <v>0</v>
      </c>
      <c r="K206" t="str">
        <f>IF(物品!T309="","""""",""""&amp;物品!T309&amp;"""")</f>
        <v>""</v>
      </c>
      <c r="L206">
        <f>IF(物品!U309="",0,""""&amp;物品!U309&amp;"""")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IF(物品!B310="",0,"'"&amp;物品!B310&amp;"'")</f>
        <v>0</v>
      </c>
      <c r="B207">
        <f>物品!D231</f>
        <v>0</v>
      </c>
      <c r="C207">
        <f>物品!E310</f>
        <v>0</v>
      </c>
      <c r="D207">
        <f>物品!F310</f>
        <v>0</v>
      </c>
      <c r="E207">
        <f>IF(ISTEXT(物品!G301)=TRUE,"'"&amp;物品!G301&amp;"'",物品!G301)</f>
        <v>0</v>
      </c>
      <c r="F207">
        <f>IF(ISTEXT(物品!H301)=TRUE,"'"&amp;物品!H301&amp;"'",物品!H301)</f>
        <v>0</v>
      </c>
      <c r="G207">
        <f>IF(物品!I310="",0,"'"&amp;物品!I310&amp;"'")</f>
        <v>0</v>
      </c>
      <c r="H207">
        <f>IF(物品!R301="",0,物品!R301)</f>
        <v>0</v>
      </c>
      <c r="I207">
        <f>IF(物品!S301="",0,物品!S301)</f>
        <v>0</v>
      </c>
      <c r="J207">
        <f>IF(物品!C310="",0,""""&amp;物品!C310&amp;"""")</f>
        <v>0</v>
      </c>
      <c r="K207" t="str">
        <f>IF(物品!T310="","""""",""""&amp;物品!T310&amp;"""")</f>
        <v>""</v>
      </c>
      <c r="L207">
        <f>IF(物品!U310="",0,""""&amp;物品!U310&amp;"""")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IF(物品!B311="",0,"'"&amp;物品!B311&amp;"'")</f>
        <v>0</v>
      </c>
      <c r="B208">
        <f>物品!D232</f>
        <v>0</v>
      </c>
      <c r="C208">
        <f>物品!E311</f>
        <v>0</v>
      </c>
      <c r="D208">
        <f>物品!F311</f>
        <v>0</v>
      </c>
      <c r="E208">
        <f>IF(ISTEXT(物品!G302)=TRUE,"'"&amp;物品!G302&amp;"'",物品!G302)</f>
        <v>0</v>
      </c>
      <c r="F208">
        <f>IF(ISTEXT(物品!H302)=TRUE,"'"&amp;物品!H302&amp;"'",物品!H302)</f>
        <v>0</v>
      </c>
      <c r="G208">
        <f>IF(物品!I311="",0,"'"&amp;物品!I311&amp;"'")</f>
        <v>0</v>
      </c>
      <c r="H208">
        <f>IF(物品!R302="",0,物品!R302)</f>
        <v>0</v>
      </c>
      <c r="I208">
        <f>IF(物品!S302="",0,物品!S302)</f>
        <v>0</v>
      </c>
      <c r="J208">
        <f>IF(物品!C311="",0,""""&amp;物品!C311&amp;"""")</f>
        <v>0</v>
      </c>
      <c r="K208" t="str">
        <f>IF(物品!T311="","""""",""""&amp;物品!T311&amp;"""")</f>
        <v>""</v>
      </c>
      <c r="L208">
        <f>IF(物品!U311="",0,""""&amp;物品!U311&amp;"""")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IF(物品!B312="",0,"'"&amp;物品!B312&amp;"'")</f>
        <v>0</v>
      </c>
      <c r="B209">
        <f>物品!D233</f>
        <v>0</v>
      </c>
      <c r="C209">
        <f>物品!E312</f>
        <v>0</v>
      </c>
      <c r="D209">
        <f>物品!F312</f>
        <v>0</v>
      </c>
      <c r="E209">
        <f>IF(ISTEXT(物品!G303)=TRUE,"'"&amp;物品!G303&amp;"'",物品!G303)</f>
        <v>0</v>
      </c>
      <c r="F209">
        <f>IF(ISTEXT(物品!H303)=TRUE,"'"&amp;物品!H303&amp;"'",物品!H303)</f>
        <v>0</v>
      </c>
      <c r="G209">
        <f>IF(物品!I312="",0,"'"&amp;物品!I312&amp;"'")</f>
        <v>0</v>
      </c>
      <c r="H209">
        <f>IF(物品!R303="",0,物品!R303)</f>
        <v>0</v>
      </c>
      <c r="I209">
        <f>IF(物品!S303="",0,物品!S303)</f>
        <v>0</v>
      </c>
      <c r="J209">
        <f>IF(物品!C312="",0,""""&amp;物品!C312&amp;"""")</f>
        <v>0</v>
      </c>
      <c r="K209" t="str">
        <f>IF(物品!T312="","""""",""""&amp;物品!T312&amp;"""")</f>
        <v>""</v>
      </c>
      <c r="L209">
        <f>IF(物品!U312="",0,""""&amp;物品!U312&amp;"""")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IF(物品!B313="",0,"'"&amp;物品!B313&amp;"'")</f>
        <v>0</v>
      </c>
      <c r="B210">
        <f>物品!D234</f>
        <v>0</v>
      </c>
      <c r="C210">
        <f>物品!E313</f>
        <v>0</v>
      </c>
      <c r="D210">
        <f>物品!F313</f>
        <v>0</v>
      </c>
      <c r="E210">
        <f>IF(ISTEXT(物品!G304)=TRUE,"'"&amp;物品!G304&amp;"'",物品!G304)</f>
        <v>0</v>
      </c>
      <c r="F210">
        <f>IF(ISTEXT(物品!H304)=TRUE,"'"&amp;物品!H304&amp;"'",物品!H304)</f>
        <v>0</v>
      </c>
      <c r="G210">
        <f>IF(物品!I313="",0,"'"&amp;物品!I313&amp;"'")</f>
        <v>0</v>
      </c>
      <c r="H210">
        <f>IF(物品!R304="",0,物品!R304)</f>
        <v>0</v>
      </c>
      <c r="I210">
        <f>IF(物品!S304="",0,物品!S304)</f>
        <v>0</v>
      </c>
      <c r="J210">
        <f>IF(物品!C313="",0,""""&amp;物品!C313&amp;"""")</f>
        <v>0</v>
      </c>
      <c r="K210" t="str">
        <f>IF(物品!T313="","""""",""""&amp;物品!T313&amp;"""")</f>
        <v>""</v>
      </c>
      <c r="L210">
        <f>IF(物品!U313="",0,""""&amp;物品!U313&amp;"""")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IF(物品!B314="",0,"'"&amp;物品!B314&amp;"'")</f>
        <v>0</v>
      </c>
      <c r="B211">
        <f>物品!D235</f>
        <v>0</v>
      </c>
      <c r="C211">
        <f>物品!E314</f>
        <v>0</v>
      </c>
      <c r="D211">
        <f>物品!F314</f>
        <v>0</v>
      </c>
      <c r="E211">
        <f>IF(ISTEXT(物品!G305)=TRUE,"'"&amp;物品!G305&amp;"'",物品!G305)</f>
        <v>0</v>
      </c>
      <c r="F211">
        <f>IF(ISTEXT(物品!H305)=TRUE,"'"&amp;物品!H305&amp;"'",物品!H305)</f>
        <v>0</v>
      </c>
      <c r="G211">
        <f>IF(物品!I314="",0,"'"&amp;物品!I314&amp;"'")</f>
        <v>0</v>
      </c>
      <c r="H211">
        <f>IF(物品!R305="",0,物品!R305)</f>
        <v>0</v>
      </c>
      <c r="I211">
        <f>IF(物品!S305="",0,物品!S305)</f>
        <v>0</v>
      </c>
      <c r="J211">
        <f>IF(物品!C314="",0,""""&amp;物品!C314&amp;"""")</f>
        <v>0</v>
      </c>
      <c r="K211" t="str">
        <f>IF(物品!T314="","""""",""""&amp;物品!T314&amp;"""")</f>
        <v>""</v>
      </c>
      <c r="L211">
        <f>IF(物品!U314="",0,""""&amp;物品!U314&amp;"""")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IF(物品!B315="",0,"'"&amp;物品!B315&amp;"'")</f>
        <v>0</v>
      </c>
      <c r="B212">
        <f>物品!D236</f>
        <v>0</v>
      </c>
      <c r="C212">
        <f>物品!E315</f>
        <v>0</v>
      </c>
      <c r="D212">
        <f>物品!F315</f>
        <v>0</v>
      </c>
      <c r="E212">
        <f>IF(ISTEXT(物品!G306)=TRUE,"'"&amp;物品!G306&amp;"'",物品!G306)</f>
        <v>0</v>
      </c>
      <c r="F212">
        <f>IF(ISTEXT(物品!H306)=TRUE,"'"&amp;物品!H306&amp;"'",物品!H306)</f>
        <v>0</v>
      </c>
      <c r="G212">
        <f>IF(物品!I315="",0,"'"&amp;物品!I315&amp;"'")</f>
        <v>0</v>
      </c>
      <c r="H212">
        <f>IF(物品!R306="",0,物品!R306)</f>
        <v>0</v>
      </c>
      <c r="I212">
        <f>IF(物品!S306="",0,物品!S306)</f>
        <v>0</v>
      </c>
      <c r="J212">
        <f>IF(物品!C315="",0,""""&amp;物品!C315&amp;"""")</f>
        <v>0</v>
      </c>
      <c r="K212" t="str">
        <f>IF(物品!T315="","""""",""""&amp;物品!T315&amp;"""")</f>
        <v>""</v>
      </c>
      <c r="L212">
        <f>IF(物品!U315="",0,""""&amp;物品!U315&amp;"""")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IF(物品!B316="",0,"'"&amp;物品!B316&amp;"'")</f>
        <v>0</v>
      </c>
      <c r="B213">
        <f>物品!D237</f>
        <v>0</v>
      </c>
      <c r="C213">
        <f>物品!E316</f>
        <v>0</v>
      </c>
      <c r="D213">
        <f>物品!F316</f>
        <v>0</v>
      </c>
      <c r="E213">
        <f>IF(ISTEXT(物品!G307)=TRUE,"'"&amp;物品!G307&amp;"'",物品!G307)</f>
        <v>0</v>
      </c>
      <c r="F213">
        <f>IF(ISTEXT(物品!H307)=TRUE,"'"&amp;物品!H307&amp;"'",物品!H307)</f>
        <v>0</v>
      </c>
      <c r="G213">
        <f>IF(物品!I316="",0,"'"&amp;物品!I316&amp;"'")</f>
        <v>0</v>
      </c>
      <c r="H213">
        <f>IF(物品!R307="",0,物品!R307)</f>
        <v>0</v>
      </c>
      <c r="I213">
        <f>IF(物品!S307="",0,物品!S307)</f>
        <v>0</v>
      </c>
      <c r="J213">
        <f>IF(物品!C316="",0,""""&amp;物品!C316&amp;"""")</f>
        <v>0</v>
      </c>
      <c r="K213" t="str">
        <f>IF(物品!T316="","""""",""""&amp;物品!T316&amp;"""")</f>
        <v>""</v>
      </c>
      <c r="L213">
        <f>IF(物品!U316="",0,""""&amp;物品!U316&amp;"""")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IF(物品!B317="",0,"'"&amp;物品!B317&amp;"'")</f>
        <v>0</v>
      </c>
      <c r="B214">
        <f>物品!D238</f>
        <v>0</v>
      </c>
      <c r="C214">
        <f>物品!E317</f>
        <v>0</v>
      </c>
      <c r="D214">
        <f>物品!F317</f>
        <v>0</v>
      </c>
      <c r="E214">
        <f>IF(ISTEXT(物品!G308)=TRUE,"'"&amp;物品!G308&amp;"'",物品!G308)</f>
        <v>0</v>
      </c>
      <c r="F214">
        <f>IF(ISTEXT(物品!H308)=TRUE,"'"&amp;物品!H308&amp;"'",物品!H308)</f>
        <v>0</v>
      </c>
      <c r="G214">
        <f>IF(物品!I317="",0,"'"&amp;物品!I317&amp;"'")</f>
        <v>0</v>
      </c>
      <c r="H214">
        <f>IF(物品!R308="",0,物品!R308)</f>
        <v>0</v>
      </c>
      <c r="I214">
        <f>IF(物品!S308="",0,物品!S308)</f>
        <v>0</v>
      </c>
      <c r="J214">
        <f>IF(物品!C317="",0,""""&amp;物品!C317&amp;"""")</f>
        <v>0</v>
      </c>
      <c r="K214" t="str">
        <f>IF(物品!T317="","""""",""""&amp;物品!T317&amp;"""")</f>
        <v>""</v>
      </c>
      <c r="L214">
        <f>IF(物品!U317="",0,""""&amp;物品!U317&amp;"""")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IF(物品!B318="",0,"'"&amp;物品!B318&amp;"'")</f>
        <v>0</v>
      </c>
      <c r="B215">
        <f>物品!D239</f>
        <v>0</v>
      </c>
      <c r="C215">
        <f>物品!E318</f>
        <v>0</v>
      </c>
      <c r="D215">
        <f>物品!F318</f>
        <v>0</v>
      </c>
      <c r="E215">
        <f>IF(ISTEXT(物品!G309)=TRUE,"'"&amp;物品!G309&amp;"'",物品!G309)</f>
        <v>0</v>
      </c>
      <c r="F215">
        <f>IF(ISTEXT(物品!H309)=TRUE,"'"&amp;物品!H309&amp;"'",物品!H309)</f>
        <v>0</v>
      </c>
      <c r="G215">
        <f>IF(物品!I318="",0,"'"&amp;物品!I318&amp;"'")</f>
        <v>0</v>
      </c>
      <c r="H215">
        <f>IF(物品!R309="",0,物品!R309)</f>
        <v>0</v>
      </c>
      <c r="I215">
        <f>IF(物品!S309="",0,物品!S309)</f>
        <v>0</v>
      </c>
      <c r="J215">
        <f>IF(物品!C318="",0,""""&amp;物品!C318&amp;"""")</f>
        <v>0</v>
      </c>
      <c r="K215" t="str">
        <f>IF(物品!T318="","""""",""""&amp;物品!T318&amp;"""")</f>
        <v>""</v>
      </c>
      <c r="L215">
        <f>IF(物品!U318="",0,""""&amp;物品!U318&amp;"""")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IF(物品!B319="",0,"'"&amp;物品!B319&amp;"'")</f>
        <v>0</v>
      </c>
      <c r="B216">
        <f>物品!D240</f>
        <v>0</v>
      </c>
      <c r="C216">
        <f>物品!E319</f>
        <v>0</v>
      </c>
      <c r="D216">
        <f>物品!F319</f>
        <v>0</v>
      </c>
      <c r="E216">
        <f>IF(ISTEXT(物品!G310)=TRUE,"'"&amp;物品!G310&amp;"'",物品!G310)</f>
        <v>0</v>
      </c>
      <c r="F216">
        <f>IF(ISTEXT(物品!H310)=TRUE,"'"&amp;物品!H310&amp;"'",物品!H310)</f>
        <v>0</v>
      </c>
      <c r="G216">
        <f>IF(物品!I319="",0,"'"&amp;物品!I319&amp;"'")</f>
        <v>0</v>
      </c>
      <c r="H216">
        <f>IF(物品!R310="",0,物品!R310)</f>
        <v>0</v>
      </c>
      <c r="I216">
        <f>IF(物品!S310="",0,物品!S310)</f>
        <v>0</v>
      </c>
      <c r="J216">
        <f>IF(物品!C319="",0,""""&amp;物品!C319&amp;"""")</f>
        <v>0</v>
      </c>
      <c r="K216" t="str">
        <f>IF(物品!T319="","""""",""""&amp;物品!T319&amp;"""")</f>
        <v>""</v>
      </c>
      <c r="L216">
        <f>IF(物品!U319="",0,""""&amp;物品!U319&amp;"""")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IF(物品!B320="",0,"'"&amp;物品!B320&amp;"'")</f>
        <v>0</v>
      </c>
      <c r="B217">
        <f>物品!D241</f>
        <v>0</v>
      </c>
      <c r="C217">
        <f>物品!E320</f>
        <v>0</v>
      </c>
      <c r="D217">
        <f>物品!F320</f>
        <v>0</v>
      </c>
      <c r="E217">
        <f>IF(ISTEXT(物品!G311)=TRUE,"'"&amp;物品!G311&amp;"'",物品!G311)</f>
        <v>0</v>
      </c>
      <c r="F217">
        <f>IF(ISTEXT(物品!H311)=TRUE,"'"&amp;物品!H311&amp;"'",物品!H311)</f>
        <v>0</v>
      </c>
      <c r="G217">
        <f>IF(物品!I320="",0,"'"&amp;物品!I320&amp;"'")</f>
        <v>0</v>
      </c>
      <c r="H217">
        <f>IF(物品!R311="",0,物品!R311)</f>
        <v>0</v>
      </c>
      <c r="I217">
        <f>IF(物品!S311="",0,物品!S311)</f>
        <v>0</v>
      </c>
      <c r="J217">
        <f>IF(物品!C320="",0,""""&amp;物品!C320&amp;"""")</f>
        <v>0</v>
      </c>
      <c r="K217" t="str">
        <f>IF(物品!T320="","""""",""""&amp;物品!T320&amp;"""")</f>
        <v>""</v>
      </c>
      <c r="L217">
        <f>IF(物品!U320="",0,""""&amp;物品!U320&amp;"""")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IF(物品!B321="",0,"'"&amp;物品!B321&amp;"'")</f>
        <v>0</v>
      </c>
      <c r="B218">
        <f>物品!D242</f>
        <v>0</v>
      </c>
      <c r="C218">
        <f>物品!E321</f>
        <v>0</v>
      </c>
      <c r="D218">
        <f>物品!F321</f>
        <v>0</v>
      </c>
      <c r="E218">
        <f>IF(ISTEXT(物品!G312)=TRUE,"'"&amp;物品!G312&amp;"'",物品!G312)</f>
        <v>0</v>
      </c>
      <c r="F218">
        <f>IF(ISTEXT(物品!H312)=TRUE,"'"&amp;物品!H312&amp;"'",物品!H312)</f>
        <v>0</v>
      </c>
      <c r="G218">
        <f>IF(物品!I321="",0,"'"&amp;物品!I321&amp;"'")</f>
        <v>0</v>
      </c>
      <c r="H218">
        <f>IF(物品!R312="",0,物品!R312)</f>
        <v>0</v>
      </c>
      <c r="I218">
        <f>IF(物品!S312="",0,物品!S312)</f>
        <v>0</v>
      </c>
      <c r="J218">
        <f>IF(物品!C321="",0,""""&amp;物品!C321&amp;"""")</f>
        <v>0</v>
      </c>
      <c r="K218" t="str">
        <f>IF(物品!T321="","""""",""""&amp;物品!T321&amp;"""")</f>
        <v>""</v>
      </c>
      <c r="L218">
        <f>IF(物品!U321="",0,""""&amp;物品!U321&amp;"""")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IF(物品!B322="",0,"'"&amp;物品!B322&amp;"'")</f>
        <v>0</v>
      </c>
      <c r="B219">
        <f>物品!D249</f>
        <v>0</v>
      </c>
      <c r="C219">
        <f>物品!E322</f>
        <v>0</v>
      </c>
      <c r="D219">
        <f>物品!F322</f>
        <v>0</v>
      </c>
      <c r="E219">
        <f>IF(ISTEXT(物品!G313)=TRUE,"'"&amp;物品!G313&amp;"'",物品!G313)</f>
        <v>0</v>
      </c>
      <c r="F219">
        <f>IF(ISTEXT(物品!H313)=TRUE,"'"&amp;物品!H313&amp;"'",物品!H313)</f>
        <v>0</v>
      </c>
      <c r="G219">
        <f>IF(物品!I322="",0,"'"&amp;物品!I322&amp;"'")</f>
        <v>0</v>
      </c>
      <c r="H219">
        <f>IF(物品!R313="",0,物品!R313)</f>
        <v>0</v>
      </c>
      <c r="I219">
        <f>IF(物品!S313="",0,物品!S313)</f>
        <v>0</v>
      </c>
      <c r="J219">
        <f>IF(物品!C322="",0,""""&amp;物品!C322&amp;"""")</f>
        <v>0</v>
      </c>
      <c r="K219" t="str">
        <f>IF(物品!T322="","""""",""""&amp;物品!T322&amp;"""")</f>
        <v>""</v>
      </c>
      <c r="L219">
        <f>IF(物品!U322="",0,""""&amp;物品!U322&amp;"""")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IF(物品!B323="",0,"'"&amp;物品!B323&amp;"'")</f>
        <v>0</v>
      </c>
      <c r="B220">
        <f>物品!D250</f>
        <v>0</v>
      </c>
      <c r="C220">
        <f>物品!E323</f>
        <v>0</v>
      </c>
      <c r="D220">
        <f>物品!F323</f>
        <v>0</v>
      </c>
      <c r="E220">
        <f>IF(ISTEXT(物品!G314)=TRUE,"'"&amp;物品!G314&amp;"'",物品!G314)</f>
        <v>0</v>
      </c>
      <c r="F220">
        <f>IF(ISTEXT(物品!H314)=TRUE,"'"&amp;物品!H314&amp;"'",物品!H314)</f>
        <v>0</v>
      </c>
      <c r="G220">
        <f>IF(物品!I323="",0,"'"&amp;物品!I323&amp;"'")</f>
        <v>0</v>
      </c>
      <c r="H220">
        <f>IF(物品!R314="",0,物品!R314)</f>
        <v>0</v>
      </c>
      <c r="I220">
        <f>IF(物品!S314="",0,物品!S314)</f>
        <v>0</v>
      </c>
      <c r="J220">
        <f>IF(物品!C323="",0,""""&amp;物品!C323&amp;"""")</f>
        <v>0</v>
      </c>
      <c r="K220" t="str">
        <f>IF(物品!T323="","""""",""""&amp;物品!T323&amp;"""")</f>
        <v>""</v>
      </c>
      <c r="L220">
        <f>IF(物品!U323="",0,""""&amp;物品!U323&amp;"""")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IF(物品!B324="",0,"'"&amp;物品!B324&amp;"'")</f>
        <v>0</v>
      </c>
      <c r="B221">
        <f>物品!D251</f>
        <v>0</v>
      </c>
      <c r="C221">
        <f>物品!E324</f>
        <v>0</v>
      </c>
      <c r="D221">
        <f>物品!F324</f>
        <v>0</v>
      </c>
      <c r="E221">
        <f>IF(ISTEXT(物品!G315)=TRUE,"'"&amp;物品!G315&amp;"'",物品!G315)</f>
        <v>0</v>
      </c>
      <c r="F221">
        <f>IF(ISTEXT(物品!H315)=TRUE,"'"&amp;物品!H315&amp;"'",物品!H315)</f>
        <v>0</v>
      </c>
      <c r="G221">
        <f>IF(物品!I324="",0,"'"&amp;物品!I324&amp;"'")</f>
        <v>0</v>
      </c>
      <c r="H221">
        <f>IF(物品!R315="",0,物品!R315)</f>
        <v>0</v>
      </c>
      <c r="I221">
        <f>IF(物品!S315="",0,物品!S315)</f>
        <v>0</v>
      </c>
      <c r="J221">
        <f>IF(物品!C324="",0,""""&amp;物品!C324&amp;"""")</f>
        <v>0</v>
      </c>
      <c r="K221" t="str">
        <f>IF(物品!T324="","""""",""""&amp;物品!T324&amp;"""")</f>
        <v>""</v>
      </c>
      <c r="L221">
        <f>IF(物品!U324="",0,""""&amp;物品!U324&amp;"""")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IF(物品!B325="",0,"'"&amp;物品!B325&amp;"'")</f>
        <v>0</v>
      </c>
      <c r="B222">
        <f>物品!D252</f>
        <v>0</v>
      </c>
      <c r="C222">
        <f>物品!E325</f>
        <v>0</v>
      </c>
      <c r="D222">
        <f>物品!F325</f>
        <v>0</v>
      </c>
      <c r="E222">
        <f>IF(ISTEXT(物品!G316)=TRUE,"'"&amp;物品!G316&amp;"'",物品!G316)</f>
        <v>0</v>
      </c>
      <c r="F222">
        <f>IF(ISTEXT(物品!H316)=TRUE,"'"&amp;物品!H316&amp;"'",物品!H316)</f>
        <v>0</v>
      </c>
      <c r="G222">
        <f>IF(物品!I325="",0,"'"&amp;物品!I325&amp;"'")</f>
        <v>0</v>
      </c>
      <c r="H222">
        <f>IF(物品!R316="",0,物品!R316)</f>
        <v>0</v>
      </c>
      <c r="I222">
        <f>IF(物品!S316="",0,物品!S316)</f>
        <v>0</v>
      </c>
      <c r="J222">
        <f>IF(物品!C325="",0,""""&amp;物品!C325&amp;"""")</f>
        <v>0</v>
      </c>
      <c r="K222" t="str">
        <f>IF(物品!T325="","""""",""""&amp;物品!T325&amp;"""")</f>
        <v>""</v>
      </c>
      <c r="L222">
        <f>IF(物品!U325="",0,""""&amp;物品!U325&amp;"""")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IF(物品!B326="",0,"'"&amp;物品!B326&amp;"'")</f>
        <v>0</v>
      </c>
      <c r="B223">
        <f>物品!D253</f>
        <v>0</v>
      </c>
      <c r="C223">
        <f>物品!E326</f>
        <v>0</v>
      </c>
      <c r="D223">
        <f>物品!F326</f>
        <v>0</v>
      </c>
      <c r="E223">
        <f>IF(ISTEXT(物品!G317)=TRUE,"'"&amp;物品!G317&amp;"'",物品!G317)</f>
        <v>0</v>
      </c>
      <c r="F223">
        <f>IF(ISTEXT(物品!H317)=TRUE,"'"&amp;物品!H317&amp;"'",物品!H317)</f>
        <v>0</v>
      </c>
      <c r="G223">
        <f>IF(物品!I326="",0,"'"&amp;物品!I326&amp;"'")</f>
        <v>0</v>
      </c>
      <c r="H223">
        <f>IF(物品!R317="",0,物品!R317)</f>
        <v>0</v>
      </c>
      <c r="I223">
        <f>IF(物品!S317="",0,物品!S317)</f>
        <v>0</v>
      </c>
      <c r="J223">
        <f>IF(物品!C326="",0,""""&amp;物品!C326&amp;"""")</f>
        <v>0</v>
      </c>
      <c r="K223" t="str">
        <f>IF(物品!T326="","""""",""""&amp;物品!T326&amp;"""")</f>
        <v>""</v>
      </c>
      <c r="L223">
        <f>IF(物品!U326="",0,""""&amp;物品!U326&amp;"""")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IF(物品!B327="",0,"'"&amp;物品!B327&amp;"'")</f>
        <v>0</v>
      </c>
      <c r="B224">
        <f>物品!D254</f>
        <v>0</v>
      </c>
      <c r="C224">
        <f>物品!E327</f>
        <v>0</v>
      </c>
      <c r="D224">
        <f>物品!F327</f>
        <v>0</v>
      </c>
      <c r="E224">
        <f>IF(ISTEXT(物品!G318)=TRUE,"'"&amp;物品!G318&amp;"'",物品!G318)</f>
        <v>0</v>
      </c>
      <c r="F224">
        <f>IF(ISTEXT(物品!H318)=TRUE,"'"&amp;物品!H318&amp;"'",物品!H318)</f>
        <v>0</v>
      </c>
      <c r="G224">
        <f>IF(物品!I327="",0,"'"&amp;物品!I327&amp;"'")</f>
        <v>0</v>
      </c>
      <c r="H224">
        <f>IF(物品!R318="",0,物品!R318)</f>
        <v>0</v>
      </c>
      <c r="I224">
        <f>IF(物品!S318="",0,物品!S318)</f>
        <v>0</v>
      </c>
      <c r="J224">
        <f>IF(物品!C327="",0,""""&amp;物品!C327&amp;"""")</f>
        <v>0</v>
      </c>
      <c r="K224" t="str">
        <f>IF(物品!T327="","""""",""""&amp;物品!T327&amp;"""")</f>
        <v>""</v>
      </c>
      <c r="L224">
        <f>IF(物品!U327="",0,""""&amp;物品!U327&amp;"""")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IF(物品!B328="",0,"'"&amp;物品!B328&amp;"'")</f>
        <v>0</v>
      </c>
      <c r="B225">
        <f>物品!D255</f>
        <v>0</v>
      </c>
      <c r="C225">
        <f>物品!E328</f>
        <v>0</v>
      </c>
      <c r="D225">
        <f>物品!F328</f>
        <v>0</v>
      </c>
      <c r="E225">
        <f>IF(ISTEXT(物品!G319)=TRUE,"'"&amp;物品!G319&amp;"'",物品!G319)</f>
        <v>0</v>
      </c>
      <c r="F225">
        <f>IF(ISTEXT(物品!H319)=TRUE,"'"&amp;物品!H319&amp;"'",物品!H319)</f>
        <v>0</v>
      </c>
      <c r="G225">
        <f>IF(物品!I328="",0,"'"&amp;物品!I328&amp;"'")</f>
        <v>0</v>
      </c>
      <c r="H225">
        <f>IF(物品!R319="",0,物品!R319)</f>
        <v>0</v>
      </c>
      <c r="I225">
        <f>IF(物品!S319="",0,物品!S319)</f>
        <v>0</v>
      </c>
      <c r="J225">
        <f>IF(物品!C328="",0,""""&amp;物品!C328&amp;"""")</f>
        <v>0</v>
      </c>
      <c r="K225" t="str">
        <f>IF(物品!T328="","""""",""""&amp;物品!T328&amp;"""")</f>
        <v>""</v>
      </c>
      <c r="L225">
        <f>IF(物品!U328="",0,""""&amp;物品!U328&amp;"""")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810</v>
      </c>
      <c r="CD1" s="10" t="s">
        <v>810</v>
      </c>
      <c r="CE1" s="10" t="s">
        <v>810</v>
      </c>
      <c r="CF1" s="10" t="s">
        <v>810</v>
      </c>
      <c r="CH1" s="10" t="s">
        <v>810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811</v>
      </c>
      <c r="CC2" s="10" t="s">
        <v>812</v>
      </c>
      <c r="CD2" s="10" t="s">
        <v>813</v>
      </c>
      <c r="CE2" s="10" t="s">
        <v>814</v>
      </c>
      <c r="CF2" s="10" t="s">
        <v>815</v>
      </c>
      <c r="CG2" s="10" t="s">
        <v>816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817</v>
      </c>
      <c r="B1" s="10" t="s">
        <v>818</v>
      </c>
      <c r="C1" s="10" t="s">
        <v>819</v>
      </c>
      <c r="D1" s="10" t="s">
        <v>820</v>
      </c>
      <c r="E1" s="10" t="s">
        <v>821</v>
      </c>
    </row>
    <row r="2" spans="1:11" ht="16.5">
      <c r="A2" s="9">
        <v>1</v>
      </c>
      <c r="B2" s="9" t="s">
        <v>822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823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824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825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826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827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501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504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507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510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513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516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519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522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525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528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531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534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747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749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750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751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752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753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754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755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756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757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758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759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760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761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762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763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764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765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766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767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768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769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770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771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772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773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774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828</v>
      </c>
      <c r="G1" t="s">
        <v>829</v>
      </c>
      <c r="I1" t="s">
        <v>830</v>
      </c>
      <c r="J1">
        <v>11</v>
      </c>
      <c r="P1" t="s">
        <v>831</v>
      </c>
      <c r="U1" t="s">
        <v>832</v>
      </c>
      <c r="V1" t="s">
        <v>833</v>
      </c>
      <c r="X1" s="10" t="s">
        <v>834</v>
      </c>
    </row>
    <row r="2" spans="1:25">
      <c r="A2" t="s">
        <v>835</v>
      </c>
      <c r="D2">
        <v>800</v>
      </c>
      <c r="E2" s="30">
        <v>1</v>
      </c>
      <c r="F2" s="31">
        <f>D2/E2</f>
        <v>800</v>
      </c>
      <c r="I2" t="s">
        <v>836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837</v>
      </c>
      <c r="D3">
        <v>800</v>
      </c>
      <c r="E3" s="30">
        <v>1</v>
      </c>
      <c r="F3" s="31">
        <f t="shared" ref="F3:F25" si="1">D3/E3</f>
        <v>800</v>
      </c>
      <c r="I3" t="s">
        <v>838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839</v>
      </c>
      <c r="D4">
        <v>800</v>
      </c>
      <c r="E4" s="30">
        <v>1</v>
      </c>
      <c r="F4" s="31">
        <f t="shared" si="1"/>
        <v>800</v>
      </c>
      <c r="I4" t="s">
        <v>840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841</v>
      </c>
      <c r="D5">
        <v>800</v>
      </c>
      <c r="E5" s="30">
        <v>1</v>
      </c>
      <c r="F5" s="31">
        <f t="shared" si="1"/>
        <v>800</v>
      </c>
      <c r="I5" t="s">
        <v>842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844</v>
      </c>
      <c r="D7">
        <v>2500</v>
      </c>
      <c r="E7" s="30">
        <v>0.85</v>
      </c>
      <c r="F7" s="31">
        <f t="shared" si="1"/>
        <v>2941.1764705882401</v>
      </c>
      <c r="J7" t="s">
        <v>845</v>
      </c>
      <c r="K7" s="10" t="s">
        <v>846</v>
      </c>
      <c r="L7" s="10" t="s">
        <v>847</v>
      </c>
      <c r="M7" t="s">
        <v>848</v>
      </c>
      <c r="N7" t="s">
        <v>849</v>
      </c>
      <c r="P7">
        <f t="shared" si="0"/>
        <v>85</v>
      </c>
    </row>
    <row r="8" spans="1:25">
      <c r="A8" t="s">
        <v>850</v>
      </c>
      <c r="D8">
        <v>2500</v>
      </c>
      <c r="E8" s="30">
        <v>0.85</v>
      </c>
      <c r="F8" s="31">
        <f t="shared" si="1"/>
        <v>2941.1764705882401</v>
      </c>
      <c r="I8" t="s">
        <v>851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852</v>
      </c>
      <c r="D9">
        <v>2500</v>
      </c>
      <c r="E9" s="30">
        <v>0.85</v>
      </c>
      <c r="F9" s="31">
        <f t="shared" si="1"/>
        <v>2941.1764705882401</v>
      </c>
      <c r="I9" t="s">
        <v>853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854</v>
      </c>
      <c r="D10">
        <v>2500</v>
      </c>
      <c r="E10" s="30">
        <v>0.85</v>
      </c>
      <c r="F10" s="31">
        <f t="shared" si="1"/>
        <v>2941.1764705882401</v>
      </c>
      <c r="I10" t="s">
        <v>855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856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857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858</v>
      </c>
      <c r="D12">
        <v>8000</v>
      </c>
      <c r="E12" s="30">
        <v>0.7</v>
      </c>
      <c r="F12" s="31">
        <f t="shared" si="1"/>
        <v>11428.5714285714</v>
      </c>
      <c r="I12" t="s">
        <v>859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860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861</v>
      </c>
      <c r="N13">
        <f>SUM(N8:N12)</f>
        <v>1061280</v>
      </c>
      <c r="P13">
        <f t="shared" si="0"/>
        <v>70</v>
      </c>
    </row>
    <row r="14" spans="1:25">
      <c r="A14" t="s">
        <v>862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863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864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865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866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867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868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869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870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874</v>
      </c>
      <c r="E26" t="s">
        <v>875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876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877</v>
      </c>
      <c r="B31" s="10" t="s">
        <v>112</v>
      </c>
      <c r="C31" s="10" t="s">
        <v>122</v>
      </c>
      <c r="F31" s="10" t="s">
        <v>878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879</v>
      </c>
      <c r="G32" s="10" t="s">
        <v>880</v>
      </c>
      <c r="H32" s="10" t="s">
        <v>828</v>
      </c>
      <c r="J32" s="10" t="s">
        <v>881</v>
      </c>
      <c r="K32" s="10" t="s">
        <v>882</v>
      </c>
      <c r="L32" s="10" t="s">
        <v>1</v>
      </c>
      <c r="M32" s="10" t="s">
        <v>828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875</v>
      </c>
      <c r="N41">
        <f>SUM(N33:N40)</f>
        <v>28860</v>
      </c>
      <c r="O41">
        <f>SUM(O33:O40)</f>
        <v>9600</v>
      </c>
    </row>
    <row r="42" spans="1:15">
      <c r="A42" s="10" t="s">
        <v>875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883</v>
      </c>
      <c r="B45" s="10" t="s">
        <v>884</v>
      </c>
      <c r="C45" s="10" t="s">
        <v>885</v>
      </c>
      <c r="F45" s="10" t="s">
        <v>886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887</v>
      </c>
      <c r="G46" s="32" t="s">
        <v>888</v>
      </c>
      <c r="H46" s="32" t="s">
        <v>164</v>
      </c>
      <c r="I46" s="10" t="s">
        <v>889</v>
      </c>
      <c r="K46" s="10"/>
    </row>
    <row r="47" spans="1:15">
      <c r="A47">
        <v>2</v>
      </c>
      <c r="B47">
        <f t="shared" si="11"/>
        <v>200</v>
      </c>
      <c r="C47" s="10" t="s">
        <v>890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875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578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481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489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495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559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785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787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791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793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797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799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567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555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583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598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605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609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892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537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780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893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592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586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589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787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789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793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795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799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801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559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563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489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495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567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892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583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598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605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780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555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559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605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609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563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605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609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574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782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784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785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787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789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791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793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795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797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799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801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602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780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498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501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504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507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510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513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516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519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522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525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528</v>
      </c>
      <c r="H106" t="str">
        <f t="shared" si="1"/>
        <v>赌输可退</v>
      </c>
    </row>
    <row r="107" spans="1:8" ht="16.5">
      <c r="A107" s="9" t="s">
        <v>448</v>
      </c>
      <c r="B107" s="9" t="s">
        <v>449</v>
      </c>
      <c r="G107" s="9" t="s">
        <v>531</v>
      </c>
      <c r="H107" t="str">
        <f t="shared" si="1"/>
        <v>来点玄铁</v>
      </c>
    </row>
    <row r="108" spans="1:8" ht="16.5">
      <c r="A108" s="9" t="s">
        <v>452</v>
      </c>
      <c r="B108" s="9" t="s">
        <v>453</v>
      </c>
      <c r="G108" s="9" t="s">
        <v>534</v>
      </c>
      <c r="H108" t="str">
        <f t="shared" si="1"/>
        <v>恭喜发财</v>
      </c>
    </row>
    <row r="109" spans="1:8" ht="16.5">
      <c r="A109" s="9" t="s">
        <v>456</v>
      </c>
      <c r="B109" s="9" t="s">
        <v>457</v>
      </c>
      <c r="G109" s="9" t="s">
        <v>540</v>
      </c>
      <c r="H109" t="str">
        <f t="shared" si="1"/>
        <v>鼠年大吉</v>
      </c>
    </row>
    <row r="110" spans="1:8" ht="16.5">
      <c r="A110" s="9" t="s">
        <v>460</v>
      </c>
      <c r="B110" s="9" t="s">
        <v>461</v>
      </c>
      <c r="G110" s="9" t="s">
        <v>543</v>
      </c>
      <c r="H110" t="str">
        <f t="shared" si="1"/>
        <v>兄弟们拼了</v>
      </c>
    </row>
    <row r="111" spans="1:8" ht="16.5">
      <c r="A111" s="9" t="s">
        <v>463</v>
      </c>
      <c r="B111" s="14" t="s">
        <v>464</v>
      </c>
      <c r="G111" s="9" t="s">
        <v>546</v>
      </c>
      <c r="H111" t="str">
        <f t="shared" si="1"/>
        <v>老铁忍住啊</v>
      </c>
    </row>
    <row r="112" spans="1:8" ht="16.5">
      <c r="A112" s="9" t="s">
        <v>466</v>
      </c>
      <c r="B112" s="9" t="s">
        <v>467</v>
      </c>
      <c r="G112" s="9" t="s">
        <v>549</v>
      </c>
      <c r="H112" t="str">
        <f t="shared" si="1"/>
        <v>老铁忍住呀</v>
      </c>
    </row>
    <row r="113" spans="1:8" ht="16.5">
      <c r="A113" s="9" t="s">
        <v>469</v>
      </c>
      <c r="B113" s="9" t="s">
        <v>470</v>
      </c>
      <c r="G113" s="9" t="s">
        <v>552</v>
      </c>
      <c r="H113" t="str">
        <f t="shared" si="1"/>
        <v>跳不动了</v>
      </c>
    </row>
    <row r="114" spans="1:8" ht="16.5">
      <c r="A114" s="9" t="s">
        <v>472</v>
      </c>
      <c r="B114" s="9" t="s">
        <v>473</v>
      </c>
      <c r="G114" s="9" t="s">
        <v>785</v>
      </c>
      <c r="H114" t="str">
        <f t="shared" si="1"/>
        <v>攻击力低</v>
      </c>
    </row>
    <row r="115" spans="1:8" ht="16.5">
      <c r="A115" s="9" t="s">
        <v>475</v>
      </c>
      <c r="B115" s="9" t="s">
        <v>476</v>
      </c>
      <c r="G115" s="9" t="s">
        <v>791</v>
      </c>
      <c r="H115" t="str">
        <f t="shared" si="1"/>
        <v>生命值低</v>
      </c>
    </row>
    <row r="116" spans="1:8" ht="16.5">
      <c r="A116" s="9" t="s">
        <v>478</v>
      </c>
      <c r="B116" s="9" t="s">
        <v>479</v>
      </c>
      <c r="G116" s="9" t="s">
        <v>797</v>
      </c>
      <c r="H116" t="str">
        <f t="shared" si="1"/>
        <v>业力低</v>
      </c>
    </row>
    <row r="117" spans="1:8" ht="16.5">
      <c r="A117" s="9" t="s">
        <v>481</v>
      </c>
      <c r="B117" s="15" t="s">
        <v>482</v>
      </c>
      <c r="G117" s="11"/>
      <c r="H117" t="str">
        <f t="shared" si="1"/>
        <v/>
      </c>
    </row>
    <row r="118" spans="1:8" ht="16.5">
      <c r="A118" s="9" t="s">
        <v>485</v>
      </c>
      <c r="B118" s="16" t="s">
        <v>486</v>
      </c>
      <c r="G118" s="8" t="s">
        <v>537</v>
      </c>
      <c r="H118" t="str">
        <f t="shared" si="1"/>
        <v>附魔宝箱</v>
      </c>
    </row>
    <row r="119" spans="1:8" ht="16.5">
      <c r="A119" s="9" t="s">
        <v>489</v>
      </c>
      <c r="B119" s="16" t="s">
        <v>490</v>
      </c>
      <c r="G119" s="9" t="s">
        <v>665</v>
      </c>
      <c r="H119" t="str">
        <f t="shared" si="1"/>
        <v>Q技能附魔卷</v>
      </c>
    </row>
    <row r="120" spans="1:8" ht="16.5">
      <c r="A120" s="9" t="s">
        <v>492</v>
      </c>
      <c r="B120" s="16" t="s">
        <v>493</v>
      </c>
      <c r="G120" s="9" t="s">
        <v>669</v>
      </c>
      <c r="H120" t="str">
        <f t="shared" si="1"/>
        <v>W技能附魔卷</v>
      </c>
    </row>
    <row r="121" spans="1:8" ht="16.5">
      <c r="A121" s="9" t="s">
        <v>495</v>
      </c>
      <c r="B121" s="16" t="s">
        <v>496</v>
      </c>
      <c r="G121" s="9" t="s">
        <v>673</v>
      </c>
      <c r="H121" t="str">
        <f t="shared" si="1"/>
        <v>E技能附魔卷</v>
      </c>
    </row>
    <row r="122" spans="1:8" ht="16.5">
      <c r="A122" s="9" t="s">
        <v>498</v>
      </c>
      <c r="B122" s="9" t="s">
        <v>894</v>
      </c>
      <c r="G122" s="9" t="s">
        <v>677</v>
      </c>
      <c r="H122" t="str">
        <f t="shared" si="1"/>
        <v>|CffFFD24DQ强力附魔卷|r</v>
      </c>
    </row>
    <row r="123" spans="1:8" ht="16.5">
      <c r="A123" s="17" t="s">
        <v>501</v>
      </c>
      <c r="B123" s="18" t="s">
        <v>502</v>
      </c>
      <c r="G123" s="9" t="s">
        <v>680</v>
      </c>
      <c r="H123" t="str">
        <f t="shared" si="1"/>
        <v>|CffFFD24DW强力附魔卷|r</v>
      </c>
    </row>
    <row r="124" spans="1:8" ht="16.5">
      <c r="A124" s="9" t="s">
        <v>504</v>
      </c>
      <c r="B124" s="19" t="s">
        <v>505</v>
      </c>
      <c r="G124" s="9" t="s">
        <v>683</v>
      </c>
      <c r="H124" t="str">
        <f t="shared" si="1"/>
        <v>|CffFFD24DE强力附魔卷|r</v>
      </c>
    </row>
    <row r="125" spans="1:8" ht="16.5">
      <c r="A125" s="17" t="s">
        <v>507</v>
      </c>
      <c r="B125" s="18" t="s">
        <v>508</v>
      </c>
      <c r="G125" s="11"/>
      <c r="H125" t="str">
        <f t="shared" si="1"/>
        <v/>
      </c>
    </row>
    <row r="126" spans="1:8" ht="16.5">
      <c r="A126" s="17" t="s">
        <v>510</v>
      </c>
      <c r="B126" s="18" t="s">
        <v>511</v>
      </c>
      <c r="G126" s="8" t="s">
        <v>567</v>
      </c>
      <c r="H126" t="str">
        <f t="shared" si="1"/>
        <v>|CffFFD24D技能宝箱|r</v>
      </c>
    </row>
    <row r="127" spans="1:8" ht="16.5">
      <c r="A127" s="17" t="s">
        <v>513</v>
      </c>
      <c r="B127" s="18" t="s">
        <v>514</v>
      </c>
      <c r="G127" s="9" t="s">
        <v>456</v>
      </c>
      <c r="H127" t="str">
        <f t="shared" si="1"/>
        <v>|Cff00FF7F技能进阶石【残缺】|r</v>
      </c>
    </row>
    <row r="128" spans="1:8" ht="16.5">
      <c r="A128" s="17" t="s">
        <v>516</v>
      </c>
      <c r="B128" s="18" t="s">
        <v>517</v>
      </c>
      <c r="G128" s="9" t="s">
        <v>448</v>
      </c>
      <c r="H128" t="str">
        <f t="shared" si="1"/>
        <v>|Cff00BFFF技能进阶石【完美】|r</v>
      </c>
    </row>
    <row r="129" spans="1:8" ht="16.5">
      <c r="A129" s="17" t="s">
        <v>519</v>
      </c>
      <c r="B129" s="18" t="s">
        <v>520</v>
      </c>
      <c r="G129" s="9" t="s">
        <v>452</v>
      </c>
      <c r="H129" t="str">
        <f t="shared" si="1"/>
        <v>|CffFF0000技能进化石【完美】|r</v>
      </c>
    </row>
    <row r="130" spans="1:8" ht="16.5">
      <c r="A130" s="17" t="s">
        <v>522</v>
      </c>
      <c r="B130" s="18" t="s">
        <v>523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525</v>
      </c>
      <c r="B131" s="18" t="s">
        <v>526</v>
      </c>
      <c r="G131" s="11"/>
      <c r="H131" t="str">
        <f t="shared" si="2"/>
        <v/>
      </c>
    </row>
    <row r="132" spans="1:8" ht="16.5">
      <c r="A132" s="17" t="s">
        <v>528</v>
      </c>
      <c r="B132" s="17" t="s">
        <v>529</v>
      </c>
      <c r="G132" s="8" t="s">
        <v>582</v>
      </c>
      <c r="H132" t="str">
        <f t="shared" si="2"/>
        <v>|CffFFD24D技能宝箱|r</v>
      </c>
    </row>
    <row r="133" spans="1:8" ht="16.5">
      <c r="A133" s="17" t="s">
        <v>531</v>
      </c>
      <c r="B133" s="18" t="s">
        <v>532</v>
      </c>
      <c r="G133" s="9" t="s">
        <v>456</v>
      </c>
      <c r="H133" t="str">
        <f t="shared" si="2"/>
        <v>|Cff00FF7F技能进阶石【残缺】|r</v>
      </c>
    </row>
    <row r="134" spans="1:8" ht="16.5">
      <c r="A134" s="17" t="s">
        <v>534</v>
      </c>
      <c r="B134" s="18" t="s">
        <v>535</v>
      </c>
      <c r="G134" s="9" t="s">
        <v>448</v>
      </c>
      <c r="H134" t="str">
        <f t="shared" si="2"/>
        <v>|Cff00BFFF技能进阶石【完美】|r</v>
      </c>
    </row>
    <row r="135" spans="1:8" ht="16.5">
      <c r="A135" s="9" t="s">
        <v>537</v>
      </c>
      <c r="B135" s="20" t="s">
        <v>538</v>
      </c>
      <c r="G135" s="11"/>
      <c r="H135" t="str">
        <f t="shared" si="2"/>
        <v/>
      </c>
    </row>
    <row r="136" spans="1:8" ht="16.5">
      <c r="A136" s="17" t="s">
        <v>540</v>
      </c>
      <c r="B136" s="21" t="s">
        <v>541</v>
      </c>
      <c r="G136" s="8" t="s">
        <v>571</v>
      </c>
      <c r="H136" t="str">
        <f t="shared" si="2"/>
        <v>|CffFFD24D附魔宝箱|r</v>
      </c>
    </row>
    <row r="137" spans="1:8" ht="16.5">
      <c r="A137" s="17" t="s">
        <v>543</v>
      </c>
      <c r="B137" s="22" t="s">
        <v>544</v>
      </c>
      <c r="G137" s="9" t="s">
        <v>665</v>
      </c>
      <c r="H137" t="str">
        <f t="shared" si="2"/>
        <v>Q技能附魔卷</v>
      </c>
    </row>
    <row r="138" spans="1:8" ht="16.5">
      <c r="A138" s="9" t="s">
        <v>546</v>
      </c>
      <c r="B138" s="23" t="s">
        <v>547</v>
      </c>
      <c r="G138" s="9" t="s">
        <v>677</v>
      </c>
      <c r="H138" t="str">
        <f t="shared" si="2"/>
        <v>|CffFFD24DQ强力附魔卷|r</v>
      </c>
    </row>
    <row r="139" spans="1:8" ht="16.5">
      <c r="A139" s="17" t="s">
        <v>549</v>
      </c>
      <c r="B139" s="21" t="s">
        <v>550</v>
      </c>
      <c r="G139" s="9"/>
      <c r="H139" t="str">
        <f t="shared" si="2"/>
        <v/>
      </c>
    </row>
    <row r="140" spans="1:8" ht="16.5">
      <c r="A140" s="17" t="s">
        <v>552</v>
      </c>
      <c r="B140" s="21" t="s">
        <v>553</v>
      </c>
      <c r="G140" s="8"/>
      <c r="H140" t="str">
        <f t="shared" si="2"/>
        <v/>
      </c>
    </row>
    <row r="141" spans="1:8" ht="16.5">
      <c r="A141" s="24" t="s">
        <v>555</v>
      </c>
      <c r="B141" s="23" t="s">
        <v>556</v>
      </c>
      <c r="G141" s="9" t="s">
        <v>747</v>
      </c>
      <c r="H141" t="str">
        <f t="shared" si="2"/>
        <v>附魔</v>
      </c>
    </row>
    <row r="142" spans="1:8" ht="16.5">
      <c r="A142" s="24" t="s">
        <v>559</v>
      </c>
      <c r="B142" s="23" t="s">
        <v>560</v>
      </c>
      <c r="G142" s="9" t="s">
        <v>749</v>
      </c>
      <c r="H142" t="str">
        <f t="shared" si="2"/>
        <v>附魔</v>
      </c>
    </row>
    <row r="143" spans="1:8" ht="16.5">
      <c r="A143" s="24" t="s">
        <v>563</v>
      </c>
      <c r="B143" s="23" t="s">
        <v>564</v>
      </c>
      <c r="G143" s="9" t="s">
        <v>750</v>
      </c>
      <c r="H143" t="str">
        <f t="shared" si="2"/>
        <v>附魔</v>
      </c>
    </row>
    <row r="144" spans="1:8" ht="16.5">
      <c r="A144" s="24" t="s">
        <v>567</v>
      </c>
      <c r="B144" s="20" t="s">
        <v>568</v>
      </c>
      <c r="G144" s="9" t="s">
        <v>751</v>
      </c>
      <c r="H144" t="str">
        <f t="shared" si="2"/>
        <v>附魔</v>
      </c>
    </row>
    <row r="145" spans="1:8" ht="16.5">
      <c r="A145" s="24" t="s">
        <v>571</v>
      </c>
      <c r="B145" s="20" t="s">
        <v>572</v>
      </c>
      <c r="G145" s="9" t="s">
        <v>752</v>
      </c>
      <c r="H145" t="str">
        <f t="shared" si="2"/>
        <v>附魔</v>
      </c>
    </row>
    <row r="146" spans="1:8" ht="16.5">
      <c r="A146" s="24" t="s">
        <v>574</v>
      </c>
      <c r="B146" s="20" t="s">
        <v>895</v>
      </c>
      <c r="G146" s="9" t="s">
        <v>753</v>
      </c>
      <c r="H146" t="str">
        <f t="shared" si="2"/>
        <v>附魔</v>
      </c>
    </row>
    <row r="147" spans="1:8" ht="16.5">
      <c r="A147" s="24" t="s">
        <v>578</v>
      </c>
      <c r="B147" s="20" t="s">
        <v>896</v>
      </c>
      <c r="G147" s="9" t="s">
        <v>754</v>
      </c>
      <c r="H147" t="str">
        <f t="shared" si="2"/>
        <v>附魔</v>
      </c>
    </row>
    <row r="148" spans="1:8" ht="16.5">
      <c r="A148" s="24" t="s">
        <v>582</v>
      </c>
      <c r="B148" s="20" t="s">
        <v>568</v>
      </c>
      <c r="G148" s="9" t="s">
        <v>755</v>
      </c>
      <c r="H148" t="str">
        <f t="shared" si="2"/>
        <v>附魔</v>
      </c>
    </row>
    <row r="149" spans="1:8" ht="16.5">
      <c r="A149" s="9" t="s">
        <v>583</v>
      </c>
      <c r="B149" s="9" t="s">
        <v>897</v>
      </c>
      <c r="G149" s="9" t="s">
        <v>756</v>
      </c>
      <c r="H149" t="str">
        <f t="shared" si="2"/>
        <v>附魔</v>
      </c>
    </row>
    <row r="150" spans="1:8" ht="16.5">
      <c r="A150" s="9" t="s">
        <v>586</v>
      </c>
      <c r="B150" s="15" t="s">
        <v>587</v>
      </c>
      <c r="G150" s="9" t="s">
        <v>757</v>
      </c>
      <c r="H150" t="str">
        <f t="shared" si="2"/>
        <v>附魔</v>
      </c>
    </row>
    <row r="151" spans="1:8" ht="16.5">
      <c r="A151" s="9" t="s">
        <v>589</v>
      </c>
      <c r="B151" s="15" t="s">
        <v>590</v>
      </c>
      <c r="G151" s="9" t="s">
        <v>758</v>
      </c>
      <c r="H151" t="str">
        <f t="shared" si="2"/>
        <v>附魔</v>
      </c>
    </row>
    <row r="152" spans="1:8" ht="16.5">
      <c r="A152" s="9" t="s">
        <v>592</v>
      </c>
      <c r="B152" s="15" t="s">
        <v>593</v>
      </c>
      <c r="G152" s="9" t="s">
        <v>759</v>
      </c>
      <c r="H152" t="str">
        <f t="shared" si="2"/>
        <v>附魔</v>
      </c>
    </row>
    <row r="153" spans="1:8" ht="16.5">
      <c r="A153" s="9" t="s">
        <v>595</v>
      </c>
      <c r="B153" s="15" t="s">
        <v>596</v>
      </c>
      <c r="G153" s="9" t="s">
        <v>760</v>
      </c>
      <c r="H153" t="str">
        <f t="shared" si="2"/>
        <v>附魔</v>
      </c>
    </row>
    <row r="154" spans="1:8" ht="16.5">
      <c r="A154" s="9" t="s">
        <v>598</v>
      </c>
      <c r="B154" s="25" t="s">
        <v>599</v>
      </c>
      <c r="G154" s="9" t="s">
        <v>761</v>
      </c>
      <c r="H154" t="str">
        <f t="shared" si="2"/>
        <v>附魔</v>
      </c>
    </row>
    <row r="155" spans="1:8" ht="16.5">
      <c r="A155" s="9" t="s">
        <v>602</v>
      </c>
      <c r="B155" s="25" t="s">
        <v>603</v>
      </c>
      <c r="G155" s="9" t="s">
        <v>762</v>
      </c>
      <c r="H155" t="str">
        <f t="shared" si="2"/>
        <v>附魔</v>
      </c>
    </row>
    <row r="156" spans="1:8" ht="16.5">
      <c r="A156" s="9" t="s">
        <v>605</v>
      </c>
      <c r="B156" s="25" t="s">
        <v>606</v>
      </c>
      <c r="G156" s="9" t="s">
        <v>763</v>
      </c>
      <c r="H156" t="str">
        <f t="shared" si="2"/>
        <v>附魔</v>
      </c>
    </row>
    <row r="157" spans="1:8" ht="16.5">
      <c r="A157" s="9" t="s">
        <v>609</v>
      </c>
      <c r="B157" s="25" t="s">
        <v>610</v>
      </c>
      <c r="G157" s="11"/>
      <c r="H157" t="str">
        <f t="shared" si="2"/>
        <v/>
      </c>
    </row>
    <row r="158" spans="1:8" ht="16.5">
      <c r="A158" s="9" t="s">
        <v>613</v>
      </c>
      <c r="B158" s="15" t="s">
        <v>614</v>
      </c>
      <c r="G158" s="8"/>
      <c r="H158" t="str">
        <f t="shared" si="2"/>
        <v/>
      </c>
    </row>
    <row r="159" spans="1:8" ht="16.5">
      <c r="A159" s="9" t="s">
        <v>615</v>
      </c>
      <c r="B159" s="15" t="s">
        <v>616</v>
      </c>
      <c r="G159" s="9" t="s">
        <v>764</v>
      </c>
      <c r="H159" t="str">
        <f t="shared" si="2"/>
        <v>附魔</v>
      </c>
    </row>
    <row r="160" spans="1:8" ht="16.5">
      <c r="A160" s="9" t="s">
        <v>617</v>
      </c>
      <c r="B160" s="15" t="s">
        <v>618</v>
      </c>
      <c r="G160" s="9" t="s">
        <v>765</v>
      </c>
      <c r="H160" t="str">
        <f t="shared" si="2"/>
        <v>附魔</v>
      </c>
    </row>
    <row r="161" spans="1:8" ht="16.5">
      <c r="A161" s="9" t="s">
        <v>619</v>
      </c>
      <c r="B161" s="15" t="s">
        <v>620</v>
      </c>
      <c r="G161" s="9" t="s">
        <v>766</v>
      </c>
      <c r="H161" t="str">
        <f t="shared" si="2"/>
        <v>附魔</v>
      </c>
    </row>
    <row r="162" spans="1:8" ht="16.5">
      <c r="A162" s="9" t="s">
        <v>621</v>
      </c>
      <c r="B162" s="15" t="s">
        <v>622</v>
      </c>
      <c r="G162" s="9" t="s">
        <v>767</v>
      </c>
      <c r="H162" t="str">
        <f t="shared" si="2"/>
        <v>附魔</v>
      </c>
    </row>
    <row r="163" spans="1:8" ht="16.5">
      <c r="A163" s="9" t="s">
        <v>623</v>
      </c>
      <c r="B163" s="15" t="s">
        <v>624</v>
      </c>
      <c r="G163" s="9" t="s">
        <v>768</v>
      </c>
      <c r="H163" t="str">
        <f t="shared" si="2"/>
        <v>附魔</v>
      </c>
    </row>
    <row r="164" spans="1:8" ht="16.5">
      <c r="A164" s="9" t="s">
        <v>625</v>
      </c>
      <c r="B164" s="15" t="s">
        <v>626</v>
      </c>
      <c r="G164" s="9" t="s">
        <v>769</v>
      </c>
      <c r="H164" t="str">
        <f t="shared" si="2"/>
        <v>附魔</v>
      </c>
    </row>
    <row r="165" spans="1:8" ht="16.5">
      <c r="A165" s="9" t="s">
        <v>628</v>
      </c>
      <c r="B165" s="15" t="s">
        <v>629</v>
      </c>
      <c r="G165" s="9" t="s">
        <v>770</v>
      </c>
      <c r="H165" t="str">
        <f t="shared" si="2"/>
        <v>附魔</v>
      </c>
    </row>
    <row r="166" spans="1:8" ht="16.5">
      <c r="A166" s="9" t="s">
        <v>630</v>
      </c>
      <c r="B166" s="15" t="s">
        <v>631</v>
      </c>
      <c r="G166" s="9" t="s">
        <v>771</v>
      </c>
      <c r="H166" t="str">
        <f t="shared" si="2"/>
        <v>附魔</v>
      </c>
    </row>
    <row r="167" spans="1:8" ht="16.5">
      <c r="A167" s="9" t="s">
        <v>632</v>
      </c>
      <c r="B167" s="15" t="s">
        <v>633</v>
      </c>
      <c r="G167" s="9" t="s">
        <v>772</v>
      </c>
      <c r="H167" t="str">
        <f t="shared" si="2"/>
        <v>附魔</v>
      </c>
    </row>
    <row r="168" spans="1:8" ht="16.5">
      <c r="A168" s="9" t="s">
        <v>634</v>
      </c>
      <c r="B168" s="15" t="s">
        <v>635</v>
      </c>
      <c r="G168" s="9" t="s">
        <v>773</v>
      </c>
      <c r="H168" t="str">
        <f t="shared" si="2"/>
        <v>附魔</v>
      </c>
    </row>
    <row r="169" spans="1:8" ht="16.5">
      <c r="A169" s="9" t="s">
        <v>637</v>
      </c>
      <c r="B169" s="15" t="s">
        <v>638</v>
      </c>
      <c r="G169" s="9" t="s">
        <v>774</v>
      </c>
      <c r="H169" t="str">
        <f t="shared" si="2"/>
        <v>附魔</v>
      </c>
    </row>
    <row r="170" spans="1:8" ht="16.5">
      <c r="A170" s="9" t="s">
        <v>640</v>
      </c>
      <c r="B170" s="15" t="s">
        <v>641</v>
      </c>
      <c r="G170" s="9" t="s">
        <v>775</v>
      </c>
      <c r="H170" t="str">
        <f t="shared" si="2"/>
        <v>附魔</v>
      </c>
    </row>
    <row r="171" spans="1:8" ht="16.5">
      <c r="A171" s="9" t="s">
        <v>643</v>
      </c>
      <c r="B171" s="15" t="s">
        <v>644</v>
      </c>
      <c r="G171" s="9" t="s">
        <v>776</v>
      </c>
      <c r="H171" t="str">
        <f t="shared" si="2"/>
        <v>附魔</v>
      </c>
    </row>
    <row r="172" spans="1:8" ht="16.5">
      <c r="A172" s="9" t="s">
        <v>645</v>
      </c>
      <c r="B172" s="15" t="s">
        <v>646</v>
      </c>
      <c r="G172" s="9" t="s">
        <v>777</v>
      </c>
      <c r="H172" t="str">
        <f t="shared" si="2"/>
        <v>附魔</v>
      </c>
    </row>
    <row r="173" spans="1:8" ht="16.5">
      <c r="A173" s="9" t="s">
        <v>648</v>
      </c>
      <c r="B173" s="15" t="s">
        <v>649</v>
      </c>
      <c r="G173" s="9" t="s">
        <v>778</v>
      </c>
      <c r="H173" t="str">
        <f t="shared" si="2"/>
        <v>附魔</v>
      </c>
    </row>
    <row r="174" spans="1:8" ht="16.5">
      <c r="A174" s="9" t="s">
        <v>651</v>
      </c>
      <c r="B174" s="15" t="s">
        <v>652</v>
      </c>
      <c r="G174" s="9" t="s">
        <v>779</v>
      </c>
      <c r="H174" t="e">
        <f t="shared" si="2"/>
        <v>#N/A</v>
      </c>
    </row>
    <row r="175" spans="1:8" ht="16.5">
      <c r="A175" s="9" t="s">
        <v>654</v>
      </c>
      <c r="B175" s="15" t="s">
        <v>655</v>
      </c>
    </row>
    <row r="176" spans="1:8" ht="16.5">
      <c r="A176" s="9" t="s">
        <v>657</v>
      </c>
      <c r="B176" s="15" t="s">
        <v>658</v>
      </c>
    </row>
    <row r="177" spans="1:2" ht="16.5">
      <c r="A177" s="9" t="s">
        <v>661</v>
      </c>
      <c r="B177" s="15" t="s">
        <v>662</v>
      </c>
    </row>
    <row r="178" spans="1:2" ht="16.5">
      <c r="A178" s="9" t="s">
        <v>665</v>
      </c>
      <c r="B178" s="15" t="s">
        <v>666</v>
      </c>
    </row>
    <row r="179" spans="1:2" ht="16.5">
      <c r="A179" s="9" t="s">
        <v>669</v>
      </c>
      <c r="B179" s="15" t="s">
        <v>670</v>
      </c>
    </row>
    <row r="180" spans="1:2" ht="16.5">
      <c r="A180" s="9" t="s">
        <v>673</v>
      </c>
      <c r="B180" s="15" t="s">
        <v>674</v>
      </c>
    </row>
    <row r="181" spans="1:2" ht="16.5">
      <c r="A181" s="9" t="s">
        <v>677</v>
      </c>
      <c r="B181" s="25" t="s">
        <v>678</v>
      </c>
    </row>
    <row r="182" spans="1:2" ht="16.5">
      <c r="A182" s="9" t="s">
        <v>680</v>
      </c>
      <c r="B182" s="26" t="s">
        <v>681</v>
      </c>
    </row>
    <row r="183" spans="1:2" ht="16.5">
      <c r="A183" s="9" t="s">
        <v>683</v>
      </c>
      <c r="B183" s="26" t="s">
        <v>684</v>
      </c>
    </row>
    <row r="184" spans="1:2" ht="16.5">
      <c r="A184" s="9" t="s">
        <v>686</v>
      </c>
      <c r="B184" s="15" t="s">
        <v>687</v>
      </c>
    </row>
    <row r="185" spans="1:2" ht="16.5">
      <c r="A185" s="9" t="s">
        <v>688</v>
      </c>
      <c r="B185" s="15" t="s">
        <v>689</v>
      </c>
    </row>
    <row r="186" spans="1:2" ht="16.5">
      <c r="A186" s="9" t="s">
        <v>698</v>
      </c>
      <c r="B186" s="15" t="s">
        <v>699</v>
      </c>
    </row>
    <row r="187" spans="1:2" ht="16.5">
      <c r="A187" s="9" t="s">
        <v>701</v>
      </c>
      <c r="B187" s="15" t="s">
        <v>702</v>
      </c>
    </row>
    <row r="188" spans="1:2">
      <c r="A188" s="27" t="s">
        <v>705</v>
      </c>
      <c r="B188" s="28" t="s">
        <v>706</v>
      </c>
    </row>
    <row r="189" spans="1:2">
      <c r="A189" s="27" t="s">
        <v>708</v>
      </c>
      <c r="B189" s="28" t="s">
        <v>709</v>
      </c>
    </row>
    <row r="190" spans="1:2">
      <c r="A190" s="27" t="s">
        <v>711</v>
      </c>
      <c r="B190" s="28" t="s">
        <v>712</v>
      </c>
    </row>
    <row r="191" spans="1:2">
      <c r="A191" s="27" t="s">
        <v>714</v>
      </c>
      <c r="B191" s="28" t="s">
        <v>715</v>
      </c>
    </row>
    <row r="192" spans="1:2">
      <c r="A192" s="27" t="s">
        <v>717</v>
      </c>
      <c r="B192" s="28" t="s">
        <v>718</v>
      </c>
    </row>
    <row r="193" spans="1:2">
      <c r="A193" s="27" t="s">
        <v>719</v>
      </c>
      <c r="B193" s="28" t="s">
        <v>720</v>
      </c>
    </row>
    <row r="194" spans="1:2">
      <c r="A194" s="27" t="s">
        <v>722</v>
      </c>
      <c r="B194" s="28" t="s">
        <v>723</v>
      </c>
    </row>
    <row r="195" spans="1:2">
      <c r="A195" s="27" t="s">
        <v>725</v>
      </c>
      <c r="B195" s="28" t="s">
        <v>726</v>
      </c>
    </row>
    <row r="196" spans="1:2">
      <c r="A196" s="27" t="s">
        <v>728</v>
      </c>
      <c r="B196" s="28" t="s">
        <v>729</v>
      </c>
    </row>
    <row r="197" spans="1:2">
      <c r="A197" s="27" t="s">
        <v>730</v>
      </c>
      <c r="B197" s="28" t="str">
        <f>"已领取"&amp;B188</f>
        <v>已领取公众号礼包</v>
      </c>
    </row>
    <row r="198" spans="1:2">
      <c r="A198" s="27" t="s">
        <v>733</v>
      </c>
      <c r="B198" s="28" t="str">
        <f t="shared" ref="B198:B205" si="3">"已领取"&amp;B189</f>
        <v>已领取入群礼包</v>
      </c>
    </row>
    <row r="199" spans="1:2">
      <c r="A199" s="27" t="s">
        <v>735</v>
      </c>
      <c r="B199" s="28" t="str">
        <f t="shared" si="3"/>
        <v>已领取拜年礼包</v>
      </c>
    </row>
    <row r="200" spans="1:2">
      <c r="A200" s="27" t="s">
        <v>737</v>
      </c>
      <c r="B200" s="28" t="str">
        <f t="shared" si="3"/>
        <v>已领取收藏礼包</v>
      </c>
    </row>
    <row r="201" spans="1:2">
      <c r="A201" s="27" t="s">
        <v>739</v>
      </c>
      <c r="B201" s="28" t="str">
        <f t="shared" si="3"/>
        <v>已领取重置版礼包</v>
      </c>
    </row>
    <row r="202" spans="1:2">
      <c r="A202" s="27" t="s">
        <v>740</v>
      </c>
      <c r="B202" s="28" t="str">
        <f t="shared" si="3"/>
        <v>已领取公会福利</v>
      </c>
    </row>
    <row r="203" spans="1:2">
      <c r="A203" s="27" t="s">
        <v>741</v>
      </c>
      <c r="B203" s="28" t="str">
        <f t="shared" si="3"/>
        <v>已领取星耀礼包</v>
      </c>
    </row>
    <row r="204" spans="1:2">
      <c r="A204" s="27" t="s">
        <v>743</v>
      </c>
      <c r="B204" s="28" t="str">
        <f t="shared" si="3"/>
        <v>已领取魔芝RPG礼包</v>
      </c>
    </row>
    <row r="205" spans="1:2">
      <c r="A205" s="27" t="s">
        <v>745</v>
      </c>
      <c r="B205" s="28" t="str">
        <f t="shared" si="3"/>
        <v>已领取老铁礼包</v>
      </c>
    </row>
    <row r="206" spans="1:2">
      <c r="A206" s="27" t="s">
        <v>747</v>
      </c>
      <c r="B206" s="29" t="s">
        <v>748</v>
      </c>
    </row>
    <row r="207" spans="1:2">
      <c r="A207" s="27" t="s">
        <v>749</v>
      </c>
      <c r="B207" s="29" t="s">
        <v>748</v>
      </c>
    </row>
    <row r="208" spans="1:2">
      <c r="A208" s="27" t="s">
        <v>750</v>
      </c>
      <c r="B208" s="29" t="s">
        <v>748</v>
      </c>
    </row>
    <row r="209" spans="1:2">
      <c r="A209" s="27" t="s">
        <v>751</v>
      </c>
      <c r="B209" s="29" t="s">
        <v>748</v>
      </c>
    </row>
    <row r="210" spans="1:2">
      <c r="A210" s="27" t="s">
        <v>752</v>
      </c>
      <c r="B210" s="29" t="s">
        <v>748</v>
      </c>
    </row>
    <row r="211" spans="1:2">
      <c r="A211" s="27" t="s">
        <v>753</v>
      </c>
      <c r="B211" s="29" t="s">
        <v>748</v>
      </c>
    </row>
    <row r="212" spans="1:2">
      <c r="A212" s="27" t="s">
        <v>754</v>
      </c>
      <c r="B212" s="29" t="s">
        <v>748</v>
      </c>
    </row>
    <row r="213" spans="1:2">
      <c r="A213" s="27" t="s">
        <v>755</v>
      </c>
      <c r="B213" s="29" t="s">
        <v>748</v>
      </c>
    </row>
    <row r="214" spans="1:2">
      <c r="A214" s="27" t="s">
        <v>756</v>
      </c>
      <c r="B214" s="29" t="s">
        <v>748</v>
      </c>
    </row>
    <row r="215" spans="1:2">
      <c r="A215" s="27" t="s">
        <v>757</v>
      </c>
      <c r="B215" s="29" t="s">
        <v>748</v>
      </c>
    </row>
    <row r="216" spans="1:2">
      <c r="A216" s="27" t="s">
        <v>758</v>
      </c>
      <c r="B216" s="29" t="s">
        <v>748</v>
      </c>
    </row>
    <row r="217" spans="1:2">
      <c r="A217" s="27" t="s">
        <v>759</v>
      </c>
      <c r="B217" s="29" t="s">
        <v>748</v>
      </c>
    </row>
    <row r="218" spans="1:2">
      <c r="A218" s="27" t="s">
        <v>760</v>
      </c>
      <c r="B218" s="29" t="s">
        <v>748</v>
      </c>
    </row>
    <row r="219" spans="1:2">
      <c r="A219" s="27" t="s">
        <v>761</v>
      </c>
      <c r="B219" s="29" t="s">
        <v>748</v>
      </c>
    </row>
    <row r="220" spans="1:2">
      <c r="A220" s="27" t="s">
        <v>762</v>
      </c>
      <c r="B220" s="29" t="s">
        <v>748</v>
      </c>
    </row>
    <row r="221" spans="1:2">
      <c r="A221" s="27" t="s">
        <v>763</v>
      </c>
      <c r="B221" s="29" t="s">
        <v>748</v>
      </c>
    </row>
    <row r="222" spans="1:2">
      <c r="A222" s="27" t="s">
        <v>764</v>
      </c>
      <c r="B222" s="29" t="s">
        <v>748</v>
      </c>
    </row>
    <row r="223" spans="1:2">
      <c r="A223" s="27" t="s">
        <v>765</v>
      </c>
      <c r="B223" s="29" t="s">
        <v>748</v>
      </c>
    </row>
    <row r="224" spans="1:2">
      <c r="A224" s="27" t="s">
        <v>766</v>
      </c>
      <c r="B224" s="29" t="s">
        <v>748</v>
      </c>
    </row>
    <row r="225" spans="1:2">
      <c r="A225" s="27" t="s">
        <v>767</v>
      </c>
      <c r="B225" s="29" t="s">
        <v>748</v>
      </c>
    </row>
    <row r="226" spans="1:2">
      <c r="A226" s="27" t="s">
        <v>768</v>
      </c>
      <c r="B226" s="29" t="s">
        <v>748</v>
      </c>
    </row>
    <row r="227" spans="1:2">
      <c r="A227" s="27" t="s">
        <v>769</v>
      </c>
      <c r="B227" s="29" t="s">
        <v>748</v>
      </c>
    </row>
    <row r="228" spans="1:2">
      <c r="A228" s="27" t="s">
        <v>770</v>
      </c>
      <c r="B228" s="29" t="s">
        <v>748</v>
      </c>
    </row>
    <row r="229" spans="1:2">
      <c r="A229" s="27" t="s">
        <v>771</v>
      </c>
      <c r="B229" s="29" t="s">
        <v>748</v>
      </c>
    </row>
    <row r="230" spans="1:2">
      <c r="A230" s="27" t="s">
        <v>772</v>
      </c>
      <c r="B230" s="29" t="s">
        <v>748</v>
      </c>
    </row>
    <row r="231" spans="1:2">
      <c r="A231" s="27" t="s">
        <v>773</v>
      </c>
      <c r="B231" s="29" t="s">
        <v>748</v>
      </c>
    </row>
    <row r="232" spans="1:2">
      <c r="A232" s="27" t="s">
        <v>774</v>
      </c>
      <c r="B232" s="29" t="s">
        <v>748</v>
      </c>
    </row>
    <row r="233" spans="1:2">
      <c r="A233" s="27" t="s">
        <v>775</v>
      </c>
      <c r="B233" s="29" t="s">
        <v>748</v>
      </c>
    </row>
    <row r="234" spans="1:2">
      <c r="A234" s="27" t="s">
        <v>776</v>
      </c>
      <c r="B234" s="29" t="s">
        <v>748</v>
      </c>
    </row>
    <row r="235" spans="1:2">
      <c r="A235" s="27" t="s">
        <v>777</v>
      </c>
      <c r="B235" s="29" t="s">
        <v>748</v>
      </c>
    </row>
    <row r="236" spans="1:2">
      <c r="A236" s="27" t="s">
        <v>778</v>
      </c>
      <c r="B236" s="29" t="s">
        <v>748</v>
      </c>
    </row>
    <row r="237" spans="1:2" ht="16.5">
      <c r="A237" s="9" t="s">
        <v>780</v>
      </c>
      <c r="B237" s="9" t="s">
        <v>781</v>
      </c>
    </row>
    <row r="238" spans="1:2" ht="16.5">
      <c r="A238" s="9" t="s">
        <v>782</v>
      </c>
      <c r="B238" s="9" t="s">
        <v>783</v>
      </c>
    </row>
    <row r="239" spans="1:2" ht="16.5">
      <c r="A239" s="9" t="s">
        <v>784</v>
      </c>
      <c r="B239" s="9" t="s">
        <v>114</v>
      </c>
    </row>
    <row r="240" spans="1:2" ht="16.5">
      <c r="A240" s="9" t="s">
        <v>785</v>
      </c>
      <c r="B240" s="9" t="s">
        <v>786</v>
      </c>
    </row>
    <row r="241" spans="1:2" ht="16.5">
      <c r="A241" s="9" t="s">
        <v>787</v>
      </c>
      <c r="B241" s="9" t="s">
        <v>788</v>
      </c>
    </row>
    <row r="242" spans="1:2" ht="16.5">
      <c r="A242" s="9" t="s">
        <v>789</v>
      </c>
      <c r="B242" s="9" t="s">
        <v>790</v>
      </c>
    </row>
    <row r="243" spans="1:2" ht="16.5">
      <c r="A243" s="9" t="s">
        <v>791</v>
      </c>
      <c r="B243" s="9" t="s">
        <v>792</v>
      </c>
    </row>
    <row r="244" spans="1:2" ht="16.5">
      <c r="A244" s="9" t="s">
        <v>793</v>
      </c>
      <c r="B244" s="9" t="s">
        <v>794</v>
      </c>
    </row>
    <row r="245" spans="1:2" ht="16.5">
      <c r="A245" s="9" t="s">
        <v>795</v>
      </c>
      <c r="B245" s="9" t="s">
        <v>796</v>
      </c>
    </row>
    <row r="246" spans="1:2" ht="16.5">
      <c r="A246" s="9" t="s">
        <v>797</v>
      </c>
      <c r="B246" s="9" t="s">
        <v>798</v>
      </c>
    </row>
    <row r="247" spans="1:2" ht="16.5">
      <c r="A247" s="9" t="s">
        <v>799</v>
      </c>
      <c r="B247" s="9" t="s">
        <v>800</v>
      </c>
    </row>
    <row r="248" spans="1:2" ht="16.5">
      <c r="A248" s="9" t="s">
        <v>801</v>
      </c>
      <c r="B248" s="9" t="s">
        <v>802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2020-02-02T06:30:07Z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