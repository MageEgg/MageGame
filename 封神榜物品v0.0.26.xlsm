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P000!$A$1:$AP$727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49" i="2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C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C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T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T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T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T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T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T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70" i="1"/>
  <c r="K270"/>
  <c r="J270"/>
  <c r="I270"/>
  <c r="H270"/>
  <c r="B270"/>
  <c r="M269"/>
  <c r="K269"/>
  <c r="J269"/>
  <c r="I269"/>
  <c r="H269"/>
  <c r="B269"/>
  <c r="M268"/>
  <c r="K268"/>
  <c r="J268"/>
  <c r="I268"/>
  <c r="H268"/>
  <c r="B268"/>
  <c r="M267"/>
  <c r="K267"/>
  <c r="J267"/>
  <c r="I267"/>
  <c r="H267"/>
  <c r="B267"/>
  <c r="M266"/>
  <c r="K266"/>
  <c r="J266"/>
  <c r="I266"/>
  <c r="H266"/>
  <c r="B266"/>
  <c r="M265"/>
  <c r="K265"/>
  <c r="J265"/>
  <c r="I265"/>
  <c r="H265"/>
  <c r="B265"/>
  <c r="M264"/>
  <c r="K264"/>
  <c r="J264"/>
  <c r="I264"/>
  <c r="H264"/>
  <c r="B264"/>
  <c r="M263"/>
  <c r="K263"/>
  <c r="J263"/>
  <c r="I263"/>
  <c r="H263"/>
  <c r="B263"/>
  <c r="M262"/>
  <c r="K262"/>
  <c r="J262"/>
  <c r="I262"/>
  <c r="H262"/>
  <c r="B262"/>
  <c r="M261"/>
  <c r="K261"/>
  <c r="J261"/>
  <c r="I261"/>
  <c r="H261"/>
  <c r="B261"/>
  <c r="M260"/>
  <c r="K260"/>
  <c r="J260"/>
  <c r="I260"/>
  <c r="H260"/>
  <c r="B260"/>
  <c r="M259"/>
  <c r="K259"/>
  <c r="J259"/>
  <c r="I259"/>
  <c r="H259"/>
  <c r="B259"/>
  <c r="M258"/>
  <c r="K258"/>
  <c r="J258"/>
  <c r="I258"/>
  <c r="H258"/>
  <c r="B258"/>
  <c r="M257"/>
  <c r="K257"/>
  <c r="J257"/>
  <c r="I257"/>
  <c r="H257"/>
  <c r="B257"/>
  <c r="M256"/>
  <c r="K256"/>
  <c r="J256"/>
  <c r="I256"/>
  <c r="H256"/>
  <c r="B256"/>
  <c r="M255"/>
  <c r="K255"/>
  <c r="J255"/>
  <c r="I255"/>
  <c r="H255"/>
  <c r="B255"/>
  <c r="M254"/>
  <c r="K254"/>
  <c r="J254"/>
  <c r="I254"/>
  <c r="H254"/>
  <c r="B254"/>
  <c r="M253"/>
  <c r="K253"/>
  <c r="J253"/>
  <c r="I253"/>
  <c r="H253"/>
  <c r="B253"/>
  <c r="M252"/>
  <c r="K252"/>
  <c r="J252"/>
  <c r="I252"/>
  <c r="H252"/>
  <c r="B252"/>
  <c r="M251"/>
  <c r="K251"/>
  <c r="J251"/>
  <c r="I251"/>
  <c r="H251"/>
  <c r="B251"/>
  <c r="M250"/>
  <c r="K250"/>
  <c r="J250"/>
  <c r="I250"/>
  <c r="H250"/>
  <c r="B250"/>
  <c r="M249"/>
  <c r="K249"/>
  <c r="J249"/>
  <c r="I249"/>
  <c r="H249"/>
  <c r="B249"/>
  <c r="M248"/>
  <c r="K248"/>
  <c r="J248"/>
  <c r="I248"/>
  <c r="H248"/>
  <c r="B248"/>
  <c r="M247"/>
  <c r="K247"/>
  <c r="J247"/>
  <c r="I247"/>
  <c r="H247"/>
  <c r="B247"/>
  <c r="M246"/>
  <c r="K246"/>
  <c r="J246"/>
  <c r="I246"/>
  <c r="H246"/>
  <c r="B246"/>
  <c r="M245"/>
  <c r="K245"/>
  <c r="J245"/>
  <c r="I245"/>
  <c r="H245"/>
  <c r="B245"/>
  <c r="M244"/>
  <c r="K244"/>
  <c r="J244"/>
  <c r="I244"/>
  <c r="H244"/>
  <c r="B244"/>
  <c r="M243"/>
  <c r="K243"/>
  <c r="J243"/>
  <c r="I243"/>
  <c r="H243"/>
  <c r="B243"/>
  <c r="M242"/>
  <c r="K242"/>
  <c r="J242"/>
  <c r="I242"/>
  <c r="H242"/>
  <c r="B242"/>
  <c r="M241"/>
  <c r="K241"/>
  <c r="J241"/>
  <c r="I241"/>
  <c r="H241"/>
  <c r="B241"/>
  <c r="M240"/>
  <c r="K240"/>
  <c r="J240"/>
  <c r="I240"/>
  <c r="H240"/>
  <c r="B240"/>
  <c r="M239"/>
  <c r="K239"/>
  <c r="J239"/>
  <c r="I239"/>
  <c r="H239"/>
  <c r="B239"/>
  <c r="M238"/>
  <c r="K238"/>
  <c r="J238"/>
  <c r="I238"/>
  <c r="H238"/>
  <c r="B238"/>
  <c r="M237"/>
  <c r="K237"/>
  <c r="J237"/>
  <c r="I237"/>
  <c r="H237"/>
  <c r="B237"/>
  <c r="M236"/>
  <c r="K236"/>
  <c r="J236"/>
  <c r="I236"/>
  <c r="H236"/>
  <c r="B236"/>
  <c r="M235"/>
  <c r="K235"/>
  <c r="J235"/>
  <c r="I235"/>
  <c r="H235"/>
  <c r="B235"/>
  <c r="M234"/>
  <c r="K234"/>
  <c r="J234"/>
  <c r="I234"/>
  <c r="H234"/>
  <c r="B234"/>
  <c r="M233"/>
  <c r="K233"/>
  <c r="J233"/>
  <c r="I233"/>
  <c r="H233"/>
  <c r="B233"/>
  <c r="M232"/>
  <c r="K232"/>
  <c r="J232"/>
  <c r="I232"/>
  <c r="H232"/>
  <c r="B232"/>
  <c r="M231"/>
  <c r="K231"/>
  <c r="J231"/>
  <c r="I231"/>
  <c r="H231"/>
  <c r="B231"/>
  <c r="M230"/>
  <c r="K230"/>
  <c r="J230"/>
  <c r="I230"/>
  <c r="H230"/>
  <c r="B230"/>
  <c r="M229"/>
  <c r="K229"/>
  <c r="J229"/>
  <c r="I229"/>
  <c r="H229"/>
  <c r="B229"/>
  <c r="M228"/>
  <c r="K228"/>
  <c r="J228"/>
  <c r="I228"/>
  <c r="H228"/>
  <c r="B228"/>
  <c r="M227"/>
  <c r="K227"/>
  <c r="J227"/>
  <c r="I227"/>
  <c r="H227"/>
  <c r="B227"/>
  <c r="M226"/>
  <c r="K226"/>
  <c r="J226"/>
  <c r="I226"/>
  <c r="H226"/>
  <c r="B226"/>
  <c r="M225"/>
  <c r="K225"/>
  <c r="J225"/>
  <c r="I225"/>
  <c r="H225"/>
  <c r="B225"/>
  <c r="M224"/>
  <c r="K224"/>
  <c r="J224"/>
  <c r="I224"/>
  <c r="H224"/>
  <c r="B224"/>
  <c r="M223"/>
  <c r="K223"/>
  <c r="J223"/>
  <c r="I223"/>
  <c r="H223"/>
  <c r="B223"/>
  <c r="M222"/>
  <c r="K222"/>
  <c r="J222"/>
  <c r="I222"/>
  <c r="H222"/>
  <c r="B222"/>
  <c r="M221"/>
  <c r="K221"/>
  <c r="J221"/>
  <c r="I221"/>
  <c r="H221"/>
  <c r="B221"/>
  <c r="M220"/>
  <c r="K220"/>
  <c r="J220"/>
  <c r="I220"/>
  <c r="H220"/>
  <c r="B220"/>
  <c r="M219"/>
  <c r="K219"/>
  <c r="J219"/>
  <c r="I219"/>
  <c r="H219"/>
  <c r="B219"/>
  <c r="M218"/>
  <c r="K218"/>
  <c r="J218"/>
  <c r="I218"/>
  <c r="H218"/>
  <c r="B218"/>
  <c r="M217"/>
  <c r="K217"/>
  <c r="J217"/>
  <c r="I217"/>
  <c r="H217"/>
  <c r="B217"/>
  <c r="M216"/>
  <c r="K216"/>
  <c r="J216"/>
  <c r="I216"/>
  <c r="H216"/>
  <c r="B216"/>
  <c r="M215"/>
  <c r="K215"/>
  <c r="J215"/>
  <c r="I215"/>
  <c r="H215"/>
  <c r="B215"/>
  <c r="M214"/>
  <c r="K214"/>
  <c r="J214"/>
  <c r="I214"/>
  <c r="H214"/>
  <c r="B214"/>
  <c r="M213"/>
  <c r="K213"/>
  <c r="J213"/>
  <c r="I213"/>
  <c r="H213"/>
  <c r="B213"/>
  <c r="M212"/>
  <c r="K212"/>
  <c r="J212"/>
  <c r="I212"/>
  <c r="H212"/>
  <c r="B212"/>
  <c r="M211"/>
  <c r="K211"/>
  <c r="J211"/>
  <c r="I211"/>
  <c r="H211"/>
  <c r="B211"/>
  <c r="M210"/>
  <c r="K210"/>
  <c r="J210"/>
  <c r="I210"/>
  <c r="H210"/>
  <c r="B210"/>
  <c r="M209"/>
  <c r="K209"/>
  <c r="J209"/>
  <c r="I209"/>
  <c r="H209"/>
  <c r="B209"/>
  <c r="M208"/>
  <c r="K208"/>
  <c r="J208"/>
  <c r="I208"/>
  <c r="H208"/>
  <c r="B208"/>
  <c r="M207"/>
  <c r="K207"/>
  <c r="J207"/>
  <c r="I207"/>
  <c r="H207"/>
  <c r="B207"/>
  <c r="M206"/>
  <c r="K206"/>
  <c r="J206"/>
  <c r="I206"/>
  <c r="H206"/>
  <c r="B206"/>
  <c r="M205"/>
  <c r="K205"/>
  <c r="J205"/>
  <c r="I205"/>
  <c r="H205"/>
  <c r="B205"/>
  <c r="M204"/>
  <c r="K204"/>
  <c r="J204"/>
  <c r="I204"/>
  <c r="H204"/>
  <c r="B204"/>
  <c r="M203"/>
  <c r="K203"/>
  <c r="J203"/>
  <c r="I203"/>
  <c r="H203"/>
  <c r="B203"/>
  <c r="M202"/>
  <c r="K202"/>
  <c r="J202"/>
  <c r="I202"/>
  <c r="H202"/>
  <c r="B202"/>
  <c r="M201"/>
  <c r="K201"/>
  <c r="J201"/>
  <c r="I201"/>
  <c r="H201"/>
  <c r="B201"/>
  <c r="M200"/>
  <c r="K200"/>
  <c r="J200"/>
  <c r="I200"/>
  <c r="H200"/>
  <c r="B200"/>
  <c r="M199"/>
  <c r="K199"/>
  <c r="J199"/>
  <c r="I199"/>
  <c r="H199"/>
  <c r="B199"/>
  <c r="M198"/>
  <c r="K198"/>
  <c r="J198"/>
  <c r="I198"/>
  <c r="H198"/>
  <c r="B198"/>
  <c r="M197"/>
  <c r="K197"/>
  <c r="J197"/>
  <c r="I197"/>
  <c r="H197"/>
  <c r="B197"/>
  <c r="M196"/>
  <c r="K196"/>
  <c r="J196"/>
  <c r="I196"/>
  <c r="H196"/>
  <c r="B196"/>
  <c r="M195"/>
  <c r="K195"/>
  <c r="J195"/>
  <c r="I195"/>
  <c r="H195"/>
  <c r="B195"/>
  <c r="M194"/>
  <c r="K194"/>
  <c r="J194"/>
  <c r="I194"/>
  <c r="H194"/>
  <c r="B194"/>
  <c r="M193"/>
  <c r="K193"/>
  <c r="J193"/>
  <c r="I193"/>
  <c r="H193"/>
  <c r="B193"/>
  <c r="M192"/>
  <c r="K192"/>
  <c r="J192"/>
  <c r="I192"/>
  <c r="H192"/>
  <c r="B192"/>
  <c r="M191"/>
  <c r="K191"/>
  <c r="J191"/>
  <c r="I191"/>
  <c r="H191"/>
  <c r="B191"/>
  <c r="M190"/>
  <c r="K190"/>
  <c r="J190"/>
  <c r="I190"/>
  <c r="H190"/>
  <c r="B190"/>
  <c r="M189"/>
  <c r="K189"/>
  <c r="J189"/>
  <c r="I189"/>
  <c r="H189"/>
  <c r="B189"/>
  <c r="M188"/>
  <c r="K188"/>
  <c r="J188"/>
  <c r="I188"/>
  <c r="H188"/>
  <c r="B188"/>
  <c r="M187"/>
  <c r="K187"/>
  <c r="J187"/>
  <c r="I187"/>
  <c r="H187"/>
  <c r="B187"/>
  <c r="M186"/>
  <c r="K186"/>
  <c r="J186"/>
  <c r="I186"/>
  <c r="H186"/>
  <c r="B186"/>
  <c r="M185"/>
  <c r="K185"/>
  <c r="J185"/>
  <c r="I185"/>
  <c r="H185"/>
  <c r="B185"/>
  <c r="M184"/>
  <c r="K184"/>
  <c r="J184"/>
  <c r="H184"/>
  <c r="B184"/>
  <c r="M183"/>
  <c r="K183"/>
  <c r="J183"/>
  <c r="H183"/>
  <c r="B183"/>
  <c r="M182"/>
  <c r="K182"/>
  <c r="J182"/>
  <c r="H182"/>
  <c r="B182"/>
  <c r="M181"/>
  <c r="K181"/>
  <c r="J181"/>
  <c r="H181"/>
  <c r="B181"/>
  <c r="M180"/>
  <c r="K180"/>
  <c r="J180"/>
  <c r="I180"/>
  <c r="H180"/>
  <c r="B180"/>
  <c r="K179"/>
  <c r="J179"/>
  <c r="I179"/>
  <c r="H179"/>
  <c r="B179"/>
  <c r="M178"/>
  <c r="K178"/>
  <c r="J178"/>
  <c r="I178"/>
  <c r="H178"/>
  <c r="B178"/>
  <c r="M177"/>
  <c r="K177"/>
  <c r="J177"/>
  <c r="I177"/>
  <c r="H177"/>
  <c r="B177"/>
  <c r="M176"/>
  <c r="K176"/>
  <c r="J176"/>
  <c r="I176"/>
  <c r="H176"/>
  <c r="B176"/>
  <c r="M175"/>
  <c r="K175"/>
  <c r="J175"/>
  <c r="I175"/>
  <c r="H175"/>
  <c r="B175"/>
  <c r="M174"/>
  <c r="K174"/>
  <c r="J174"/>
  <c r="I174"/>
  <c r="H174"/>
  <c r="B174"/>
  <c r="M173"/>
  <c r="K173"/>
  <c r="J173"/>
  <c r="I173"/>
  <c r="H173"/>
  <c r="B173"/>
  <c r="M172"/>
  <c r="K172"/>
  <c r="J172"/>
  <c r="I172"/>
  <c r="H172"/>
  <c r="B172"/>
  <c r="M171"/>
  <c r="K171"/>
  <c r="J171"/>
  <c r="I171"/>
  <c r="H171"/>
  <c r="B171"/>
  <c r="M170"/>
  <c r="K170"/>
  <c r="J170"/>
  <c r="I170"/>
  <c r="H170"/>
  <c r="B170"/>
  <c r="M169"/>
  <c r="K169"/>
  <c r="J169"/>
  <c r="I169"/>
  <c r="H169"/>
  <c r="B169"/>
  <c r="M168"/>
  <c r="K168"/>
  <c r="J168"/>
  <c r="I168"/>
  <c r="H168"/>
  <c r="B168"/>
  <c r="M167"/>
  <c r="K167"/>
  <c r="J167"/>
  <c r="I167"/>
  <c r="H167"/>
  <c r="B167"/>
  <c r="M166"/>
  <c r="K166"/>
  <c r="J166"/>
  <c r="I166"/>
  <c r="H166"/>
  <c r="B166"/>
  <c r="M165"/>
  <c r="K165"/>
  <c r="J165"/>
  <c r="I165"/>
  <c r="H165"/>
  <c r="B165"/>
  <c r="M164"/>
  <c r="K164"/>
  <c r="J164"/>
  <c r="I164"/>
  <c r="H164"/>
  <c r="B164"/>
  <c r="M163"/>
  <c r="K163"/>
  <c r="J163"/>
  <c r="I163"/>
  <c r="H163"/>
  <c r="B163"/>
  <c r="M162"/>
  <c r="K162"/>
  <c r="J162"/>
  <c r="I162"/>
  <c r="H162"/>
  <c r="B162"/>
  <c r="M161"/>
  <c r="K161"/>
  <c r="J161"/>
  <c r="I161"/>
  <c r="H161"/>
  <c r="B161"/>
  <c r="M160"/>
  <c r="K160"/>
  <c r="J160"/>
  <c r="I160"/>
  <c r="H160"/>
  <c r="B160"/>
  <c r="M159"/>
  <c r="K159"/>
  <c r="J159"/>
  <c r="I159"/>
  <c r="H159"/>
  <c r="B159"/>
  <c r="M158"/>
  <c r="K158"/>
  <c r="J158"/>
  <c r="I158"/>
  <c r="H158"/>
  <c r="B158"/>
  <c r="M157"/>
  <c r="K157"/>
  <c r="J157"/>
  <c r="I157"/>
  <c r="H157"/>
  <c r="B157"/>
  <c r="M156"/>
  <c r="K156"/>
  <c r="J156"/>
  <c r="I156"/>
  <c r="H156"/>
  <c r="B156"/>
  <c r="M155"/>
  <c r="K155"/>
  <c r="J155"/>
  <c r="I155"/>
  <c r="H155"/>
  <c r="B155"/>
  <c r="M154"/>
  <c r="K154"/>
  <c r="J154"/>
  <c r="I154"/>
  <c r="H154"/>
  <c r="B154"/>
  <c r="M153"/>
  <c r="K153"/>
  <c r="J153"/>
  <c r="I153"/>
  <c r="H153"/>
  <c r="B153"/>
  <c r="M152"/>
  <c r="K152"/>
  <c r="J152"/>
  <c r="I152"/>
  <c r="H152"/>
  <c r="B152"/>
  <c r="M151"/>
  <c r="K151"/>
  <c r="J151"/>
  <c r="I151"/>
  <c r="H151"/>
  <c r="B151"/>
  <c r="M150"/>
  <c r="K150"/>
  <c r="J150"/>
  <c r="I150"/>
  <c r="H150"/>
  <c r="B150"/>
  <c r="M149"/>
  <c r="K149"/>
  <c r="J149"/>
  <c r="I149"/>
  <c r="H149"/>
  <c r="B149"/>
  <c r="M148"/>
  <c r="K148"/>
  <c r="J148"/>
  <c r="I148"/>
  <c r="H148"/>
  <c r="B148"/>
  <c r="M147"/>
  <c r="K147"/>
  <c r="J147"/>
  <c r="I147"/>
  <c r="H147"/>
  <c r="B147"/>
  <c r="M146"/>
  <c r="K146"/>
  <c r="J146"/>
  <c r="I146"/>
  <c r="H146"/>
  <c r="B146"/>
  <c r="M145"/>
  <c r="K145"/>
  <c r="J145"/>
  <c r="I145"/>
  <c r="H145"/>
  <c r="B145"/>
  <c r="M144"/>
  <c r="K144"/>
  <c r="J144"/>
  <c r="I144"/>
  <c r="H144"/>
  <c r="B144"/>
  <c r="M143"/>
  <c r="K143"/>
  <c r="J143"/>
  <c r="I143"/>
  <c r="H143"/>
  <c r="B143"/>
  <c r="M142"/>
  <c r="K142"/>
  <c r="J142"/>
  <c r="I142"/>
  <c r="H142"/>
  <c r="B142"/>
  <c r="M141"/>
  <c r="K141"/>
  <c r="J141"/>
  <c r="I141"/>
  <c r="H141"/>
  <c r="B141"/>
  <c r="M140"/>
  <c r="K140"/>
  <c r="J140"/>
  <c r="I140"/>
  <c r="H140"/>
  <c r="B140"/>
  <c r="M139"/>
  <c r="K139"/>
  <c r="J139"/>
  <c r="I139"/>
  <c r="H139"/>
  <c r="B139"/>
  <c r="M138"/>
  <c r="K138"/>
  <c r="J138"/>
  <c r="I138"/>
  <c r="H138"/>
  <c r="B138"/>
  <c r="M137"/>
  <c r="K137"/>
  <c r="J137"/>
  <c r="I137"/>
  <c r="H137"/>
  <c r="B137"/>
  <c r="M136"/>
  <c r="K136"/>
  <c r="J136"/>
  <c r="I136"/>
  <c r="H136"/>
  <c r="B136"/>
  <c r="M135"/>
  <c r="K135"/>
  <c r="J135"/>
  <c r="I135"/>
  <c r="H135"/>
  <c r="B135"/>
  <c r="M134"/>
  <c r="K134"/>
  <c r="J134"/>
  <c r="I134"/>
  <c r="H134"/>
  <c r="B134"/>
  <c r="M133"/>
  <c r="K133"/>
  <c r="J133"/>
  <c r="I133"/>
  <c r="H133"/>
  <c r="B133"/>
  <c r="M132"/>
  <c r="K132"/>
  <c r="J132"/>
  <c r="I132"/>
  <c r="H132"/>
  <c r="B132"/>
  <c r="M131"/>
  <c r="K131"/>
  <c r="J131"/>
  <c r="I131"/>
  <c r="H131"/>
  <c r="B131"/>
  <c r="M130"/>
  <c r="K130"/>
  <c r="J130"/>
  <c r="I130"/>
  <c r="H130"/>
  <c r="B130"/>
  <c r="M129"/>
  <c r="K129"/>
  <c r="J129"/>
  <c r="I129"/>
  <c r="H129"/>
  <c r="B129"/>
  <c r="M128"/>
  <c r="K128"/>
  <c r="J128"/>
  <c r="I128"/>
  <c r="H128"/>
  <c r="B128"/>
  <c r="M127"/>
  <c r="K127"/>
  <c r="J127"/>
  <c r="I127"/>
  <c r="H127"/>
  <c r="B127"/>
  <c r="M126"/>
  <c r="K126"/>
  <c r="J126"/>
  <c r="I126"/>
  <c r="H126"/>
  <c r="B126"/>
  <c r="M125"/>
  <c r="K125"/>
  <c r="J125"/>
  <c r="I125"/>
  <c r="H125"/>
  <c r="B125"/>
  <c r="M124"/>
  <c r="K124"/>
  <c r="J124"/>
  <c r="I124"/>
  <c r="H124"/>
  <c r="B124"/>
  <c r="M123"/>
  <c r="K123"/>
  <c r="J123"/>
  <c r="I123"/>
  <c r="H123"/>
  <c r="B123"/>
  <c r="M122"/>
  <c r="K122"/>
  <c r="J122"/>
  <c r="I122"/>
  <c r="H122"/>
  <c r="B122"/>
  <c r="M121"/>
  <c r="K121"/>
  <c r="J121"/>
  <c r="I121"/>
  <c r="H121"/>
  <c r="B121"/>
  <c r="M120"/>
  <c r="K120"/>
  <c r="J120"/>
  <c r="I120"/>
  <c r="H120"/>
  <c r="B120"/>
  <c r="M119"/>
  <c r="K119"/>
  <c r="J119"/>
  <c r="I119"/>
  <c r="H119"/>
  <c r="B119"/>
  <c r="M118"/>
  <c r="K118"/>
  <c r="J118"/>
  <c r="I118"/>
  <c r="H118"/>
  <c r="B118"/>
  <c r="M117"/>
  <c r="K117"/>
  <c r="J117"/>
  <c r="I117"/>
  <c r="H117"/>
  <c r="B117"/>
  <c r="M116"/>
  <c r="K116"/>
  <c r="J116"/>
  <c r="I116"/>
  <c r="H116"/>
  <c r="B116"/>
  <c r="M115"/>
  <c r="K115"/>
  <c r="J115"/>
  <c r="I115"/>
  <c r="H115"/>
  <c r="B115"/>
  <c r="M114"/>
  <c r="K114"/>
  <c r="J114"/>
  <c r="I114"/>
  <c r="H114"/>
  <c r="B114"/>
  <c r="M113"/>
  <c r="K113"/>
  <c r="J113"/>
  <c r="I113"/>
  <c r="H113"/>
  <c r="B113"/>
  <c r="M112"/>
  <c r="K112"/>
  <c r="J112"/>
  <c r="I112"/>
  <c r="H112"/>
  <c r="B112"/>
  <c r="M111"/>
  <c r="K111"/>
  <c r="J111"/>
  <c r="I111"/>
  <c r="H111"/>
  <c r="B111"/>
  <c r="M110"/>
  <c r="K110"/>
  <c r="J110"/>
  <c r="I110"/>
  <c r="H110"/>
  <c r="B110"/>
  <c r="M109"/>
  <c r="K109"/>
  <c r="J109"/>
  <c r="I109"/>
  <c r="H109"/>
  <c r="B109"/>
  <c r="M108"/>
  <c r="K108"/>
  <c r="J108"/>
  <c r="I108"/>
  <c r="H108"/>
  <c r="B108"/>
  <c r="M107"/>
  <c r="K107"/>
  <c r="J107"/>
  <c r="I107"/>
  <c r="H107"/>
  <c r="B107"/>
  <c r="M106"/>
  <c r="K106"/>
  <c r="J106"/>
  <c r="I106"/>
  <c r="H106"/>
  <c r="B106"/>
  <c r="M105"/>
  <c r="K105"/>
  <c r="J105"/>
  <c r="I105"/>
  <c r="H105"/>
  <c r="B105"/>
  <c r="M104"/>
  <c r="K104"/>
  <c r="J104"/>
  <c r="I104"/>
  <c r="H104"/>
  <c r="B104"/>
  <c r="M103"/>
  <c r="K103"/>
  <c r="J103"/>
  <c r="I103"/>
  <c r="H103"/>
  <c r="B103"/>
  <c r="M102"/>
  <c r="K102"/>
  <c r="J102"/>
  <c r="I102"/>
  <c r="H102"/>
  <c r="B102"/>
  <c r="M101"/>
  <c r="K101"/>
  <c r="J101"/>
  <c r="I101"/>
  <c r="H101"/>
  <c r="B101"/>
  <c r="M100"/>
  <c r="K100"/>
  <c r="J100"/>
  <c r="I100"/>
  <c r="H100"/>
  <c r="B100"/>
  <c r="M99"/>
  <c r="K99"/>
  <c r="J99"/>
  <c r="I99"/>
  <c r="H99"/>
  <c r="B99"/>
  <c r="M98"/>
  <c r="K98"/>
  <c r="J98"/>
  <c r="I98"/>
  <c r="H98"/>
  <c r="B98"/>
  <c r="M97"/>
  <c r="K97"/>
  <c r="J97"/>
  <c r="I97"/>
  <c r="H97"/>
  <c r="B97"/>
  <c r="M96"/>
  <c r="K96"/>
  <c r="J96"/>
  <c r="I96"/>
  <c r="H96"/>
  <c r="B96"/>
  <c r="M95"/>
  <c r="K95"/>
  <c r="J95"/>
  <c r="I95"/>
  <c r="H95"/>
  <c r="B95"/>
  <c r="M94"/>
  <c r="K94"/>
  <c r="J94"/>
  <c r="I94"/>
  <c r="H94"/>
  <c r="B94"/>
  <c r="M93"/>
  <c r="K93"/>
  <c r="J93"/>
  <c r="I93"/>
  <c r="H93"/>
  <c r="B93"/>
  <c r="M92"/>
  <c r="K92"/>
  <c r="J92"/>
  <c r="I92"/>
  <c r="H92"/>
  <c r="B92"/>
  <c r="M91"/>
  <c r="K91"/>
  <c r="J91"/>
  <c r="I91"/>
  <c r="H91"/>
  <c r="B91"/>
  <c r="M90"/>
  <c r="K90"/>
  <c r="J90"/>
  <c r="I90"/>
  <c r="H90"/>
  <c r="B90"/>
  <c r="M89"/>
  <c r="K89"/>
  <c r="J89"/>
  <c r="I89"/>
  <c r="H89"/>
  <c r="B89"/>
  <c r="M88"/>
  <c r="K88"/>
  <c r="J88"/>
  <c r="I88"/>
  <c r="H88"/>
  <c r="B88"/>
  <c r="M87"/>
  <c r="K87"/>
  <c r="J87"/>
  <c r="I87"/>
  <c r="H87"/>
  <c r="B87"/>
  <c r="M86"/>
  <c r="K86"/>
  <c r="J86"/>
  <c r="I86"/>
  <c r="H86"/>
  <c r="B86"/>
  <c r="M85"/>
  <c r="K85"/>
  <c r="J85"/>
  <c r="I85"/>
  <c r="H85"/>
  <c r="B85"/>
  <c r="M84"/>
  <c r="K84"/>
  <c r="J84"/>
  <c r="I84"/>
  <c r="H84"/>
  <c r="B84"/>
  <c r="M83"/>
  <c r="K83"/>
  <c r="J83"/>
  <c r="I83"/>
  <c r="H83"/>
  <c r="B83"/>
  <c r="M82"/>
  <c r="K82"/>
  <c r="J82"/>
  <c r="I82"/>
  <c r="H82"/>
  <c r="B82"/>
  <c r="M81"/>
  <c r="K81"/>
  <c r="J81"/>
  <c r="I81"/>
  <c r="H81"/>
  <c r="B81"/>
  <c r="M80"/>
  <c r="K80"/>
  <c r="J80"/>
  <c r="I80"/>
  <c r="H80"/>
  <c r="B80"/>
  <c r="M79"/>
  <c r="K79"/>
  <c r="J79"/>
  <c r="I79"/>
  <c r="H79"/>
  <c r="B79"/>
  <c r="M78"/>
  <c r="K78"/>
  <c r="J78"/>
  <c r="I78"/>
  <c r="H78"/>
  <c r="B78"/>
  <c r="M77"/>
  <c r="K77"/>
  <c r="J77"/>
  <c r="I77"/>
  <c r="H77"/>
  <c r="B77"/>
  <c r="M76"/>
  <c r="K76"/>
  <c r="J76"/>
  <c r="I76"/>
  <c r="H76"/>
  <c r="B76"/>
  <c r="M75"/>
  <c r="K75"/>
  <c r="J75"/>
  <c r="I75"/>
  <c r="H75"/>
  <c r="B75"/>
  <c r="M74"/>
  <c r="K74"/>
  <c r="J74"/>
  <c r="I74"/>
  <c r="H74"/>
  <c r="B74"/>
  <c r="M73"/>
  <c r="K73"/>
  <c r="J73"/>
  <c r="I73"/>
  <c r="H73"/>
  <c r="B73"/>
  <c r="M72"/>
  <c r="K72"/>
  <c r="J72"/>
  <c r="I72"/>
  <c r="H72"/>
  <c r="B72"/>
  <c r="M71"/>
  <c r="K71"/>
  <c r="J71"/>
  <c r="I71"/>
  <c r="H71"/>
  <c r="B71"/>
  <c r="M70"/>
  <c r="K70"/>
  <c r="J70"/>
  <c r="I70"/>
  <c r="H70"/>
  <c r="B70"/>
  <c r="M69"/>
  <c r="K69"/>
  <c r="J69"/>
  <c r="I69"/>
  <c r="H69"/>
  <c r="B69"/>
  <c r="M68"/>
  <c r="K68"/>
  <c r="J68"/>
  <c r="I68"/>
  <c r="H68"/>
  <c r="B68"/>
  <c r="M67"/>
  <c r="K67"/>
  <c r="J67"/>
  <c r="I67"/>
  <c r="H67"/>
  <c r="B67"/>
  <c r="M66"/>
  <c r="K66"/>
  <c r="J66"/>
  <c r="I66"/>
  <c r="H66"/>
  <c r="B66"/>
  <c r="M65"/>
  <c r="K65"/>
  <c r="J65"/>
  <c r="I65"/>
  <c r="H65"/>
  <c r="B65"/>
  <c r="M64"/>
  <c r="K64"/>
  <c r="J64"/>
  <c r="I64"/>
  <c r="H64"/>
  <c r="B64"/>
  <c r="M63"/>
  <c r="K63"/>
  <c r="J63"/>
  <c r="I63"/>
  <c r="H63"/>
  <c r="B63"/>
  <c r="M62"/>
  <c r="K62"/>
  <c r="J62"/>
  <c r="I62"/>
  <c r="H62"/>
  <c r="B62"/>
  <c r="M61"/>
  <c r="K61"/>
  <c r="J61"/>
  <c r="I61"/>
  <c r="H61"/>
  <c r="B61"/>
  <c r="M60"/>
  <c r="K60"/>
  <c r="J60"/>
  <c r="I60"/>
  <c r="H60"/>
  <c r="B60"/>
  <c r="M59"/>
  <c r="K59"/>
  <c r="J59"/>
  <c r="I59"/>
  <c r="H59"/>
  <c r="B59"/>
  <c r="M58"/>
  <c r="K58"/>
  <c r="J58"/>
  <c r="I58"/>
  <c r="H58"/>
  <c r="B58"/>
  <c r="M57"/>
  <c r="K57"/>
  <c r="J57"/>
  <c r="I57"/>
  <c r="H57"/>
  <c r="B57"/>
  <c r="M56"/>
  <c r="K56"/>
  <c r="J56"/>
  <c r="I56"/>
  <c r="H56"/>
  <c r="B56"/>
  <c r="M55"/>
  <c r="K55"/>
  <c r="J55"/>
  <c r="I55"/>
  <c r="H55"/>
  <c r="B55"/>
  <c r="M54"/>
  <c r="K54"/>
  <c r="J54"/>
  <c r="I54"/>
  <c r="H54"/>
  <c r="B54"/>
  <c r="M53"/>
  <c r="K53"/>
  <c r="J53"/>
  <c r="I53"/>
  <c r="H53"/>
  <c r="B53"/>
  <c r="M52"/>
  <c r="K52"/>
  <c r="J52"/>
  <c r="I52"/>
  <c r="H52"/>
  <c r="B52"/>
  <c r="M51"/>
  <c r="K51"/>
  <c r="J51"/>
  <c r="I51"/>
  <c r="H51"/>
  <c r="B51"/>
  <c r="M50"/>
  <c r="K50"/>
  <c r="J50"/>
  <c r="I50"/>
  <c r="H50"/>
  <c r="B50"/>
  <c r="M49"/>
  <c r="K49"/>
  <c r="J49"/>
  <c r="I49"/>
  <c r="H49"/>
  <c r="B49"/>
  <c r="M48"/>
  <c r="K48"/>
  <c r="J48"/>
  <c r="I48"/>
  <c r="H48"/>
  <c r="B48"/>
  <c r="M47"/>
  <c r="K47"/>
  <c r="J47"/>
  <c r="I47"/>
  <c r="H47"/>
  <c r="B47"/>
  <c r="M46"/>
  <c r="K46"/>
  <c r="J46"/>
  <c r="I46"/>
  <c r="H46"/>
  <c r="B46"/>
  <c r="M45"/>
  <c r="K45"/>
  <c r="J45"/>
  <c r="I45"/>
  <c r="H45"/>
  <c r="B45"/>
  <c r="M44"/>
  <c r="K44"/>
  <c r="J44"/>
  <c r="I44"/>
  <c r="H44"/>
  <c r="B44"/>
  <c r="M43"/>
  <c r="K43"/>
  <c r="J43"/>
  <c r="I43"/>
  <c r="H43"/>
  <c r="B43"/>
  <c r="M42"/>
  <c r="K42"/>
  <c r="J42"/>
  <c r="I42"/>
  <c r="H42"/>
  <c r="B42"/>
  <c r="M41"/>
  <c r="K41"/>
  <c r="J41"/>
  <c r="I41"/>
  <c r="H41"/>
  <c r="B41"/>
  <c r="M40"/>
  <c r="K40"/>
  <c r="J40"/>
  <c r="I40"/>
  <c r="H40"/>
  <c r="B40"/>
  <c r="M39"/>
  <c r="K39"/>
  <c r="J39"/>
  <c r="I39"/>
  <c r="H39"/>
  <c r="B39"/>
  <c r="M38"/>
  <c r="K38"/>
  <c r="J38"/>
  <c r="I38"/>
  <c r="H38"/>
  <c r="B38"/>
  <c r="M37"/>
  <c r="K37"/>
  <c r="J37"/>
  <c r="I37"/>
  <c r="H37"/>
  <c r="B37"/>
  <c r="M36"/>
  <c r="K36"/>
  <c r="J36"/>
  <c r="I36"/>
  <c r="H36"/>
  <c r="B36"/>
  <c r="M35"/>
  <c r="K35"/>
  <c r="J35"/>
  <c r="I35"/>
  <c r="H35"/>
  <c r="B35"/>
  <c r="M34"/>
  <c r="K34"/>
  <c r="J34"/>
  <c r="I34"/>
  <c r="H34"/>
  <c r="B34"/>
  <c r="M33"/>
  <c r="K33"/>
  <c r="J33"/>
  <c r="I33"/>
  <c r="H33"/>
  <c r="B33"/>
  <c r="M32"/>
  <c r="K32"/>
  <c r="J32"/>
  <c r="I32"/>
  <c r="H32"/>
  <c r="B32"/>
  <c r="M31"/>
  <c r="K31"/>
  <c r="J31"/>
  <c r="I31"/>
  <c r="H31"/>
  <c r="B31"/>
  <c r="M30"/>
  <c r="K30"/>
  <c r="J30"/>
  <c r="I30"/>
  <c r="H30"/>
  <c r="B30"/>
  <c r="M29"/>
  <c r="K29"/>
  <c r="J29"/>
  <c r="I29"/>
  <c r="H29"/>
  <c r="B29"/>
  <c r="M28"/>
  <c r="K28"/>
  <c r="J28"/>
  <c r="I28"/>
  <c r="H28"/>
  <c r="B28"/>
  <c r="M27"/>
  <c r="K27"/>
  <c r="J27"/>
  <c r="I27"/>
  <c r="H27"/>
  <c r="B27"/>
  <c r="M26"/>
  <c r="K26"/>
  <c r="J26"/>
  <c r="I26"/>
  <c r="H26"/>
  <c r="B26"/>
  <c r="M25"/>
  <c r="K25"/>
  <c r="J25"/>
  <c r="I25"/>
  <c r="H25"/>
  <c r="B25"/>
  <c r="M24"/>
  <c r="K24"/>
  <c r="J24"/>
  <c r="I24"/>
  <c r="H24"/>
  <c r="B24"/>
  <c r="M23"/>
  <c r="K23"/>
  <c r="J23"/>
  <c r="I23"/>
  <c r="H23"/>
  <c r="B23"/>
  <c r="M22"/>
  <c r="K22"/>
  <c r="J22"/>
  <c r="I22"/>
  <c r="H22"/>
  <c r="B22"/>
  <c r="M21"/>
  <c r="K21"/>
  <c r="J21"/>
  <c r="I21"/>
  <c r="H21"/>
  <c r="B21"/>
  <c r="M20"/>
  <c r="K20"/>
  <c r="J20"/>
  <c r="I20"/>
  <c r="H20"/>
  <c r="B20"/>
  <c r="M19"/>
  <c r="K19"/>
  <c r="J19"/>
  <c r="I19"/>
  <c r="H19"/>
  <c r="B19"/>
  <c r="M18"/>
  <c r="K18"/>
  <c r="J18"/>
  <c r="I18"/>
  <c r="H18"/>
  <c r="B18"/>
  <c r="M17"/>
  <c r="K17"/>
  <c r="J17"/>
  <c r="I17"/>
  <c r="H17"/>
  <c r="B17"/>
  <c r="M16"/>
  <c r="K16"/>
  <c r="J16"/>
  <c r="I16"/>
  <c r="H16"/>
  <c r="B16"/>
  <c r="M15"/>
  <c r="K15"/>
  <c r="J15"/>
  <c r="I15"/>
  <c r="H15"/>
  <c r="B15"/>
  <c r="M14"/>
  <c r="K14"/>
  <c r="J14"/>
  <c r="I14"/>
  <c r="H14"/>
  <c r="B14"/>
  <c r="M13"/>
  <c r="K13"/>
  <c r="J13"/>
  <c r="I13"/>
  <c r="H13"/>
  <c r="B13"/>
  <c r="M12"/>
  <c r="K12"/>
  <c r="J12"/>
  <c r="I12"/>
  <c r="H12"/>
  <c r="B12"/>
  <c r="M11"/>
  <c r="K11"/>
  <c r="J11"/>
  <c r="I11"/>
  <c r="H11"/>
  <c r="B11"/>
  <c r="M10"/>
  <c r="K10"/>
  <c r="J10"/>
  <c r="I10"/>
  <c r="H10"/>
  <c r="B10"/>
  <c r="M9"/>
  <c r="K9"/>
  <c r="J9"/>
  <c r="I9"/>
  <c r="H9"/>
  <c r="B9"/>
  <c r="M8"/>
  <c r="K8"/>
  <c r="J8"/>
  <c r="I8"/>
  <c r="H8"/>
  <c r="B8"/>
  <c r="M7"/>
  <c r="K7"/>
  <c r="J7"/>
  <c r="I7"/>
  <c r="H7"/>
  <c r="B7"/>
  <c r="M6"/>
  <c r="K6"/>
  <c r="J6"/>
  <c r="I6"/>
  <c r="H6"/>
  <c r="B6"/>
  <c r="M5"/>
  <c r="K5"/>
  <c r="J5"/>
  <c r="I5"/>
  <c r="H5"/>
  <c r="B5"/>
  <c r="M4"/>
  <c r="K4"/>
  <c r="J4"/>
  <c r="I4"/>
  <c r="H4"/>
  <c r="B4"/>
  <c r="M3"/>
  <c r="K3"/>
  <c r="J3"/>
  <c r="I3"/>
  <c r="H3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<sst xmlns="http://schemas.openxmlformats.org/spreadsheetml/2006/main" count="5977" uniqueCount="934">
  <si>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</si>
  <si>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</si>
  <si>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</si>
  <si>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</si>
  <si>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</si>
  <si>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</si>
  <si>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</si>
  <si>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</si>
  <si>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</si>
  <si>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</si>
  <si>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</si>
  <si>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</si>
  <si>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</si>
  <si>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</si>
  <si>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</si>
  <si>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</si>
  <si>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</si>
  <si>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</si>
  <si>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</si>
  <si>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</si>
  <si>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</si>
  <si>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</si>
  <si>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</si>
  <si>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</si>
  <si>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</si>
  <si>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</si>
  <si>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</si>
  <si>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</si>
  <si>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</si>
  <si>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</si>
  <si>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</si>
  <si>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</si>
  <si>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</si>
  <si>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</si>
  <si>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</si>
  <si>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</si>
  <si>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</si>
  <si>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</si>
  <si>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</si>
  <si>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</si>
  <si>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</si>
  <si>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</si>
  <si>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</si>
  <si>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</si>
  <si>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</si>
  <si>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</si>
  <si>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</si>
  <si>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</si>
  <si>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</si>
  <si>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</si>
  <si>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</si>
  <si>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</si>
  <si>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</si>
  <si>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</si>
  <si>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</si>
  <si>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</si>
  <si>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</si>
  <si>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</si>
  <si>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</si>
  <si>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</si>
  <si>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</si>
  <si>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</si>
  <si>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</si>
  <si>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</si>
  <si>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</si>
  <si>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</si>
  <si>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</si>
  <si>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</si>
  <si>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</si>
  <si>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</si>
  <si>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</si>
  <si>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</si>
  <si>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</si>
  <si>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</si>
  <si>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</si>
  <si>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</si>
  <si>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</si>
  <si>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</si>
  <si>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</si>
  <si>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</si>
  <si>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</si>
  <si>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</si>
  <si>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</si>
  <si>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</si>
  <si>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</si>
  <si>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</si>
  <si>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</si>
  <si>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</si>
  <si>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</si>
  <si>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</si>
  <si>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</si>
  <si>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</si>
  <si>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</si>
  <si>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</si>
  <si>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</si>
  <si>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</si>
  <si>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</si>
  <si>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</si>
  <si>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</si>
  <si>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</si>
  <si>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</si>
  <si>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</si>
  <si>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</si>
  <si>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</si>
  <si>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</si>
  <si>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</si>
  <si>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</si>
  <si>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</si>
  <si>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</si>
  <si>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</si>
  <si>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</si>
  <si>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</si>
  <si>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</si>
  <si>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</si>
  <si>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</si>
  <si>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</si>
  <si>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</si>
  <si>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</si>
  <si>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</si>
  <si>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</si>
  <si>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</si>
  <si>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</si>
  <si>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</si>
  <si>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</si>
  <si>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</si>
  <si>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</si>
  <si>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</si>
  <si>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</si>
  <si>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</si>
  <si>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</si>
  <si>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</si>
  <si>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</si>
  <si>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</si>
  <si>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</si>
  <si>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</si>
  <si>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</si>
  <si>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</si>
  <si>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</si>
  <si>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</si>
  <si>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</si>
  <si>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</si>
  <si>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</si>
  <si>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</si>
  <si>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</si>
  <si>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</si>
  <si>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</si>
  <si>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</si>
  <si>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</si>
  <si>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</si>
  <si>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</si>
  <si>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</si>
  <si>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</si>
  <si>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</si>
  <si>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</si>
  <si>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</si>
  <si>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</si>
  <si>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</si>
  <si>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</si>
  <si>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</si>
  <si>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</si>
  <si>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</si>
  <si>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</si>
  <si>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</si>
  <si>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</si>
  <si>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</si>
  <si>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</si>
  <si>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</si>
  <si>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</si>
  <si>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</si>
  <si>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</si>
  <si>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</si>
  <si>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</si>
  <si>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</si>
  <si>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</si>
  <si>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</si>
  <si>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</si>
  <si>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</si>
  <si>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</si>
  <si>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</si>
  <si>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</si>
  <si>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</si>
  <si>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</si>
  <si>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</si>
  <si>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</si>
  <si>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</si>
  <si>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</si>
  <si>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</si>
  <si>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</si>
  <si>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</si>
  <si>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</si>
  <si>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</si>
  <si>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</si>
  <si>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</si>
  <si>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</si>
  <si>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</si>
  <si>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</si>
  <si>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</si>
  <si>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</si>
  <si>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</si>
  <si>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</si>
  <si>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</si>
  <si>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</si>
  <si>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</si>
  <si>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</si>
  <si>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</si>
  <si>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</si>
  <si>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</si>
  <si>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</si>
  <si>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</si>
  <si>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</si>
  <si>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</si>
  <si>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</si>
  <si>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</si>
  <si>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</si>
  <si>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</si>
  <si>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</si>
  <si>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</si>
  <si>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</si>
  <si>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</si>
  <si>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</si>
  <si>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</si>
  <si>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</si>
  <si>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</si>
  <si>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</si>
  <si>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</si>
  <si>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</si>
  <si>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</si>
  <si>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</si>
  <si>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</si>
  <si>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</si>
  <si>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</si>
  <si>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</si>
  <si>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</si>
  <si>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</si>
  <si>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</si>
  <si>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</si>
  <si>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</si>
  <si>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</si>
  <si>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</si>
  <si>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</si>
  <si>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</si>
  <si>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</si>
  <si>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</si>
  <si>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</si>
  <si>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</si>
  <si>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</si>
  <si>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</si>
  <si>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</si>
  <si>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</si>
  <si>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</si>
  <si>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</si>
  <si>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</si>
  <si>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</si>
  <si>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</si>
  <si>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</si>
  <si>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</si>
  <si>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</si>
  <si>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</si>
  <si>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</si>
  <si>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</si>
  <si>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</si>
  <si>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</si>
  <si>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</si>
  <si>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</si>
  <si>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</si>
  <si>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</si>
  <si>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</si>
  <si>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</si>
  <si>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</si>
  <si>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</si>
  <si>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</si>
  <si>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</si>
  <si>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</si>
  <si>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</si>
  <si>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</si>
  <si>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</si>
  <si>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</si>
  <si>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</si>
  <si>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</si>
  <si>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</si>
  <si>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</si>
  <si>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</si>
  <si>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</si>
  <si>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</si>
  <si>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</si>
  <si>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</si>
  <si>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</si>
  <si>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</si>
  <si>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</si>
  <si>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</si>
  <si>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</si>
  <si>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</si>
  <si>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</si>
  <si>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</si>
  <si>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</si>
  <si>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</si>
  <si>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</si>
  <si>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</si>
  <si>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</si>
  <si>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</si>
  <si>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</si>
  <si>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</si>
  <si>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</si>
  <si>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</si>
  <si>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</si>
  <si>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</si>
  <si>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</si>
  <si>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</si>
  <si>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</si>
  <si>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</si>
  <si>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</si>
  <si>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</si>
  <si>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</si>
  <si>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</si>
  <si>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</si>
  <si>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</si>
  <si>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</si>
  <si>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</si>
  <si>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</si>
  <si>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</si>
  <si>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</si>
  <si>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</si>
  <si>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</si>
  <si>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</si>
  <si>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</si>
  <si>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</si>
  <si>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</si>
  <si>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</si>
  <si>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</si>
  <si>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</si>
  <si>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</si>
  <si>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</si>
  <si>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</si>
  <si>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</si>
  <si>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</si>
  <si>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</si>
  <si>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</si>
  <si>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</si>
  <si>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</si>
  <si>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</si>
  <si>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</si>
  <si>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</si>
  <si>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</si>
  <si>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</si>
  <si>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</si>
  <si>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</si>
  <si>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</si>
  <si>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</si>
  <si>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</si>
  <si>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</si>
  <si>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</si>
  <si>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</si>
  <si>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</si>
  <si>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</si>
  <si>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</si>
  <si>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</si>
  <si>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</si>
  <si>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</si>
  <si>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</si>
  <si>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</si>
  <si>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</si>
  <si>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</si>
  <si>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</si>
  <si>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</si>
  <si>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</si>
  <si>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</si>
  <si>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</si>
  <si>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</si>
  <si>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</si>
  <si>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</si>
  <si>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</si>
  <si>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</si>
  <si>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</si>
  <si>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</si>
  <si>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</si>
  <si>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</si>
  <si>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</si>
  <si>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</si>
  <si>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</si>
  <si>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</si>
  <si>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</si>
  <si>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</si>
  <si>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</si>
  <si>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</si>
  <si>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</si>
  <si>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</si>
  <si>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</si>
  <si>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</si>
  <si>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</si>
  <si>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</si>
  <si>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</si>
  <si>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</si>
  <si>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</si>
  <si>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</si>
  <si>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</si>
  <si>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</si>
  <si>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</si>
  <si>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</si>
  <si>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</si>
  <si>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</si>
  <si>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</si>
  <si>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</si>
  <si>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</si>
  <si>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</si>
  <si>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</si>
  <si>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</si>
  <si>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</si>
  <si>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</si>
  <si>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</si>
  <si>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</si>
  <si>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</si>
  <si>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</si>
  <si>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</si>
  <si>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</si>
  <si>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</si>
  <si>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</si>
  <si>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</si>
  <si>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</si>
  <si>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</si>
  <si>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</si>
  <si>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</si>
  <si>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</si>
  <si>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</si>
  <si>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</si>
  <si>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</si>
  <si>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</si>
  <si>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</si>
  <si>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</si>
  <si>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</si>
  <si>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</si>
  <si>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</si>
  <si>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</si>
  <si>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</si>
  <si>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</si>
  <si>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</si>
  <si>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</si>
  <si>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</si>
  <si>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</si>
  <si>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</si>
  <si>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</si>
  <si>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</si>
  <si>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</si>
  <si>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</si>
  <si>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</si>
  <si>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</si>
  <si>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</si>
  <si>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</si>
  <si>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</si>
  <si>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</si>
  <si>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</si>
  <si>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购买需求：灵力x10|n|n使用技能进阶石可消耗品质潜力提升技能品质，只能对A级及以下的技能使用。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</si>
  <si>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</si>
  <si>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</si>
  <si>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</si>
  <si>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</si>
  <si>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</si>
  <si>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</si>
  <si>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</si>
  <si>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购买需求：灵力x4|n|n使用技能进阶石可消耗品质潜力提升技能品质，只能对A级及以下的技能使用。只有50%的概率成功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</si>
  <si>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</si>
  <si>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I024</t>
  </si>
  <si>
    <t>|CffFFD24D品质潜能石【】|r</t>
  </si>
  <si>
    <t>CS21</t>
  </si>
  <si>
    <t>使用技能进阶石可消耗品质潜力提升技能品质，只能对A级及以下的技能使用。</t>
  </si>
  <si>
    <t>CS22</t>
  </si>
  <si>
    <t>使用后为指定技能增加1点品质潜力</t>
  </si>
  <si>
    <t>CS23</t>
  </si>
  <si>
    <t>使用技能进阶石可消耗品质潜力提升技能品质，只能对A级及以下的技能使用。只有50%的概率成功</t>
  </si>
  <si>
    <t>CS24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</si>
  <si>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</si>
  <si>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</si>
  <si>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</si>
  <si>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</si>
  <si>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</si>
  <si>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</si>
  <si>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</si>
  <si>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</si>
  <si>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</si>
  <si>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</si>
  <si>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</si>
  <si>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</si>
  <si>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</si>
  <si>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</si>
  <si>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</si>
  <si>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</si>
  <si>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</si>
  <si>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</si>
  <si>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</si>
  <si>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</si>
  <si>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</si>
  <si>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</si>
  <si>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</si>
  <si>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</si>
  <si>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</si>
  <si>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</si>
  <si>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</si>
  <si>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</si>
  <si>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</si>
  <si>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</si>
  <si>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</si>
  <si>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</si>
  <si>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</si>
  <si>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</si>
  <si>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</si>
  <si>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</si>
  <si>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</si>
  <si>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</si>
  <si>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</si>
  <si>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</si>
  <si>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</si>
  <si>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</si>
  <si>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</si>
  <si>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</si>
  <si>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</si>
  <si>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</si>
  <si>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</si>
  <si>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</si>
  <si>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</si>
  <si>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</si>
  <si>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</si>
  <si>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</si>
  <si>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</si>
  <si>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</si>
  <si>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</si>
  <si>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</si>
  <si>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</si>
  <si>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</si>
  <si>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</si>
  <si>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</si>
  <si>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</si>
  <si>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</si>
  <si>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</si>
  <si>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</si>
  <si>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</si>
  <si>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</si>
  <si>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</si>
  <si>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</si>
  <si>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</si>
  <si>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</si>
  <si>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</si>
  <si>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</si>
  <si>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</si>
  <si>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</si>
  <si>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</si>
  <si>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</si>
  <si>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</si>
  <si>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</si>
  <si>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</si>
  <si>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</si>
  <si>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</si>
  <si>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</si>
  <si>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</si>
  <si>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</si>
  <si>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</si>
  <si>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</si>
  <si>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</si>
  <si>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</si>
  <si>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</si>
  <si>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</si>
  <si>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</si>
  <si>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</si>
  <si>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</si>
  <si>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</si>
  <si>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</si>
  <si>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</si>
  <si>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</si>
  <si>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</si>
  <si>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</si>
  <si>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</si>
  <si>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</si>
  <si>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</si>
  <si>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</si>
  <si>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</si>
  <si>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</si>
  <si>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</si>
  <si>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</si>
  <si>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</si>
  <si>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</si>
  <si>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</si>
  <si>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</si>
  <si>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</si>
  <si>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</si>
  <si>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</si>
  <si>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</si>
  <si>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</si>
  <si>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</si>
  <si>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</si>
  <si>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</si>
  <si>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</si>
  <si>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</si>
  <si>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</si>
  <si>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</si>
  <si>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</si>
  <si>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</si>
  <si>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</si>
  <si>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</si>
  <si>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</si>
  <si>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</si>
  <si>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</si>
  <si>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</si>
  <si>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</si>
  <si>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</si>
  <si>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</si>
  <si>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</si>
  <si>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</si>
  <si>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</si>
  <si>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</si>
  <si>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</si>
  <si>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</si>
  <si>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</si>
  <si>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</si>
  <si>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</si>
  <si>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</si>
  <si>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</si>
  <si>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</si>
  <si>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</si>
  <si>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</si>
  <si>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</si>
  <si>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</si>
  <si>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</si>
  <si>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</si>
  <si>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</si>
  <si>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</si>
  <si>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</si>
  <si>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</si>
  <si>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</si>
  <si>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</si>
  <si>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</si>
  <si>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</si>
  <si>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</si>
  <si>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</si>
  <si>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</si>
  <si>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</si>
  <si>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</si>
  <si>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</si>
  <si>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</si>
  <si>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</si>
  <si>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</si>
  <si>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</si>
  <si>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</si>
  <si>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</si>
  <si>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</si>
  <si>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</si>
  <si>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</si>
  <si>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</si>
  <si>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</si>
  <si>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</si>
  <si>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</si>
  <si>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</si>
  <si>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</si>
  <si>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</si>
  <si>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</si>
  <si>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</si>
  <si>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</si>
  <si>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</si>
  <si>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</si>
  <si>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</si>
  <si>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</si>
  <si>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</si>
  <si>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</si>
  <si>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</si>
  <si>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</si>
  <si>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</si>
  <si>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</si>
  <si>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</si>
  <si>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</si>
  <si>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</si>
  <si>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</si>
  <si>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</si>
  <si>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</si>
  <si>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</si>
  <si>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</si>
  <si>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</si>
  <si>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</si>
  <si>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</si>
  <si>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IS03</t>
  </si>
  <si>
    <t>IS06</t>
  </si>
  <si>
    <t>学习W技能</t>
  </si>
  <si>
    <t>ReplaceableTextures\\CommandButtons\\BTN002.blp</t>
  </si>
  <si>
    <t>IS07</t>
  </si>
  <si>
    <t>IS08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</si>
  <si>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</si>
  <si>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</si>
  <si>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</si>
  <si>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</si>
  <si>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</si>
  <si>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</si>
  <si>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</si>
  <si>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</si>
  <si>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</si>
  <si>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</si>
  <si>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</si>
  <si>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</si>
  <si>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</si>
  <si>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</si>
  <si>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</si>
  <si>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</si>
  <si>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</si>
  <si>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</si>
  <si>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</si>
  <si>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</si>
  <si>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</si>
  <si>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</si>
  <si>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</si>
  <si>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</si>
  <si>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</si>
  <si>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</si>
  <si>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</si>
  <si>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</si>
  <si>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</si>
  <si>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</si>
  <si>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</si>
  <si>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</si>
  <si>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</si>
  <si>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</si>
  <si>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</si>
  <si>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</si>
  <si>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</si>
  <si>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</si>
  <si>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</si>
  <si>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</si>
  <si>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</si>
  <si>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</si>
  <si>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</si>
  <si>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</si>
  <si>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</si>
  <si>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</si>
  <si>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</si>
  <si>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</si>
  <si>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</si>
  <si>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</si>
  <si>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</si>
  <si>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</si>
  <si>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</si>
  <si>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</si>
  <si>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</si>
  <si>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</si>
  <si>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</si>
  <si>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</si>
  <si>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</si>
  <si>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</si>
  <si>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</si>
  <si>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</si>
  <si>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</si>
  <si>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</si>
  <si>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</si>
  <si>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</si>
  <si>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</si>
  <si>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</si>
  <si>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</si>
  <si>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</si>
  <si>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</si>
  <si>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</si>
  <si>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</si>
  <si>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</si>
  <si>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</si>
  <si>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</si>
  <si>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</si>
  <si>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</si>
  <si>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</si>
  <si>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</si>
  <si>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</si>
  <si>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</si>
  <si>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</si>
  <si>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</si>
  <si>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</si>
  <si>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</si>
  <si>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</si>
  <si>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</si>
  <si>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</si>
  <si>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</si>
  <si>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</si>
  <si>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</si>
  <si>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</si>
  <si>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</si>
  <si>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</si>
  <si>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</si>
  <si>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</si>
  <si>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</si>
  <si>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</si>
  <si>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</si>
  <si>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</si>
  <si>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</si>
  <si>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</si>
  <si>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</si>
  <si>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</si>
  <si>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</si>
  <si>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</si>
  <si>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</si>
  <si>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</si>
  <si>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</si>
  <si>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</si>
  <si>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</si>
  <si>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</si>
  <si>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</si>
  <si>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</si>
  <si>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</si>
  <si>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</si>
  <si>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</si>
  <si>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</si>
  <si>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</si>
  <si>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</si>
  <si>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</si>
  <si>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</si>
  <si>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</si>
  <si>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</si>
  <si>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</si>
  <si>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</si>
  <si>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</si>
  <si>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</si>
  <si>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</si>
  <si>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</si>
  <si>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</si>
  <si>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</si>
  <si>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</si>
  <si>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</si>
  <si>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</si>
  <si>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</si>
  <si>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</si>
  <si>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</si>
  <si>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</si>
  <si>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</si>
  <si>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</si>
  <si>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</si>
  <si>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</si>
  <si>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</si>
  <si>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</si>
  <si>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</si>
  <si>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</si>
  <si>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</si>
  <si>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</si>
  <si>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</si>
  <si>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</si>
  <si>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</si>
  <si>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</si>
  <si>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</si>
  <si>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</si>
  <si>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</si>
  <si>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</si>
  <si>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</si>
  <si>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</si>
  <si>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</si>
  <si>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</si>
  <si>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</si>
  <si>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</si>
  <si>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</si>
  <si>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</si>
  <si>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</si>
  <si>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</si>
  <si>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</si>
  <si>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</si>
  <si>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</si>
  <si>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</si>
  <si>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</si>
  <si>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</si>
  <si>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</si>
  <si>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</si>
  <si>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</si>
  <si>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</si>
  <si>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</si>
  <si>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</si>
  <si>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</si>
  <si>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</si>
  <si>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</si>
  <si>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</si>
  <si>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</si>
  <si>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</si>
  <si>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</si>
  <si>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</si>
  <si>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</si>
  <si>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</si>
  <si>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</si>
  <si>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</si>
  <si>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</si>
  <si>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</si>
  <si>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</si>
  <si>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</si>
  <si>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</si>
  <si>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</si>
  <si>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</si>
  <si>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</si>
  <si>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</si>
  <si>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</si>
  <si>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</si>
  <si>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</si>
  <si>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</si>
  <si>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</si>
  <si>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</si>
  <si>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</si>
  <si>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</si>
  <si>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</si>
  <si>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</si>
  <si>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</si>
  <si>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</si>
  <si>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</si>
  <si>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</si>
  <si>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</si>
  <si>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</si>
  <si>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</si>
  <si>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</si>
  <si>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</si>
  <si>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</si>
  <si>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</si>
  <si>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</si>
  <si>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</si>
  <si>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</si>
  <si>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</si>
  <si>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</si>
  <si>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</si>
  <si>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</si>
  <si>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</si>
  <si>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</si>
  <si>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</si>
  <si>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</si>
  <si>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</si>
  <si>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</si>
  <si>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</si>
  <si>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</si>
  <si>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</si>
  <si>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</si>
  <si>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</si>
  <si>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</si>
  <si>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</si>
  <si>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</si>
  <si>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幸运星盒</t>
  </si>
  <si>
    <t>炽星魔盒</t>
  </si>
  <si>
    <t>|CffFF0000时渊碎片|r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</si>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</sst>
</file>

<file path=xl/styles.xml><?xml version="1.0" encoding="utf-8"?>
<styleSheet xmlns="http://schemas.openxmlformats.org/spreadsheetml/2006/main">
  <numFmts count="1">
    <numFmt numFmtId="178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0000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theme="1"/>
      <name val="等线"/>
      <charset val="134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93288979766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1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5" fillId="0" borderId="0"/>
  </cellStyleXfs>
  <cellXfs count="16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8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15" fillId="0" borderId="0" xfId="6" applyFo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0" fontId="16" fillId="9" borderId="0" xfId="5" applyAlignment="1"/>
    <xf numFmtId="0" fontId="11" fillId="9" borderId="0" xfId="1" applyAlignment="1"/>
    <xf numFmtId="0" fontId="0" fillId="0" borderId="0" xfId="0" applyNumberFormat="1" applyFont="1" applyFill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5" fillId="0" borderId="0" xfId="0" applyFont="1"/>
    <xf numFmtId="0" fontId="13" fillId="11" borderId="7" xfId="4" applyFont="1" applyBorder="1" applyAlignment="1"/>
    <xf numFmtId="0" fontId="18" fillId="0" borderId="0" xfId="0" applyFont="1" applyAlignment="1">
      <alignment horizontal="left" vertical="center" wrapText="1"/>
    </xf>
    <xf numFmtId="0" fontId="19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20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21" fillId="0" borderId="0" xfId="0" applyFont="1"/>
    <xf numFmtId="0" fontId="5" fillId="0" borderId="0" xfId="0" applyFont="1" applyAlignment="1">
      <alignment wrapText="1"/>
    </xf>
    <xf numFmtId="0" fontId="22" fillId="0" borderId="0" xfId="0" applyFont="1"/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23" fillId="3" borderId="1" xfId="6" applyFont="1" applyFill="1" applyBorder="1"/>
    <xf numFmtId="0" fontId="0" fillId="0" borderId="1" xfId="6" applyFont="1" applyBorder="1"/>
    <xf numFmtId="0" fontId="24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/>
    <xf numFmtId="0" fontId="26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7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4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29"/>
  <sheetViews>
    <sheetView tabSelected="1" workbookViewId="0">
      <pane xSplit="8" ySplit="2" topLeftCell="N96" activePane="bottomRight" state="frozen"/>
      <selection pane="topRight"/>
      <selection pane="bottomLeft"/>
      <selection pane="bottomRight" activeCell="Q115" sqref="Q11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9" customWidth="1"/>
    <col min="10" max="10" width="18.625" customWidth="1"/>
    <col min="11" max="11" width="41" customWidth="1"/>
    <col min="12" max="12" width="9" style="10" customWidth="1"/>
    <col min="13" max="13" width="47.375" style="13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9"/>
    <col min="41" max="16384" width="9" style="10"/>
  </cols>
  <sheetData>
    <row r="1" spans="1:42" s="129" customFormat="1">
      <c r="A1" s="133"/>
      <c r="B1" s="129" t="s">
        <v>0</v>
      </c>
      <c r="C1" s="129" t="s">
        <v>1</v>
      </c>
      <c r="D1" s="129" t="s">
        <v>2</v>
      </c>
      <c r="E1" s="154" t="s">
        <v>3</v>
      </c>
      <c r="F1" s="129" t="s">
        <v>4</v>
      </c>
      <c r="G1" s="129" t="s">
        <v>5</v>
      </c>
      <c r="H1" s="129" t="s">
        <v>6</v>
      </c>
      <c r="I1" s="129" t="s">
        <v>7</v>
      </c>
      <c r="J1" s="130" t="s">
        <v>8</v>
      </c>
      <c r="K1" s="130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14</v>
      </c>
      <c r="Q1" s="129" t="s">
        <v>15</v>
      </c>
      <c r="R1" s="129" t="s">
        <v>16</v>
      </c>
      <c r="S1" s="129" t="s">
        <v>17</v>
      </c>
      <c r="T1" s="129" t="s">
        <v>18</v>
      </c>
      <c r="U1" s="129" t="s">
        <v>19</v>
      </c>
      <c r="V1" s="129" t="s">
        <v>20</v>
      </c>
      <c r="W1" s="129" t="s">
        <v>21</v>
      </c>
      <c r="X1" s="129" t="s">
        <v>22</v>
      </c>
      <c r="Y1" s="129" t="s">
        <v>23</v>
      </c>
      <c r="Z1" s="129" t="s">
        <v>24</v>
      </c>
      <c r="AA1" s="129" t="s">
        <v>25</v>
      </c>
      <c r="AB1" s="129" t="s">
        <v>26</v>
      </c>
      <c r="AC1" s="129" t="s">
        <v>27</v>
      </c>
      <c r="AD1" s="129" t="s">
        <v>28</v>
      </c>
      <c r="AE1" s="129" t="s">
        <v>29</v>
      </c>
      <c r="AF1" s="129" t="s">
        <v>30</v>
      </c>
      <c r="AG1" s="129" t="s">
        <v>31</v>
      </c>
      <c r="AH1" s="129" t="s">
        <v>32</v>
      </c>
      <c r="AI1" s="129" t="s">
        <v>33</v>
      </c>
      <c r="AJ1" s="130" t="s">
        <v>34</v>
      </c>
      <c r="AK1" s="129" t="s">
        <v>35</v>
      </c>
      <c r="AL1" s="129" t="s">
        <v>36</v>
      </c>
      <c r="AM1" s="129" t="s">
        <v>37</v>
      </c>
      <c r="AN1" s="129" t="s">
        <v>38</v>
      </c>
      <c r="AO1" s="129" t="s">
        <v>39</v>
      </c>
      <c r="AP1" s="130" t="s">
        <v>40</v>
      </c>
    </row>
    <row r="2" spans="1:42" s="130" customFormat="1" ht="12.75" customHeight="1">
      <c r="A2" s="134">
        <f>COUNTA(B:B)+1</f>
        <v>270</v>
      </c>
      <c r="C2" s="130" t="s">
        <v>41</v>
      </c>
      <c r="D2" s="130" t="s">
        <v>42</v>
      </c>
      <c r="E2" s="130" t="s">
        <v>43</v>
      </c>
      <c r="F2" s="130" t="s">
        <v>44</v>
      </c>
      <c r="G2" s="130" t="s">
        <v>45</v>
      </c>
      <c r="H2" s="130" t="s">
        <v>46</v>
      </c>
      <c r="I2" s="130" t="s">
        <v>47</v>
      </c>
      <c r="J2" s="130" t="s">
        <v>48</v>
      </c>
      <c r="K2" s="130" t="s">
        <v>49</v>
      </c>
      <c r="L2" s="130" t="s">
        <v>50</v>
      </c>
      <c r="M2" s="130" t="s">
        <v>51</v>
      </c>
      <c r="N2" s="130" t="s">
        <v>52</v>
      </c>
      <c r="O2" s="130" t="s">
        <v>53</v>
      </c>
      <c r="P2" s="130" t="s">
        <v>54</v>
      </c>
      <c r="Q2" s="130" t="s">
        <v>55</v>
      </c>
      <c r="R2" s="130" t="s">
        <v>56</v>
      </c>
      <c r="S2" s="130" t="s">
        <v>57</v>
      </c>
      <c r="T2" s="130" t="s">
        <v>58</v>
      </c>
      <c r="U2" s="130" t="s">
        <v>59</v>
      </c>
      <c r="V2" s="130" t="s">
        <v>60</v>
      </c>
      <c r="W2" s="130" t="s">
        <v>61</v>
      </c>
      <c r="X2" s="130" t="s">
        <v>62</v>
      </c>
      <c r="Y2" s="130" t="s">
        <v>63</v>
      </c>
      <c r="Z2" s="130" t="s">
        <v>64</v>
      </c>
      <c r="AA2" s="130" t="s">
        <v>65</v>
      </c>
      <c r="AB2" s="130" t="s">
        <v>66</v>
      </c>
      <c r="AC2" s="130" t="s">
        <v>67</v>
      </c>
      <c r="AD2" s="130" t="s">
        <v>68</v>
      </c>
      <c r="AE2" s="130" t="s">
        <v>69</v>
      </c>
      <c r="AF2" s="130" t="s">
        <v>70</v>
      </c>
      <c r="AG2" s="130" t="s">
        <v>71</v>
      </c>
      <c r="AH2" s="130" t="s">
        <v>72</v>
      </c>
      <c r="AI2" s="130" t="s">
        <v>73</v>
      </c>
      <c r="AJ2" s="130" t="s">
        <v>74</v>
      </c>
      <c r="AK2" s="130" t="s">
        <v>75</v>
      </c>
      <c r="AL2" s="130" t="s">
        <v>76</v>
      </c>
      <c r="AM2" s="130" t="s">
        <v>77</v>
      </c>
      <c r="AN2" s="130" t="s">
        <v>78</v>
      </c>
      <c r="AO2" s="130" t="s">
        <v>79</v>
      </c>
      <c r="AP2" s="130" t="s">
        <v>80</v>
      </c>
    </row>
    <row r="3" spans="1:42">
      <c r="A3" s="13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5" t="str">
        <f t="shared" ref="J3" si="0">H3</f>
        <v>[武器]古纹剑lv1</v>
      </c>
      <c r="K3" s="135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6" t="str">
        <f>VLOOKUP(LEFT(RIGHT(B3,5),4),物品!B:CU,20,FALSE)</f>
        <v>ReplaceableTextures\\CommandButtons\\BTNZ01.blp</v>
      </c>
      <c r="N3" s="154" t="s">
        <v>83</v>
      </c>
      <c r="O3" s="155" t="s">
        <v>84</v>
      </c>
      <c r="P3" s="27">
        <v>0</v>
      </c>
      <c r="Q3" s="27">
        <v>0</v>
      </c>
      <c r="R3" s="154" t="s">
        <v>83</v>
      </c>
      <c r="S3" s="154" t="s">
        <v>83</v>
      </c>
      <c r="T3" s="154" t="s">
        <v>83</v>
      </c>
      <c r="U3" s="154" t="s">
        <v>83</v>
      </c>
      <c r="V3" s="27">
        <v>1</v>
      </c>
      <c r="W3" s="27" t="s">
        <v>85</v>
      </c>
      <c r="X3" s="27">
        <v>0</v>
      </c>
      <c r="Y3" s="15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4" t="s">
        <v>83</v>
      </c>
      <c r="AF3" s="154" t="s">
        <v>83</v>
      </c>
      <c r="AG3" s="154" t="s">
        <v>83</v>
      </c>
      <c r="AH3" s="154" t="s">
        <v>83</v>
      </c>
      <c r="AI3" s="27"/>
      <c r="AJ3" s="27"/>
      <c r="AK3" s="27">
        <v>0</v>
      </c>
      <c r="AL3" s="27">
        <v>0</v>
      </c>
      <c r="AM3" s="154" t="s">
        <v>83</v>
      </c>
      <c r="AN3" s="27"/>
      <c r="AO3" s="27"/>
      <c r="AP3" s="27">
        <v>1</v>
      </c>
    </row>
    <row r="4" spans="1:42">
      <c r="A4" s="13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|Cffbbbbbb属性：|r|n攻击+2000|n|n攻击10%概率附加|cffff4646业力*1|r魔法伤害|n|n|Cff00ff7f点击消耗800金币进行强化|n成功率100%</v>
      </c>
      <c r="J4" s="135" t="str">
        <f t="shared" ref="J4:J7" si="2">H4</f>
        <v>[武器]古纹剑lv2</v>
      </c>
      <c r="K4" s="135" t="str">
        <f t="shared" ref="K4:K7" si="3">I4</f>
        <v>|Cffbbbbbb属性：|r|n攻击+2000|n|n攻击10%概率附加|cffff4646业力*1|r魔法伤害|n|n|Cff00ff7f点击消耗800金币进行强化|n成功率100%</v>
      </c>
      <c r="L4" s="27"/>
      <c r="M4" s="136" t="str">
        <f>VLOOKUP(LEFT(RIGHT(B4,5),4),物品!B:CU,20,FALSE)</f>
        <v>ReplaceableTextures\\CommandButtons\\BTNZ01.blp</v>
      </c>
      <c r="N4" s="154" t="s">
        <v>83</v>
      </c>
      <c r="O4" s="155" t="s">
        <v>84</v>
      </c>
      <c r="P4" s="27">
        <v>0</v>
      </c>
      <c r="Q4" s="27">
        <v>0</v>
      </c>
      <c r="R4" s="154" t="s">
        <v>83</v>
      </c>
      <c r="S4" s="154" t="s">
        <v>83</v>
      </c>
      <c r="T4" s="154" t="s">
        <v>83</v>
      </c>
      <c r="U4" s="154" t="s">
        <v>83</v>
      </c>
      <c r="V4" s="27">
        <v>1</v>
      </c>
      <c r="W4" s="27" t="s">
        <v>85</v>
      </c>
      <c r="X4" s="27">
        <v>0</v>
      </c>
      <c r="Y4" s="15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4" t="s">
        <v>83</v>
      </c>
      <c r="AF4" s="154" t="s">
        <v>83</v>
      </c>
      <c r="AG4" s="154" t="s">
        <v>83</v>
      </c>
      <c r="AH4" s="154" t="s">
        <v>83</v>
      </c>
      <c r="AI4" s="27"/>
      <c r="AJ4" s="27"/>
      <c r="AK4" s="27">
        <v>0</v>
      </c>
      <c r="AL4" s="27">
        <v>0</v>
      </c>
      <c r="AM4" s="154" t="s">
        <v>83</v>
      </c>
      <c r="AN4" s="27"/>
      <c r="AO4" s="27"/>
      <c r="AP4" s="27">
        <v>1</v>
      </c>
    </row>
    <row r="5" spans="1:42">
      <c r="A5" s="13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|Cffbbbbbb属性：|r|n攻击+3000|n|n攻击10%概率附加|cffff4646业力*1|r魔法伤害|n|n|Cff00ff7f点击消耗800金币进行强化|n成功率100%</v>
      </c>
      <c r="J5" s="135" t="str">
        <f t="shared" si="2"/>
        <v>[武器]古纹剑lv3</v>
      </c>
      <c r="K5" s="135" t="str">
        <f t="shared" si="3"/>
        <v>|Cffbbbbbb属性：|r|n攻击+3000|n|n攻击10%概率附加|cffff4646业力*1|r魔法伤害|n|n|Cff00ff7f点击消耗800金币进行强化|n成功率100%</v>
      </c>
      <c r="L5" s="27"/>
      <c r="M5" s="136" t="str">
        <f>VLOOKUP(LEFT(RIGHT(B5,5),4),物品!B:CU,20,FALSE)</f>
        <v>ReplaceableTextures\\CommandButtons\\BTNZ01.blp</v>
      </c>
      <c r="N5" s="154" t="s">
        <v>83</v>
      </c>
      <c r="O5" s="155" t="s">
        <v>84</v>
      </c>
      <c r="P5" s="27">
        <v>0</v>
      </c>
      <c r="Q5" s="27">
        <v>0</v>
      </c>
      <c r="R5" s="154" t="s">
        <v>83</v>
      </c>
      <c r="S5" s="154" t="s">
        <v>83</v>
      </c>
      <c r="T5" s="154" t="s">
        <v>83</v>
      </c>
      <c r="U5" s="154" t="s">
        <v>83</v>
      </c>
      <c r="V5" s="27">
        <v>1</v>
      </c>
      <c r="W5" s="27" t="s">
        <v>85</v>
      </c>
      <c r="X5" s="27">
        <v>0</v>
      </c>
      <c r="Y5" s="15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4" t="s">
        <v>83</v>
      </c>
      <c r="AF5" s="154" t="s">
        <v>83</v>
      </c>
      <c r="AG5" s="154" t="s">
        <v>83</v>
      </c>
      <c r="AH5" s="154" t="s">
        <v>83</v>
      </c>
      <c r="AI5" s="27"/>
      <c r="AJ5" s="27"/>
      <c r="AK5" s="27">
        <v>0</v>
      </c>
      <c r="AL5" s="27">
        <v>0</v>
      </c>
      <c r="AM5" s="154" t="s">
        <v>83</v>
      </c>
      <c r="AN5" s="27"/>
      <c r="AO5" s="27"/>
      <c r="AP5" s="27">
        <v>1</v>
      </c>
    </row>
    <row r="6" spans="1:42">
      <c r="A6" s="13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|Cffbbbbbb属性：|r|n攻击+4000|n|n攻击10%概率附加|cffff4646业力*1|r魔法伤害|n|n|Cff00ff7f点击消耗800金币进行强化|n成功率100%</v>
      </c>
      <c r="J6" s="135" t="str">
        <f t="shared" si="2"/>
        <v>[武器]古纹剑lv4</v>
      </c>
      <c r="K6" s="135" t="str">
        <f t="shared" si="3"/>
        <v>|Cffbbbbbb属性：|r|n攻击+4000|n|n攻击10%概率附加|cffff4646业力*1|r魔法伤害|n|n|Cff00ff7f点击消耗800金币进行强化|n成功率100%</v>
      </c>
      <c r="L6" s="27"/>
      <c r="M6" s="136" t="str">
        <f>VLOOKUP(LEFT(RIGHT(B6,5),4),物品!B:CU,20,FALSE)</f>
        <v>ReplaceableTextures\\CommandButtons\\BTNZ01.blp</v>
      </c>
      <c r="N6" s="154" t="s">
        <v>83</v>
      </c>
      <c r="O6" s="155" t="s">
        <v>84</v>
      </c>
      <c r="P6" s="27">
        <v>0</v>
      </c>
      <c r="Q6" s="27">
        <v>0</v>
      </c>
      <c r="R6" s="154" t="s">
        <v>83</v>
      </c>
      <c r="S6" s="154" t="s">
        <v>83</v>
      </c>
      <c r="T6" s="154" t="s">
        <v>83</v>
      </c>
      <c r="U6" s="154" t="s">
        <v>83</v>
      </c>
      <c r="V6" s="27">
        <v>1</v>
      </c>
      <c r="W6" s="27" t="s">
        <v>85</v>
      </c>
      <c r="X6" s="27">
        <v>0</v>
      </c>
      <c r="Y6" s="15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4" t="s">
        <v>83</v>
      </c>
      <c r="AF6" s="154" t="s">
        <v>83</v>
      </c>
      <c r="AG6" s="154" t="s">
        <v>83</v>
      </c>
      <c r="AH6" s="154" t="s">
        <v>83</v>
      </c>
      <c r="AI6" s="27"/>
      <c r="AJ6" s="27"/>
      <c r="AK6" s="27">
        <v>0</v>
      </c>
      <c r="AL6" s="27">
        <v>0</v>
      </c>
      <c r="AM6" s="154" t="s">
        <v>83</v>
      </c>
      <c r="AN6" s="27"/>
      <c r="AO6" s="27"/>
      <c r="AP6" s="27">
        <v>1</v>
      </c>
    </row>
    <row r="7" spans="1:42">
      <c r="A7" s="13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|Cffbbbbbb属性：|r|n攻击+5000|n|n攻击10%概率附加|cffff4646业力*1|r魔法伤害|n|n|Cff00ff7f点击消耗2500金币进行晋阶挑战</v>
      </c>
      <c r="J7" s="135" t="str">
        <f t="shared" si="2"/>
        <v>[武器]古纹剑lv5</v>
      </c>
      <c r="K7" s="135" t="str">
        <f t="shared" si="3"/>
        <v>|Cffbbbbbb属性：|r|n攻击+5000|n|n攻击10%概率附加|cffff4646业力*1|r魔法伤害|n|n|Cff00ff7f点击消耗2500金币进行晋阶挑战</v>
      </c>
      <c r="L7" s="27"/>
      <c r="M7" s="136" t="str">
        <f>VLOOKUP(LEFT(RIGHT(B7,5),4),物品!B:CU,20,FALSE)</f>
        <v>ReplaceableTextures\\CommandButtons\\BTNZ01.blp</v>
      </c>
      <c r="N7" s="154" t="s">
        <v>83</v>
      </c>
      <c r="O7" s="155" t="s">
        <v>84</v>
      </c>
      <c r="P7" s="27">
        <v>0</v>
      </c>
      <c r="Q7" s="27">
        <v>0</v>
      </c>
      <c r="R7" s="154" t="s">
        <v>83</v>
      </c>
      <c r="S7" s="154" t="s">
        <v>83</v>
      </c>
      <c r="T7" s="154" t="s">
        <v>83</v>
      </c>
      <c r="U7" s="154" t="s">
        <v>83</v>
      </c>
      <c r="V7" s="27">
        <v>1</v>
      </c>
      <c r="W7" s="27" t="s">
        <v>85</v>
      </c>
      <c r="X7" s="27">
        <v>0</v>
      </c>
      <c r="Y7" s="15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4" t="s">
        <v>83</v>
      </c>
      <c r="AF7" s="154" t="s">
        <v>83</v>
      </c>
      <c r="AG7" s="154" t="s">
        <v>83</v>
      </c>
      <c r="AH7" s="154" t="s">
        <v>83</v>
      </c>
      <c r="AI7" s="27"/>
      <c r="AJ7" s="27"/>
      <c r="AK7" s="27">
        <v>0</v>
      </c>
      <c r="AL7" s="27">
        <v>0</v>
      </c>
      <c r="AM7" s="154" t="s">
        <v>83</v>
      </c>
      <c r="AN7" s="27"/>
      <c r="AO7" s="27"/>
      <c r="AP7" s="27">
        <v>1</v>
      </c>
    </row>
    <row r="8" spans="1:42">
      <c r="A8" s="13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|Cffbbbbbb属性：|r|n攻击+10000|n攻速+20%|n伤害吸取+1%|n|n攻击10%概率附加|cffff4646业力*1|r魔法伤害|n|n|Cff00ff7f点击消耗2500金币进行强化|n成功率85%</v>
      </c>
      <c r="J8" s="135" t="str">
        <f t="shared" ref="J8:J18" si="4">H8</f>
        <v>|Cff00FF7F[武器]鱼肠剑lv1|r</v>
      </c>
      <c r="K8" s="135" t="str">
        <f t="shared" ref="K8:K18" si="5">I8</f>
        <v>|Cffbbbbbb属性：|r|n攻击+10000|n攻速+20%|n伤害吸取+1%|n|n攻击10%概率附加|cffff4646业力*1|r魔法伤害|n|n|Cff00ff7f点击消耗2500金币进行强化|n成功率85%</v>
      </c>
      <c r="L8" s="27"/>
      <c r="M8" s="136" t="str">
        <f>VLOOKUP(LEFT(RIGHT(B8,5),4),物品!B:CU,20,FALSE)</f>
        <v>ReplaceableTextures\\CommandButtons\\BTNZ02.blp</v>
      </c>
      <c r="N8" s="154" t="s">
        <v>83</v>
      </c>
      <c r="O8" s="155" t="s">
        <v>84</v>
      </c>
      <c r="P8" s="27">
        <v>0</v>
      </c>
      <c r="Q8" s="27">
        <v>0</v>
      </c>
      <c r="R8" s="154" t="s">
        <v>83</v>
      </c>
      <c r="S8" s="154" t="s">
        <v>83</v>
      </c>
      <c r="T8" s="154" t="s">
        <v>83</v>
      </c>
      <c r="U8" s="154" t="s">
        <v>83</v>
      </c>
      <c r="V8" s="27">
        <v>1</v>
      </c>
      <c r="W8" s="27" t="s">
        <v>85</v>
      </c>
      <c r="X8" s="27">
        <v>0</v>
      </c>
      <c r="Y8" s="15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4" t="s">
        <v>83</v>
      </c>
      <c r="AF8" s="154" t="s">
        <v>83</v>
      </c>
      <c r="AG8" s="154" t="s">
        <v>83</v>
      </c>
      <c r="AH8" s="154" t="s">
        <v>83</v>
      </c>
      <c r="AI8" s="27"/>
      <c r="AJ8" s="27"/>
      <c r="AK8" s="27">
        <v>0</v>
      </c>
      <c r="AL8" s="27">
        <v>0</v>
      </c>
      <c r="AM8" s="154" t="s">
        <v>83</v>
      </c>
      <c r="AN8" s="27"/>
      <c r="AO8" s="27"/>
      <c r="AP8" s="27">
        <v>1</v>
      </c>
    </row>
    <row r="9" spans="1:42">
      <c r="A9" s="13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|Cffbbbbbb属性：|r|n攻击+12000|n攻速+20%|n伤害吸取+1%|n|n攻击10%概率附加|cffff4646业力*1|r魔法伤害|n|n|Cff00ff7f点击消耗2500金币进行强化|n成功率85%</v>
      </c>
      <c r="J9" s="135" t="str">
        <f t="shared" si="4"/>
        <v>|Cff00FF7F[武器]鱼肠剑lv2|r</v>
      </c>
      <c r="K9" s="135" t="str">
        <f t="shared" si="5"/>
        <v>|Cffbbbbbb属性：|r|n攻击+12000|n攻速+20%|n伤害吸取+1%|n|n攻击10%概率附加|cffff4646业力*1|r魔法伤害|n|n|Cff00ff7f点击消耗2500金币进行强化|n成功率85%</v>
      </c>
      <c r="L9" s="27"/>
      <c r="M9" s="136" t="str">
        <f>VLOOKUP(LEFT(RIGHT(B9,5),4),物品!B:CU,20,FALSE)</f>
        <v>ReplaceableTextures\\CommandButtons\\BTNZ02.blp</v>
      </c>
      <c r="N9" s="154" t="s">
        <v>83</v>
      </c>
      <c r="O9" s="155" t="s">
        <v>84</v>
      </c>
      <c r="P9" s="27">
        <v>0</v>
      </c>
      <c r="Q9" s="27">
        <v>0</v>
      </c>
      <c r="R9" s="154" t="s">
        <v>83</v>
      </c>
      <c r="S9" s="154" t="s">
        <v>83</v>
      </c>
      <c r="T9" s="154" t="s">
        <v>83</v>
      </c>
      <c r="U9" s="154" t="s">
        <v>83</v>
      </c>
      <c r="V9" s="27">
        <v>1</v>
      </c>
      <c r="W9" s="27" t="s">
        <v>85</v>
      </c>
      <c r="X9" s="27">
        <v>0</v>
      </c>
      <c r="Y9" s="15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4" t="s">
        <v>83</v>
      </c>
      <c r="AF9" s="154" t="s">
        <v>83</v>
      </c>
      <c r="AG9" s="154" t="s">
        <v>83</v>
      </c>
      <c r="AH9" s="154" t="s">
        <v>83</v>
      </c>
      <c r="AI9" s="27"/>
      <c r="AJ9" s="27"/>
      <c r="AK9" s="27">
        <v>0</v>
      </c>
      <c r="AL9" s="27">
        <v>0</v>
      </c>
      <c r="AM9" s="154" t="s">
        <v>83</v>
      </c>
      <c r="AN9" s="27"/>
      <c r="AO9" s="27"/>
      <c r="AP9" s="27">
        <v>1</v>
      </c>
    </row>
    <row r="10" spans="1:42">
      <c r="A10" s="13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|Cffbbbbbb属性：|r|n攻击+14000|n攻速+20%|n伤害吸取+2%|n|n攻击10%概率附加|cffff4646业力*1|r魔法伤害|n|n|Cff00ff7f点击消耗2500金币进行强化|n成功率85%</v>
      </c>
      <c r="J10" s="135" t="str">
        <f t="shared" si="4"/>
        <v>|Cff00FF7F[武器]鱼肠剑lv3|r</v>
      </c>
      <c r="K10" s="135" t="str">
        <f t="shared" si="5"/>
        <v>|Cffbbbbbb属性：|r|n攻击+14000|n攻速+20%|n伤害吸取+2%|n|n攻击10%概率附加|cffff4646业力*1|r魔法伤害|n|n|Cff00ff7f点击消耗2500金币进行强化|n成功率85%</v>
      </c>
      <c r="L10" s="27"/>
      <c r="M10" s="136" t="str">
        <f>VLOOKUP(LEFT(RIGHT(B10,5),4),物品!B:CU,20,FALSE)</f>
        <v>ReplaceableTextures\\CommandButtons\\BTNZ02.blp</v>
      </c>
      <c r="N10" s="154" t="s">
        <v>83</v>
      </c>
      <c r="O10" s="155" t="s">
        <v>84</v>
      </c>
      <c r="P10" s="27">
        <v>0</v>
      </c>
      <c r="Q10" s="27">
        <v>0</v>
      </c>
      <c r="R10" s="154" t="s">
        <v>83</v>
      </c>
      <c r="S10" s="154" t="s">
        <v>83</v>
      </c>
      <c r="T10" s="154" t="s">
        <v>83</v>
      </c>
      <c r="U10" s="154" t="s">
        <v>83</v>
      </c>
      <c r="V10" s="27">
        <v>1</v>
      </c>
      <c r="W10" s="27" t="s">
        <v>85</v>
      </c>
      <c r="X10" s="27">
        <v>0</v>
      </c>
      <c r="Y10" s="15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4" t="s">
        <v>83</v>
      </c>
      <c r="AF10" s="154" t="s">
        <v>83</v>
      </c>
      <c r="AG10" s="154" t="s">
        <v>83</v>
      </c>
      <c r="AH10" s="154" t="s">
        <v>83</v>
      </c>
      <c r="AI10" s="27"/>
      <c r="AJ10" s="27"/>
      <c r="AK10" s="27">
        <v>0</v>
      </c>
      <c r="AL10" s="27">
        <v>0</v>
      </c>
      <c r="AM10" s="154" t="s">
        <v>83</v>
      </c>
      <c r="AN10" s="27"/>
      <c r="AO10" s="27"/>
      <c r="AP10" s="27">
        <v>1</v>
      </c>
    </row>
    <row r="11" spans="1:42">
      <c r="A11" s="13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|Cffbbbbbb属性：|r|n攻击+17000|n攻速+20%|n伤害吸取+2%|n|n攻击10%概率附加|cffff4646业力*1|r魔法伤害|n|n|Cff00ff7f点击消耗2500金币进行强化|n成功率85%</v>
      </c>
      <c r="J11" s="135" t="str">
        <f t="shared" si="4"/>
        <v>|Cff00FF7F[武器]鱼肠剑lv4|r</v>
      </c>
      <c r="K11" s="135" t="str">
        <f t="shared" si="5"/>
        <v>|Cffbbbbbb属性：|r|n攻击+17000|n攻速+20%|n伤害吸取+2%|n|n攻击10%概率附加|cffff4646业力*1|r魔法伤害|n|n|Cff00ff7f点击消耗2500金币进行强化|n成功率85%</v>
      </c>
      <c r="L11" s="27"/>
      <c r="M11" s="136" t="str">
        <f>VLOOKUP(LEFT(RIGHT(B11,5),4),物品!B:CU,20,FALSE)</f>
        <v>ReplaceableTextures\\CommandButtons\\BTNZ02.blp</v>
      </c>
      <c r="N11" s="154" t="s">
        <v>83</v>
      </c>
      <c r="O11" s="155" t="s">
        <v>84</v>
      </c>
      <c r="P11" s="27">
        <v>0</v>
      </c>
      <c r="Q11" s="27">
        <v>0</v>
      </c>
      <c r="R11" s="154" t="s">
        <v>83</v>
      </c>
      <c r="S11" s="154" t="s">
        <v>83</v>
      </c>
      <c r="T11" s="154" t="s">
        <v>83</v>
      </c>
      <c r="U11" s="154" t="s">
        <v>83</v>
      </c>
      <c r="V11" s="27">
        <v>1</v>
      </c>
      <c r="W11" s="27" t="s">
        <v>85</v>
      </c>
      <c r="X11" s="27">
        <v>0</v>
      </c>
      <c r="Y11" s="15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4" t="s">
        <v>83</v>
      </c>
      <c r="AF11" s="154" t="s">
        <v>83</v>
      </c>
      <c r="AG11" s="154" t="s">
        <v>83</v>
      </c>
      <c r="AH11" s="154" t="s">
        <v>83</v>
      </c>
      <c r="AI11" s="27"/>
      <c r="AJ11" s="27"/>
      <c r="AK11" s="27">
        <v>0</v>
      </c>
      <c r="AL11" s="27">
        <v>0</v>
      </c>
      <c r="AM11" s="154" t="s">
        <v>83</v>
      </c>
      <c r="AN11" s="27"/>
      <c r="AO11" s="27"/>
      <c r="AP11" s="27">
        <v>1</v>
      </c>
    </row>
    <row r="12" spans="1:42">
      <c r="A12" s="13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|Cffbbbbbb属性：|r|n攻击+20000|n攻速+20%|n伤害吸取+2%|n|n攻击10%概率附加|cffff4646业力*1|r魔法伤害|n|n|Cff00ff7f点击消耗10000金币进行晋阶挑战</v>
      </c>
      <c r="J12" s="135" t="str">
        <f t="shared" si="4"/>
        <v>|Cff00FF7F[武器]鱼肠剑lv5|r</v>
      </c>
      <c r="K12" s="135" t="str">
        <f t="shared" si="5"/>
        <v>|Cffbbbbbb属性：|r|n攻击+20000|n攻速+20%|n伤害吸取+2%|n|n攻击10%概率附加|cffff4646业力*1|r魔法伤害|n|n|Cff00ff7f点击消耗10000金币进行晋阶挑战</v>
      </c>
      <c r="L12" s="27"/>
      <c r="M12" s="136" t="str">
        <f>VLOOKUP(LEFT(RIGHT(B12,5),4),物品!B:CU,20,FALSE)</f>
        <v>ReplaceableTextures\\CommandButtons\\BTNZ02.blp</v>
      </c>
      <c r="N12" s="154" t="s">
        <v>83</v>
      </c>
      <c r="O12" s="155" t="s">
        <v>84</v>
      </c>
      <c r="P12" s="27">
        <v>0</v>
      </c>
      <c r="Q12" s="27">
        <v>0</v>
      </c>
      <c r="R12" s="154" t="s">
        <v>83</v>
      </c>
      <c r="S12" s="154" t="s">
        <v>83</v>
      </c>
      <c r="T12" s="154" t="s">
        <v>83</v>
      </c>
      <c r="U12" s="154" t="s">
        <v>83</v>
      </c>
      <c r="V12" s="27">
        <v>1</v>
      </c>
      <c r="W12" s="27" t="s">
        <v>85</v>
      </c>
      <c r="X12" s="27">
        <v>0</v>
      </c>
      <c r="Y12" s="15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4" t="s">
        <v>83</v>
      </c>
      <c r="AF12" s="154" t="s">
        <v>83</v>
      </c>
      <c r="AG12" s="154" t="s">
        <v>83</v>
      </c>
      <c r="AH12" s="154" t="s">
        <v>83</v>
      </c>
      <c r="AI12" s="27"/>
      <c r="AJ12" s="27"/>
      <c r="AK12" s="27">
        <v>0</v>
      </c>
      <c r="AL12" s="27">
        <v>0</v>
      </c>
      <c r="AM12" s="154" t="s">
        <v>83</v>
      </c>
      <c r="AN12" s="27"/>
      <c r="AO12" s="27"/>
      <c r="AP12" s="27">
        <v>1</v>
      </c>
    </row>
    <row r="13" spans="1:42">
      <c r="A13" s="13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|Cffbbbbbb属性：|r|n攻击+30000|n攻速+30%|n伤害吸取+3%|n|n攻击10%概率附加|cffff4646业力*1|r魔法伤害|n|n|Cff00ff7f点击消耗8000金币进行强化|n成功率70%</v>
      </c>
      <c r="J13" s="135" t="str">
        <f t="shared" si="4"/>
        <v>|Cff00BFFF[武器]太阿剑lv1|r</v>
      </c>
      <c r="K13" s="135" t="str">
        <f t="shared" si="5"/>
        <v>|Cffbbbbbb属性：|r|n攻击+30000|n攻速+30%|n伤害吸取+3%|n|n攻击10%概率附加|cffff4646业力*1|r魔法伤害|n|n|Cff00ff7f点击消耗8000金币进行强化|n成功率70%</v>
      </c>
      <c r="L13" s="27"/>
      <c r="M13" s="136" t="str">
        <f>VLOOKUP(LEFT(RIGHT(B13,5),4),物品!B:CU,20,FALSE)</f>
        <v>ReplaceableTextures\\CommandButtons\\BTNZ03.blp</v>
      </c>
      <c r="N13" s="154" t="s">
        <v>83</v>
      </c>
      <c r="O13" s="155" t="s">
        <v>84</v>
      </c>
      <c r="P13" s="27">
        <v>0</v>
      </c>
      <c r="Q13" s="27">
        <v>0</v>
      </c>
      <c r="R13" s="154" t="s">
        <v>83</v>
      </c>
      <c r="S13" s="154" t="s">
        <v>83</v>
      </c>
      <c r="T13" s="154" t="s">
        <v>83</v>
      </c>
      <c r="U13" s="154" t="s">
        <v>83</v>
      </c>
      <c r="V13" s="27">
        <v>1</v>
      </c>
      <c r="W13" s="27" t="s">
        <v>85</v>
      </c>
      <c r="X13" s="27">
        <v>0</v>
      </c>
      <c r="Y13" s="15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4" t="s">
        <v>83</v>
      </c>
      <c r="AF13" s="154" t="s">
        <v>83</v>
      </c>
      <c r="AG13" s="154" t="s">
        <v>83</v>
      </c>
      <c r="AH13" s="154" t="s">
        <v>83</v>
      </c>
      <c r="AI13" s="27"/>
      <c r="AJ13" s="27"/>
      <c r="AK13" s="27">
        <v>0</v>
      </c>
      <c r="AL13" s="27">
        <v>0</v>
      </c>
      <c r="AM13" s="154" t="s">
        <v>83</v>
      </c>
      <c r="AN13" s="27"/>
      <c r="AO13" s="27"/>
      <c r="AP13" s="27">
        <v>1</v>
      </c>
    </row>
    <row r="14" spans="1:42">
      <c r="A14" s="13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|Cffbbbbbb属性：|r|n攻击+36000|n攻速+30%|n伤害吸取+3%|n|n攻击10%概率附加|cffff4646业力*1|r魔法伤害|n|n|Cff00ff7f点击消耗8000金币进行强化|n成功率70%</v>
      </c>
      <c r="J14" s="135" t="str">
        <f t="shared" si="4"/>
        <v>|Cff00BFFF[武器]太阿剑lv2|r</v>
      </c>
      <c r="K14" s="135" t="str">
        <f t="shared" si="5"/>
        <v>|Cffbbbbbb属性：|r|n攻击+36000|n攻速+30%|n伤害吸取+3%|n|n攻击10%概率附加|cffff4646业力*1|r魔法伤害|n|n|Cff00ff7f点击消耗8000金币进行强化|n成功率70%</v>
      </c>
      <c r="L14" s="27"/>
      <c r="M14" s="136" t="str">
        <f>VLOOKUP(LEFT(RIGHT(B14,5),4),物品!B:CU,20,FALSE)</f>
        <v>ReplaceableTextures\\CommandButtons\\BTNZ03.blp</v>
      </c>
      <c r="N14" s="154" t="s">
        <v>83</v>
      </c>
      <c r="O14" s="155" t="s">
        <v>84</v>
      </c>
      <c r="P14" s="27">
        <v>0</v>
      </c>
      <c r="Q14" s="27">
        <v>0</v>
      </c>
      <c r="R14" s="154" t="s">
        <v>83</v>
      </c>
      <c r="S14" s="154" t="s">
        <v>83</v>
      </c>
      <c r="T14" s="154" t="s">
        <v>83</v>
      </c>
      <c r="U14" s="154" t="s">
        <v>83</v>
      </c>
      <c r="V14" s="27">
        <v>1</v>
      </c>
      <c r="W14" s="27" t="s">
        <v>85</v>
      </c>
      <c r="X14" s="27">
        <v>0</v>
      </c>
      <c r="Y14" s="15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4" t="s">
        <v>83</v>
      </c>
      <c r="AF14" s="154" t="s">
        <v>83</v>
      </c>
      <c r="AG14" s="154" t="s">
        <v>83</v>
      </c>
      <c r="AH14" s="154" t="s">
        <v>83</v>
      </c>
      <c r="AI14" s="27"/>
      <c r="AJ14" s="27"/>
      <c r="AK14" s="27">
        <v>0</v>
      </c>
      <c r="AL14" s="27">
        <v>0</v>
      </c>
      <c r="AM14" s="154" t="s">
        <v>83</v>
      </c>
      <c r="AN14" s="27"/>
      <c r="AO14" s="27"/>
      <c r="AP14" s="27">
        <v>1</v>
      </c>
    </row>
    <row r="15" spans="1:42">
      <c r="A15" s="13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|Cffbbbbbb属性：|r|n攻击+42000|n攻速+30%|n伤害吸取+3%|n|n攻击10%概率附加|cffff4646业力*1|r魔法伤害|n|n|Cff00ff7f点击消耗8000金币进行强化|n成功率70%</v>
      </c>
      <c r="J15" s="135" t="str">
        <f t="shared" si="4"/>
        <v>|Cff00BFFF[武器]太阿剑lv3|r</v>
      </c>
      <c r="K15" s="135" t="str">
        <f t="shared" si="5"/>
        <v>|Cffbbbbbb属性：|r|n攻击+42000|n攻速+30%|n伤害吸取+3%|n|n攻击10%概率附加|cffff4646业力*1|r魔法伤害|n|n|Cff00ff7f点击消耗8000金币进行强化|n成功率70%</v>
      </c>
      <c r="L15" s="27"/>
      <c r="M15" s="136" t="str">
        <f>VLOOKUP(LEFT(RIGHT(B15,5),4),物品!B:CU,20,FALSE)</f>
        <v>ReplaceableTextures\\CommandButtons\\BTNZ03.blp</v>
      </c>
      <c r="N15" s="154" t="s">
        <v>83</v>
      </c>
      <c r="O15" s="155" t="s">
        <v>84</v>
      </c>
      <c r="P15" s="27">
        <v>0</v>
      </c>
      <c r="Q15" s="27">
        <v>0</v>
      </c>
      <c r="R15" s="154" t="s">
        <v>83</v>
      </c>
      <c r="S15" s="154" t="s">
        <v>83</v>
      </c>
      <c r="T15" s="154" t="s">
        <v>83</v>
      </c>
      <c r="U15" s="154" t="s">
        <v>83</v>
      </c>
      <c r="V15" s="27">
        <v>1</v>
      </c>
      <c r="W15" s="27" t="s">
        <v>85</v>
      </c>
      <c r="X15" s="27">
        <v>0</v>
      </c>
      <c r="Y15" s="15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4" t="s">
        <v>83</v>
      </c>
      <c r="AF15" s="154" t="s">
        <v>83</v>
      </c>
      <c r="AG15" s="154" t="s">
        <v>83</v>
      </c>
      <c r="AH15" s="154" t="s">
        <v>83</v>
      </c>
      <c r="AI15" s="27"/>
      <c r="AJ15" s="27"/>
      <c r="AK15" s="27">
        <v>0</v>
      </c>
      <c r="AL15" s="27">
        <v>0</v>
      </c>
      <c r="AM15" s="154" t="s">
        <v>83</v>
      </c>
      <c r="AN15" s="27"/>
      <c r="AO15" s="27"/>
      <c r="AP15" s="27">
        <v>1</v>
      </c>
    </row>
    <row r="16" spans="1:42">
      <c r="A16" s="13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|Cffbbbbbb属性：|r|n攻击+50000|n攻速+30%|n伤害吸取+3%|n|n攻击10%概率附加|cffff4646业力*1|r魔法伤害|n|n|Cff00ff7f点击消耗8000金币进行强化|n成功率70%</v>
      </c>
      <c r="J16" s="135" t="str">
        <f t="shared" si="4"/>
        <v>|Cff00BFFF[武器]太阿剑lv4|r</v>
      </c>
      <c r="K16" s="135" t="str">
        <f t="shared" si="5"/>
        <v>|Cffbbbbbb属性：|r|n攻击+50000|n攻速+30%|n伤害吸取+3%|n|n攻击10%概率附加|cffff4646业力*1|r魔法伤害|n|n|Cff00ff7f点击消耗8000金币进行强化|n成功率70%</v>
      </c>
      <c r="L16" s="27"/>
      <c r="M16" s="136" t="str">
        <f>VLOOKUP(LEFT(RIGHT(B16,5),4),物品!B:CU,20,FALSE)</f>
        <v>ReplaceableTextures\\CommandButtons\\BTNZ03.blp</v>
      </c>
      <c r="N16" s="154" t="s">
        <v>83</v>
      </c>
      <c r="O16" s="155" t="s">
        <v>84</v>
      </c>
      <c r="P16" s="27">
        <v>0</v>
      </c>
      <c r="Q16" s="27">
        <v>0</v>
      </c>
      <c r="R16" s="154" t="s">
        <v>83</v>
      </c>
      <c r="S16" s="154" t="s">
        <v>83</v>
      </c>
      <c r="T16" s="154" t="s">
        <v>83</v>
      </c>
      <c r="U16" s="154" t="s">
        <v>83</v>
      </c>
      <c r="V16" s="27">
        <v>1</v>
      </c>
      <c r="W16" s="27" t="s">
        <v>85</v>
      </c>
      <c r="X16" s="27">
        <v>0</v>
      </c>
      <c r="Y16" s="15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4" t="s">
        <v>83</v>
      </c>
      <c r="AF16" s="154" t="s">
        <v>83</v>
      </c>
      <c r="AG16" s="154" t="s">
        <v>83</v>
      </c>
      <c r="AH16" s="154" t="s">
        <v>83</v>
      </c>
      <c r="AI16" s="27"/>
      <c r="AJ16" s="27"/>
      <c r="AK16" s="27">
        <v>0</v>
      </c>
      <c r="AL16" s="27">
        <v>0</v>
      </c>
      <c r="AM16" s="154" t="s">
        <v>83</v>
      </c>
      <c r="AN16" s="27"/>
      <c r="AO16" s="27"/>
      <c r="AP16" s="27">
        <v>1</v>
      </c>
    </row>
    <row r="17" spans="1:42">
      <c r="A17" s="13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|Cffbbbbbb属性：|r|n攻击+60000|n攻速+30%|n伤害吸取+3%|n|n攻击10%概率附加|cffff4646业力*1|r魔法伤害|n|n|Cff00ff7f点击消耗30000金币进行晋阶挑战</v>
      </c>
      <c r="J17" s="135" t="str">
        <f t="shared" si="4"/>
        <v>|Cff00BFFF[武器]太阿剑lv5|r</v>
      </c>
      <c r="K17" s="135" t="str">
        <f t="shared" si="5"/>
        <v>|Cffbbbbbb属性：|r|n攻击+60000|n攻速+30%|n伤害吸取+3%|n|n攻击10%概率附加|cffff4646业力*1|r魔法伤害|n|n|Cff00ff7f点击消耗30000金币进行晋阶挑战</v>
      </c>
      <c r="L17" s="27"/>
      <c r="M17" s="136" t="str">
        <f>VLOOKUP(LEFT(RIGHT(B17,5),4),物品!B:CU,20,FALSE)</f>
        <v>ReplaceableTextures\\CommandButtons\\BTNZ03.blp</v>
      </c>
      <c r="N17" s="154" t="s">
        <v>83</v>
      </c>
      <c r="O17" s="155" t="s">
        <v>84</v>
      </c>
      <c r="P17" s="27">
        <v>0</v>
      </c>
      <c r="Q17" s="27">
        <v>0</v>
      </c>
      <c r="R17" s="154" t="s">
        <v>83</v>
      </c>
      <c r="S17" s="154" t="s">
        <v>83</v>
      </c>
      <c r="T17" s="154" t="s">
        <v>83</v>
      </c>
      <c r="U17" s="154" t="s">
        <v>83</v>
      </c>
      <c r="V17" s="27">
        <v>1</v>
      </c>
      <c r="W17" s="27" t="s">
        <v>85</v>
      </c>
      <c r="X17" s="27">
        <v>0</v>
      </c>
      <c r="Y17" s="15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4" t="s">
        <v>83</v>
      </c>
      <c r="AF17" s="154" t="s">
        <v>83</v>
      </c>
      <c r="AG17" s="154" t="s">
        <v>83</v>
      </c>
      <c r="AH17" s="154" t="s">
        <v>83</v>
      </c>
      <c r="AI17" s="27"/>
      <c r="AJ17" s="27"/>
      <c r="AK17" s="27">
        <v>0</v>
      </c>
      <c r="AL17" s="27">
        <v>0</v>
      </c>
      <c r="AM17" s="154" t="s">
        <v>83</v>
      </c>
      <c r="AN17" s="27"/>
      <c r="AO17" s="27"/>
      <c r="AP17" s="27">
        <v>1</v>
      </c>
    </row>
    <row r="18" spans="1:42">
      <c r="A18" s="13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|Cffbbbbbb属性：|r|n攻击+100000|n攻速+40%|n伤害吸取+4%|n|n攻击10%概率附加|cffff4646业力*1|r魔法伤害|n|n|Cff00ff7f点击消耗20000金币进行强化|n成功率60%</v>
      </c>
      <c r="J18" s="135" t="str">
        <f t="shared" si="4"/>
        <v>|CffFFC926[武器]轩辕剑lv1|r</v>
      </c>
      <c r="K18" s="135" t="str">
        <f t="shared" si="5"/>
        <v>|Cffbbbbbb属性：|r|n攻击+100000|n攻速+40%|n伤害吸取+4%|n|n攻击10%概率附加|cffff4646业力*1|r魔法伤害|n|n|Cff00ff7f点击消耗20000金币进行强化|n成功率60%</v>
      </c>
      <c r="L18" s="27"/>
      <c r="M18" s="136" t="str">
        <f>VLOOKUP(LEFT(RIGHT(B18,5),4),物品!B:CU,20,FALSE)</f>
        <v>ReplaceableTextures\\CommandButtons\\BTNZ04.blp</v>
      </c>
      <c r="N18" s="154" t="s">
        <v>83</v>
      </c>
      <c r="O18" s="155" t="s">
        <v>84</v>
      </c>
      <c r="P18" s="27">
        <v>0</v>
      </c>
      <c r="Q18" s="27">
        <v>0</v>
      </c>
      <c r="R18" s="154" t="s">
        <v>83</v>
      </c>
      <c r="S18" s="154" t="s">
        <v>83</v>
      </c>
      <c r="T18" s="154" t="s">
        <v>83</v>
      </c>
      <c r="U18" s="154" t="s">
        <v>83</v>
      </c>
      <c r="V18" s="27">
        <v>1</v>
      </c>
      <c r="W18" s="27" t="s">
        <v>85</v>
      </c>
      <c r="X18" s="27">
        <v>0</v>
      </c>
      <c r="Y18" s="15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4" t="s">
        <v>83</v>
      </c>
      <c r="AF18" s="154" t="s">
        <v>83</v>
      </c>
      <c r="AG18" s="154" t="s">
        <v>83</v>
      </c>
      <c r="AH18" s="154" t="s">
        <v>83</v>
      </c>
      <c r="AI18" s="27"/>
      <c r="AJ18" s="27"/>
      <c r="AK18" s="27">
        <v>0</v>
      </c>
      <c r="AL18" s="27">
        <v>0</v>
      </c>
      <c r="AM18" s="154" t="s">
        <v>83</v>
      </c>
      <c r="AN18" s="27"/>
      <c r="AO18" s="27"/>
      <c r="AP18" s="27">
        <v>1</v>
      </c>
    </row>
    <row r="19" spans="1:42">
      <c r="A19" s="13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|Cffbbbbbb属性：|r|n攻击+120000|n攻速+40%|n伤害吸取+4%|n|n攻击10%概率附加|cffff4646业力*1|r魔法伤害|n|n|Cff00ff7f点击消耗20000金币进行强化|n成功率60%</v>
      </c>
      <c r="J19" s="135" t="str">
        <f t="shared" ref="J19:J35" si="6">H19</f>
        <v>|CffFFC926[武器]轩辕剑lv2|r</v>
      </c>
      <c r="K19" s="135" t="str">
        <f t="shared" ref="K19:K35" si="7">I19</f>
        <v>|Cffbbbbbb属性：|r|n攻击+120000|n攻速+40%|n伤害吸取+4%|n|n攻击10%概率附加|cffff4646业力*1|r魔法伤害|n|n|Cff00ff7f点击消耗20000金币进行强化|n成功率60%</v>
      </c>
      <c r="L19" s="27"/>
      <c r="M19" s="136" t="str">
        <f>VLOOKUP(LEFT(RIGHT(B19,5),4),物品!B:CU,20,FALSE)</f>
        <v>ReplaceableTextures\\CommandButtons\\BTNZ04.blp</v>
      </c>
      <c r="N19" s="154" t="s">
        <v>83</v>
      </c>
      <c r="O19" s="155" t="s">
        <v>84</v>
      </c>
      <c r="P19" s="27">
        <v>0</v>
      </c>
      <c r="Q19" s="27">
        <v>0</v>
      </c>
      <c r="R19" s="154" t="s">
        <v>83</v>
      </c>
      <c r="S19" s="154" t="s">
        <v>83</v>
      </c>
      <c r="T19" s="154" t="s">
        <v>83</v>
      </c>
      <c r="U19" s="154" t="s">
        <v>83</v>
      </c>
      <c r="V19" s="27">
        <v>1</v>
      </c>
      <c r="W19" s="27" t="s">
        <v>85</v>
      </c>
      <c r="X19" s="27">
        <v>0</v>
      </c>
      <c r="Y19" s="15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4" t="s">
        <v>83</v>
      </c>
      <c r="AF19" s="154" t="s">
        <v>83</v>
      </c>
      <c r="AG19" s="154" t="s">
        <v>83</v>
      </c>
      <c r="AH19" s="154" t="s">
        <v>83</v>
      </c>
      <c r="AI19" s="27"/>
      <c r="AJ19" s="27"/>
      <c r="AK19" s="27">
        <v>0</v>
      </c>
      <c r="AL19" s="27">
        <v>0</v>
      </c>
      <c r="AM19" s="154" t="s">
        <v>83</v>
      </c>
      <c r="AN19" s="27"/>
      <c r="AO19" s="27"/>
      <c r="AP19" s="27">
        <v>1</v>
      </c>
    </row>
    <row r="20" spans="1:42">
      <c r="A20" s="13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|Cffbbbbbb属性：|r|n攻击+140000|n攻速+40%|n伤害吸取+4%|n|n攻击10%概率附加|cffff4646业力*1|r魔法伤害|n|n|Cff00ff7f点击消耗20000金币进行强化|n成功率60%</v>
      </c>
      <c r="J20" s="135" t="str">
        <f t="shared" si="6"/>
        <v>|CffFFC926[武器]轩辕剑lv3|r</v>
      </c>
      <c r="K20" s="135" t="str">
        <f t="shared" si="7"/>
        <v>|Cffbbbbbb属性：|r|n攻击+140000|n攻速+40%|n伤害吸取+4%|n|n攻击10%概率附加|cffff4646业力*1|r魔法伤害|n|n|Cff00ff7f点击消耗20000金币进行强化|n成功率60%</v>
      </c>
      <c r="L20" s="27"/>
      <c r="M20" s="136" t="str">
        <f>VLOOKUP(LEFT(RIGHT(B20,5),4),物品!B:CU,20,FALSE)</f>
        <v>ReplaceableTextures\\CommandButtons\\BTNZ04.blp</v>
      </c>
      <c r="N20" s="154" t="s">
        <v>83</v>
      </c>
      <c r="O20" s="155" t="s">
        <v>84</v>
      </c>
      <c r="P20" s="27">
        <v>0</v>
      </c>
      <c r="Q20" s="27">
        <v>0</v>
      </c>
      <c r="R20" s="154" t="s">
        <v>83</v>
      </c>
      <c r="S20" s="154" t="s">
        <v>83</v>
      </c>
      <c r="T20" s="154" t="s">
        <v>83</v>
      </c>
      <c r="U20" s="154" t="s">
        <v>83</v>
      </c>
      <c r="V20" s="27">
        <v>1</v>
      </c>
      <c r="W20" s="27" t="s">
        <v>85</v>
      </c>
      <c r="X20" s="27">
        <v>0</v>
      </c>
      <c r="Y20" s="15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4" t="s">
        <v>83</v>
      </c>
      <c r="AF20" s="154" t="s">
        <v>83</v>
      </c>
      <c r="AG20" s="154" t="s">
        <v>83</v>
      </c>
      <c r="AH20" s="154" t="s">
        <v>83</v>
      </c>
      <c r="AI20" s="27"/>
      <c r="AJ20" s="27"/>
      <c r="AK20" s="27">
        <v>0</v>
      </c>
      <c r="AL20" s="27">
        <v>0</v>
      </c>
      <c r="AM20" s="154" t="s">
        <v>83</v>
      </c>
      <c r="AN20" s="27"/>
      <c r="AO20" s="27"/>
      <c r="AP20" s="27">
        <v>1</v>
      </c>
    </row>
    <row r="21" spans="1:42">
      <c r="A21" s="13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|Cffbbbbbb属性：|r|n攻击+170000|n攻速+40%|n伤害吸取+4%|n|n攻击10%概率附加|cffff4646业力*1|r魔法伤害|n|n|Cff00ff7f点击消耗20000金币进行强化|n成功率60%</v>
      </c>
      <c r="J21" s="135" t="str">
        <f t="shared" si="6"/>
        <v>|CffFFC926[武器]轩辕剑lv4|r</v>
      </c>
      <c r="K21" s="135" t="str">
        <f t="shared" si="7"/>
        <v>|Cffbbbbbb属性：|r|n攻击+170000|n攻速+40%|n伤害吸取+4%|n|n攻击10%概率附加|cffff4646业力*1|r魔法伤害|n|n|Cff00ff7f点击消耗20000金币进行强化|n成功率60%</v>
      </c>
      <c r="L21" s="27"/>
      <c r="M21" s="136" t="str">
        <f>VLOOKUP(LEFT(RIGHT(B21,5),4),物品!B:CU,20,FALSE)</f>
        <v>ReplaceableTextures\\CommandButtons\\BTNZ04.blp</v>
      </c>
      <c r="N21" s="154" t="s">
        <v>83</v>
      </c>
      <c r="O21" s="155" t="s">
        <v>84</v>
      </c>
      <c r="P21" s="27">
        <v>0</v>
      </c>
      <c r="Q21" s="27">
        <v>0</v>
      </c>
      <c r="R21" s="154" t="s">
        <v>83</v>
      </c>
      <c r="S21" s="154" t="s">
        <v>83</v>
      </c>
      <c r="T21" s="154" t="s">
        <v>83</v>
      </c>
      <c r="U21" s="154" t="s">
        <v>83</v>
      </c>
      <c r="V21" s="27">
        <v>1</v>
      </c>
      <c r="W21" s="27" t="s">
        <v>85</v>
      </c>
      <c r="X21" s="27">
        <v>0</v>
      </c>
      <c r="Y21" s="15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4" t="s">
        <v>83</v>
      </c>
      <c r="AF21" s="154" t="s">
        <v>83</v>
      </c>
      <c r="AG21" s="154" t="s">
        <v>83</v>
      </c>
      <c r="AH21" s="154" t="s">
        <v>83</v>
      </c>
      <c r="AI21" s="27"/>
      <c r="AJ21" s="27"/>
      <c r="AK21" s="27">
        <v>0</v>
      </c>
      <c r="AL21" s="27">
        <v>0</v>
      </c>
      <c r="AM21" s="154" t="s">
        <v>83</v>
      </c>
      <c r="AN21" s="27"/>
      <c r="AO21" s="27"/>
      <c r="AP21" s="27">
        <v>1</v>
      </c>
    </row>
    <row r="22" spans="1:42">
      <c r="A22" s="13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|Cffbbbbbb属性：|r|n攻击+200000|n攻速+40%|n伤害吸取+4%|n|n攻击10%概率附加|cffff4646业力*1|r魔法伤害|n|n|Cff00ff7f点击消耗35000金币进行晋阶挑战</v>
      </c>
      <c r="J22" s="135" t="str">
        <f t="shared" si="6"/>
        <v>|CffFFC926[武器]轩辕剑lv5|r</v>
      </c>
      <c r="K22" s="135" t="str">
        <f t="shared" si="7"/>
        <v>|Cffbbbbbb属性：|r|n攻击+200000|n攻速+40%|n伤害吸取+4%|n|n攻击10%概率附加|cffff4646业力*1|r魔法伤害|n|n|Cff00ff7f点击消耗35000金币进行晋阶挑战</v>
      </c>
      <c r="L22" s="27"/>
      <c r="M22" s="136" t="str">
        <f>VLOOKUP(LEFT(RIGHT(B22,5),4),物品!B:CU,20,FALSE)</f>
        <v>ReplaceableTextures\\CommandButtons\\BTNZ04.blp</v>
      </c>
      <c r="N22" s="154" t="s">
        <v>83</v>
      </c>
      <c r="O22" s="155" t="s">
        <v>84</v>
      </c>
      <c r="P22" s="27">
        <v>0</v>
      </c>
      <c r="Q22" s="27">
        <v>0</v>
      </c>
      <c r="R22" s="154" t="s">
        <v>83</v>
      </c>
      <c r="S22" s="154" t="s">
        <v>83</v>
      </c>
      <c r="T22" s="154" t="s">
        <v>83</v>
      </c>
      <c r="U22" s="154" t="s">
        <v>83</v>
      </c>
      <c r="V22" s="27">
        <v>1</v>
      </c>
      <c r="W22" s="27" t="s">
        <v>85</v>
      </c>
      <c r="X22" s="27">
        <v>0</v>
      </c>
      <c r="Y22" s="15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4" t="s">
        <v>83</v>
      </c>
      <c r="AF22" s="154" t="s">
        <v>83</v>
      </c>
      <c r="AG22" s="154" t="s">
        <v>83</v>
      </c>
      <c r="AH22" s="154" t="s">
        <v>83</v>
      </c>
      <c r="AI22" s="27"/>
      <c r="AJ22" s="27"/>
      <c r="AK22" s="27">
        <v>0</v>
      </c>
      <c r="AL22" s="27">
        <v>0</v>
      </c>
      <c r="AM22" s="154" t="s">
        <v>83</v>
      </c>
      <c r="AN22" s="27"/>
      <c r="AO22" s="27"/>
      <c r="AP22" s="27">
        <v>1</v>
      </c>
    </row>
    <row r="23" spans="1:42">
      <c r="A23" s="13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|Cffbbbbbb属性：|r|n攻击+300000|n攻速+60%|n伤害吸取+5%|n|n攻击10%概率附加|cffff4646业力*1|r魔法伤害|n|n|Cff00ff7f点击消耗35000金币进行强化|n成功率50%</v>
      </c>
      <c r="J23" s="135" t="str">
        <f t="shared" si="6"/>
        <v>|CffFF0000[武器]太极八卦剑lv1|r</v>
      </c>
      <c r="K23" s="135" t="str">
        <f t="shared" si="7"/>
        <v>|Cffbbbbbb属性：|r|n攻击+300000|n攻速+60%|n伤害吸取+5%|n|n攻击10%概率附加|cffff4646业力*1|r魔法伤害|n|n|Cff00ff7f点击消耗35000金币进行强化|n成功率50%</v>
      </c>
      <c r="L23" s="27"/>
      <c r="M23" s="136" t="str">
        <f>VLOOKUP(LEFT(RIGHT(B23,5),4),物品!B:CU,20,FALSE)</f>
        <v>ReplaceableTextures\\CommandButtons\\BTNZ05.blp</v>
      </c>
      <c r="N23" s="154" t="s">
        <v>83</v>
      </c>
      <c r="O23" s="155" t="s">
        <v>84</v>
      </c>
      <c r="P23" s="27">
        <v>0</v>
      </c>
      <c r="Q23" s="27">
        <v>0</v>
      </c>
      <c r="R23" s="154" t="s">
        <v>83</v>
      </c>
      <c r="S23" s="154" t="s">
        <v>83</v>
      </c>
      <c r="T23" s="154" t="s">
        <v>83</v>
      </c>
      <c r="U23" s="154" t="s">
        <v>83</v>
      </c>
      <c r="V23" s="27">
        <v>1</v>
      </c>
      <c r="W23" s="27" t="s">
        <v>85</v>
      </c>
      <c r="X23" s="27">
        <v>0</v>
      </c>
      <c r="Y23" s="15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4" t="s">
        <v>83</v>
      </c>
      <c r="AF23" s="154" t="s">
        <v>83</v>
      </c>
      <c r="AG23" s="154" t="s">
        <v>83</v>
      </c>
      <c r="AH23" s="154" t="s">
        <v>83</v>
      </c>
      <c r="AI23" s="27"/>
      <c r="AJ23" s="27"/>
      <c r="AK23" s="27">
        <v>0</v>
      </c>
      <c r="AL23" s="27">
        <v>0</v>
      </c>
      <c r="AM23" s="154" t="s">
        <v>83</v>
      </c>
      <c r="AN23" s="27"/>
      <c r="AO23" s="27"/>
      <c r="AP23" s="27">
        <v>1</v>
      </c>
    </row>
    <row r="24" spans="1:42">
      <c r="A24" s="13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|Cffbbbbbb属性：|r|n攻击+360000|n攻速+60%|n伤害吸取+5%|n|n攻击10%概率附加|cffff4646业力*1|r魔法伤害|n|n|Cff00ff7f点击消耗35000金币进行强化|n成功率50%</v>
      </c>
      <c r="J24" s="135" t="str">
        <f t="shared" si="6"/>
        <v>|CffFF0000[武器]太极八卦剑lv2|r</v>
      </c>
      <c r="K24" s="135" t="str">
        <f t="shared" si="7"/>
        <v>|Cffbbbbbb属性：|r|n攻击+360000|n攻速+60%|n伤害吸取+5%|n|n攻击10%概率附加|cffff4646业力*1|r魔法伤害|n|n|Cff00ff7f点击消耗35000金币进行强化|n成功率50%</v>
      </c>
      <c r="L24" s="27"/>
      <c r="M24" s="136" t="str">
        <f>VLOOKUP(LEFT(RIGHT(B24,5),4),物品!B:CU,20,FALSE)</f>
        <v>ReplaceableTextures\\CommandButtons\\BTNZ05.blp</v>
      </c>
      <c r="N24" s="154" t="s">
        <v>83</v>
      </c>
      <c r="O24" s="155" t="s">
        <v>84</v>
      </c>
      <c r="P24" s="27">
        <v>0</v>
      </c>
      <c r="Q24" s="27">
        <v>0</v>
      </c>
      <c r="R24" s="154" t="s">
        <v>83</v>
      </c>
      <c r="S24" s="154" t="s">
        <v>83</v>
      </c>
      <c r="T24" s="154" t="s">
        <v>83</v>
      </c>
      <c r="U24" s="154" t="s">
        <v>83</v>
      </c>
      <c r="V24" s="27">
        <v>1</v>
      </c>
      <c r="W24" s="27" t="s">
        <v>85</v>
      </c>
      <c r="X24" s="27">
        <v>0</v>
      </c>
      <c r="Y24" s="15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4" t="s">
        <v>83</v>
      </c>
      <c r="AF24" s="154" t="s">
        <v>83</v>
      </c>
      <c r="AG24" s="154" t="s">
        <v>83</v>
      </c>
      <c r="AH24" s="154" t="s">
        <v>83</v>
      </c>
      <c r="AI24" s="27"/>
      <c r="AJ24" s="27"/>
      <c r="AK24" s="27">
        <v>0</v>
      </c>
      <c r="AL24" s="27">
        <v>0</v>
      </c>
      <c r="AM24" s="154" t="s">
        <v>83</v>
      </c>
      <c r="AN24" s="27"/>
      <c r="AO24" s="27"/>
      <c r="AP24" s="27">
        <v>1</v>
      </c>
    </row>
    <row r="25" spans="1:42">
      <c r="A25" s="13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|Cffbbbbbb属性：|r|n攻击+420000|n攻速+60%|n伤害吸取+5%|n|n攻击10%概率附加|cffff4646业力*1|r魔法伤害|n|n|Cff00ff7f点击消耗35000金币进行强化|n成功率50%</v>
      </c>
      <c r="J25" s="135" t="str">
        <f t="shared" si="6"/>
        <v>|CffFF0000[武器]太极八卦剑lv3|r</v>
      </c>
      <c r="K25" s="135" t="str">
        <f t="shared" si="7"/>
        <v>|Cffbbbbbb属性：|r|n攻击+420000|n攻速+60%|n伤害吸取+5%|n|n攻击10%概率附加|cffff4646业力*1|r魔法伤害|n|n|Cff00ff7f点击消耗35000金币进行强化|n成功率50%</v>
      </c>
      <c r="L25" s="27"/>
      <c r="M25" s="136" t="str">
        <f>VLOOKUP(LEFT(RIGHT(B25,5),4),物品!B:CU,20,FALSE)</f>
        <v>ReplaceableTextures\\CommandButtons\\BTNZ05.blp</v>
      </c>
      <c r="N25" s="154" t="s">
        <v>83</v>
      </c>
      <c r="O25" s="155" t="s">
        <v>84</v>
      </c>
      <c r="P25" s="27">
        <v>0</v>
      </c>
      <c r="Q25" s="27">
        <v>0</v>
      </c>
      <c r="R25" s="154" t="s">
        <v>83</v>
      </c>
      <c r="S25" s="154" t="s">
        <v>83</v>
      </c>
      <c r="T25" s="154" t="s">
        <v>83</v>
      </c>
      <c r="U25" s="154" t="s">
        <v>83</v>
      </c>
      <c r="V25" s="27">
        <v>1</v>
      </c>
      <c r="W25" s="27" t="s">
        <v>85</v>
      </c>
      <c r="X25" s="27">
        <v>0</v>
      </c>
      <c r="Y25" s="15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4" t="s">
        <v>83</v>
      </c>
      <c r="AF25" s="154" t="s">
        <v>83</v>
      </c>
      <c r="AG25" s="154" t="s">
        <v>83</v>
      </c>
      <c r="AH25" s="154" t="s">
        <v>83</v>
      </c>
      <c r="AI25" s="27"/>
      <c r="AJ25" s="27"/>
      <c r="AK25" s="27">
        <v>0</v>
      </c>
      <c r="AL25" s="27">
        <v>0</v>
      </c>
      <c r="AM25" s="154" t="s">
        <v>83</v>
      </c>
      <c r="AN25" s="27"/>
      <c r="AO25" s="27"/>
      <c r="AP25" s="27">
        <v>1</v>
      </c>
    </row>
    <row r="26" spans="1:42">
      <c r="A26" s="13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|Cffbbbbbb属性：|r|n攻击+500000|n攻速+60%|n伤害吸取+5%|n|n攻击10%概率附加|cffff4646业力*1|r魔法伤害|n|n|Cff00ff7f点击消耗35000金币进行强化|n成功率50%</v>
      </c>
      <c r="J26" s="135" t="str">
        <f t="shared" si="6"/>
        <v>|CffFF0000[武器]太极八卦剑lv4|r</v>
      </c>
      <c r="K26" s="135" t="str">
        <f t="shared" si="7"/>
        <v>|Cffbbbbbb属性：|r|n攻击+500000|n攻速+60%|n伤害吸取+5%|n|n攻击10%概率附加|cffff4646业力*1|r魔法伤害|n|n|Cff00ff7f点击消耗35000金币进行强化|n成功率50%</v>
      </c>
      <c r="L26" s="27"/>
      <c r="M26" s="136" t="str">
        <f>VLOOKUP(LEFT(RIGHT(B26,5),4),物品!B:CU,20,FALSE)</f>
        <v>ReplaceableTextures\\CommandButtons\\BTNZ05.blp</v>
      </c>
      <c r="N26" s="154" t="s">
        <v>83</v>
      </c>
      <c r="O26" s="155" t="s">
        <v>84</v>
      </c>
      <c r="P26" s="27">
        <v>0</v>
      </c>
      <c r="Q26" s="27">
        <v>0</v>
      </c>
      <c r="R26" s="154" t="s">
        <v>83</v>
      </c>
      <c r="S26" s="154" t="s">
        <v>83</v>
      </c>
      <c r="T26" s="154" t="s">
        <v>83</v>
      </c>
      <c r="U26" s="154" t="s">
        <v>83</v>
      </c>
      <c r="V26" s="27">
        <v>1</v>
      </c>
      <c r="W26" s="27" t="s">
        <v>85</v>
      </c>
      <c r="X26" s="27">
        <v>0</v>
      </c>
      <c r="Y26" s="15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4" t="s">
        <v>83</v>
      </c>
      <c r="AF26" s="154" t="s">
        <v>83</v>
      </c>
      <c r="AG26" s="154" t="s">
        <v>83</v>
      </c>
      <c r="AH26" s="154" t="s">
        <v>83</v>
      </c>
      <c r="AI26" s="27"/>
      <c r="AJ26" s="27"/>
      <c r="AK26" s="27">
        <v>0</v>
      </c>
      <c r="AL26" s="27">
        <v>0</v>
      </c>
      <c r="AM26" s="154" t="s">
        <v>83</v>
      </c>
      <c r="AN26" s="27"/>
      <c r="AO26" s="27"/>
      <c r="AP26" s="27">
        <v>1</v>
      </c>
    </row>
    <row r="27" spans="1:42">
      <c r="A27" s="133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|Cffbbbbbb属性：|r|n攻击+600000|n攻速+60%|n伤害吸取+5%|n|n攻击10%概率附加|cffff4646业力*1|r魔法伤害|n|n|Cff999999装备进化：未开放|r</v>
      </c>
      <c r="J27" s="135" t="str">
        <f t="shared" si="6"/>
        <v>|CffFF0000[武器]太极八卦剑lv5|r</v>
      </c>
      <c r="K27" s="135" t="str">
        <f t="shared" si="7"/>
        <v>|Cffbbbbbb属性：|r|n攻击+600000|n攻速+60%|n伤害吸取+5%|n|n攻击10%概率附加|cffff4646业力*1|r魔法伤害|n|n|Cff999999装备进化：未开放|r</v>
      </c>
      <c r="L27" s="27"/>
      <c r="M27" s="136" t="str">
        <f>VLOOKUP(LEFT(RIGHT(B27,5),4),物品!B:CU,20,FALSE)</f>
        <v>ReplaceableTextures\\CommandButtons\\BTNZ05.blp</v>
      </c>
      <c r="N27" s="154" t="s">
        <v>83</v>
      </c>
      <c r="O27" s="155" t="s">
        <v>84</v>
      </c>
      <c r="P27" s="27">
        <v>0</v>
      </c>
      <c r="Q27" s="27">
        <v>0</v>
      </c>
      <c r="R27" s="154" t="s">
        <v>83</v>
      </c>
      <c r="S27" s="154" t="s">
        <v>83</v>
      </c>
      <c r="T27" s="154" t="s">
        <v>83</v>
      </c>
      <c r="U27" s="154" t="s">
        <v>83</v>
      </c>
      <c r="V27" s="27">
        <v>1</v>
      </c>
      <c r="W27" s="27" t="s">
        <v>85</v>
      </c>
      <c r="X27" s="27">
        <v>0</v>
      </c>
      <c r="Y27" s="15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4" t="s">
        <v>83</v>
      </c>
      <c r="AF27" s="154" t="s">
        <v>83</v>
      </c>
      <c r="AG27" s="154" t="s">
        <v>83</v>
      </c>
      <c r="AH27" s="154" t="s">
        <v>83</v>
      </c>
      <c r="AI27" s="27"/>
      <c r="AJ27" s="27"/>
      <c r="AK27" s="27">
        <v>0</v>
      </c>
      <c r="AL27" s="27">
        <v>0</v>
      </c>
      <c r="AM27" s="154" t="s">
        <v>83</v>
      </c>
      <c r="AN27" s="27"/>
      <c r="AO27" s="27"/>
      <c r="AP27" s="27"/>
    </row>
    <row r="28" spans="1:42">
      <c r="A28" s="133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|Cffbbbbbb属性：|r|n攻击+250|n业力+1000|n生命值+5000|n每秒业力+1|n|n攻击6%概率范围|cffff4646业力*15|r魔法伤害|n|n|Cff00ff7f击杀150只怪有50%概率升级|r</v>
      </c>
      <c r="J28" s="135" t="str">
        <f t="shared" si="6"/>
        <v>[饰品]青珑挂珠lv1</v>
      </c>
      <c r="K28" s="135" t="str">
        <f t="shared" si="7"/>
        <v>|Cffbbbbbb属性：|r|n攻击+250|n业力+1000|n生命值+5000|n每秒业力+1|n|n攻击6%概率范围|cffff4646业力*15|r魔法伤害|n|n|Cff00ff7f击杀150只怪有50%概率升级|r</v>
      </c>
      <c r="L28" s="27"/>
      <c r="M28" s="136" t="str">
        <f>VLOOKUP(LEFT(RIGHT(B28,5),4),物品!B:CU,20,FALSE)</f>
        <v>ReplaceableTextures\\CommandButtons\\BTNZ06.blp</v>
      </c>
      <c r="N28" s="154" t="s">
        <v>83</v>
      </c>
      <c r="O28" s="155" t="s">
        <v>84</v>
      </c>
      <c r="P28" s="27">
        <v>0</v>
      </c>
      <c r="Q28" s="27">
        <v>0</v>
      </c>
      <c r="R28" s="154" t="s">
        <v>83</v>
      </c>
      <c r="S28" s="154" t="s">
        <v>83</v>
      </c>
      <c r="T28" s="154" t="s">
        <v>83</v>
      </c>
      <c r="U28" s="154" t="s">
        <v>83</v>
      </c>
      <c r="V28" s="27">
        <v>2</v>
      </c>
      <c r="W28" s="27" t="s">
        <v>85</v>
      </c>
      <c r="X28" s="27">
        <v>0</v>
      </c>
      <c r="Y28" s="15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4" t="s">
        <v>83</v>
      </c>
      <c r="AF28" s="154" t="s">
        <v>83</v>
      </c>
      <c r="AG28" s="154" t="s">
        <v>83</v>
      </c>
      <c r="AH28" s="154" t="s">
        <v>83</v>
      </c>
      <c r="AI28" s="27"/>
      <c r="AJ28" s="27"/>
      <c r="AK28" s="27">
        <v>0</v>
      </c>
      <c r="AL28" s="27">
        <v>0</v>
      </c>
      <c r="AM28" s="154" t="s">
        <v>83</v>
      </c>
      <c r="AN28" s="27">
        <v>150</v>
      </c>
      <c r="AO28" s="27"/>
      <c r="AP28" s="27"/>
    </row>
    <row r="29" spans="1:42">
      <c r="A29" s="133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|Cffbbbbbb属性：|r|n攻击+500|n业力+2000|n生命值+10000|n每秒业力+2|n|n攻击6%概率范围|cffff4646业力*15|r魔法伤害|n|n|Cff00ff7f击杀150只怪有50%概率升级|r</v>
      </c>
      <c r="J29" s="135" t="str">
        <f t="shared" si="6"/>
        <v>[饰品]青珑挂珠lv2</v>
      </c>
      <c r="K29" s="135" t="str">
        <f t="shared" si="7"/>
        <v>|Cffbbbbbb属性：|r|n攻击+500|n业力+2000|n生命值+10000|n每秒业力+2|n|n攻击6%概率范围|cffff4646业力*15|r魔法伤害|n|n|Cff00ff7f击杀150只怪有50%概率升级|r</v>
      </c>
      <c r="L29" s="27"/>
      <c r="M29" s="136" t="str">
        <f>VLOOKUP(LEFT(RIGHT(B29,5),4),物品!B:CU,20,FALSE)</f>
        <v>ReplaceableTextures\\CommandButtons\\BTNZ06.blp</v>
      </c>
      <c r="N29" s="154" t="s">
        <v>83</v>
      </c>
      <c r="O29" s="155" t="s">
        <v>84</v>
      </c>
      <c r="P29" s="27">
        <v>0</v>
      </c>
      <c r="Q29" s="27">
        <v>0</v>
      </c>
      <c r="R29" s="154" t="s">
        <v>83</v>
      </c>
      <c r="S29" s="154" t="s">
        <v>83</v>
      </c>
      <c r="T29" s="154" t="s">
        <v>83</v>
      </c>
      <c r="U29" s="154" t="s">
        <v>83</v>
      </c>
      <c r="V29" s="27">
        <v>2</v>
      </c>
      <c r="W29" s="27" t="s">
        <v>85</v>
      </c>
      <c r="X29" s="27">
        <v>0</v>
      </c>
      <c r="Y29" s="15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4" t="s">
        <v>83</v>
      </c>
      <c r="AF29" s="154" t="s">
        <v>83</v>
      </c>
      <c r="AG29" s="154" t="s">
        <v>83</v>
      </c>
      <c r="AH29" s="154" t="s">
        <v>83</v>
      </c>
      <c r="AI29" s="27"/>
      <c r="AJ29" s="27"/>
      <c r="AK29" s="27">
        <v>0</v>
      </c>
      <c r="AL29" s="27">
        <v>0</v>
      </c>
      <c r="AM29" s="154" t="s">
        <v>83</v>
      </c>
      <c r="AN29" s="27">
        <v>150</v>
      </c>
      <c r="AO29" s="27"/>
      <c r="AP29" s="27"/>
    </row>
    <row r="30" spans="1:42">
      <c r="A30" s="133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|Cffbbbbbb属性：|r|n攻击+750|n业力+3000|n生命值+15000|n每秒业力+3|n|n攻击6%概率范围|cffff4646业力*15|r魔法伤害|n|n|Cff00ff7f击杀150只怪有50%概率升级|r</v>
      </c>
      <c r="J30" s="135" t="str">
        <f t="shared" si="6"/>
        <v>[饰品]青珑挂珠lv3</v>
      </c>
      <c r="K30" s="135" t="str">
        <f t="shared" si="7"/>
        <v>|Cffbbbbbb属性：|r|n攻击+750|n业力+3000|n生命值+15000|n每秒业力+3|n|n攻击6%概率范围|cffff4646业力*15|r魔法伤害|n|n|Cff00ff7f击杀150只怪有50%概率升级|r</v>
      </c>
      <c r="L30" s="27"/>
      <c r="M30" s="136" t="str">
        <f>VLOOKUP(LEFT(RIGHT(B30,5),4),物品!B:CU,20,FALSE)</f>
        <v>ReplaceableTextures\\CommandButtons\\BTNZ06.blp</v>
      </c>
      <c r="N30" s="154" t="s">
        <v>83</v>
      </c>
      <c r="O30" s="155" t="s">
        <v>84</v>
      </c>
      <c r="P30" s="27">
        <v>0</v>
      </c>
      <c r="Q30" s="27">
        <v>0</v>
      </c>
      <c r="R30" s="154" t="s">
        <v>83</v>
      </c>
      <c r="S30" s="154" t="s">
        <v>83</v>
      </c>
      <c r="T30" s="154" t="s">
        <v>83</v>
      </c>
      <c r="U30" s="154" t="s">
        <v>83</v>
      </c>
      <c r="V30" s="27">
        <v>2</v>
      </c>
      <c r="W30" s="27" t="s">
        <v>85</v>
      </c>
      <c r="X30" s="27">
        <v>0</v>
      </c>
      <c r="Y30" s="15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4" t="s">
        <v>83</v>
      </c>
      <c r="AF30" s="154" t="s">
        <v>83</v>
      </c>
      <c r="AG30" s="154" t="s">
        <v>83</v>
      </c>
      <c r="AH30" s="154" t="s">
        <v>83</v>
      </c>
      <c r="AI30" s="27"/>
      <c r="AJ30" s="27"/>
      <c r="AK30" s="27">
        <v>0</v>
      </c>
      <c r="AL30" s="27">
        <v>0</v>
      </c>
      <c r="AM30" s="154" t="s">
        <v>83</v>
      </c>
      <c r="AN30" s="27">
        <v>150</v>
      </c>
      <c r="AO30" s="27"/>
      <c r="AP30" s="27"/>
    </row>
    <row r="31" spans="1:42">
      <c r="A31" s="133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|Cffbbbbbb属性：|r|n攻击+1000|n业力+4000|n生命值+20000|n每秒业力+4|n|n攻击6%概率范围|cffff4646业力*15|r魔法伤害|n|n|Cff00ff7f击杀150只怪有50%概率升级|r</v>
      </c>
      <c r="J31" s="135" t="str">
        <f t="shared" si="6"/>
        <v>[饰品]青珑挂珠lv4</v>
      </c>
      <c r="K31" s="135" t="str">
        <f t="shared" si="7"/>
        <v>|Cffbbbbbb属性：|r|n攻击+1000|n业力+4000|n生命值+20000|n每秒业力+4|n|n攻击6%概率范围|cffff4646业力*15|r魔法伤害|n|n|Cff00ff7f击杀150只怪有50%概率升级|r</v>
      </c>
      <c r="L31" s="27"/>
      <c r="M31" s="136" t="str">
        <f>VLOOKUP(LEFT(RIGHT(B31,5),4),物品!B:CU,20,FALSE)</f>
        <v>ReplaceableTextures\\CommandButtons\\BTNZ06.blp</v>
      </c>
      <c r="N31" s="154" t="s">
        <v>83</v>
      </c>
      <c r="O31" s="155" t="s">
        <v>84</v>
      </c>
      <c r="P31" s="27">
        <v>0</v>
      </c>
      <c r="Q31" s="27">
        <v>0</v>
      </c>
      <c r="R31" s="154" t="s">
        <v>83</v>
      </c>
      <c r="S31" s="154" t="s">
        <v>83</v>
      </c>
      <c r="T31" s="154" t="s">
        <v>83</v>
      </c>
      <c r="U31" s="154" t="s">
        <v>83</v>
      </c>
      <c r="V31" s="27">
        <v>2</v>
      </c>
      <c r="W31" s="27" t="s">
        <v>85</v>
      </c>
      <c r="X31" s="27">
        <v>0</v>
      </c>
      <c r="Y31" s="15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4" t="s">
        <v>83</v>
      </c>
      <c r="AF31" s="154" t="s">
        <v>83</v>
      </c>
      <c r="AG31" s="154" t="s">
        <v>83</v>
      </c>
      <c r="AH31" s="154" t="s">
        <v>83</v>
      </c>
      <c r="AI31" s="27"/>
      <c r="AJ31" s="27"/>
      <c r="AK31" s="27">
        <v>0</v>
      </c>
      <c r="AL31" s="27">
        <v>0</v>
      </c>
      <c r="AM31" s="154" t="s">
        <v>83</v>
      </c>
      <c r="AN31" s="27">
        <v>150</v>
      </c>
      <c r="AO31" s="27"/>
      <c r="AP31" s="27"/>
    </row>
    <row r="32" spans="1:42">
      <c r="A32" s="133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|Cffbbbbbb属性：|r|n攻击+1250|n业力+5000|n生命值+25000|n每秒业力+5|n|n攻击6%概率范围|cffff4646业力*15|r魔法伤害|n|n|Cff00ff7f击杀150只怪有50%概率升级|r</v>
      </c>
      <c r="J32" s="135" t="str">
        <f t="shared" si="6"/>
        <v>[饰品]青珑挂珠lv5</v>
      </c>
      <c r="K32" s="135" t="str">
        <f t="shared" si="7"/>
        <v>|Cffbbbbbb属性：|r|n攻击+1250|n业力+5000|n生命值+25000|n每秒业力+5|n|n攻击6%概率范围|cffff4646业力*15|r魔法伤害|n|n|Cff00ff7f击杀150只怪有50%概率升级|r</v>
      </c>
      <c r="L32" s="27"/>
      <c r="M32" s="136" t="str">
        <f>VLOOKUP(LEFT(RIGHT(B32,5),4),物品!B:CU,20,FALSE)</f>
        <v>ReplaceableTextures\\CommandButtons\\BTNZ06.blp</v>
      </c>
      <c r="N32" s="154" t="s">
        <v>83</v>
      </c>
      <c r="O32" s="155" t="s">
        <v>84</v>
      </c>
      <c r="P32" s="27">
        <v>0</v>
      </c>
      <c r="Q32" s="27">
        <v>0</v>
      </c>
      <c r="R32" s="154" t="s">
        <v>83</v>
      </c>
      <c r="S32" s="154" t="s">
        <v>83</v>
      </c>
      <c r="T32" s="154" t="s">
        <v>83</v>
      </c>
      <c r="U32" s="154" t="s">
        <v>83</v>
      </c>
      <c r="V32" s="27">
        <v>2</v>
      </c>
      <c r="W32" s="27" t="s">
        <v>85</v>
      </c>
      <c r="X32" s="27">
        <v>0</v>
      </c>
      <c r="Y32" s="15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4" t="s">
        <v>83</v>
      </c>
      <c r="AF32" s="154" t="s">
        <v>83</v>
      </c>
      <c r="AG32" s="154" t="s">
        <v>83</v>
      </c>
      <c r="AH32" s="154" t="s">
        <v>83</v>
      </c>
      <c r="AI32" s="27"/>
      <c r="AJ32" s="27"/>
      <c r="AK32" s="27">
        <v>0</v>
      </c>
      <c r="AL32" s="27">
        <v>0</v>
      </c>
      <c r="AM32" s="154" t="s">
        <v>83</v>
      </c>
      <c r="AN32" s="27">
        <v>150</v>
      </c>
      <c r="AO32" s="27"/>
      <c r="AP32" s="27"/>
    </row>
    <row r="33" spans="1:42">
      <c r="A33" s="133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|Cffbbbbbb属性：|r|n攻击+2500|n业力+10000|n生命值+50000|n暴击+4%|n每秒业力+6|n|n攻击6%概率范围|cffff4646业力*15|r魔法伤害|n|n|Cff00ff7f击杀200只怪有50%概率升级|r</v>
      </c>
      <c r="J33" s="135" t="str">
        <f t="shared" si="6"/>
        <v>|Cff00FF7F[饰品]紫晶坠子lv1|r</v>
      </c>
      <c r="K33" s="135" t="str">
        <f t="shared" si="7"/>
        <v>|Cffbbbbbb属性：|r|n攻击+2500|n业力+10000|n生命值+50000|n暴击+4%|n每秒业力+6|n|n攻击6%概率范围|cffff4646业力*15|r魔法伤害|n|n|Cff00ff7f击杀200只怪有50%概率升级|r</v>
      </c>
      <c r="L33" s="27"/>
      <c r="M33" s="136" t="str">
        <f>VLOOKUP(LEFT(RIGHT(B33,5),4),物品!B:CU,20,FALSE)</f>
        <v>ReplaceableTextures\\CommandButtons\\BTNZ07.blp</v>
      </c>
      <c r="N33" s="154" t="s">
        <v>83</v>
      </c>
      <c r="O33" s="155" t="s">
        <v>84</v>
      </c>
      <c r="P33" s="27">
        <v>0</v>
      </c>
      <c r="Q33" s="27">
        <v>0</v>
      </c>
      <c r="R33" s="154" t="s">
        <v>83</v>
      </c>
      <c r="S33" s="154" t="s">
        <v>83</v>
      </c>
      <c r="T33" s="154" t="s">
        <v>83</v>
      </c>
      <c r="U33" s="154" t="s">
        <v>83</v>
      </c>
      <c r="V33" s="27">
        <v>2</v>
      </c>
      <c r="W33" s="27" t="s">
        <v>85</v>
      </c>
      <c r="X33" s="27">
        <v>0</v>
      </c>
      <c r="Y33" s="15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4" t="s">
        <v>83</v>
      </c>
      <c r="AF33" s="154" t="s">
        <v>83</v>
      </c>
      <c r="AG33" s="154" t="s">
        <v>83</v>
      </c>
      <c r="AH33" s="154" t="s">
        <v>83</v>
      </c>
      <c r="AI33" s="27"/>
      <c r="AJ33" s="27"/>
      <c r="AK33" s="27">
        <v>0</v>
      </c>
      <c r="AL33" s="27">
        <v>0</v>
      </c>
      <c r="AM33" s="154" t="s">
        <v>83</v>
      </c>
      <c r="AN33" s="27">
        <v>200</v>
      </c>
      <c r="AO33" s="27"/>
      <c r="AP33" s="27"/>
    </row>
    <row r="34" spans="1:42">
      <c r="A34" s="133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|Cffbbbbbb属性：|r|n攻击+3000|n业力+12000|n生命值+60000|n暴击+4%|n每秒业力+7|n|n攻击6%概率范围|cffff4646业力*15|r魔法伤害|n|n|Cff00ff7f击杀200只怪有50%概率升级|r</v>
      </c>
      <c r="J34" s="135" t="str">
        <f t="shared" si="6"/>
        <v>|Cff00FF7F[饰品]紫晶坠子lv2|r</v>
      </c>
      <c r="K34" s="135" t="str">
        <f t="shared" si="7"/>
        <v>|Cffbbbbbb属性：|r|n攻击+3000|n业力+12000|n生命值+60000|n暴击+4%|n每秒业力+7|n|n攻击6%概率范围|cffff4646业力*15|r魔法伤害|n|n|Cff00ff7f击杀200只怪有50%概率升级|r</v>
      </c>
      <c r="L34" s="27"/>
      <c r="M34" s="136" t="str">
        <f>VLOOKUP(LEFT(RIGHT(B34,5),4),物品!B:CU,20,FALSE)</f>
        <v>ReplaceableTextures\\CommandButtons\\BTNZ07.blp</v>
      </c>
      <c r="N34" s="154" t="s">
        <v>83</v>
      </c>
      <c r="O34" s="155" t="s">
        <v>84</v>
      </c>
      <c r="P34" s="27">
        <v>0</v>
      </c>
      <c r="Q34" s="27">
        <v>0</v>
      </c>
      <c r="R34" s="154" t="s">
        <v>83</v>
      </c>
      <c r="S34" s="154" t="s">
        <v>83</v>
      </c>
      <c r="T34" s="154" t="s">
        <v>83</v>
      </c>
      <c r="U34" s="154" t="s">
        <v>83</v>
      </c>
      <c r="V34" s="27">
        <v>2</v>
      </c>
      <c r="W34" s="27" t="s">
        <v>85</v>
      </c>
      <c r="X34" s="27">
        <v>0</v>
      </c>
      <c r="Y34" s="15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4" t="s">
        <v>83</v>
      </c>
      <c r="AF34" s="154" t="s">
        <v>83</v>
      </c>
      <c r="AG34" s="154" t="s">
        <v>83</v>
      </c>
      <c r="AH34" s="154" t="s">
        <v>83</v>
      </c>
      <c r="AI34" s="27"/>
      <c r="AJ34" s="27"/>
      <c r="AK34" s="27">
        <v>0</v>
      </c>
      <c r="AL34" s="27">
        <v>0</v>
      </c>
      <c r="AM34" s="154" t="s">
        <v>83</v>
      </c>
      <c r="AN34" s="27">
        <v>200</v>
      </c>
      <c r="AO34" s="27"/>
      <c r="AP34" s="27"/>
    </row>
    <row r="35" spans="1:42">
      <c r="A35" s="133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|Cffbbbbbb属性：|r|n攻击+3500|n业力+14000|n生命值+70000|n暴击+4%|n每秒业力+8|n|n攻击6%概率范围|cffff4646业力*15|r魔法伤害|n|n|Cff00ff7f击杀200只怪有50%概率升级|r</v>
      </c>
      <c r="J35" s="135" t="str">
        <f t="shared" si="6"/>
        <v>|Cff00FF7F[饰品]紫晶坠子lv3|r</v>
      </c>
      <c r="K35" s="135" t="str">
        <f t="shared" si="7"/>
        <v>|Cffbbbbbb属性：|r|n攻击+3500|n业力+14000|n生命值+70000|n暴击+4%|n每秒业力+8|n|n攻击6%概率范围|cffff4646业力*15|r魔法伤害|n|n|Cff00ff7f击杀200只怪有50%概率升级|r</v>
      </c>
      <c r="L35" s="27"/>
      <c r="M35" s="136" t="str">
        <f>VLOOKUP(LEFT(RIGHT(B35,5),4),物品!B:CU,20,FALSE)</f>
        <v>ReplaceableTextures\\CommandButtons\\BTNZ07.blp</v>
      </c>
      <c r="N35" s="154" t="s">
        <v>83</v>
      </c>
      <c r="O35" s="155" t="s">
        <v>84</v>
      </c>
      <c r="P35" s="27">
        <v>0</v>
      </c>
      <c r="Q35" s="27">
        <v>0</v>
      </c>
      <c r="R35" s="154" t="s">
        <v>83</v>
      </c>
      <c r="S35" s="154" t="s">
        <v>83</v>
      </c>
      <c r="T35" s="154" t="s">
        <v>83</v>
      </c>
      <c r="U35" s="154" t="s">
        <v>83</v>
      </c>
      <c r="V35" s="27">
        <v>2</v>
      </c>
      <c r="W35" s="27" t="s">
        <v>85</v>
      </c>
      <c r="X35" s="27">
        <v>0</v>
      </c>
      <c r="Y35" s="15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4" t="s">
        <v>83</v>
      </c>
      <c r="AF35" s="154" t="s">
        <v>83</v>
      </c>
      <c r="AG35" s="154" t="s">
        <v>83</v>
      </c>
      <c r="AH35" s="154" t="s">
        <v>83</v>
      </c>
      <c r="AI35" s="27"/>
      <c r="AJ35" s="27"/>
      <c r="AK35" s="27">
        <v>0</v>
      </c>
      <c r="AL35" s="27">
        <v>0</v>
      </c>
      <c r="AM35" s="154" t="s">
        <v>83</v>
      </c>
      <c r="AN35" s="27">
        <v>200</v>
      </c>
      <c r="AO35" s="27"/>
      <c r="AP35" s="27"/>
    </row>
    <row r="36" spans="1:42">
      <c r="A36" s="133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|Cffbbbbbb属性：|r|n攻击+4250|n业力+17000|n生命值+85000|n暴击+4%|n每秒业力+9|n|n攻击6%概率范围|cffff4646业力*15|r魔法伤害|n|n|Cff00ff7f击杀200只怪有50%概率升级|r</v>
      </c>
      <c r="J36" s="135" t="str">
        <f t="shared" ref="J36:J53" si="8">H36</f>
        <v>|Cff00FF7F[饰品]紫晶坠子lv4|r</v>
      </c>
      <c r="K36" s="135" t="str">
        <f t="shared" ref="K36:K53" si="9">I36</f>
        <v>|Cffbbbbbb属性：|r|n攻击+4250|n业力+17000|n生命值+85000|n暴击+4%|n每秒业力+9|n|n攻击6%概率范围|cffff4646业力*15|r魔法伤害|n|n|Cff00ff7f击杀200只怪有50%概率升级|r</v>
      </c>
      <c r="L36" s="27"/>
      <c r="M36" s="136" t="str">
        <f>VLOOKUP(LEFT(RIGHT(B36,5),4),物品!B:CU,20,FALSE)</f>
        <v>ReplaceableTextures\\CommandButtons\\BTNZ07.blp</v>
      </c>
      <c r="N36" s="154" t="s">
        <v>83</v>
      </c>
      <c r="O36" s="155" t="s">
        <v>84</v>
      </c>
      <c r="P36" s="27">
        <v>0</v>
      </c>
      <c r="Q36" s="27">
        <v>0</v>
      </c>
      <c r="R36" s="154" t="s">
        <v>83</v>
      </c>
      <c r="S36" s="154" t="s">
        <v>83</v>
      </c>
      <c r="T36" s="154" t="s">
        <v>83</v>
      </c>
      <c r="U36" s="154" t="s">
        <v>83</v>
      </c>
      <c r="V36" s="27">
        <v>2</v>
      </c>
      <c r="W36" s="27" t="s">
        <v>85</v>
      </c>
      <c r="X36" s="27">
        <v>0</v>
      </c>
      <c r="Y36" s="15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4" t="s">
        <v>83</v>
      </c>
      <c r="AF36" s="154" t="s">
        <v>83</v>
      </c>
      <c r="AG36" s="154" t="s">
        <v>83</v>
      </c>
      <c r="AH36" s="154" t="s">
        <v>83</v>
      </c>
      <c r="AI36" s="27"/>
      <c r="AJ36" s="27"/>
      <c r="AK36" s="27">
        <v>0</v>
      </c>
      <c r="AL36" s="27">
        <v>0</v>
      </c>
      <c r="AM36" s="154" t="s">
        <v>83</v>
      </c>
      <c r="AN36" s="27">
        <v>200</v>
      </c>
      <c r="AO36" s="27"/>
      <c r="AP36" s="27"/>
    </row>
    <row r="37" spans="1:42">
      <c r="A37" s="133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|Cffbbbbbb属性：|r|n攻击+5000|n业力+20000|n生命值+100000|n暴击+4%|n每秒业力+10|n|n攻击6%概率范围|cffff4646业力*15|r魔法伤害|n|n|Cff00ff7f击杀200只怪有50%概率升级|r</v>
      </c>
      <c r="J37" s="135" t="str">
        <f t="shared" si="8"/>
        <v>|Cff00FF7F[饰品]紫晶坠子lv5|r</v>
      </c>
      <c r="K37" s="135" t="str">
        <f t="shared" si="9"/>
        <v>|Cffbbbbbb属性：|r|n攻击+5000|n业力+20000|n生命值+100000|n暴击+4%|n每秒业力+10|n|n攻击6%概率范围|cffff4646业力*15|r魔法伤害|n|n|Cff00ff7f击杀200只怪有50%概率升级|r</v>
      </c>
      <c r="L37" s="27"/>
      <c r="M37" s="136" t="str">
        <f>VLOOKUP(LEFT(RIGHT(B37,5),4),物品!B:CU,20,FALSE)</f>
        <v>ReplaceableTextures\\CommandButtons\\BTNZ07.blp</v>
      </c>
      <c r="N37" s="154" t="s">
        <v>83</v>
      </c>
      <c r="O37" s="155" t="s">
        <v>84</v>
      </c>
      <c r="P37" s="27">
        <v>0</v>
      </c>
      <c r="Q37" s="27">
        <v>0</v>
      </c>
      <c r="R37" s="154" t="s">
        <v>83</v>
      </c>
      <c r="S37" s="154" t="s">
        <v>83</v>
      </c>
      <c r="T37" s="154" t="s">
        <v>83</v>
      </c>
      <c r="U37" s="154" t="s">
        <v>83</v>
      </c>
      <c r="V37" s="27">
        <v>2</v>
      </c>
      <c r="W37" s="27" t="s">
        <v>85</v>
      </c>
      <c r="X37" s="27">
        <v>0</v>
      </c>
      <c r="Y37" s="15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4" t="s">
        <v>83</v>
      </c>
      <c r="AF37" s="154" t="s">
        <v>83</v>
      </c>
      <c r="AG37" s="154" t="s">
        <v>83</v>
      </c>
      <c r="AH37" s="154" t="s">
        <v>83</v>
      </c>
      <c r="AI37" s="27"/>
      <c r="AJ37" s="27"/>
      <c r="AK37" s="27">
        <v>0</v>
      </c>
      <c r="AL37" s="27">
        <v>0</v>
      </c>
      <c r="AM37" s="154" t="s">
        <v>83</v>
      </c>
      <c r="AN37" s="27">
        <v>200</v>
      </c>
      <c r="AO37" s="27"/>
      <c r="AP37" s="27"/>
    </row>
    <row r="38" spans="1:42">
      <c r="A38" s="133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|Cffbbbbbb属性：|r|n攻击+7500|n业力+30000|n生命值+150000|n暴击+6%|n每秒业力+11|n|n攻击6%概率范围|cffff4646业力*15|r魔法伤害|n|n|Cff00ff7f击杀300只怪有50%概率升级|r</v>
      </c>
      <c r="J38" s="135" t="str">
        <f t="shared" si="8"/>
        <v>|Cff00BFFF[饰品]三才项圈lv1|r</v>
      </c>
      <c r="K38" s="135" t="str">
        <f t="shared" si="9"/>
        <v>|Cffbbbbbb属性：|r|n攻击+7500|n业力+30000|n生命值+150000|n暴击+6%|n每秒业力+11|n|n攻击6%概率范围|cffff4646业力*15|r魔法伤害|n|n|Cff00ff7f击杀300只怪有50%概率升级|r</v>
      </c>
      <c r="L38" s="27"/>
      <c r="M38" s="136" t="str">
        <f>VLOOKUP(LEFT(RIGHT(B38,5),4),物品!B:CU,20,FALSE)</f>
        <v>ReplaceableTextures\\CommandButtons\\BTNZ08.blp</v>
      </c>
      <c r="N38" s="154" t="s">
        <v>83</v>
      </c>
      <c r="O38" s="155" t="s">
        <v>84</v>
      </c>
      <c r="P38" s="27">
        <v>0</v>
      </c>
      <c r="Q38" s="27">
        <v>0</v>
      </c>
      <c r="R38" s="154" t="s">
        <v>83</v>
      </c>
      <c r="S38" s="154" t="s">
        <v>83</v>
      </c>
      <c r="T38" s="154" t="s">
        <v>83</v>
      </c>
      <c r="U38" s="154" t="s">
        <v>83</v>
      </c>
      <c r="V38" s="27">
        <v>2</v>
      </c>
      <c r="W38" s="27" t="s">
        <v>85</v>
      </c>
      <c r="X38" s="27">
        <v>0</v>
      </c>
      <c r="Y38" s="15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4" t="s">
        <v>83</v>
      </c>
      <c r="AF38" s="154" t="s">
        <v>83</v>
      </c>
      <c r="AG38" s="154" t="s">
        <v>83</v>
      </c>
      <c r="AH38" s="154" t="s">
        <v>83</v>
      </c>
      <c r="AI38" s="27"/>
      <c r="AJ38" s="27"/>
      <c r="AK38" s="27">
        <v>0</v>
      </c>
      <c r="AL38" s="27">
        <v>0</v>
      </c>
      <c r="AM38" s="154" t="s">
        <v>83</v>
      </c>
      <c r="AN38" s="27">
        <v>300</v>
      </c>
      <c r="AO38" s="27"/>
      <c r="AP38" s="27"/>
    </row>
    <row r="39" spans="1:42">
      <c r="A39" s="133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|Cffbbbbbb属性：|r|n攻击+9000|n业力+36000|n生命值+180000|n暴击+6%|n每秒业力+12|n|n攻击6%概率范围|cffff4646业力*15|r魔法伤害|n|n|Cff00ff7f击杀300只怪有50%概率升级|r</v>
      </c>
      <c r="J39" s="135" t="str">
        <f t="shared" si="8"/>
        <v>|Cff00BFFF[饰品]三才项圈lv2|r</v>
      </c>
      <c r="K39" s="135" t="str">
        <f t="shared" si="9"/>
        <v>|Cffbbbbbb属性：|r|n攻击+9000|n业力+36000|n生命值+180000|n暴击+6%|n每秒业力+12|n|n攻击6%概率范围|cffff4646业力*15|r魔法伤害|n|n|Cff00ff7f击杀300只怪有50%概率升级|r</v>
      </c>
      <c r="L39" s="27"/>
      <c r="M39" s="136" t="str">
        <f>VLOOKUP(LEFT(RIGHT(B39,5),4),物品!B:CU,20,FALSE)</f>
        <v>ReplaceableTextures\\CommandButtons\\BTNZ08.blp</v>
      </c>
      <c r="N39" s="154" t="s">
        <v>83</v>
      </c>
      <c r="O39" s="155" t="s">
        <v>84</v>
      </c>
      <c r="P39" s="27">
        <v>0</v>
      </c>
      <c r="Q39" s="27">
        <v>0</v>
      </c>
      <c r="R39" s="154" t="s">
        <v>83</v>
      </c>
      <c r="S39" s="154" t="s">
        <v>83</v>
      </c>
      <c r="T39" s="154" t="s">
        <v>83</v>
      </c>
      <c r="U39" s="154" t="s">
        <v>83</v>
      </c>
      <c r="V39" s="27">
        <v>2</v>
      </c>
      <c r="W39" s="27" t="s">
        <v>85</v>
      </c>
      <c r="X39" s="27">
        <v>0</v>
      </c>
      <c r="Y39" s="15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4" t="s">
        <v>83</v>
      </c>
      <c r="AF39" s="154" t="s">
        <v>83</v>
      </c>
      <c r="AG39" s="154" t="s">
        <v>83</v>
      </c>
      <c r="AH39" s="154" t="s">
        <v>83</v>
      </c>
      <c r="AI39" s="27"/>
      <c r="AJ39" s="27"/>
      <c r="AK39" s="27">
        <v>0</v>
      </c>
      <c r="AL39" s="27">
        <v>0</v>
      </c>
      <c r="AM39" s="154" t="s">
        <v>83</v>
      </c>
      <c r="AN39" s="27">
        <v>300</v>
      </c>
      <c r="AO39" s="27"/>
      <c r="AP39" s="27"/>
    </row>
    <row r="40" spans="1:42">
      <c r="A40" s="133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|Cffbbbbbb属性：|r|n攻击+10500|n业力+42000|n生命值+210000|n暴击+6%|n每秒业力+13|n|n攻击6%概率范围|cffff4646业力*15|r魔法伤害|n|n|Cff00ff7f击杀300只怪有50%概率升级|r</v>
      </c>
      <c r="J40" s="135" t="str">
        <f t="shared" si="8"/>
        <v>|Cff00BFFF[饰品]三才项圈lv3|r</v>
      </c>
      <c r="K40" s="135" t="str">
        <f t="shared" si="9"/>
        <v>|Cffbbbbbb属性：|r|n攻击+10500|n业力+42000|n生命值+210000|n暴击+6%|n每秒业力+13|n|n攻击6%概率范围|cffff4646业力*15|r魔法伤害|n|n|Cff00ff7f击杀300只怪有50%概率升级|r</v>
      </c>
      <c r="L40" s="27"/>
      <c r="M40" s="136" t="str">
        <f>VLOOKUP(LEFT(RIGHT(B40,5),4),物品!B:CU,20,FALSE)</f>
        <v>ReplaceableTextures\\CommandButtons\\BTNZ08.blp</v>
      </c>
      <c r="N40" s="154" t="s">
        <v>83</v>
      </c>
      <c r="O40" s="155" t="s">
        <v>84</v>
      </c>
      <c r="P40" s="27">
        <v>0</v>
      </c>
      <c r="Q40" s="27">
        <v>0</v>
      </c>
      <c r="R40" s="154" t="s">
        <v>83</v>
      </c>
      <c r="S40" s="154" t="s">
        <v>83</v>
      </c>
      <c r="T40" s="154" t="s">
        <v>83</v>
      </c>
      <c r="U40" s="154" t="s">
        <v>83</v>
      </c>
      <c r="V40" s="27">
        <v>2</v>
      </c>
      <c r="W40" s="27" t="s">
        <v>85</v>
      </c>
      <c r="X40" s="27">
        <v>0</v>
      </c>
      <c r="Y40" s="15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4" t="s">
        <v>83</v>
      </c>
      <c r="AF40" s="154" t="s">
        <v>83</v>
      </c>
      <c r="AG40" s="154" t="s">
        <v>83</v>
      </c>
      <c r="AH40" s="154" t="s">
        <v>83</v>
      </c>
      <c r="AI40" s="27"/>
      <c r="AJ40" s="27"/>
      <c r="AK40" s="27">
        <v>0</v>
      </c>
      <c r="AL40" s="27">
        <v>0</v>
      </c>
      <c r="AM40" s="154" t="s">
        <v>83</v>
      </c>
      <c r="AN40" s="27">
        <v>300</v>
      </c>
      <c r="AO40" s="27"/>
      <c r="AP40" s="27"/>
    </row>
    <row r="41" spans="1:42">
      <c r="A41" s="133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|Cffbbbbbb属性：|r|n攻击+12500|n业力+50000|n生命值+250000|n暴击+6%|n每秒业力+14|n|n攻击6%概率范围|cffff4646业力*15|r魔法伤害|n|n|Cff00ff7f击杀300只怪有50%概率升级|r</v>
      </c>
      <c r="J41" s="135" t="str">
        <f t="shared" si="8"/>
        <v>|Cff00BFFF[饰品]三才项圈lv4|r</v>
      </c>
      <c r="K41" s="135" t="str">
        <f t="shared" si="9"/>
        <v>|Cffbbbbbb属性：|r|n攻击+12500|n业力+50000|n生命值+250000|n暴击+6%|n每秒业力+14|n|n攻击6%概率范围|cffff4646业力*15|r魔法伤害|n|n|Cff00ff7f击杀300只怪有50%概率升级|r</v>
      </c>
      <c r="L41" s="27"/>
      <c r="M41" s="136" t="str">
        <f>VLOOKUP(LEFT(RIGHT(B41,5),4),物品!B:CU,20,FALSE)</f>
        <v>ReplaceableTextures\\CommandButtons\\BTNZ08.blp</v>
      </c>
      <c r="N41" s="154" t="s">
        <v>83</v>
      </c>
      <c r="O41" s="155" t="s">
        <v>84</v>
      </c>
      <c r="P41" s="27">
        <v>0</v>
      </c>
      <c r="Q41" s="27">
        <v>0</v>
      </c>
      <c r="R41" s="154" t="s">
        <v>83</v>
      </c>
      <c r="S41" s="154" t="s">
        <v>83</v>
      </c>
      <c r="T41" s="154" t="s">
        <v>83</v>
      </c>
      <c r="U41" s="154" t="s">
        <v>83</v>
      </c>
      <c r="V41" s="27">
        <v>2</v>
      </c>
      <c r="W41" s="27" t="s">
        <v>85</v>
      </c>
      <c r="X41" s="27">
        <v>0</v>
      </c>
      <c r="Y41" s="15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4" t="s">
        <v>83</v>
      </c>
      <c r="AF41" s="154" t="s">
        <v>83</v>
      </c>
      <c r="AG41" s="154" t="s">
        <v>83</v>
      </c>
      <c r="AH41" s="154" t="s">
        <v>83</v>
      </c>
      <c r="AI41" s="27"/>
      <c r="AJ41" s="27"/>
      <c r="AK41" s="27">
        <v>0</v>
      </c>
      <c r="AL41" s="27">
        <v>0</v>
      </c>
      <c r="AM41" s="154" t="s">
        <v>83</v>
      </c>
      <c r="AN41" s="27">
        <v>300</v>
      </c>
      <c r="AO41" s="27"/>
      <c r="AP41" s="27"/>
    </row>
    <row r="42" spans="1:42">
      <c r="A42" s="133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|Cffbbbbbb属性：|r|n攻击+15000|n业力+60000|n生命值+300000|n暴击+6%|n每秒业力+15|n|n攻击6%概率范围|cffff4646业力*15|r魔法伤害|n|n|Cff00ff7f击杀300只怪有50%概率升级|r</v>
      </c>
      <c r="J42" s="135" t="str">
        <f t="shared" si="8"/>
        <v>|Cff00BFFF[饰品]三才项圈lv5|r</v>
      </c>
      <c r="K42" s="135" t="str">
        <f t="shared" si="9"/>
        <v>|Cffbbbbbb属性：|r|n攻击+15000|n业力+60000|n生命值+300000|n暴击+6%|n每秒业力+15|n|n攻击6%概率范围|cffff4646业力*15|r魔法伤害|n|n|Cff00ff7f击杀300只怪有50%概率升级|r</v>
      </c>
      <c r="L42" s="27"/>
      <c r="M42" s="136" t="str">
        <f>VLOOKUP(LEFT(RIGHT(B42,5),4),物品!B:CU,20,FALSE)</f>
        <v>ReplaceableTextures\\CommandButtons\\BTNZ08.blp</v>
      </c>
      <c r="N42" s="154" t="s">
        <v>83</v>
      </c>
      <c r="O42" s="155" t="s">
        <v>84</v>
      </c>
      <c r="P42" s="27">
        <v>0</v>
      </c>
      <c r="Q42" s="27">
        <v>0</v>
      </c>
      <c r="R42" s="154" t="s">
        <v>83</v>
      </c>
      <c r="S42" s="154" t="s">
        <v>83</v>
      </c>
      <c r="T42" s="154" t="s">
        <v>83</v>
      </c>
      <c r="U42" s="154" t="s">
        <v>83</v>
      </c>
      <c r="V42" s="27">
        <v>2</v>
      </c>
      <c r="W42" s="27" t="s">
        <v>85</v>
      </c>
      <c r="X42" s="27">
        <v>0</v>
      </c>
      <c r="Y42" s="15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4" t="s">
        <v>83</v>
      </c>
      <c r="AF42" s="154" t="s">
        <v>83</v>
      </c>
      <c r="AG42" s="154" t="s">
        <v>83</v>
      </c>
      <c r="AH42" s="154" t="s">
        <v>83</v>
      </c>
      <c r="AI42" s="27"/>
      <c r="AJ42" s="27"/>
      <c r="AK42" s="27">
        <v>0</v>
      </c>
      <c r="AL42" s="27">
        <v>0</v>
      </c>
      <c r="AM42" s="154" t="s">
        <v>83</v>
      </c>
      <c r="AN42" s="27">
        <v>300</v>
      </c>
      <c r="AO42" s="27"/>
      <c r="AP42" s="27"/>
    </row>
    <row r="43" spans="1:42">
      <c r="A43" s="133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|Cffbbbbbb属性：|r|n攻击+25000|n业力+100000|n生命值+500000|n暴击+8%|n每秒业力+16|n|n攻击6%概率范围|cffff4646业力*15|r魔法伤害|n|n|Cff00ff7f击杀400只怪有50%概率升级|r</v>
      </c>
      <c r="J43" s="135" t="str">
        <f t="shared" si="8"/>
        <v>|CffFFC926[饰品]秘魔灵珠lv1|r</v>
      </c>
      <c r="K43" s="135" t="str">
        <f t="shared" si="9"/>
        <v>|Cffbbbbbb属性：|r|n攻击+25000|n业力+100000|n生命值+500000|n暴击+8%|n每秒业力+16|n|n攻击6%概率范围|cffff4646业力*15|r魔法伤害|n|n|Cff00ff7f击杀400只怪有50%概率升级|r</v>
      </c>
      <c r="L43" s="27"/>
      <c r="M43" s="136" t="str">
        <f>VLOOKUP(LEFT(RIGHT(B43,5),4),物品!B:CU,20,FALSE)</f>
        <v>ReplaceableTextures\\CommandButtons\\BTNZ09.blp</v>
      </c>
      <c r="N43" s="154" t="s">
        <v>83</v>
      </c>
      <c r="O43" s="155" t="s">
        <v>84</v>
      </c>
      <c r="P43" s="27">
        <v>0</v>
      </c>
      <c r="Q43" s="27">
        <v>0</v>
      </c>
      <c r="R43" s="154" t="s">
        <v>83</v>
      </c>
      <c r="S43" s="154" t="s">
        <v>83</v>
      </c>
      <c r="T43" s="154" t="s">
        <v>83</v>
      </c>
      <c r="U43" s="154" t="s">
        <v>83</v>
      </c>
      <c r="V43" s="27">
        <v>2</v>
      </c>
      <c r="W43" s="27" t="s">
        <v>85</v>
      </c>
      <c r="X43" s="27">
        <v>0</v>
      </c>
      <c r="Y43" s="15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4" t="s">
        <v>83</v>
      </c>
      <c r="AF43" s="154" t="s">
        <v>83</v>
      </c>
      <c r="AG43" s="154" t="s">
        <v>83</v>
      </c>
      <c r="AH43" s="154" t="s">
        <v>83</v>
      </c>
      <c r="AI43" s="27"/>
      <c r="AJ43" s="27"/>
      <c r="AK43" s="27">
        <v>0</v>
      </c>
      <c r="AL43" s="27">
        <v>0</v>
      </c>
      <c r="AM43" s="154" t="s">
        <v>83</v>
      </c>
      <c r="AN43" s="27">
        <v>450</v>
      </c>
      <c r="AO43" s="27"/>
      <c r="AP43" s="27"/>
    </row>
    <row r="44" spans="1:42">
      <c r="A44" s="133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|Cffbbbbbb属性：|r|n攻击+30000|n业力+120000|n生命值+600000|n暴击+8%|n每秒业力+17|n|n攻击6%概率范围|cffff4646业力*15|r魔法伤害|n|n|Cff00ff7f击杀400只怪有50%概率升级|r</v>
      </c>
      <c r="J44" s="135" t="str">
        <f t="shared" si="8"/>
        <v>|CffFFC926[饰品]秘魔灵珠lv2|r</v>
      </c>
      <c r="K44" s="135" t="str">
        <f t="shared" si="9"/>
        <v>|Cffbbbbbb属性：|r|n攻击+30000|n业力+120000|n生命值+600000|n暴击+8%|n每秒业力+17|n|n攻击6%概率范围|cffff4646业力*15|r魔法伤害|n|n|Cff00ff7f击杀400只怪有50%概率升级|r</v>
      </c>
      <c r="L44" s="27"/>
      <c r="M44" s="136" t="str">
        <f>VLOOKUP(LEFT(RIGHT(B44,5),4),物品!B:CU,20,FALSE)</f>
        <v>ReplaceableTextures\\CommandButtons\\BTNZ09.blp</v>
      </c>
      <c r="N44" s="154" t="s">
        <v>83</v>
      </c>
      <c r="O44" s="155" t="s">
        <v>84</v>
      </c>
      <c r="P44" s="27">
        <v>0</v>
      </c>
      <c r="Q44" s="27">
        <v>0</v>
      </c>
      <c r="R44" s="154" t="s">
        <v>83</v>
      </c>
      <c r="S44" s="154" t="s">
        <v>83</v>
      </c>
      <c r="T44" s="154" t="s">
        <v>83</v>
      </c>
      <c r="U44" s="154" t="s">
        <v>83</v>
      </c>
      <c r="V44" s="27">
        <v>2</v>
      </c>
      <c r="W44" s="27" t="s">
        <v>85</v>
      </c>
      <c r="X44" s="27">
        <v>0</v>
      </c>
      <c r="Y44" s="15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4" t="s">
        <v>83</v>
      </c>
      <c r="AF44" s="154" t="s">
        <v>83</v>
      </c>
      <c r="AG44" s="154" t="s">
        <v>83</v>
      </c>
      <c r="AH44" s="154" t="s">
        <v>83</v>
      </c>
      <c r="AI44" s="27"/>
      <c r="AJ44" s="27"/>
      <c r="AK44" s="27">
        <v>0</v>
      </c>
      <c r="AL44" s="27">
        <v>0</v>
      </c>
      <c r="AM44" s="154" t="s">
        <v>83</v>
      </c>
      <c r="AN44" s="27">
        <v>450</v>
      </c>
      <c r="AO44" s="27"/>
      <c r="AP44" s="27"/>
    </row>
    <row r="45" spans="1:42">
      <c r="A45" s="133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|Cffbbbbbb属性：|r|n攻击+35000|n业力+140000|n生命值+700000|n暴击+8%|n每秒业力+18|n|n攻击6%概率范围|cffff4646业力*15|r魔法伤害|n|n|Cff00ff7f击杀400只怪有50%概率升级|r</v>
      </c>
      <c r="J45" s="135" t="str">
        <f t="shared" si="8"/>
        <v>|CffFFC926[饰品]秘魔灵珠lv3|r</v>
      </c>
      <c r="K45" s="135" t="str">
        <f t="shared" si="9"/>
        <v>|Cffbbbbbb属性：|r|n攻击+35000|n业力+140000|n生命值+700000|n暴击+8%|n每秒业力+18|n|n攻击6%概率范围|cffff4646业力*15|r魔法伤害|n|n|Cff00ff7f击杀400只怪有50%概率升级|r</v>
      </c>
      <c r="L45" s="27"/>
      <c r="M45" s="136" t="str">
        <f>VLOOKUP(LEFT(RIGHT(B45,5),4),物品!B:CU,20,FALSE)</f>
        <v>ReplaceableTextures\\CommandButtons\\BTNZ09.blp</v>
      </c>
      <c r="N45" s="154" t="s">
        <v>83</v>
      </c>
      <c r="O45" s="155" t="s">
        <v>84</v>
      </c>
      <c r="P45" s="27">
        <v>0</v>
      </c>
      <c r="Q45" s="27">
        <v>0</v>
      </c>
      <c r="R45" s="154" t="s">
        <v>83</v>
      </c>
      <c r="S45" s="154" t="s">
        <v>83</v>
      </c>
      <c r="T45" s="154" t="s">
        <v>83</v>
      </c>
      <c r="U45" s="154" t="s">
        <v>83</v>
      </c>
      <c r="V45" s="27">
        <v>2</v>
      </c>
      <c r="W45" s="27" t="s">
        <v>85</v>
      </c>
      <c r="X45" s="27">
        <v>0</v>
      </c>
      <c r="Y45" s="15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4" t="s">
        <v>83</v>
      </c>
      <c r="AF45" s="154" t="s">
        <v>83</v>
      </c>
      <c r="AG45" s="154" t="s">
        <v>83</v>
      </c>
      <c r="AH45" s="154" t="s">
        <v>83</v>
      </c>
      <c r="AI45" s="27"/>
      <c r="AJ45" s="27"/>
      <c r="AK45" s="27">
        <v>0</v>
      </c>
      <c r="AL45" s="27">
        <v>0</v>
      </c>
      <c r="AM45" s="154" t="s">
        <v>83</v>
      </c>
      <c r="AN45" s="27">
        <v>450</v>
      </c>
      <c r="AO45" s="27"/>
      <c r="AP45" s="27"/>
    </row>
    <row r="46" spans="1:42">
      <c r="A46" s="133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|Cffbbbbbb属性：|r|n攻击+42500|n业力+170000|n生命值+850000|n暴击+8%|n每秒业力+19|n|n攻击6%概率范围|cffff4646业力*15|r魔法伤害|n|n|Cff00ff7f击杀400只怪有50%概率升级|r</v>
      </c>
      <c r="J46" s="135" t="str">
        <f t="shared" si="8"/>
        <v>|CffFFC926[饰品]秘魔灵珠lv4|r</v>
      </c>
      <c r="K46" s="135" t="str">
        <f t="shared" si="9"/>
        <v>|Cffbbbbbb属性：|r|n攻击+42500|n业力+170000|n生命值+850000|n暴击+8%|n每秒业力+19|n|n攻击6%概率范围|cffff4646业力*15|r魔法伤害|n|n|Cff00ff7f击杀400只怪有50%概率升级|r</v>
      </c>
      <c r="L46" s="27"/>
      <c r="M46" s="136" t="str">
        <f>VLOOKUP(LEFT(RIGHT(B46,5),4),物品!B:CU,20,FALSE)</f>
        <v>ReplaceableTextures\\CommandButtons\\BTNZ09.blp</v>
      </c>
      <c r="N46" s="154" t="s">
        <v>83</v>
      </c>
      <c r="O46" s="155" t="s">
        <v>84</v>
      </c>
      <c r="P46" s="27">
        <v>0</v>
      </c>
      <c r="Q46" s="27">
        <v>0</v>
      </c>
      <c r="R46" s="154" t="s">
        <v>83</v>
      </c>
      <c r="S46" s="154" t="s">
        <v>83</v>
      </c>
      <c r="T46" s="154" t="s">
        <v>83</v>
      </c>
      <c r="U46" s="154" t="s">
        <v>83</v>
      </c>
      <c r="V46" s="27">
        <v>2</v>
      </c>
      <c r="W46" s="27" t="s">
        <v>85</v>
      </c>
      <c r="X46" s="27">
        <v>0</v>
      </c>
      <c r="Y46" s="15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4" t="s">
        <v>83</v>
      </c>
      <c r="AF46" s="154" t="s">
        <v>83</v>
      </c>
      <c r="AG46" s="154" t="s">
        <v>83</v>
      </c>
      <c r="AH46" s="154" t="s">
        <v>83</v>
      </c>
      <c r="AI46" s="27"/>
      <c r="AJ46" s="27"/>
      <c r="AK46" s="27">
        <v>0</v>
      </c>
      <c r="AL46" s="27">
        <v>0</v>
      </c>
      <c r="AM46" s="154" t="s">
        <v>83</v>
      </c>
      <c r="AN46" s="27">
        <v>450</v>
      </c>
      <c r="AO46" s="27"/>
      <c r="AP46" s="27"/>
    </row>
    <row r="47" spans="1:42">
      <c r="A47" s="133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|Cffbbbbbb属性：|r|n攻击+50000|n业力+200000|n生命值+1000000|n暴击+8%|n每秒业力+20|n|n攻击6%概率范围|cffff4646业力*15|r魔法伤害|n|n|Cff00ff7f击杀400只怪有50%概率升级|r</v>
      </c>
      <c r="J47" s="135" t="str">
        <f t="shared" si="8"/>
        <v>|CffFFC926[饰品]秘魔灵珠lv5|r</v>
      </c>
      <c r="K47" s="135" t="str">
        <f t="shared" si="9"/>
        <v>|Cffbbbbbb属性：|r|n攻击+50000|n业力+200000|n生命值+1000000|n暴击+8%|n每秒业力+20|n|n攻击6%概率范围|cffff4646业力*15|r魔法伤害|n|n|Cff00ff7f击杀400只怪有50%概率升级|r</v>
      </c>
      <c r="L47" s="27"/>
      <c r="M47" s="136" t="str">
        <f>VLOOKUP(LEFT(RIGHT(B47,5),4),物品!B:CU,20,FALSE)</f>
        <v>ReplaceableTextures\\CommandButtons\\BTNZ09.blp</v>
      </c>
      <c r="N47" s="154" t="s">
        <v>83</v>
      </c>
      <c r="O47" s="155" t="s">
        <v>84</v>
      </c>
      <c r="P47" s="27">
        <v>0</v>
      </c>
      <c r="Q47" s="27">
        <v>0</v>
      </c>
      <c r="R47" s="154" t="s">
        <v>83</v>
      </c>
      <c r="S47" s="154" t="s">
        <v>83</v>
      </c>
      <c r="T47" s="154" t="s">
        <v>83</v>
      </c>
      <c r="U47" s="154" t="s">
        <v>83</v>
      </c>
      <c r="V47" s="27">
        <v>2</v>
      </c>
      <c r="W47" s="27" t="s">
        <v>85</v>
      </c>
      <c r="X47" s="27">
        <v>0</v>
      </c>
      <c r="Y47" s="15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4" t="s">
        <v>83</v>
      </c>
      <c r="AF47" s="154" t="s">
        <v>83</v>
      </c>
      <c r="AG47" s="154" t="s">
        <v>83</v>
      </c>
      <c r="AH47" s="154" t="s">
        <v>83</v>
      </c>
      <c r="AI47" s="27"/>
      <c r="AJ47" s="27"/>
      <c r="AK47" s="27">
        <v>0</v>
      </c>
      <c r="AL47" s="27">
        <v>0</v>
      </c>
      <c r="AM47" s="154" t="s">
        <v>83</v>
      </c>
      <c r="AN47" s="27">
        <v>450</v>
      </c>
      <c r="AO47" s="27"/>
      <c r="AP47" s="27"/>
    </row>
    <row r="48" spans="1:42">
      <c r="A48" s="133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|Cffbbbbbb属性：|r|n攻击+75000|n业力+300000|n生命值+1500000|n暴击+10%|n每秒业力+21|n|n攻击6%概率范围|cffff4646业力*15|r魔法伤害|n|n|Cff00ff7f击杀500只怪有50%概率升级|r</v>
      </c>
      <c r="J48" s="135" t="str">
        <f t="shared" si="8"/>
        <v>|CffFF0000[饰品]流光绝影lv1|r</v>
      </c>
      <c r="K48" s="135" t="str">
        <f t="shared" si="9"/>
        <v>|Cffbbbbbb属性：|r|n攻击+75000|n业力+300000|n生命值+1500000|n暴击+10%|n每秒业力+21|n|n攻击6%概率范围|cffff4646业力*15|r魔法伤害|n|n|Cff00ff7f击杀500只怪有50%概率升级|r</v>
      </c>
      <c r="L48" s="27"/>
      <c r="M48" s="136" t="str">
        <f>VLOOKUP(LEFT(RIGHT(B48,5),4),物品!B:CU,20,FALSE)</f>
        <v>ReplaceableTextures\\CommandButtons\\BTNZ10.blp</v>
      </c>
      <c r="N48" s="154" t="s">
        <v>83</v>
      </c>
      <c r="O48" s="155" t="s">
        <v>84</v>
      </c>
      <c r="P48" s="27">
        <v>0</v>
      </c>
      <c r="Q48" s="27">
        <v>0</v>
      </c>
      <c r="R48" s="154" t="s">
        <v>83</v>
      </c>
      <c r="S48" s="154" t="s">
        <v>83</v>
      </c>
      <c r="T48" s="154" t="s">
        <v>83</v>
      </c>
      <c r="U48" s="154" t="s">
        <v>83</v>
      </c>
      <c r="V48" s="27">
        <v>2</v>
      </c>
      <c r="W48" s="27" t="s">
        <v>85</v>
      </c>
      <c r="X48" s="27">
        <v>0</v>
      </c>
      <c r="Y48" s="15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4" t="s">
        <v>83</v>
      </c>
      <c r="AF48" s="154" t="s">
        <v>83</v>
      </c>
      <c r="AG48" s="154" t="s">
        <v>83</v>
      </c>
      <c r="AH48" s="154" t="s">
        <v>83</v>
      </c>
      <c r="AI48" s="27"/>
      <c r="AJ48" s="27"/>
      <c r="AK48" s="27">
        <v>0</v>
      </c>
      <c r="AL48" s="27">
        <v>0</v>
      </c>
      <c r="AM48" s="154" t="s">
        <v>83</v>
      </c>
      <c r="AN48" s="27">
        <v>550</v>
      </c>
      <c r="AO48" s="27"/>
      <c r="AP48" s="27"/>
    </row>
    <row r="49" spans="1:42">
      <c r="A49" s="133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|Cffbbbbbb属性：|r|n攻击+90000|n业力+360000|n生命值+1800000|n暴击+10%|n每秒业力+22|n|n攻击6%概率范围|cffff4646业力*15|r魔法伤害|n|n|Cff00ff7f击杀500只怪有50%概率升级|r</v>
      </c>
      <c r="J49" s="135" t="str">
        <f t="shared" si="8"/>
        <v>|CffFF0000[饰品]流光绝影lv2|r</v>
      </c>
      <c r="K49" s="135" t="str">
        <f t="shared" si="9"/>
        <v>|Cffbbbbbb属性：|r|n攻击+90000|n业力+360000|n生命值+1800000|n暴击+10%|n每秒业力+22|n|n攻击6%概率范围|cffff4646业力*15|r魔法伤害|n|n|Cff00ff7f击杀500只怪有50%概率升级|r</v>
      </c>
      <c r="L49" s="27"/>
      <c r="M49" s="136" t="str">
        <f>VLOOKUP(LEFT(RIGHT(B49,5),4),物品!B:CU,20,FALSE)</f>
        <v>ReplaceableTextures\\CommandButtons\\BTNZ10.blp</v>
      </c>
      <c r="N49" s="154" t="s">
        <v>83</v>
      </c>
      <c r="O49" s="155" t="s">
        <v>84</v>
      </c>
      <c r="P49" s="27">
        <v>0</v>
      </c>
      <c r="Q49" s="27">
        <v>0</v>
      </c>
      <c r="R49" s="154" t="s">
        <v>83</v>
      </c>
      <c r="S49" s="154" t="s">
        <v>83</v>
      </c>
      <c r="T49" s="154" t="s">
        <v>83</v>
      </c>
      <c r="U49" s="154" t="s">
        <v>83</v>
      </c>
      <c r="V49" s="27">
        <v>2</v>
      </c>
      <c r="W49" s="27" t="s">
        <v>85</v>
      </c>
      <c r="X49" s="27">
        <v>0</v>
      </c>
      <c r="Y49" s="15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4" t="s">
        <v>83</v>
      </c>
      <c r="AF49" s="154" t="s">
        <v>83</v>
      </c>
      <c r="AG49" s="154" t="s">
        <v>83</v>
      </c>
      <c r="AH49" s="154" t="s">
        <v>83</v>
      </c>
      <c r="AI49" s="27"/>
      <c r="AJ49" s="27"/>
      <c r="AK49" s="27">
        <v>0</v>
      </c>
      <c r="AL49" s="27">
        <v>0</v>
      </c>
      <c r="AM49" s="154" t="s">
        <v>83</v>
      </c>
      <c r="AN49" s="27">
        <v>550</v>
      </c>
      <c r="AO49" s="27"/>
      <c r="AP49" s="27"/>
    </row>
    <row r="50" spans="1:42">
      <c r="A50" s="133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|Cffbbbbbb属性：|r|n攻击+105000|n业力+420000|n生命值+2100000|n暴击+10%|n每秒业力+23|n|n攻击6%概率范围|cffff4646业力*15|r魔法伤害|n|n|Cff00ff7f击杀500只怪有50%概率升级|r</v>
      </c>
      <c r="J50" s="135" t="str">
        <f t="shared" si="8"/>
        <v>|CffFF0000[饰品]流光绝影lv3|r</v>
      </c>
      <c r="K50" s="135" t="str">
        <f t="shared" si="9"/>
        <v>|Cffbbbbbb属性：|r|n攻击+105000|n业力+420000|n生命值+2100000|n暴击+10%|n每秒业力+23|n|n攻击6%概率范围|cffff4646业力*15|r魔法伤害|n|n|Cff00ff7f击杀500只怪有50%概率升级|r</v>
      </c>
      <c r="L50" s="27"/>
      <c r="M50" s="136" t="str">
        <f>VLOOKUP(LEFT(RIGHT(B50,5),4),物品!B:CU,20,FALSE)</f>
        <v>ReplaceableTextures\\CommandButtons\\BTNZ10.blp</v>
      </c>
      <c r="N50" s="154" t="s">
        <v>83</v>
      </c>
      <c r="O50" s="155" t="s">
        <v>84</v>
      </c>
      <c r="P50" s="27">
        <v>0</v>
      </c>
      <c r="Q50" s="27">
        <v>0</v>
      </c>
      <c r="R50" s="154" t="s">
        <v>83</v>
      </c>
      <c r="S50" s="154" t="s">
        <v>83</v>
      </c>
      <c r="T50" s="154" t="s">
        <v>83</v>
      </c>
      <c r="U50" s="154" t="s">
        <v>83</v>
      </c>
      <c r="V50" s="27">
        <v>2</v>
      </c>
      <c r="W50" s="27" t="s">
        <v>85</v>
      </c>
      <c r="X50" s="27">
        <v>0</v>
      </c>
      <c r="Y50" s="15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4" t="s">
        <v>83</v>
      </c>
      <c r="AF50" s="154" t="s">
        <v>83</v>
      </c>
      <c r="AG50" s="154" t="s">
        <v>83</v>
      </c>
      <c r="AH50" s="154" t="s">
        <v>83</v>
      </c>
      <c r="AI50" s="27"/>
      <c r="AJ50" s="27"/>
      <c r="AK50" s="27">
        <v>0</v>
      </c>
      <c r="AL50" s="27">
        <v>0</v>
      </c>
      <c r="AM50" s="154" t="s">
        <v>83</v>
      </c>
      <c r="AN50" s="27">
        <v>550</v>
      </c>
      <c r="AO50" s="27"/>
      <c r="AP50" s="27"/>
    </row>
    <row r="51" spans="1:42">
      <c r="A51" s="133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|Cffbbbbbb属性：|r|n攻击+125000|n业力+500000|n生命值+2500000|n暴击+10%|n每秒业力+24|n|n攻击6%概率范围|cffff4646业力*15|r魔法伤害|n|n|Cff00ff7f击杀500只怪有50%概率升级|r</v>
      </c>
      <c r="J51" s="135" t="str">
        <f t="shared" si="8"/>
        <v>|CffFF0000[饰品]流光绝影lv4|r</v>
      </c>
      <c r="K51" s="135" t="str">
        <f t="shared" si="9"/>
        <v>|Cffbbbbbb属性：|r|n攻击+125000|n业力+500000|n生命值+2500000|n暴击+10%|n每秒业力+24|n|n攻击6%概率范围|cffff4646业力*15|r魔法伤害|n|n|Cff00ff7f击杀500只怪有50%概率升级|r</v>
      </c>
      <c r="L51" s="27"/>
      <c r="M51" s="136" t="str">
        <f>VLOOKUP(LEFT(RIGHT(B51,5),4),物品!B:CU,20,FALSE)</f>
        <v>ReplaceableTextures\\CommandButtons\\BTNZ10.blp</v>
      </c>
      <c r="N51" s="154" t="s">
        <v>83</v>
      </c>
      <c r="O51" s="155" t="s">
        <v>84</v>
      </c>
      <c r="P51" s="27">
        <v>0</v>
      </c>
      <c r="Q51" s="27">
        <v>0</v>
      </c>
      <c r="R51" s="154" t="s">
        <v>83</v>
      </c>
      <c r="S51" s="154" t="s">
        <v>83</v>
      </c>
      <c r="T51" s="154" t="s">
        <v>83</v>
      </c>
      <c r="U51" s="154" t="s">
        <v>83</v>
      </c>
      <c r="V51" s="27">
        <v>2</v>
      </c>
      <c r="W51" s="27" t="s">
        <v>85</v>
      </c>
      <c r="X51" s="27">
        <v>0</v>
      </c>
      <c r="Y51" s="15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4" t="s">
        <v>83</v>
      </c>
      <c r="AF51" s="154" t="s">
        <v>83</v>
      </c>
      <c r="AG51" s="154" t="s">
        <v>83</v>
      </c>
      <c r="AH51" s="154" t="s">
        <v>83</v>
      </c>
      <c r="AI51" s="27"/>
      <c r="AJ51" s="27"/>
      <c r="AK51" s="27">
        <v>0</v>
      </c>
      <c r="AL51" s="27">
        <v>0</v>
      </c>
      <c r="AM51" s="154" t="s">
        <v>83</v>
      </c>
      <c r="AN51" s="27">
        <v>550</v>
      </c>
      <c r="AO51" s="27"/>
      <c r="AP51" s="27"/>
    </row>
    <row r="52" spans="1:42">
      <c r="A52" s="133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|Cffbbbbbb属性：|r|n攻击+150000|n业力+600000|n生命值+3000000|n暴击+10%|n每秒业力+25|n|n攻击6%概率范围|cffff4646业力*15|r魔法伤害</v>
      </c>
      <c r="J52" s="135" t="str">
        <f t="shared" si="8"/>
        <v>|CffFF0000[饰品]流光绝影lv5|r</v>
      </c>
      <c r="K52" s="135" t="str">
        <f t="shared" si="9"/>
        <v>|Cffbbbbbb属性：|r|n攻击+150000|n业力+600000|n生命值+3000000|n暴击+10%|n每秒业力+25|n|n攻击6%概率范围|cffff4646业力*15|r魔法伤害</v>
      </c>
      <c r="L52" s="27"/>
      <c r="M52" s="136" t="str">
        <f>VLOOKUP(LEFT(RIGHT(B52,5),4),物品!B:CU,20,FALSE)</f>
        <v>ReplaceableTextures\\CommandButtons\\BTNZ10.blp</v>
      </c>
      <c r="N52" s="154" t="s">
        <v>83</v>
      </c>
      <c r="O52" s="155" t="s">
        <v>84</v>
      </c>
      <c r="P52" s="27">
        <v>0</v>
      </c>
      <c r="Q52" s="27">
        <v>0</v>
      </c>
      <c r="R52" s="154" t="s">
        <v>83</v>
      </c>
      <c r="S52" s="154" t="s">
        <v>83</v>
      </c>
      <c r="T52" s="154" t="s">
        <v>83</v>
      </c>
      <c r="U52" s="154" t="s">
        <v>83</v>
      </c>
      <c r="V52" s="27">
        <v>2</v>
      </c>
      <c r="W52" s="27" t="s">
        <v>85</v>
      </c>
      <c r="X52" s="27">
        <v>0</v>
      </c>
      <c r="Y52" s="15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4" t="s">
        <v>83</v>
      </c>
      <c r="AF52" s="154" t="s">
        <v>83</v>
      </c>
      <c r="AG52" s="154" t="s">
        <v>83</v>
      </c>
      <c r="AH52" s="154" t="s">
        <v>83</v>
      </c>
      <c r="AI52" s="27"/>
      <c r="AJ52" s="27"/>
      <c r="AK52" s="27">
        <v>0</v>
      </c>
      <c r="AL52" s="27">
        <v>0</v>
      </c>
      <c r="AM52" s="154" t="s">
        <v>83</v>
      </c>
      <c r="AN52" s="27"/>
      <c r="AO52" s="27"/>
      <c r="AP52" s="27"/>
    </row>
    <row r="53" spans="1:42">
      <c r="A53" s="133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35" t="str">
        <f t="shared" si="8"/>
        <v>[防具]贤者道袍lv1</v>
      </c>
      <c r="K53" s="135" t="str">
        <f t="shared" si="9"/>
        <v>|Cffbbbbbb属性：|r|n生命值+20000|n生命回复+500|n|n|Cff00ff7f点击消耗800金币进行强化|n成功率100%</v>
      </c>
      <c r="L53" s="27"/>
      <c r="M53" s="136" t="str">
        <f>VLOOKUP(LEFT(RIGHT(B53,5),4),物品!B:CU,20,FALSE)</f>
        <v>ReplaceableTextures\\CommandButtons\\BTNZ11.blp</v>
      </c>
      <c r="N53" s="154" t="s">
        <v>83</v>
      </c>
      <c r="O53" s="155" t="s">
        <v>84</v>
      </c>
      <c r="P53" s="27">
        <v>0</v>
      </c>
      <c r="Q53" s="27">
        <v>0</v>
      </c>
      <c r="R53" s="154" t="s">
        <v>83</v>
      </c>
      <c r="S53" s="154" t="s">
        <v>83</v>
      </c>
      <c r="T53" s="154" t="s">
        <v>83</v>
      </c>
      <c r="U53" s="154" t="s">
        <v>83</v>
      </c>
      <c r="V53" s="27">
        <v>3</v>
      </c>
      <c r="W53" s="27" t="s">
        <v>85</v>
      </c>
      <c r="X53" s="27">
        <v>0</v>
      </c>
      <c r="Y53" s="15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4" t="s">
        <v>83</v>
      </c>
      <c r="AF53" s="154" t="s">
        <v>83</v>
      </c>
      <c r="AG53" s="154" t="s">
        <v>83</v>
      </c>
      <c r="AH53" s="154" t="s">
        <v>83</v>
      </c>
      <c r="AI53" s="27"/>
      <c r="AJ53" s="27"/>
      <c r="AK53" s="27">
        <v>0</v>
      </c>
      <c r="AL53" s="27">
        <v>0</v>
      </c>
      <c r="AM53" s="154" t="s">
        <v>83</v>
      </c>
      <c r="AN53" s="27"/>
      <c r="AO53" s="27"/>
      <c r="AP53" s="27">
        <v>1</v>
      </c>
    </row>
    <row r="54" spans="1:42">
      <c r="A54" s="133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35" t="str">
        <f t="shared" ref="J54:J58" si="10">H54</f>
        <v>[防具]贤者道袍lv2</v>
      </c>
      <c r="K54" s="135" t="str">
        <f t="shared" ref="K54:K58" si="11">I54</f>
        <v>|Cffbbbbbb属性：|r|n生命值+40000|n生命回复+1000|n|n|Cff00ff7f点击消耗800金币进行强化|n成功率100%</v>
      </c>
      <c r="L54" s="27"/>
      <c r="M54" s="136" t="str">
        <f>VLOOKUP(LEFT(RIGHT(B54,5),4),物品!B:CU,20,FALSE)</f>
        <v>ReplaceableTextures\\CommandButtons\\BTNZ11.blp</v>
      </c>
      <c r="N54" s="154" t="s">
        <v>83</v>
      </c>
      <c r="O54" s="155" t="s">
        <v>84</v>
      </c>
      <c r="P54" s="27">
        <v>0</v>
      </c>
      <c r="Q54" s="27">
        <v>0</v>
      </c>
      <c r="R54" s="154" t="s">
        <v>83</v>
      </c>
      <c r="S54" s="154" t="s">
        <v>83</v>
      </c>
      <c r="T54" s="154" t="s">
        <v>83</v>
      </c>
      <c r="U54" s="154" t="s">
        <v>83</v>
      </c>
      <c r="V54" s="27">
        <v>3</v>
      </c>
      <c r="W54" s="27" t="s">
        <v>85</v>
      </c>
      <c r="X54" s="27">
        <v>0</v>
      </c>
      <c r="Y54" s="15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4" t="s">
        <v>83</v>
      </c>
      <c r="AF54" s="154" t="s">
        <v>83</v>
      </c>
      <c r="AG54" s="154" t="s">
        <v>83</v>
      </c>
      <c r="AH54" s="154" t="s">
        <v>83</v>
      </c>
      <c r="AI54" s="27"/>
      <c r="AJ54" s="27"/>
      <c r="AK54" s="27">
        <v>0</v>
      </c>
      <c r="AL54" s="27">
        <v>0</v>
      </c>
      <c r="AM54" s="154" t="s">
        <v>83</v>
      </c>
      <c r="AN54" s="27"/>
      <c r="AO54" s="27"/>
      <c r="AP54" s="27">
        <v>1</v>
      </c>
    </row>
    <row r="55" spans="1:42">
      <c r="A55" s="133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35" t="str">
        <f t="shared" si="10"/>
        <v>[防具]贤者道袍lv3</v>
      </c>
      <c r="K55" s="135" t="str">
        <f t="shared" si="11"/>
        <v>|Cffbbbbbb属性：|r|n生命值+60000|n生命回复+1500|n|n|Cff00ff7f点击消耗800金币进行强化|n成功率100%</v>
      </c>
      <c r="L55" s="27"/>
      <c r="M55" s="136" t="str">
        <f>VLOOKUP(LEFT(RIGHT(B55,5),4),物品!B:CU,20,FALSE)</f>
        <v>ReplaceableTextures\\CommandButtons\\BTNZ11.blp</v>
      </c>
      <c r="N55" s="154" t="s">
        <v>83</v>
      </c>
      <c r="O55" s="155" t="s">
        <v>84</v>
      </c>
      <c r="P55" s="27">
        <v>0</v>
      </c>
      <c r="Q55" s="27">
        <v>0</v>
      </c>
      <c r="R55" s="154" t="s">
        <v>83</v>
      </c>
      <c r="S55" s="154" t="s">
        <v>83</v>
      </c>
      <c r="T55" s="154" t="s">
        <v>83</v>
      </c>
      <c r="U55" s="154" t="s">
        <v>83</v>
      </c>
      <c r="V55" s="27">
        <v>3</v>
      </c>
      <c r="W55" s="27" t="s">
        <v>85</v>
      </c>
      <c r="X55" s="27">
        <v>0</v>
      </c>
      <c r="Y55" s="15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4" t="s">
        <v>83</v>
      </c>
      <c r="AF55" s="154" t="s">
        <v>83</v>
      </c>
      <c r="AG55" s="154" t="s">
        <v>83</v>
      </c>
      <c r="AH55" s="154" t="s">
        <v>83</v>
      </c>
      <c r="AI55" s="27"/>
      <c r="AJ55" s="27"/>
      <c r="AK55" s="27">
        <v>0</v>
      </c>
      <c r="AL55" s="27">
        <v>0</v>
      </c>
      <c r="AM55" s="154" t="s">
        <v>83</v>
      </c>
      <c r="AN55" s="27"/>
      <c r="AO55" s="27"/>
      <c r="AP55" s="27">
        <v>1</v>
      </c>
    </row>
    <row r="56" spans="1:42">
      <c r="A56" s="133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35" t="str">
        <f t="shared" si="10"/>
        <v>[防具]贤者道袍lv4</v>
      </c>
      <c r="K56" s="135" t="str">
        <f t="shared" si="11"/>
        <v>|Cffbbbbbb属性：|r|n生命值+80000|n生命回复+2000|n|n|Cff00ff7f点击消耗800金币进行强化|n成功率100%</v>
      </c>
      <c r="L56" s="27"/>
      <c r="M56" s="136" t="str">
        <f>VLOOKUP(LEFT(RIGHT(B56,5),4),物品!B:CU,20,FALSE)</f>
        <v>ReplaceableTextures\\CommandButtons\\BTNZ11.blp</v>
      </c>
      <c r="N56" s="154" t="s">
        <v>83</v>
      </c>
      <c r="O56" s="155" t="s">
        <v>84</v>
      </c>
      <c r="P56" s="27">
        <v>0</v>
      </c>
      <c r="Q56" s="27">
        <v>0</v>
      </c>
      <c r="R56" s="154" t="s">
        <v>83</v>
      </c>
      <c r="S56" s="154" t="s">
        <v>83</v>
      </c>
      <c r="T56" s="154" t="s">
        <v>83</v>
      </c>
      <c r="U56" s="154" t="s">
        <v>83</v>
      </c>
      <c r="V56" s="27">
        <v>3</v>
      </c>
      <c r="W56" s="27" t="s">
        <v>85</v>
      </c>
      <c r="X56" s="27">
        <v>0</v>
      </c>
      <c r="Y56" s="15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4" t="s">
        <v>83</v>
      </c>
      <c r="AF56" s="154" t="s">
        <v>83</v>
      </c>
      <c r="AG56" s="154" t="s">
        <v>83</v>
      </c>
      <c r="AH56" s="154" t="s">
        <v>83</v>
      </c>
      <c r="AI56" s="27"/>
      <c r="AJ56" s="27"/>
      <c r="AK56" s="27">
        <v>0</v>
      </c>
      <c r="AL56" s="27">
        <v>0</v>
      </c>
      <c r="AM56" s="154" t="s">
        <v>83</v>
      </c>
      <c r="AN56" s="27"/>
      <c r="AO56" s="27"/>
      <c r="AP56" s="27">
        <v>1</v>
      </c>
    </row>
    <row r="57" spans="1:42">
      <c r="A57" s="133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35" t="str">
        <f t="shared" si="10"/>
        <v>[防具]贤者道袍lv5</v>
      </c>
      <c r="K57" s="135" t="str">
        <f t="shared" si="11"/>
        <v>|Cffbbbbbb属性：|r|n生命值+100000|n生命回复+2500|n|n|Cff00ff7f点击消耗2500金币进行晋阶挑战</v>
      </c>
      <c r="L57" s="27"/>
      <c r="M57" s="136" t="str">
        <f>VLOOKUP(LEFT(RIGHT(B57,5),4),物品!B:CU,20,FALSE)</f>
        <v>ReplaceableTextures\\CommandButtons\\BTNZ11.blp</v>
      </c>
      <c r="N57" s="154" t="s">
        <v>83</v>
      </c>
      <c r="O57" s="155" t="s">
        <v>84</v>
      </c>
      <c r="P57" s="27">
        <v>0</v>
      </c>
      <c r="Q57" s="27">
        <v>0</v>
      </c>
      <c r="R57" s="154" t="s">
        <v>83</v>
      </c>
      <c r="S57" s="154" t="s">
        <v>83</v>
      </c>
      <c r="T57" s="154" t="s">
        <v>83</v>
      </c>
      <c r="U57" s="154" t="s">
        <v>83</v>
      </c>
      <c r="V57" s="27">
        <v>3</v>
      </c>
      <c r="W57" s="27" t="s">
        <v>85</v>
      </c>
      <c r="X57" s="27">
        <v>0</v>
      </c>
      <c r="Y57" s="15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4" t="s">
        <v>83</v>
      </c>
      <c r="AF57" s="154" t="s">
        <v>83</v>
      </c>
      <c r="AG57" s="154" t="s">
        <v>83</v>
      </c>
      <c r="AH57" s="154" t="s">
        <v>83</v>
      </c>
      <c r="AI57" s="27"/>
      <c r="AJ57" s="27"/>
      <c r="AK57" s="27">
        <v>0</v>
      </c>
      <c r="AL57" s="27">
        <v>0</v>
      </c>
      <c r="AM57" s="154" t="s">
        <v>83</v>
      </c>
      <c r="AN57" s="27"/>
      <c r="AO57" s="27"/>
      <c r="AP57" s="27">
        <v>1</v>
      </c>
    </row>
    <row r="58" spans="1:42">
      <c r="A58" s="133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|Cffbbbbbb属性：|r|n护甲+50|n生命值+200000|n生命回复+5000|n生命恢复%+1|n|n|Cff00ff7f点击消耗2500金币进行强化|n成功率85%</v>
      </c>
      <c r="J58" s="135" t="str">
        <f t="shared" si="10"/>
        <v>|Cff00FF7F[防具]珊瑚玉衣lv1|r</v>
      </c>
      <c r="K58" s="135" t="str">
        <f t="shared" si="11"/>
        <v>|Cffbbbbbb属性：|r|n护甲+50|n生命值+200000|n生命回复+5000|n生命恢复%+1|n|n|Cff00ff7f点击消耗2500金币进行强化|n成功率85%</v>
      </c>
      <c r="L58" s="27"/>
      <c r="M58" s="136" t="str">
        <f>VLOOKUP(LEFT(RIGHT(B58,5),4),物品!B:CU,20,FALSE)</f>
        <v>ReplaceableTextures\\CommandButtons\\BTNZ12.blp</v>
      </c>
      <c r="N58" s="154" t="s">
        <v>83</v>
      </c>
      <c r="O58" s="155" t="s">
        <v>84</v>
      </c>
      <c r="P58" s="27">
        <v>0</v>
      </c>
      <c r="Q58" s="27">
        <v>0</v>
      </c>
      <c r="R58" s="154" t="s">
        <v>83</v>
      </c>
      <c r="S58" s="154" t="s">
        <v>83</v>
      </c>
      <c r="T58" s="154" t="s">
        <v>83</v>
      </c>
      <c r="U58" s="154" t="s">
        <v>83</v>
      </c>
      <c r="V58" s="27">
        <v>3</v>
      </c>
      <c r="W58" s="27" t="s">
        <v>85</v>
      </c>
      <c r="X58" s="27">
        <v>0</v>
      </c>
      <c r="Y58" s="15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4" t="s">
        <v>83</v>
      </c>
      <c r="AF58" s="154" t="s">
        <v>83</v>
      </c>
      <c r="AG58" s="154" t="s">
        <v>83</v>
      </c>
      <c r="AH58" s="154" t="s">
        <v>83</v>
      </c>
      <c r="AI58" s="27"/>
      <c r="AJ58" s="27"/>
      <c r="AK58" s="27">
        <v>0</v>
      </c>
      <c r="AL58" s="27">
        <v>0</v>
      </c>
      <c r="AM58" s="154" t="s">
        <v>83</v>
      </c>
      <c r="AN58" s="27"/>
      <c r="AO58" s="27"/>
      <c r="AP58" s="27">
        <v>1</v>
      </c>
    </row>
    <row r="59" spans="1:42">
      <c r="A59" s="133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|Cffbbbbbb属性：|r|n护甲+50|n生命值+240000|n生命回复+6000|n生命恢复%+1|n|n|Cff00ff7f点击消耗2500金币进行强化|n成功率85%</v>
      </c>
      <c r="J59" s="135" t="str">
        <f t="shared" ref="J59:J62" si="12">H59</f>
        <v>|Cff00FF7F[防具]珊瑚玉衣lv2|r</v>
      </c>
      <c r="K59" s="135" t="str">
        <f t="shared" ref="K59:K62" si="13">I59</f>
        <v>|Cffbbbbbb属性：|r|n护甲+50|n生命值+240000|n生命回复+6000|n生命恢复%+1|n|n|Cff00ff7f点击消耗2500金币进行强化|n成功率85%</v>
      </c>
      <c r="L59" s="27"/>
      <c r="M59" s="136" t="str">
        <f>VLOOKUP(LEFT(RIGHT(B59,5),4),物品!B:CU,20,FALSE)</f>
        <v>ReplaceableTextures\\CommandButtons\\BTNZ12.blp</v>
      </c>
      <c r="N59" s="154" t="s">
        <v>83</v>
      </c>
      <c r="O59" s="155" t="s">
        <v>84</v>
      </c>
      <c r="P59" s="27">
        <v>0</v>
      </c>
      <c r="Q59" s="27">
        <v>0</v>
      </c>
      <c r="R59" s="154" t="s">
        <v>83</v>
      </c>
      <c r="S59" s="154" t="s">
        <v>83</v>
      </c>
      <c r="T59" s="154" t="s">
        <v>83</v>
      </c>
      <c r="U59" s="154" t="s">
        <v>83</v>
      </c>
      <c r="V59" s="27">
        <v>3</v>
      </c>
      <c r="W59" s="27" t="s">
        <v>85</v>
      </c>
      <c r="X59" s="27">
        <v>0</v>
      </c>
      <c r="Y59" s="15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4" t="s">
        <v>83</v>
      </c>
      <c r="AF59" s="154" t="s">
        <v>83</v>
      </c>
      <c r="AG59" s="154" t="s">
        <v>83</v>
      </c>
      <c r="AH59" s="154" t="s">
        <v>83</v>
      </c>
      <c r="AI59" s="27"/>
      <c r="AJ59" s="27"/>
      <c r="AK59" s="27">
        <v>0</v>
      </c>
      <c r="AL59" s="27">
        <v>0</v>
      </c>
      <c r="AM59" s="154" t="s">
        <v>83</v>
      </c>
      <c r="AN59" s="27"/>
      <c r="AO59" s="27"/>
      <c r="AP59" s="27">
        <v>1</v>
      </c>
    </row>
    <row r="60" spans="1:42">
      <c r="A60" s="133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|Cffbbbbbb属性：|r|n护甲+50|n生命值+280000|n生命回复+7000|n生命恢复%+1|n|n|Cff00ff7f点击消耗2500金币进行强化|n成功率85%</v>
      </c>
      <c r="J60" s="135" t="str">
        <f t="shared" si="12"/>
        <v>|Cff00FF7F[防具]珊瑚玉衣lv3|r</v>
      </c>
      <c r="K60" s="135" t="str">
        <f t="shared" si="13"/>
        <v>|Cffbbbbbb属性：|r|n护甲+50|n生命值+280000|n生命回复+7000|n生命恢复%+1|n|n|Cff00ff7f点击消耗2500金币进行强化|n成功率85%</v>
      </c>
      <c r="L60" s="27"/>
      <c r="M60" s="136" t="str">
        <f>VLOOKUP(LEFT(RIGHT(B60,5),4),物品!B:CU,20,FALSE)</f>
        <v>ReplaceableTextures\\CommandButtons\\BTNZ12.blp</v>
      </c>
      <c r="N60" s="154" t="s">
        <v>83</v>
      </c>
      <c r="O60" s="155" t="s">
        <v>84</v>
      </c>
      <c r="P60" s="27">
        <v>0</v>
      </c>
      <c r="Q60" s="27">
        <v>0</v>
      </c>
      <c r="R60" s="154" t="s">
        <v>83</v>
      </c>
      <c r="S60" s="154" t="s">
        <v>83</v>
      </c>
      <c r="T60" s="154" t="s">
        <v>83</v>
      </c>
      <c r="U60" s="154" t="s">
        <v>83</v>
      </c>
      <c r="V60" s="27">
        <v>3</v>
      </c>
      <c r="W60" s="27" t="s">
        <v>85</v>
      </c>
      <c r="X60" s="27">
        <v>0</v>
      </c>
      <c r="Y60" s="15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4" t="s">
        <v>83</v>
      </c>
      <c r="AF60" s="154" t="s">
        <v>83</v>
      </c>
      <c r="AG60" s="154" t="s">
        <v>83</v>
      </c>
      <c r="AH60" s="154" t="s">
        <v>83</v>
      </c>
      <c r="AI60" s="27"/>
      <c r="AJ60" s="27"/>
      <c r="AK60" s="27">
        <v>0</v>
      </c>
      <c r="AL60" s="27">
        <v>0</v>
      </c>
      <c r="AM60" s="154" t="s">
        <v>83</v>
      </c>
      <c r="AN60" s="27"/>
      <c r="AO60" s="27"/>
      <c r="AP60" s="27">
        <v>1</v>
      </c>
    </row>
    <row r="61" spans="1:42">
      <c r="A61" s="133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|Cffbbbbbb属性：|r|n护甲+50|n生命值+340000|n生命回复+8500|n生命恢复%+1|n|n|Cff00ff7f点击消耗2500金币进行强化|n成功率85%</v>
      </c>
      <c r="J61" s="135" t="str">
        <f t="shared" si="12"/>
        <v>|Cff00FF7F[防具]珊瑚玉衣lv4|r</v>
      </c>
      <c r="K61" s="135" t="str">
        <f t="shared" si="13"/>
        <v>|Cffbbbbbb属性：|r|n护甲+50|n生命值+340000|n生命回复+8500|n生命恢复%+1|n|n|Cff00ff7f点击消耗2500金币进行强化|n成功率85%</v>
      </c>
      <c r="L61" s="27"/>
      <c r="M61" s="136" t="str">
        <f>VLOOKUP(LEFT(RIGHT(B61,5),4),物品!B:CU,20,FALSE)</f>
        <v>ReplaceableTextures\\CommandButtons\\BTNZ12.blp</v>
      </c>
      <c r="N61" s="154" t="s">
        <v>83</v>
      </c>
      <c r="O61" s="155" t="s">
        <v>84</v>
      </c>
      <c r="P61" s="27">
        <v>0</v>
      </c>
      <c r="Q61" s="27">
        <v>0</v>
      </c>
      <c r="R61" s="154" t="s">
        <v>83</v>
      </c>
      <c r="S61" s="154" t="s">
        <v>83</v>
      </c>
      <c r="T61" s="154" t="s">
        <v>83</v>
      </c>
      <c r="U61" s="154" t="s">
        <v>83</v>
      </c>
      <c r="V61" s="27">
        <v>3</v>
      </c>
      <c r="W61" s="27" t="s">
        <v>85</v>
      </c>
      <c r="X61" s="27">
        <v>0</v>
      </c>
      <c r="Y61" s="15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4" t="s">
        <v>83</v>
      </c>
      <c r="AF61" s="154" t="s">
        <v>83</v>
      </c>
      <c r="AG61" s="154" t="s">
        <v>83</v>
      </c>
      <c r="AH61" s="154" t="s">
        <v>83</v>
      </c>
      <c r="AI61" s="27"/>
      <c r="AJ61" s="27"/>
      <c r="AK61" s="27">
        <v>0</v>
      </c>
      <c r="AL61" s="27">
        <v>0</v>
      </c>
      <c r="AM61" s="154" t="s">
        <v>83</v>
      </c>
      <c r="AN61" s="27"/>
      <c r="AO61" s="27"/>
      <c r="AP61" s="27">
        <v>1</v>
      </c>
    </row>
    <row r="62" spans="1:42">
      <c r="A62" s="133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|Cffbbbbbb属性：|r|n护甲+50|n生命值+400000|n生命回复+10000|n生命恢复%+1|n|n|Cff00ff7f点击消耗10000金币进行晋阶挑战</v>
      </c>
      <c r="J62" s="135" t="str">
        <f t="shared" si="12"/>
        <v>|Cff00FF7F[防具]珊瑚玉衣lv5|r</v>
      </c>
      <c r="K62" s="135" t="str">
        <f t="shared" si="13"/>
        <v>|Cffbbbbbb属性：|r|n护甲+50|n生命值+400000|n生命回复+10000|n生命恢复%+1|n|n|Cff00ff7f点击消耗10000金币进行晋阶挑战</v>
      </c>
      <c r="L62" s="27"/>
      <c r="M62" s="136" t="str">
        <f>VLOOKUP(LEFT(RIGHT(B62,5),4),物品!B:CU,20,FALSE)</f>
        <v>ReplaceableTextures\\CommandButtons\\BTNZ12.blp</v>
      </c>
      <c r="N62" s="154" t="s">
        <v>83</v>
      </c>
      <c r="O62" s="155" t="s">
        <v>84</v>
      </c>
      <c r="P62" s="27">
        <v>0</v>
      </c>
      <c r="Q62" s="27">
        <v>0</v>
      </c>
      <c r="R62" s="154" t="s">
        <v>83</v>
      </c>
      <c r="S62" s="154" t="s">
        <v>83</v>
      </c>
      <c r="T62" s="154" t="s">
        <v>83</v>
      </c>
      <c r="U62" s="154" t="s">
        <v>83</v>
      </c>
      <c r="V62" s="27">
        <v>3</v>
      </c>
      <c r="W62" s="27" t="s">
        <v>85</v>
      </c>
      <c r="X62" s="27">
        <v>0</v>
      </c>
      <c r="Y62" s="15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4" t="s">
        <v>83</v>
      </c>
      <c r="AF62" s="154" t="s">
        <v>83</v>
      </c>
      <c r="AG62" s="154" t="s">
        <v>83</v>
      </c>
      <c r="AH62" s="154" t="s">
        <v>83</v>
      </c>
      <c r="AI62" s="27"/>
      <c r="AJ62" s="27"/>
      <c r="AK62" s="27">
        <v>0</v>
      </c>
      <c r="AL62" s="27">
        <v>0</v>
      </c>
      <c r="AM62" s="154" t="s">
        <v>83</v>
      </c>
      <c r="AN62" s="27"/>
      <c r="AO62" s="27"/>
      <c r="AP62" s="27">
        <v>1</v>
      </c>
    </row>
    <row r="63" spans="1:42">
      <c r="A63" s="133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|Cffbbbbbb属性：|r|n护甲+100|n生命值+600000|n生命回复+15000|n生命恢复%+1|n|n|Cff00ff7f点击消耗8000金币进行强化|n成功率70%</v>
      </c>
      <c r="J63" s="135" t="str">
        <f t="shared" ref="J63:J77" si="14">H63</f>
        <v>|Cff00BFFF[防具]圣谕披风lv1|r</v>
      </c>
      <c r="K63" s="135" t="str">
        <f t="shared" ref="K63:K77" si="15">I63</f>
        <v>|Cffbbbbbb属性：|r|n护甲+100|n生命值+600000|n生命回复+15000|n生命恢复%+1|n|n|Cff00ff7f点击消耗8000金币进行强化|n成功率70%</v>
      </c>
      <c r="L63" s="27"/>
      <c r="M63" s="136" t="str">
        <f>VLOOKUP(LEFT(RIGHT(B63,5),4),物品!B:CU,20,FALSE)</f>
        <v>ReplaceableTextures\\CommandButtons\\BTNZ13.blp</v>
      </c>
      <c r="N63" s="154" t="s">
        <v>83</v>
      </c>
      <c r="O63" s="155" t="s">
        <v>84</v>
      </c>
      <c r="P63" s="27">
        <v>0</v>
      </c>
      <c r="Q63" s="27">
        <v>0</v>
      </c>
      <c r="R63" s="154" t="s">
        <v>83</v>
      </c>
      <c r="S63" s="154" t="s">
        <v>83</v>
      </c>
      <c r="T63" s="154" t="s">
        <v>83</v>
      </c>
      <c r="U63" s="154" t="s">
        <v>83</v>
      </c>
      <c r="V63" s="27">
        <v>3</v>
      </c>
      <c r="W63" s="27" t="s">
        <v>85</v>
      </c>
      <c r="X63" s="27">
        <v>0</v>
      </c>
      <c r="Y63" s="15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4" t="s">
        <v>83</v>
      </c>
      <c r="AF63" s="154" t="s">
        <v>83</v>
      </c>
      <c r="AG63" s="154" t="s">
        <v>83</v>
      </c>
      <c r="AH63" s="154" t="s">
        <v>83</v>
      </c>
      <c r="AI63" s="27"/>
      <c r="AJ63" s="27"/>
      <c r="AK63" s="27">
        <v>0</v>
      </c>
      <c r="AL63" s="27">
        <v>0</v>
      </c>
      <c r="AM63" s="154" t="s">
        <v>83</v>
      </c>
      <c r="AN63" s="27"/>
      <c r="AO63" s="27"/>
      <c r="AP63" s="27">
        <v>1</v>
      </c>
    </row>
    <row r="64" spans="1:42">
      <c r="A64" s="133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|Cffbbbbbb属性：|r|n护甲+100|n生命值+720000|n生命回复+18000|n生命恢复%+1|n|n|Cff00ff7f点击消耗8000金币进行强化|n成功率70%</v>
      </c>
      <c r="J64" s="135" t="str">
        <f t="shared" si="14"/>
        <v>|Cff00BFFF[防具]圣谕披风lv2|r</v>
      </c>
      <c r="K64" s="135" t="str">
        <f t="shared" si="15"/>
        <v>|Cffbbbbbb属性：|r|n护甲+100|n生命值+720000|n生命回复+18000|n生命恢复%+1|n|n|Cff00ff7f点击消耗8000金币进行强化|n成功率70%</v>
      </c>
      <c r="L64" s="27"/>
      <c r="M64" s="136" t="str">
        <f>VLOOKUP(LEFT(RIGHT(B64,5),4),物品!B:CU,20,FALSE)</f>
        <v>ReplaceableTextures\\CommandButtons\\BTNZ13.blp</v>
      </c>
      <c r="N64" s="154" t="s">
        <v>83</v>
      </c>
      <c r="O64" s="155" t="s">
        <v>84</v>
      </c>
      <c r="P64" s="27">
        <v>0</v>
      </c>
      <c r="Q64" s="27">
        <v>0</v>
      </c>
      <c r="R64" s="154" t="s">
        <v>83</v>
      </c>
      <c r="S64" s="154" t="s">
        <v>83</v>
      </c>
      <c r="T64" s="154" t="s">
        <v>83</v>
      </c>
      <c r="U64" s="154" t="s">
        <v>83</v>
      </c>
      <c r="V64" s="27">
        <v>3</v>
      </c>
      <c r="W64" s="27" t="s">
        <v>85</v>
      </c>
      <c r="X64" s="27">
        <v>0</v>
      </c>
      <c r="Y64" s="15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4" t="s">
        <v>83</v>
      </c>
      <c r="AF64" s="154" t="s">
        <v>83</v>
      </c>
      <c r="AG64" s="154" t="s">
        <v>83</v>
      </c>
      <c r="AH64" s="154" t="s">
        <v>83</v>
      </c>
      <c r="AI64" s="27"/>
      <c r="AJ64" s="27"/>
      <c r="AK64" s="27">
        <v>0</v>
      </c>
      <c r="AL64" s="27">
        <v>0</v>
      </c>
      <c r="AM64" s="154" t="s">
        <v>83</v>
      </c>
      <c r="AN64" s="27"/>
      <c r="AO64" s="27"/>
      <c r="AP64" s="27">
        <v>1</v>
      </c>
    </row>
    <row r="65" spans="1:42">
      <c r="A65" s="133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|Cffbbbbbb属性：|r|n护甲+100|n生命值+840000|n生命回复+21000|n生命恢复%+1|n|n|Cff00ff7f点击消耗8000金币进行强化|n成功率70%</v>
      </c>
      <c r="J65" s="135" t="str">
        <f t="shared" si="14"/>
        <v>|Cff00BFFF[防具]圣谕披风lv3|r</v>
      </c>
      <c r="K65" s="135" t="str">
        <f t="shared" si="15"/>
        <v>|Cffbbbbbb属性：|r|n护甲+100|n生命值+840000|n生命回复+21000|n生命恢复%+1|n|n|Cff00ff7f点击消耗8000金币进行强化|n成功率70%</v>
      </c>
      <c r="L65" s="27"/>
      <c r="M65" s="136" t="str">
        <f>VLOOKUP(LEFT(RIGHT(B65,5),4),物品!B:CU,20,FALSE)</f>
        <v>ReplaceableTextures\\CommandButtons\\BTNZ13.blp</v>
      </c>
      <c r="N65" s="154" t="s">
        <v>83</v>
      </c>
      <c r="O65" s="155" t="s">
        <v>84</v>
      </c>
      <c r="P65" s="27">
        <v>0</v>
      </c>
      <c r="Q65" s="27">
        <v>0</v>
      </c>
      <c r="R65" s="154" t="s">
        <v>83</v>
      </c>
      <c r="S65" s="154" t="s">
        <v>83</v>
      </c>
      <c r="T65" s="154" t="s">
        <v>83</v>
      </c>
      <c r="U65" s="154" t="s">
        <v>83</v>
      </c>
      <c r="V65" s="27">
        <v>3</v>
      </c>
      <c r="W65" s="27" t="s">
        <v>85</v>
      </c>
      <c r="X65" s="27">
        <v>0</v>
      </c>
      <c r="Y65" s="15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4" t="s">
        <v>83</v>
      </c>
      <c r="AF65" s="154" t="s">
        <v>83</v>
      </c>
      <c r="AG65" s="154" t="s">
        <v>83</v>
      </c>
      <c r="AH65" s="154" t="s">
        <v>83</v>
      </c>
      <c r="AI65" s="27"/>
      <c r="AJ65" s="27"/>
      <c r="AK65" s="27">
        <v>0</v>
      </c>
      <c r="AL65" s="27">
        <v>0</v>
      </c>
      <c r="AM65" s="154" t="s">
        <v>83</v>
      </c>
      <c r="AN65" s="27"/>
      <c r="AO65" s="27"/>
      <c r="AP65" s="27">
        <v>1</v>
      </c>
    </row>
    <row r="66" spans="1:42">
      <c r="A66" s="133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|Cffbbbbbb属性：|r|n护甲+100|n生命值+1000000|n生命回复+25000|n生命恢复%+1|n|n|Cff00ff7f点击消耗8000金币进行强化|n成功率70%</v>
      </c>
      <c r="J66" s="135" t="str">
        <f t="shared" si="14"/>
        <v>|Cff00BFFF[防具]圣谕披风lv4|r</v>
      </c>
      <c r="K66" s="135" t="str">
        <f t="shared" si="15"/>
        <v>|Cffbbbbbb属性：|r|n护甲+100|n生命值+1000000|n生命回复+25000|n生命恢复%+1|n|n|Cff00ff7f点击消耗8000金币进行强化|n成功率70%</v>
      </c>
      <c r="L66" s="27"/>
      <c r="M66" s="136" t="str">
        <f>VLOOKUP(LEFT(RIGHT(B66,5),4),物品!B:CU,20,FALSE)</f>
        <v>ReplaceableTextures\\CommandButtons\\BTNZ13.blp</v>
      </c>
      <c r="N66" s="154" t="s">
        <v>83</v>
      </c>
      <c r="O66" s="155" t="s">
        <v>84</v>
      </c>
      <c r="P66" s="27">
        <v>0</v>
      </c>
      <c r="Q66" s="27">
        <v>0</v>
      </c>
      <c r="R66" s="154" t="s">
        <v>83</v>
      </c>
      <c r="S66" s="154" t="s">
        <v>83</v>
      </c>
      <c r="T66" s="154" t="s">
        <v>83</v>
      </c>
      <c r="U66" s="154" t="s">
        <v>83</v>
      </c>
      <c r="V66" s="27">
        <v>3</v>
      </c>
      <c r="W66" s="27" t="s">
        <v>85</v>
      </c>
      <c r="X66" s="27">
        <v>0</v>
      </c>
      <c r="Y66" s="15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4" t="s">
        <v>83</v>
      </c>
      <c r="AF66" s="154" t="s">
        <v>83</v>
      </c>
      <c r="AG66" s="154" t="s">
        <v>83</v>
      </c>
      <c r="AH66" s="154" t="s">
        <v>83</v>
      </c>
      <c r="AI66" s="27"/>
      <c r="AJ66" s="27"/>
      <c r="AK66" s="27">
        <v>0</v>
      </c>
      <c r="AL66" s="27">
        <v>0</v>
      </c>
      <c r="AM66" s="154" t="s">
        <v>83</v>
      </c>
      <c r="AN66" s="27"/>
      <c r="AO66" s="27"/>
      <c r="AP66" s="27">
        <v>1</v>
      </c>
    </row>
    <row r="67" spans="1:42">
      <c r="A67" s="133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|Cffbbbbbb属性：|r|n护甲+100|n生命值+1200000|n生命回复+30000|n生命恢复%+1|n|n|Cff00ff7f点击消耗30000金币进行晋阶挑战</v>
      </c>
      <c r="J67" s="135" t="str">
        <f t="shared" si="14"/>
        <v>|Cff00BFFF[防具]圣谕披风lv5|r</v>
      </c>
      <c r="K67" s="135" t="str">
        <f t="shared" si="15"/>
        <v>|Cffbbbbbb属性：|r|n护甲+100|n生命值+1200000|n生命回复+30000|n生命恢复%+1|n|n|Cff00ff7f点击消耗30000金币进行晋阶挑战</v>
      </c>
      <c r="L67" s="27"/>
      <c r="M67" s="136" t="str">
        <f>VLOOKUP(LEFT(RIGHT(B67,5),4),物品!B:CU,20,FALSE)</f>
        <v>ReplaceableTextures\\CommandButtons\\BTNZ13.blp</v>
      </c>
      <c r="N67" s="154" t="s">
        <v>83</v>
      </c>
      <c r="O67" s="155" t="s">
        <v>84</v>
      </c>
      <c r="P67" s="27">
        <v>0</v>
      </c>
      <c r="Q67" s="27">
        <v>0</v>
      </c>
      <c r="R67" s="154" t="s">
        <v>83</v>
      </c>
      <c r="S67" s="154" t="s">
        <v>83</v>
      </c>
      <c r="T67" s="154" t="s">
        <v>83</v>
      </c>
      <c r="U67" s="154" t="s">
        <v>83</v>
      </c>
      <c r="V67" s="27">
        <v>3</v>
      </c>
      <c r="W67" s="27" t="s">
        <v>85</v>
      </c>
      <c r="X67" s="27">
        <v>0</v>
      </c>
      <c r="Y67" s="15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4" t="s">
        <v>83</v>
      </c>
      <c r="AF67" s="154" t="s">
        <v>83</v>
      </c>
      <c r="AG67" s="154" t="s">
        <v>83</v>
      </c>
      <c r="AH67" s="154" t="s">
        <v>83</v>
      </c>
      <c r="AI67" s="27"/>
      <c r="AJ67" s="27"/>
      <c r="AK67" s="27">
        <v>0</v>
      </c>
      <c r="AL67" s="27">
        <v>0</v>
      </c>
      <c r="AM67" s="154" t="s">
        <v>83</v>
      </c>
      <c r="AN67" s="27"/>
      <c r="AO67" s="27"/>
      <c r="AP67" s="27">
        <v>1</v>
      </c>
    </row>
    <row r="68" spans="1:42">
      <c r="A68" s="133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|Cffbbbbbb属性：|r|n护甲+150|n生命值+2000000|n生命回复+50000|n生命恢复%+2|n|n|Cff00ff7f点击消耗20000金币进行强化|n成功率60%</v>
      </c>
      <c r="J68" s="135" t="str">
        <f t="shared" si="14"/>
        <v>|CffFFC926[防具]乾坤护心甲lv1|r</v>
      </c>
      <c r="K68" s="135" t="str">
        <f t="shared" si="15"/>
        <v>|Cffbbbbbb属性：|r|n护甲+150|n生命值+2000000|n生命回复+50000|n生命恢复%+2|n|n|Cff00ff7f点击消耗20000金币进行强化|n成功率60%</v>
      </c>
      <c r="L68" s="27"/>
      <c r="M68" s="136" t="str">
        <f>VLOOKUP(LEFT(RIGHT(B68,5),4),物品!B:CU,20,FALSE)</f>
        <v>ReplaceableTextures\\CommandButtons\\BTNZ14.blp</v>
      </c>
      <c r="N68" s="154" t="s">
        <v>83</v>
      </c>
      <c r="O68" s="155" t="s">
        <v>84</v>
      </c>
      <c r="P68" s="27">
        <v>0</v>
      </c>
      <c r="Q68" s="27">
        <v>0</v>
      </c>
      <c r="R68" s="154" t="s">
        <v>83</v>
      </c>
      <c r="S68" s="154" t="s">
        <v>83</v>
      </c>
      <c r="T68" s="154" t="s">
        <v>83</v>
      </c>
      <c r="U68" s="154" t="s">
        <v>83</v>
      </c>
      <c r="V68" s="27">
        <v>3</v>
      </c>
      <c r="W68" s="27" t="s">
        <v>85</v>
      </c>
      <c r="X68" s="27">
        <v>0</v>
      </c>
      <c r="Y68" s="15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4" t="s">
        <v>83</v>
      </c>
      <c r="AF68" s="154" t="s">
        <v>83</v>
      </c>
      <c r="AG68" s="154" t="s">
        <v>83</v>
      </c>
      <c r="AH68" s="154" t="s">
        <v>83</v>
      </c>
      <c r="AI68" s="27"/>
      <c r="AJ68" s="27"/>
      <c r="AK68" s="27">
        <v>0</v>
      </c>
      <c r="AL68" s="27">
        <v>0</v>
      </c>
      <c r="AM68" s="154" t="s">
        <v>83</v>
      </c>
      <c r="AN68" s="27"/>
      <c r="AO68" s="27"/>
      <c r="AP68" s="27">
        <v>1</v>
      </c>
    </row>
    <row r="69" spans="1:42">
      <c r="A69" s="133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|Cffbbbbbb属性：|r|n护甲+150|n生命值+2400000|n生命回复+60000|n生命恢复%+2|n|n|Cff00ff7f点击消耗20000金币进行强化|n成功率60%</v>
      </c>
      <c r="J69" s="135" t="str">
        <f t="shared" si="14"/>
        <v>|CffFFC926[防具]乾坤护心甲lv2|r</v>
      </c>
      <c r="K69" s="135" t="str">
        <f t="shared" si="15"/>
        <v>|Cffbbbbbb属性：|r|n护甲+150|n生命值+2400000|n生命回复+60000|n生命恢复%+2|n|n|Cff00ff7f点击消耗20000金币进行强化|n成功率60%</v>
      </c>
      <c r="L69" s="27"/>
      <c r="M69" s="136" t="str">
        <f>VLOOKUP(LEFT(RIGHT(B69,5),4),物品!B:CU,20,FALSE)</f>
        <v>ReplaceableTextures\\CommandButtons\\BTNZ14.blp</v>
      </c>
      <c r="N69" s="154" t="s">
        <v>83</v>
      </c>
      <c r="O69" s="155" t="s">
        <v>84</v>
      </c>
      <c r="P69" s="27">
        <v>0</v>
      </c>
      <c r="Q69" s="27">
        <v>0</v>
      </c>
      <c r="R69" s="154" t="s">
        <v>83</v>
      </c>
      <c r="S69" s="154" t="s">
        <v>83</v>
      </c>
      <c r="T69" s="154" t="s">
        <v>83</v>
      </c>
      <c r="U69" s="154" t="s">
        <v>83</v>
      </c>
      <c r="V69" s="27">
        <v>3</v>
      </c>
      <c r="W69" s="27" t="s">
        <v>85</v>
      </c>
      <c r="X69" s="27">
        <v>0</v>
      </c>
      <c r="Y69" s="15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4" t="s">
        <v>83</v>
      </c>
      <c r="AF69" s="154" t="s">
        <v>83</v>
      </c>
      <c r="AG69" s="154" t="s">
        <v>83</v>
      </c>
      <c r="AH69" s="154" t="s">
        <v>83</v>
      </c>
      <c r="AI69" s="27"/>
      <c r="AJ69" s="27"/>
      <c r="AK69" s="27">
        <v>0</v>
      </c>
      <c r="AL69" s="27">
        <v>0</v>
      </c>
      <c r="AM69" s="154" t="s">
        <v>83</v>
      </c>
      <c r="AN69" s="27"/>
      <c r="AO69" s="27"/>
      <c r="AP69" s="27">
        <v>1</v>
      </c>
    </row>
    <row r="70" spans="1:42">
      <c r="A70" s="133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|Cffbbbbbb属性：|r|n护甲+150|n生命值+2800000|n生命回复+70000|n生命恢复%+2|n|n|Cff00ff7f点击消耗20000金币进行强化|n成功率60%</v>
      </c>
      <c r="J70" s="135" t="str">
        <f t="shared" si="14"/>
        <v>|CffFFC926[防具]乾坤护心甲lv3|r</v>
      </c>
      <c r="K70" s="135" t="str">
        <f t="shared" si="15"/>
        <v>|Cffbbbbbb属性：|r|n护甲+150|n生命值+2800000|n生命回复+70000|n生命恢复%+2|n|n|Cff00ff7f点击消耗20000金币进行强化|n成功率60%</v>
      </c>
      <c r="L70" s="27"/>
      <c r="M70" s="136" t="str">
        <f>VLOOKUP(LEFT(RIGHT(B70,5),4),物品!B:CU,20,FALSE)</f>
        <v>ReplaceableTextures\\CommandButtons\\BTNZ14.blp</v>
      </c>
      <c r="N70" s="154" t="s">
        <v>83</v>
      </c>
      <c r="O70" s="155" t="s">
        <v>84</v>
      </c>
      <c r="P70" s="27">
        <v>0</v>
      </c>
      <c r="Q70" s="27">
        <v>0</v>
      </c>
      <c r="R70" s="154" t="s">
        <v>83</v>
      </c>
      <c r="S70" s="154" t="s">
        <v>83</v>
      </c>
      <c r="T70" s="154" t="s">
        <v>83</v>
      </c>
      <c r="U70" s="154" t="s">
        <v>83</v>
      </c>
      <c r="V70" s="27">
        <v>3</v>
      </c>
      <c r="W70" s="27" t="s">
        <v>85</v>
      </c>
      <c r="X70" s="27">
        <v>0</v>
      </c>
      <c r="Y70" s="15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4" t="s">
        <v>83</v>
      </c>
      <c r="AF70" s="154" t="s">
        <v>83</v>
      </c>
      <c r="AG70" s="154" t="s">
        <v>83</v>
      </c>
      <c r="AH70" s="154" t="s">
        <v>83</v>
      </c>
      <c r="AI70" s="27"/>
      <c r="AJ70" s="27"/>
      <c r="AK70" s="27">
        <v>0</v>
      </c>
      <c r="AL70" s="27">
        <v>0</v>
      </c>
      <c r="AM70" s="154" t="s">
        <v>83</v>
      </c>
      <c r="AN70" s="27"/>
      <c r="AO70" s="27"/>
      <c r="AP70" s="27">
        <v>1</v>
      </c>
    </row>
    <row r="71" spans="1:42">
      <c r="A71" s="133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|Cffbbbbbb属性：|r|n护甲+150|n生命值+3400000|n生命回复+85000|n生命恢复%+2|n|n|Cff00ff7f点击消耗20000金币进行强化|n成功率60%</v>
      </c>
      <c r="J71" s="135" t="str">
        <f t="shared" si="14"/>
        <v>|CffFFC926[防具]乾坤护心甲lv4|r</v>
      </c>
      <c r="K71" s="135" t="str">
        <f t="shared" si="15"/>
        <v>|Cffbbbbbb属性：|r|n护甲+150|n生命值+3400000|n生命回复+85000|n生命恢复%+2|n|n|Cff00ff7f点击消耗20000金币进行强化|n成功率60%</v>
      </c>
      <c r="L71" s="27"/>
      <c r="M71" s="136" t="str">
        <f>VLOOKUP(LEFT(RIGHT(B71,5),4),物品!B:CU,20,FALSE)</f>
        <v>ReplaceableTextures\\CommandButtons\\BTNZ14.blp</v>
      </c>
      <c r="N71" s="154" t="s">
        <v>83</v>
      </c>
      <c r="O71" s="155" t="s">
        <v>84</v>
      </c>
      <c r="P71" s="27">
        <v>0</v>
      </c>
      <c r="Q71" s="27">
        <v>0</v>
      </c>
      <c r="R71" s="154" t="s">
        <v>83</v>
      </c>
      <c r="S71" s="154" t="s">
        <v>83</v>
      </c>
      <c r="T71" s="154" t="s">
        <v>83</v>
      </c>
      <c r="U71" s="154" t="s">
        <v>83</v>
      </c>
      <c r="V71" s="27">
        <v>3</v>
      </c>
      <c r="W71" s="27" t="s">
        <v>85</v>
      </c>
      <c r="X71" s="27">
        <v>0</v>
      </c>
      <c r="Y71" s="15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4" t="s">
        <v>83</v>
      </c>
      <c r="AF71" s="154" t="s">
        <v>83</v>
      </c>
      <c r="AG71" s="154" t="s">
        <v>83</v>
      </c>
      <c r="AH71" s="154" t="s">
        <v>83</v>
      </c>
      <c r="AI71" s="27"/>
      <c r="AJ71" s="27"/>
      <c r="AK71" s="27">
        <v>0</v>
      </c>
      <c r="AL71" s="27">
        <v>0</v>
      </c>
      <c r="AM71" s="154" t="s">
        <v>83</v>
      </c>
      <c r="AN71" s="27"/>
      <c r="AO71" s="27"/>
      <c r="AP71" s="27">
        <v>1</v>
      </c>
    </row>
    <row r="72" spans="1:42">
      <c r="A72" s="133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|Cffbbbbbb属性：|r|n护甲+150|n生命值+4000000|n生命回复+100000|n生命恢复%+2|n|n|Cff00ff7f点击消耗35000金币进行晋阶挑战</v>
      </c>
      <c r="J72" s="135" t="str">
        <f t="shared" si="14"/>
        <v>|CffFFC926[防具]乾坤护心甲lv5|r</v>
      </c>
      <c r="K72" s="135" t="str">
        <f t="shared" si="15"/>
        <v>|Cffbbbbbb属性：|r|n护甲+150|n生命值+4000000|n生命回复+100000|n生命恢复%+2|n|n|Cff00ff7f点击消耗35000金币进行晋阶挑战</v>
      </c>
      <c r="L72" s="27"/>
      <c r="M72" s="136" t="str">
        <f>VLOOKUP(LEFT(RIGHT(B72,5),4),物品!B:CU,20,FALSE)</f>
        <v>ReplaceableTextures\\CommandButtons\\BTNZ14.blp</v>
      </c>
      <c r="N72" s="154" t="s">
        <v>83</v>
      </c>
      <c r="O72" s="155" t="s">
        <v>84</v>
      </c>
      <c r="P72" s="27">
        <v>0</v>
      </c>
      <c r="Q72" s="27">
        <v>0</v>
      </c>
      <c r="R72" s="154" t="s">
        <v>83</v>
      </c>
      <c r="S72" s="154" t="s">
        <v>83</v>
      </c>
      <c r="T72" s="154" t="s">
        <v>83</v>
      </c>
      <c r="U72" s="154" t="s">
        <v>83</v>
      </c>
      <c r="V72" s="27">
        <v>3</v>
      </c>
      <c r="W72" s="27" t="s">
        <v>85</v>
      </c>
      <c r="X72" s="27">
        <v>0</v>
      </c>
      <c r="Y72" s="15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4" t="s">
        <v>83</v>
      </c>
      <c r="AF72" s="154" t="s">
        <v>83</v>
      </c>
      <c r="AG72" s="154" t="s">
        <v>83</v>
      </c>
      <c r="AH72" s="154" t="s">
        <v>83</v>
      </c>
      <c r="AI72" s="27"/>
      <c r="AJ72" s="27"/>
      <c r="AK72" s="27">
        <v>0</v>
      </c>
      <c r="AL72" s="27">
        <v>0</v>
      </c>
      <c r="AM72" s="154" t="s">
        <v>83</v>
      </c>
      <c r="AN72" s="27"/>
      <c r="AO72" s="27"/>
      <c r="AP72" s="27">
        <v>1</v>
      </c>
    </row>
    <row r="73" spans="1:42">
      <c r="A73" s="133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|Cffbbbbbb属性：|r|n护甲+200|n生命值+6000000|n生命回复+150000|n生命恢复%+3|n|n|Cff00ff7f点击消耗35000金币进行强化|n成功率50%</v>
      </c>
      <c r="J73" s="135" t="str">
        <f t="shared" si="14"/>
        <v>|CffFF0000[防具]九龙黄金甲lv1|r</v>
      </c>
      <c r="K73" s="135" t="str">
        <f t="shared" si="15"/>
        <v>|Cffbbbbbb属性：|r|n护甲+200|n生命值+6000000|n生命回复+150000|n生命恢复%+3|n|n|Cff00ff7f点击消耗35000金币进行强化|n成功率50%</v>
      </c>
      <c r="L73" s="27"/>
      <c r="M73" s="136" t="str">
        <f>VLOOKUP(LEFT(RIGHT(B73,5),4),物品!B:CU,20,FALSE)</f>
        <v>ReplaceableTextures\\CommandButtons\\BTNZ15.blp</v>
      </c>
      <c r="N73" s="154" t="s">
        <v>83</v>
      </c>
      <c r="O73" s="155" t="s">
        <v>84</v>
      </c>
      <c r="P73" s="27">
        <v>0</v>
      </c>
      <c r="Q73" s="27">
        <v>0</v>
      </c>
      <c r="R73" s="154" t="s">
        <v>83</v>
      </c>
      <c r="S73" s="154" t="s">
        <v>83</v>
      </c>
      <c r="T73" s="154" t="s">
        <v>83</v>
      </c>
      <c r="U73" s="154" t="s">
        <v>83</v>
      </c>
      <c r="V73" s="27">
        <v>3</v>
      </c>
      <c r="W73" s="27" t="s">
        <v>85</v>
      </c>
      <c r="X73" s="27">
        <v>0</v>
      </c>
      <c r="Y73" s="15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4" t="s">
        <v>83</v>
      </c>
      <c r="AF73" s="154" t="s">
        <v>83</v>
      </c>
      <c r="AG73" s="154" t="s">
        <v>83</v>
      </c>
      <c r="AH73" s="154" t="s">
        <v>83</v>
      </c>
      <c r="AI73" s="27"/>
      <c r="AJ73" s="27"/>
      <c r="AK73" s="27">
        <v>0</v>
      </c>
      <c r="AL73" s="27">
        <v>0</v>
      </c>
      <c r="AM73" s="154" t="s">
        <v>83</v>
      </c>
      <c r="AN73" s="27"/>
      <c r="AO73" s="27"/>
      <c r="AP73" s="27">
        <v>1</v>
      </c>
    </row>
    <row r="74" spans="1:42">
      <c r="A74" s="133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|Cffbbbbbb属性：|r|n护甲+200|n生命值+7200000|n生命回复+180000|n生命恢复%+3|n|n|Cff00ff7f点击消耗35000金币进行强化|n成功率50%</v>
      </c>
      <c r="J74" s="135" t="str">
        <f t="shared" si="14"/>
        <v>|CffFF0000[防具]九龙黄金甲lv2|r</v>
      </c>
      <c r="K74" s="135" t="str">
        <f t="shared" si="15"/>
        <v>|Cffbbbbbb属性：|r|n护甲+200|n生命值+7200000|n生命回复+180000|n生命恢复%+3|n|n|Cff00ff7f点击消耗35000金币进行强化|n成功率50%</v>
      </c>
      <c r="L74" s="27"/>
      <c r="M74" s="136" t="str">
        <f>VLOOKUP(LEFT(RIGHT(B74,5),4),物品!B:CU,20,FALSE)</f>
        <v>ReplaceableTextures\\CommandButtons\\BTNZ15.blp</v>
      </c>
      <c r="N74" s="154" t="s">
        <v>83</v>
      </c>
      <c r="O74" s="155" t="s">
        <v>84</v>
      </c>
      <c r="P74" s="27">
        <v>0</v>
      </c>
      <c r="Q74" s="27">
        <v>0</v>
      </c>
      <c r="R74" s="154" t="s">
        <v>83</v>
      </c>
      <c r="S74" s="154" t="s">
        <v>83</v>
      </c>
      <c r="T74" s="154" t="s">
        <v>83</v>
      </c>
      <c r="U74" s="154" t="s">
        <v>83</v>
      </c>
      <c r="V74" s="27">
        <v>3</v>
      </c>
      <c r="W74" s="27" t="s">
        <v>85</v>
      </c>
      <c r="X74" s="27">
        <v>0</v>
      </c>
      <c r="Y74" s="15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4" t="s">
        <v>83</v>
      </c>
      <c r="AF74" s="154" t="s">
        <v>83</v>
      </c>
      <c r="AG74" s="154" t="s">
        <v>83</v>
      </c>
      <c r="AH74" s="154" t="s">
        <v>83</v>
      </c>
      <c r="AI74" s="27"/>
      <c r="AJ74" s="27"/>
      <c r="AK74" s="27">
        <v>0</v>
      </c>
      <c r="AL74" s="27">
        <v>0</v>
      </c>
      <c r="AM74" s="154" t="s">
        <v>83</v>
      </c>
      <c r="AN74" s="27"/>
      <c r="AO74" s="27"/>
      <c r="AP74" s="27">
        <v>1</v>
      </c>
    </row>
    <row r="75" spans="1:42">
      <c r="A75" s="133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|Cffbbbbbb属性：|r|n护甲+200|n生命值+8400000|n生命回复+210000|n生命恢复%+3|n|n|Cff00ff7f点击消耗35000金币进行强化|n成功率50%</v>
      </c>
      <c r="J75" s="135" t="str">
        <f t="shared" si="14"/>
        <v>|CffFF0000[防具]九龙黄金甲lv3|r</v>
      </c>
      <c r="K75" s="135" t="str">
        <f t="shared" si="15"/>
        <v>|Cffbbbbbb属性：|r|n护甲+200|n生命值+8400000|n生命回复+210000|n生命恢复%+3|n|n|Cff00ff7f点击消耗35000金币进行强化|n成功率50%</v>
      </c>
      <c r="L75" s="27"/>
      <c r="M75" s="136" t="str">
        <f>VLOOKUP(LEFT(RIGHT(B75,5),4),物品!B:CU,20,FALSE)</f>
        <v>ReplaceableTextures\\CommandButtons\\BTNZ15.blp</v>
      </c>
      <c r="N75" s="154" t="s">
        <v>83</v>
      </c>
      <c r="O75" s="155" t="s">
        <v>84</v>
      </c>
      <c r="P75" s="27">
        <v>0</v>
      </c>
      <c r="Q75" s="27">
        <v>0</v>
      </c>
      <c r="R75" s="154" t="s">
        <v>83</v>
      </c>
      <c r="S75" s="154" t="s">
        <v>83</v>
      </c>
      <c r="T75" s="154" t="s">
        <v>83</v>
      </c>
      <c r="U75" s="154" t="s">
        <v>83</v>
      </c>
      <c r="V75" s="27">
        <v>3</v>
      </c>
      <c r="W75" s="27" t="s">
        <v>85</v>
      </c>
      <c r="X75" s="27">
        <v>0</v>
      </c>
      <c r="Y75" s="15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4" t="s">
        <v>83</v>
      </c>
      <c r="AF75" s="154" t="s">
        <v>83</v>
      </c>
      <c r="AG75" s="154" t="s">
        <v>83</v>
      </c>
      <c r="AH75" s="154" t="s">
        <v>83</v>
      </c>
      <c r="AI75" s="27"/>
      <c r="AJ75" s="27"/>
      <c r="AK75" s="27">
        <v>0</v>
      </c>
      <c r="AL75" s="27">
        <v>0</v>
      </c>
      <c r="AM75" s="154" t="s">
        <v>83</v>
      </c>
      <c r="AN75" s="27"/>
      <c r="AO75" s="27"/>
      <c r="AP75" s="27">
        <v>1</v>
      </c>
    </row>
    <row r="76" spans="1:42">
      <c r="A76" s="133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|Cffbbbbbb属性：|r|n护甲+200|n生命值+10000000|n生命回复+250000|n生命恢复%+3|n|n|Cff00ff7f点击消耗35000金币进行强化|n成功率50%</v>
      </c>
      <c r="J76" s="135" t="str">
        <f t="shared" si="14"/>
        <v>|CffFF0000[防具]九龙黄金甲lv4|r</v>
      </c>
      <c r="K76" s="135" t="str">
        <f t="shared" si="15"/>
        <v>|Cffbbbbbb属性：|r|n护甲+200|n生命值+10000000|n生命回复+250000|n生命恢复%+3|n|n|Cff00ff7f点击消耗35000金币进行强化|n成功率50%</v>
      </c>
      <c r="L76" s="27"/>
      <c r="M76" s="136" t="str">
        <f>VLOOKUP(LEFT(RIGHT(B76,5),4),物品!B:CU,20,FALSE)</f>
        <v>ReplaceableTextures\\CommandButtons\\BTNZ15.blp</v>
      </c>
      <c r="N76" s="154" t="s">
        <v>83</v>
      </c>
      <c r="O76" s="155" t="s">
        <v>84</v>
      </c>
      <c r="P76" s="27">
        <v>0</v>
      </c>
      <c r="Q76" s="27">
        <v>0</v>
      </c>
      <c r="R76" s="154" t="s">
        <v>83</v>
      </c>
      <c r="S76" s="154" t="s">
        <v>83</v>
      </c>
      <c r="T76" s="154" t="s">
        <v>83</v>
      </c>
      <c r="U76" s="154" t="s">
        <v>83</v>
      </c>
      <c r="V76" s="27">
        <v>3</v>
      </c>
      <c r="W76" s="27" t="s">
        <v>85</v>
      </c>
      <c r="X76" s="27">
        <v>0</v>
      </c>
      <c r="Y76" s="15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4" t="s">
        <v>83</v>
      </c>
      <c r="AF76" s="154" t="s">
        <v>83</v>
      </c>
      <c r="AG76" s="154" t="s">
        <v>83</v>
      </c>
      <c r="AH76" s="154" t="s">
        <v>83</v>
      </c>
      <c r="AI76" s="27"/>
      <c r="AJ76" s="27"/>
      <c r="AK76" s="27">
        <v>0</v>
      </c>
      <c r="AL76" s="27">
        <v>0</v>
      </c>
      <c r="AM76" s="154" t="s">
        <v>83</v>
      </c>
      <c r="AN76" s="27"/>
      <c r="AO76" s="27"/>
      <c r="AP76" s="27">
        <v>1</v>
      </c>
    </row>
    <row r="77" spans="1:42">
      <c r="A77" s="133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|Cffbbbbbb属性：|r|n护甲+200|n生命值+12000000|n生命回复+300000|n生命恢复%+5|n|Cff999999装备进化：未开放|r</v>
      </c>
      <c r="J77" s="135" t="str">
        <f t="shared" si="14"/>
        <v>|CffFF0000[防具]九龙黄金甲lv5|r</v>
      </c>
      <c r="K77" s="135" t="str">
        <f t="shared" si="15"/>
        <v>|Cffbbbbbb属性：|r|n护甲+200|n生命值+12000000|n生命回复+300000|n生命恢复%+5|n|Cff999999装备进化：未开放|r</v>
      </c>
      <c r="L77" s="27"/>
      <c r="M77" s="136" t="str">
        <f>VLOOKUP(LEFT(RIGHT(B77,5),4),物品!B:CU,20,FALSE)</f>
        <v>ReplaceableTextures\\CommandButtons\\BTNZ15.blp</v>
      </c>
      <c r="N77" s="154" t="s">
        <v>83</v>
      </c>
      <c r="O77" s="155" t="s">
        <v>84</v>
      </c>
      <c r="P77" s="27">
        <v>0</v>
      </c>
      <c r="Q77" s="27">
        <v>0</v>
      </c>
      <c r="R77" s="154" t="s">
        <v>83</v>
      </c>
      <c r="S77" s="154" t="s">
        <v>83</v>
      </c>
      <c r="T77" s="154" t="s">
        <v>83</v>
      </c>
      <c r="U77" s="154" t="s">
        <v>83</v>
      </c>
      <c r="V77" s="27">
        <v>3</v>
      </c>
      <c r="W77" s="27" t="s">
        <v>85</v>
      </c>
      <c r="X77" s="27">
        <v>0</v>
      </c>
      <c r="Y77" s="15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4" t="s">
        <v>83</v>
      </c>
      <c r="AF77" s="154" t="s">
        <v>83</v>
      </c>
      <c r="AG77" s="154" t="s">
        <v>83</v>
      </c>
      <c r="AH77" s="154" t="s">
        <v>83</v>
      </c>
      <c r="AI77" s="27"/>
      <c r="AJ77" s="27"/>
      <c r="AK77" s="27">
        <v>0</v>
      </c>
      <c r="AL77" s="27">
        <v>0</v>
      </c>
      <c r="AM77" s="154" t="s">
        <v>83</v>
      </c>
      <c r="AN77" s="27"/>
      <c r="AO77" s="27"/>
      <c r="AP77" s="27"/>
    </row>
    <row r="78" spans="1:42">
      <c r="A78" s="133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|Cffbbbbbb属性：|r|n攻击+5000|n业力+4000|n生命值+100000|n生命回复+2000|n物理伤害+12%|n法术伤害+10%|n杀敌攻击+8|n杀敌业力+1|n杀敌生命+30|n</v>
      </c>
      <c r="J78" s="135" t="str">
        <f t="shared" ref="J78" si="16">H78</f>
        <v>低级道果【1】</v>
      </c>
      <c r="K78" s="135" t="str">
        <f t="shared" ref="K78" si="17">I78</f>
        <v>|Cffbbbbbb属性：|r|n攻击+5000|n业力+4000|n生命值+100000|n生命回复+2000|n物理伤害+12%|n法术伤害+10%|n杀敌攻击+8|n杀敌业力+1|n杀敌生命+30|n</v>
      </c>
      <c r="L78" s="27"/>
      <c r="M78" s="136" t="str">
        <f>VLOOKUP(LEFT(RIGHT(B78,5),4),物品!B:CU,20,FALSE)</f>
        <v>ReplaceableTextures\\CommandButtons\\BTNOrbOfFrost.blp</v>
      </c>
      <c r="N78" s="154" t="s">
        <v>83</v>
      </c>
      <c r="O78" s="136" t="s">
        <v>87</v>
      </c>
      <c r="P78" s="27">
        <v>0</v>
      </c>
      <c r="Q78" s="27">
        <v>0</v>
      </c>
      <c r="R78" s="154" t="s">
        <v>83</v>
      </c>
      <c r="S78" s="154" t="s">
        <v>83</v>
      </c>
      <c r="T78" s="154" t="s">
        <v>83</v>
      </c>
      <c r="U78" s="154" t="s">
        <v>83</v>
      </c>
      <c r="V78" s="27"/>
      <c r="W78" s="27" t="s">
        <v>88</v>
      </c>
      <c r="X78" s="27">
        <v>0</v>
      </c>
      <c r="Y78" s="15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4" t="s">
        <v>83</v>
      </c>
      <c r="AF78" s="154" t="s">
        <v>83</v>
      </c>
      <c r="AG78" s="154" t="s">
        <v>83</v>
      </c>
      <c r="AH78" s="154" t="s">
        <v>83</v>
      </c>
      <c r="AI78" s="27">
        <v>1</v>
      </c>
      <c r="AJ78" s="27"/>
      <c r="AK78" s="27">
        <v>1</v>
      </c>
      <c r="AL78" s="27">
        <v>1</v>
      </c>
      <c r="AM78" s="154" t="s">
        <v>83</v>
      </c>
      <c r="AN78" s="27">
        <v>1</v>
      </c>
      <c r="AO78" s="27">
        <v>1</v>
      </c>
      <c r="AP78" s="27">
        <v>1</v>
      </c>
    </row>
    <row r="79" spans="1:42">
      <c r="A79" s="133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|Cffbbbbbb属性：|r|n攻击+7500|n业力+6000|n生命值+150000|n生命回复+3000|n物理伤害+12%|n法术伤害+10%|n杀敌攻击+8|n杀敌业力+1|n杀敌生命+30|n</v>
      </c>
      <c r="J79" s="135" t="str">
        <f t="shared" ref="J79:J82" si="18">H79</f>
        <v>中级道果【2】</v>
      </c>
      <c r="K79" s="135" t="str">
        <f t="shared" ref="K79:K82" si="19">I79</f>
        <v>|Cffbbbbbb属性：|r|n攻击+7500|n业力+6000|n生命值+150000|n生命回复+3000|n物理伤害+12%|n法术伤害+10%|n杀敌攻击+8|n杀敌业力+1|n杀敌生命+30|n</v>
      </c>
      <c r="L79" s="27"/>
      <c r="M79" s="136" t="str">
        <f>VLOOKUP(LEFT(RIGHT(B79,5),4),物品!B:CU,20,FALSE)</f>
        <v>ReplaceableTextures\\CommandButtons\\BTNOrbOfVenom.blp</v>
      </c>
      <c r="N79" s="154" t="s">
        <v>83</v>
      </c>
      <c r="O79" s="136" t="s">
        <v>87</v>
      </c>
      <c r="P79" s="27">
        <v>0</v>
      </c>
      <c r="Q79" s="27">
        <v>0</v>
      </c>
      <c r="R79" s="154" t="s">
        <v>83</v>
      </c>
      <c r="S79" s="154" t="s">
        <v>83</v>
      </c>
      <c r="T79" s="154" t="s">
        <v>83</v>
      </c>
      <c r="U79" s="154" t="s">
        <v>83</v>
      </c>
      <c r="V79" s="27"/>
      <c r="W79" s="27" t="s">
        <v>88</v>
      </c>
      <c r="X79" s="27">
        <v>0</v>
      </c>
      <c r="Y79" s="15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4" t="s">
        <v>83</v>
      </c>
      <c r="AF79" s="154" t="s">
        <v>83</v>
      </c>
      <c r="AG79" s="154" t="s">
        <v>83</v>
      </c>
      <c r="AH79" s="154" t="s">
        <v>83</v>
      </c>
      <c r="AI79" s="27">
        <v>1</v>
      </c>
      <c r="AJ79" s="27"/>
      <c r="AK79" s="27">
        <v>1</v>
      </c>
      <c r="AL79" s="27">
        <v>1</v>
      </c>
      <c r="AM79" s="154" t="s">
        <v>83</v>
      </c>
      <c r="AN79" s="27">
        <v>1</v>
      </c>
      <c r="AO79" s="27">
        <v>1</v>
      </c>
      <c r="AP79" s="27">
        <v>1</v>
      </c>
    </row>
    <row r="80" spans="1:42">
      <c r="A80" s="133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|Cffbbbbbb属性：|r|n攻击+12500|n业力+10000|n生命值+250000|n生命回复+5000|n物理伤害+12%|n法术伤害+10%|n杀敌攻击+8|n杀敌业力+1|n杀敌生命+30|n</v>
      </c>
      <c r="J80" s="135" t="str">
        <f t="shared" si="18"/>
        <v>|Cff00FF7F高级道果【3】|r</v>
      </c>
      <c r="K80" s="135" t="str">
        <f t="shared" si="19"/>
        <v>|Cffbbbbbb属性：|r|n攻击+12500|n业力+10000|n生命值+250000|n生命回复+5000|n物理伤害+12%|n法术伤害+10%|n杀敌攻击+8|n杀敌业力+1|n杀敌生命+30|n</v>
      </c>
      <c r="L80" s="27"/>
      <c r="M80" s="136" t="str">
        <f>VLOOKUP(LEFT(RIGHT(B80,5),4),物品!B:CU,20,FALSE)</f>
        <v>ReplaceableTextures\\CommandButtons\\BTNOrbOfCorruption.blp</v>
      </c>
      <c r="N80" s="154" t="s">
        <v>83</v>
      </c>
      <c r="O80" s="136" t="s">
        <v>89</v>
      </c>
      <c r="P80" s="27">
        <v>0</v>
      </c>
      <c r="Q80" s="27">
        <v>0</v>
      </c>
      <c r="R80" s="154" t="s">
        <v>83</v>
      </c>
      <c r="S80" s="154" t="s">
        <v>83</v>
      </c>
      <c r="T80" s="154" t="s">
        <v>83</v>
      </c>
      <c r="U80" s="154" t="s">
        <v>83</v>
      </c>
      <c r="V80" s="27"/>
      <c r="W80" s="27" t="s">
        <v>88</v>
      </c>
      <c r="X80" s="27">
        <v>0</v>
      </c>
      <c r="Y80" s="15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4" t="s">
        <v>83</v>
      </c>
      <c r="AF80" s="154" t="s">
        <v>83</v>
      </c>
      <c r="AG80" s="154" t="s">
        <v>83</v>
      </c>
      <c r="AH80" s="154" t="s">
        <v>83</v>
      </c>
      <c r="AI80" s="27">
        <v>1</v>
      </c>
      <c r="AJ80" s="27"/>
      <c r="AK80" s="27">
        <v>1</v>
      </c>
      <c r="AL80" s="27">
        <v>1</v>
      </c>
      <c r="AM80" s="154" t="s">
        <v>83</v>
      </c>
      <c r="AN80" s="27">
        <v>1</v>
      </c>
      <c r="AO80" s="27">
        <v>1</v>
      </c>
      <c r="AP80" s="27">
        <v>1</v>
      </c>
    </row>
    <row r="81" spans="1:42">
      <c r="A81" s="133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|Cffbbbbbb属性：|r|n攻击+21250|n业力+17000|n生命值+425000|n生命回复+8500|n物理伤害+18%|n法术伤害+15%|n杀敌攻击+8|n杀敌业力+1|n杀敌生命+30|n</v>
      </c>
      <c r="J81" s="135" t="str">
        <f t="shared" si="18"/>
        <v>|Cff00FF7F黄级道果【4】|r</v>
      </c>
      <c r="K81" s="135" t="str">
        <f t="shared" si="19"/>
        <v>|Cffbbbbbb属性：|r|n攻击+21250|n业力+17000|n生命值+425000|n生命回复+8500|n物理伤害+18%|n法术伤害+15%|n杀敌攻击+8|n杀敌业力+1|n杀敌生命+30|n</v>
      </c>
      <c r="L81" s="27"/>
      <c r="M81" s="136" t="str">
        <f>VLOOKUP(LEFT(RIGHT(B81,5),4),物品!B:CU,20,FALSE)</f>
        <v>ReplaceableTextures\\CommandButtons\\BTNOrbOfFire.blp</v>
      </c>
      <c r="N81" s="154" t="s">
        <v>83</v>
      </c>
      <c r="O81" s="136" t="s">
        <v>89</v>
      </c>
      <c r="P81" s="27">
        <v>0</v>
      </c>
      <c r="Q81" s="27">
        <v>0</v>
      </c>
      <c r="R81" s="154" t="s">
        <v>83</v>
      </c>
      <c r="S81" s="154" t="s">
        <v>83</v>
      </c>
      <c r="T81" s="154" t="s">
        <v>83</v>
      </c>
      <c r="U81" s="154" t="s">
        <v>83</v>
      </c>
      <c r="V81" s="27"/>
      <c r="W81" s="27" t="s">
        <v>88</v>
      </c>
      <c r="X81" s="27">
        <v>0</v>
      </c>
      <c r="Y81" s="15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4" t="s">
        <v>83</v>
      </c>
      <c r="AF81" s="154" t="s">
        <v>83</v>
      </c>
      <c r="AG81" s="154" t="s">
        <v>83</v>
      </c>
      <c r="AH81" s="154" t="s">
        <v>83</v>
      </c>
      <c r="AI81" s="27">
        <v>1</v>
      </c>
      <c r="AJ81" s="27"/>
      <c r="AK81" s="27">
        <v>1</v>
      </c>
      <c r="AL81" s="27">
        <v>1</v>
      </c>
      <c r="AM81" s="154" t="s">
        <v>83</v>
      </c>
      <c r="AN81" s="27">
        <v>1</v>
      </c>
      <c r="AO81" s="27">
        <v>1</v>
      </c>
      <c r="AP81" s="27">
        <v>1</v>
      </c>
    </row>
    <row r="82" spans="1:42">
      <c r="A82" s="133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|Cffbbbbbb属性：|r|n攻击+33750|n业力+27000|n生命值+675000|n生命回复+13500|n物理伤害+18%|n法术伤害+15%|n杀敌攻击+8|n杀敌业力+1|n杀敌生命+30|n</v>
      </c>
      <c r="J82" s="135" t="str">
        <f t="shared" si="18"/>
        <v>|Cff00BFFF玄级道果【5】|r</v>
      </c>
      <c r="K82" s="135" t="str">
        <f t="shared" si="19"/>
        <v>|Cffbbbbbb属性：|r|n攻击+33750|n业力+27000|n生命值+675000|n生命回复+13500|n物理伤害+18%|n法术伤害+15%|n杀敌攻击+8|n杀敌业力+1|n杀敌生命+30|n</v>
      </c>
      <c r="L82" s="27"/>
      <c r="M82" s="136" t="str">
        <f>VLOOKUP(LEFT(RIGHT(B82,5),4),物品!B:CU,20,FALSE)</f>
        <v>ReplaceableTextures\\CommandButtons\\BTNUsedSoulGem.blp</v>
      </c>
      <c r="N82" s="154" t="s">
        <v>83</v>
      </c>
      <c r="O82" s="136" t="s">
        <v>90</v>
      </c>
      <c r="P82" s="27">
        <v>0</v>
      </c>
      <c r="Q82" s="27">
        <v>0</v>
      </c>
      <c r="R82" s="154" t="s">
        <v>83</v>
      </c>
      <c r="S82" s="154" t="s">
        <v>83</v>
      </c>
      <c r="T82" s="154" t="s">
        <v>83</v>
      </c>
      <c r="U82" s="154" t="s">
        <v>83</v>
      </c>
      <c r="V82" s="27"/>
      <c r="W82" s="27" t="s">
        <v>88</v>
      </c>
      <c r="X82" s="27">
        <v>0</v>
      </c>
      <c r="Y82" s="15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4" t="s">
        <v>83</v>
      </c>
      <c r="AF82" s="154" t="s">
        <v>83</v>
      </c>
      <c r="AG82" s="154" t="s">
        <v>83</v>
      </c>
      <c r="AH82" s="154" t="s">
        <v>83</v>
      </c>
      <c r="AI82" s="27">
        <v>1</v>
      </c>
      <c r="AJ82" s="27"/>
      <c r="AK82" s="27">
        <v>1</v>
      </c>
      <c r="AL82" s="27">
        <v>1</v>
      </c>
      <c r="AM82" s="154" t="s">
        <v>83</v>
      </c>
      <c r="AN82" s="27">
        <v>1</v>
      </c>
      <c r="AO82" s="27">
        <v>1</v>
      </c>
      <c r="AP82" s="27">
        <v>1</v>
      </c>
    </row>
    <row r="83" spans="1:42">
      <c r="A83" s="133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|Cffbbbbbb属性：|r|n攻击+50000|n业力+40000|n生命值+1000000|n生命回复+20000|n物理伤害+18%|n法术伤害+15%|n杀敌攻击+8|n杀敌业力+1|n杀敌生命+30|n</v>
      </c>
      <c r="J83" s="135" t="str">
        <f t="shared" ref="J83:J112" si="20">H83</f>
        <v>|Cff00BFFF地级道果【6】|r</v>
      </c>
      <c r="K83" s="135" t="str">
        <f t="shared" ref="K83:K112" si="21">I83</f>
        <v>|Cffbbbbbb属性：|r|n攻击+50000|n业力+40000|n生命值+1000000|n生命回复+20000|n物理伤害+18%|n法术伤害+15%|n杀敌攻击+8|n杀敌业力+1|n杀敌生命+30|n</v>
      </c>
      <c r="L83" s="27"/>
      <c r="M83" s="136" t="str">
        <f>VLOOKUP(LEFT(RIGHT(B83,5),4),物品!B:CU,20,FALSE)</f>
        <v>ReplaceableTextures\\CommandButtons\\BTNOrbofSlowness.blp</v>
      </c>
      <c r="N83" s="154" t="s">
        <v>83</v>
      </c>
      <c r="O83" s="136" t="s">
        <v>90</v>
      </c>
      <c r="P83" s="27">
        <v>0</v>
      </c>
      <c r="Q83" s="27">
        <v>0</v>
      </c>
      <c r="R83" s="154" t="s">
        <v>83</v>
      </c>
      <c r="S83" s="154" t="s">
        <v>83</v>
      </c>
      <c r="T83" s="154" t="s">
        <v>83</v>
      </c>
      <c r="U83" s="154" t="s">
        <v>83</v>
      </c>
      <c r="V83" s="27"/>
      <c r="W83" s="27" t="s">
        <v>88</v>
      </c>
      <c r="X83" s="27">
        <v>0</v>
      </c>
      <c r="Y83" s="15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4" t="s">
        <v>83</v>
      </c>
      <c r="AF83" s="154" t="s">
        <v>83</v>
      </c>
      <c r="AG83" s="154" t="s">
        <v>83</v>
      </c>
      <c r="AH83" s="154" t="s">
        <v>83</v>
      </c>
      <c r="AI83" s="27">
        <v>1</v>
      </c>
      <c r="AJ83" s="27"/>
      <c r="AK83" s="27">
        <v>1</v>
      </c>
      <c r="AL83" s="27">
        <v>1</v>
      </c>
      <c r="AM83" s="154" t="s">
        <v>83</v>
      </c>
      <c r="AN83" s="27">
        <v>1</v>
      </c>
      <c r="AO83" s="27">
        <v>1</v>
      </c>
      <c r="AP83" s="27">
        <v>1</v>
      </c>
    </row>
    <row r="84" spans="1:42">
      <c r="A84" s="133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|Cffbbbbbb属性：|r|n攻击+72500|n业力+58000|n生命值+1450000|n生命回复+29000|n物理伤害+24%|n法术伤害+20%|n杀敌攻击+8|n杀敌业力+1|n杀敌生命+30|n</v>
      </c>
      <c r="J84" s="135" t="str">
        <f t="shared" si="20"/>
        <v>|CffFFC926天级道果【7】|r</v>
      </c>
      <c r="K84" s="135" t="str">
        <f t="shared" si="21"/>
        <v>|Cffbbbbbb属性：|r|n攻击+72500|n业力+58000|n生命值+1450000|n生命回复+29000|n物理伤害+24%|n法术伤害+20%|n杀敌攻击+8|n杀敌业力+1|n杀敌生命+30|n</v>
      </c>
      <c r="L84" s="27"/>
      <c r="M84" s="136" t="str">
        <f>VLOOKUP(LEFT(RIGHT(B84,5),4),物品!B:CU,20,FALSE)</f>
        <v>ReplaceableTextures\\CommandButtons\\BTNOrbOfLightning.blp</v>
      </c>
      <c r="N84" s="154" t="s">
        <v>83</v>
      </c>
      <c r="O84" s="136" t="s">
        <v>91</v>
      </c>
      <c r="P84" s="27">
        <v>0</v>
      </c>
      <c r="Q84" s="27">
        <v>0</v>
      </c>
      <c r="R84" s="154" t="s">
        <v>83</v>
      </c>
      <c r="S84" s="154" t="s">
        <v>83</v>
      </c>
      <c r="T84" s="154" t="s">
        <v>83</v>
      </c>
      <c r="U84" s="154" t="s">
        <v>83</v>
      </c>
      <c r="V84" s="27"/>
      <c r="W84" s="27" t="s">
        <v>88</v>
      </c>
      <c r="X84" s="27">
        <v>0</v>
      </c>
      <c r="Y84" s="15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4" t="s">
        <v>83</v>
      </c>
      <c r="AF84" s="154" t="s">
        <v>83</v>
      </c>
      <c r="AG84" s="154" t="s">
        <v>83</v>
      </c>
      <c r="AH84" s="154" t="s">
        <v>83</v>
      </c>
      <c r="AI84" s="27">
        <v>1</v>
      </c>
      <c r="AJ84" s="27"/>
      <c r="AK84" s="27">
        <v>1</v>
      </c>
      <c r="AL84" s="27">
        <v>1</v>
      </c>
      <c r="AM84" s="154" t="s">
        <v>83</v>
      </c>
      <c r="AN84" s="27">
        <v>1</v>
      </c>
      <c r="AO84" s="27">
        <v>1</v>
      </c>
      <c r="AP84" s="27">
        <v>1</v>
      </c>
    </row>
    <row r="85" spans="1:42">
      <c r="A85" s="133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|Cffbbbbbb属性：|r|n攻击+102500|n业力+82000|n生命值+2050000|n生命回复+41000|n物理伤害+24%|n法术伤害+20%|n杀敌攻击+8|n杀敌业力+1|n杀敌生命+30|n</v>
      </c>
      <c r="J85" s="135" t="str">
        <f t="shared" si="20"/>
        <v>|CffFFC926仙品道果【8】|r</v>
      </c>
      <c r="K85" s="135" t="str">
        <f t="shared" si="21"/>
        <v>|Cffbbbbbb属性：|r|n攻击+102500|n业力+82000|n生命值+2050000|n生命回复+41000|n物理伤害+24%|n法术伤害+20%|n杀敌攻击+8|n杀敌业力+1|n杀敌生命+30|n</v>
      </c>
      <c r="L85" s="27"/>
      <c r="M85" s="136" t="str">
        <f>VLOOKUP(LEFT(RIGHT(B85,5),4),物品!B:CU,20,FALSE)</f>
        <v>ReplaceableTextures\\CommandButtons\\BTNHeartOfAszune.blp</v>
      </c>
      <c r="N85" s="154" t="s">
        <v>83</v>
      </c>
      <c r="O85" s="136" t="s">
        <v>91</v>
      </c>
      <c r="P85" s="27">
        <v>0</v>
      </c>
      <c r="Q85" s="27">
        <v>0</v>
      </c>
      <c r="R85" s="154" t="s">
        <v>83</v>
      </c>
      <c r="S85" s="154" t="s">
        <v>83</v>
      </c>
      <c r="T85" s="154" t="s">
        <v>83</v>
      </c>
      <c r="U85" s="154" t="s">
        <v>83</v>
      </c>
      <c r="V85" s="27"/>
      <c r="W85" s="27" t="s">
        <v>88</v>
      </c>
      <c r="X85" s="27">
        <v>0</v>
      </c>
      <c r="Y85" s="15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4" t="s">
        <v>83</v>
      </c>
      <c r="AF85" s="154" t="s">
        <v>83</v>
      </c>
      <c r="AG85" s="154" t="s">
        <v>83</v>
      </c>
      <c r="AH85" s="154" t="s">
        <v>83</v>
      </c>
      <c r="AI85" s="27">
        <v>1</v>
      </c>
      <c r="AJ85" s="27"/>
      <c r="AK85" s="27">
        <v>1</v>
      </c>
      <c r="AL85" s="27">
        <v>1</v>
      </c>
      <c r="AM85" s="154" t="s">
        <v>83</v>
      </c>
      <c r="AN85" s="27">
        <v>1</v>
      </c>
      <c r="AO85" s="27">
        <v>1</v>
      </c>
      <c r="AP85" s="27">
        <v>1</v>
      </c>
    </row>
    <row r="86" spans="1:42">
      <c r="A86" s="133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|Cffbbbbbb属性：|r|n攻击+141250|n业力+113000|n生命值+2825000|n生命回复+56500|n物理伤害+24%|n法术伤害+20%|n杀敌攻击+8|n杀敌业力+1|n杀敌生命+30|n</v>
      </c>
      <c r="J86" s="135" t="str">
        <f t="shared" si="20"/>
        <v>|CffFF0000至圣道果【9】|r</v>
      </c>
      <c r="K86" s="135" t="str">
        <f t="shared" si="21"/>
        <v>|Cffbbbbbb属性：|r|n攻击+141250|n业力+113000|n生命值+2825000|n生命回复+56500|n物理伤害+24%|n法术伤害+20%|n杀敌攻击+8|n杀敌业力+1|n杀敌生命+30|n</v>
      </c>
      <c r="L86" s="27"/>
      <c r="M86" s="136" t="str">
        <f>VLOOKUP(LEFT(RIGHT(B86,5),4),物品!B:CU,20,FALSE)</f>
        <v>ReplaceableTextures\\CommandButtons\\BTNPhilosophersStone.blp</v>
      </c>
      <c r="N86" s="154" t="s">
        <v>83</v>
      </c>
      <c r="O86" s="136" t="s">
        <v>92</v>
      </c>
      <c r="P86" s="27">
        <v>0</v>
      </c>
      <c r="Q86" s="27">
        <v>0</v>
      </c>
      <c r="R86" s="154" t="s">
        <v>83</v>
      </c>
      <c r="S86" s="154" t="s">
        <v>83</v>
      </c>
      <c r="T86" s="154" t="s">
        <v>83</v>
      </c>
      <c r="U86" s="154" t="s">
        <v>83</v>
      </c>
      <c r="V86" s="27"/>
      <c r="W86" s="27" t="s">
        <v>88</v>
      </c>
      <c r="X86" s="27">
        <v>0</v>
      </c>
      <c r="Y86" s="15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4" t="s">
        <v>83</v>
      </c>
      <c r="AF86" s="154" t="s">
        <v>83</v>
      </c>
      <c r="AG86" s="154" t="s">
        <v>83</v>
      </c>
      <c r="AH86" s="154" t="s">
        <v>83</v>
      </c>
      <c r="AI86" s="27">
        <v>1</v>
      </c>
      <c r="AJ86" s="27"/>
      <c r="AK86" s="27">
        <v>1</v>
      </c>
      <c r="AL86" s="27">
        <v>1</v>
      </c>
      <c r="AM86" s="154" t="s">
        <v>83</v>
      </c>
      <c r="AN86" s="27">
        <v>1</v>
      </c>
      <c r="AO86" s="27">
        <v>1</v>
      </c>
      <c r="AP86" s="27">
        <v>1</v>
      </c>
    </row>
    <row r="87" spans="1:42">
      <c r="A87" s="133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|Cffbbbbbb属性：|r|n攻击+191250|n业力+153000|n生命值+3825000|n生命回复+76500|n物理伤害+36%|n法术伤害+30%|n杀敌攻击+8|n杀敌业力+1|n杀敌生命+30|n</v>
      </c>
      <c r="J87" s="135" t="str">
        <f t="shared" si="20"/>
        <v>|CffFF0000混沌道果【10】|r</v>
      </c>
      <c r="K87" s="135" t="str">
        <f t="shared" si="21"/>
        <v>|Cffbbbbbb属性：|r|n攻击+191250|n业力+153000|n生命值+3825000|n生命回复+76500|n物理伤害+36%|n法术伤害+30%|n杀敌攻击+8|n杀敌业力+1|n杀敌生命+30|n</v>
      </c>
      <c r="L87" s="27"/>
      <c r="M87" s="136" t="str">
        <f>VLOOKUP(LEFT(RIGHT(B87,5),4),物品!B:CU,20,FALSE)</f>
        <v>ReplaceableTextures\\CommandButtons\\BTNOrbOfDarkness.blp</v>
      </c>
      <c r="N87" s="154" t="s">
        <v>83</v>
      </c>
      <c r="O87" s="136" t="s">
        <v>92</v>
      </c>
      <c r="P87" s="27">
        <v>0</v>
      </c>
      <c r="Q87" s="27">
        <v>0</v>
      </c>
      <c r="R87" s="154" t="s">
        <v>83</v>
      </c>
      <c r="S87" s="154" t="s">
        <v>83</v>
      </c>
      <c r="T87" s="154" t="s">
        <v>83</v>
      </c>
      <c r="U87" s="154" t="s">
        <v>83</v>
      </c>
      <c r="V87" s="27"/>
      <c r="W87" s="27" t="s">
        <v>88</v>
      </c>
      <c r="X87" s="27">
        <v>0</v>
      </c>
      <c r="Y87" s="15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4" t="s">
        <v>83</v>
      </c>
      <c r="AF87" s="154" t="s">
        <v>83</v>
      </c>
      <c r="AG87" s="154" t="s">
        <v>83</v>
      </c>
      <c r="AH87" s="154" t="s">
        <v>83</v>
      </c>
      <c r="AI87" s="27">
        <v>1</v>
      </c>
      <c r="AJ87" s="27"/>
      <c r="AK87" s="27">
        <v>1</v>
      </c>
      <c r="AL87" s="27">
        <v>1</v>
      </c>
      <c r="AM87" s="154" t="s">
        <v>83</v>
      </c>
      <c r="AN87" s="27">
        <v>1</v>
      </c>
      <c r="AO87" s="27">
        <v>1</v>
      </c>
      <c r="AP87" s="27">
        <v>1</v>
      </c>
    </row>
    <row r="88" spans="1:42">
      <c r="A88" s="133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|CffCCCCCC道果属性：|r|n攻击+5000|n业力+4000|n生命值+100000|n生命回复+2000|n物理伤害+12%|n法术伤害+10%|n杀敌攻击+8|n杀敌业力+1|n杀敌生命+30|n|n|Cff00FF7F点击吸收道果，强行突破境界。|r</v>
      </c>
      <c r="J88" s="135" t="str">
        <f t="shared" ref="J88:J97" si="22">H88</f>
        <v>完美的低级道果【1】</v>
      </c>
      <c r="K88" s="135" t="str">
        <f t="shared" ref="K88:K97" si="23">I88</f>
        <v>|CffCCCCCC道果属性：|r|n攻击+5000|n业力+4000|n生命值+100000|n生命回复+2000|n物理伤害+12%|n法术伤害+10%|n杀敌攻击+8|n杀敌业力+1|n杀敌生命+30|n|n|Cff00FF7F点击吸收道果，强行突破境界。|r</v>
      </c>
      <c r="L88" s="27"/>
      <c r="M88" s="136" t="str">
        <f>VLOOKUP(LEFT(RIGHT(B88,5),4),物品!B:CU,20,FALSE)</f>
        <v>ReplaceableTextures\\CommandButtons\\BTNDG11.blp</v>
      </c>
      <c r="N88" s="154" t="s">
        <v>83</v>
      </c>
      <c r="O88" s="136" t="s">
        <v>87</v>
      </c>
      <c r="P88" s="27">
        <v>0</v>
      </c>
      <c r="Q88" s="27">
        <v>0</v>
      </c>
      <c r="R88" s="154" t="s">
        <v>83</v>
      </c>
      <c r="S88" s="154" t="s">
        <v>83</v>
      </c>
      <c r="T88" s="154" t="s">
        <v>83</v>
      </c>
      <c r="U88" s="154" t="s">
        <v>83</v>
      </c>
      <c r="V88" s="27"/>
      <c r="W88" s="27" t="s">
        <v>93</v>
      </c>
      <c r="X88" s="27">
        <v>0</v>
      </c>
      <c r="Y88" s="154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4" t="s">
        <v>83</v>
      </c>
      <c r="AF88" s="154" t="s">
        <v>83</v>
      </c>
      <c r="AG88" s="154" t="s">
        <v>83</v>
      </c>
      <c r="AH88" s="154" t="s">
        <v>83</v>
      </c>
      <c r="AI88" s="27"/>
      <c r="AJ88" s="27"/>
      <c r="AK88" s="27">
        <v>1</v>
      </c>
      <c r="AL88" s="27">
        <v>1</v>
      </c>
      <c r="AM88" s="154" t="s">
        <v>83</v>
      </c>
      <c r="AN88" s="27">
        <v>1</v>
      </c>
      <c r="AO88" s="27">
        <v>1</v>
      </c>
      <c r="AP88" s="27">
        <v>1</v>
      </c>
    </row>
    <row r="89" spans="1:42">
      <c r="A89" s="133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|CffCCCCCC道果属性：|r|n攻击+7500|n业力+6000|n生命值+150000|n生命回复+3000|n物理伤害+12%|n法术伤害+10%|n杀敌攻击+8|n杀敌业力+1|n杀敌生命+30|n|n|Cff00FF7F点击吸收道果，强行突破境界。|r</v>
      </c>
      <c r="J89" s="135" t="str">
        <f t="shared" si="22"/>
        <v>完美的中级道果【2】</v>
      </c>
      <c r="K89" s="135" t="str">
        <f t="shared" si="23"/>
        <v>|CffCCCCCC道果属性：|r|n攻击+7500|n业力+6000|n生命值+150000|n生命回复+3000|n物理伤害+12%|n法术伤害+10%|n杀敌攻击+8|n杀敌业力+1|n杀敌生命+30|n|n|Cff00FF7F点击吸收道果，强行突破境界。|r</v>
      </c>
      <c r="L89" s="27"/>
      <c r="M89" s="136" t="str">
        <f>VLOOKUP(LEFT(RIGHT(B89,5),4),物品!B:CU,20,FALSE)</f>
        <v>ReplaceableTextures\\CommandButtons\\BTNDG12.blp</v>
      </c>
      <c r="N89" s="154" t="s">
        <v>83</v>
      </c>
      <c r="O89" s="136" t="s">
        <v>87</v>
      </c>
      <c r="P89" s="27">
        <v>0</v>
      </c>
      <c r="Q89" s="27">
        <v>0</v>
      </c>
      <c r="R89" s="154" t="s">
        <v>83</v>
      </c>
      <c r="S89" s="154" t="s">
        <v>83</v>
      </c>
      <c r="T89" s="154" t="s">
        <v>83</v>
      </c>
      <c r="U89" s="154" t="s">
        <v>83</v>
      </c>
      <c r="V89" s="27"/>
      <c r="W89" s="27" t="s">
        <v>93</v>
      </c>
      <c r="X89" s="27">
        <v>0</v>
      </c>
      <c r="Y89" s="154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4" t="s">
        <v>83</v>
      </c>
      <c r="AF89" s="154" t="s">
        <v>83</v>
      </c>
      <c r="AG89" s="154" t="s">
        <v>83</v>
      </c>
      <c r="AH89" s="154" t="s">
        <v>83</v>
      </c>
      <c r="AI89" s="27"/>
      <c r="AJ89" s="27"/>
      <c r="AK89" s="27">
        <v>1</v>
      </c>
      <c r="AL89" s="27">
        <v>1</v>
      </c>
      <c r="AM89" s="154" t="s">
        <v>83</v>
      </c>
      <c r="AN89" s="27">
        <v>1</v>
      </c>
      <c r="AO89" s="27">
        <v>1</v>
      </c>
      <c r="AP89" s="27">
        <v>1</v>
      </c>
    </row>
    <row r="90" spans="1:42">
      <c r="A90" s="133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|CffCCCCCC道果属性：|r|n攻击+12500|n业力+10000|n生命值+250000|n生命回复+5000|n物理伤害+12%|n法术伤害+10%|n杀敌攻击+8|n杀敌业力+1|n杀敌生命+30|n|n|Cff00FF7F点击吸收道果，强行突破境界。|r</v>
      </c>
      <c r="J90" s="135" t="str">
        <f t="shared" si="22"/>
        <v>|Cff00FF7F完美的高级道果【3】|r</v>
      </c>
      <c r="K90" s="135" t="str">
        <f t="shared" si="23"/>
        <v>|CffCCCCCC道果属性：|r|n攻击+12500|n业力+10000|n生命值+250000|n生命回复+5000|n物理伤害+12%|n法术伤害+10%|n杀敌攻击+8|n杀敌业力+1|n杀敌生命+30|n|n|Cff00FF7F点击吸收道果，强行突破境界。|r</v>
      </c>
      <c r="L90" s="27"/>
      <c r="M90" s="136" t="str">
        <f>VLOOKUP(LEFT(RIGHT(B90,5),4),物品!B:CU,20,FALSE)</f>
        <v>ReplaceableTextures\\CommandButtons\\BTNDG13.blp</v>
      </c>
      <c r="N90" s="154" t="s">
        <v>83</v>
      </c>
      <c r="O90" s="136" t="s">
        <v>89</v>
      </c>
      <c r="P90" s="27">
        <v>0</v>
      </c>
      <c r="Q90" s="27">
        <v>0</v>
      </c>
      <c r="R90" s="154" t="s">
        <v>83</v>
      </c>
      <c r="S90" s="154" t="s">
        <v>83</v>
      </c>
      <c r="T90" s="154" t="s">
        <v>83</v>
      </c>
      <c r="U90" s="154" t="s">
        <v>83</v>
      </c>
      <c r="V90" s="27"/>
      <c r="W90" s="27" t="s">
        <v>93</v>
      </c>
      <c r="X90" s="27">
        <v>0</v>
      </c>
      <c r="Y90" s="154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4" t="s">
        <v>83</v>
      </c>
      <c r="AF90" s="154" t="s">
        <v>83</v>
      </c>
      <c r="AG90" s="154" t="s">
        <v>83</v>
      </c>
      <c r="AH90" s="154" t="s">
        <v>83</v>
      </c>
      <c r="AI90" s="27"/>
      <c r="AJ90" s="27"/>
      <c r="AK90" s="27">
        <v>1</v>
      </c>
      <c r="AL90" s="27">
        <v>1</v>
      </c>
      <c r="AM90" s="154" t="s">
        <v>83</v>
      </c>
      <c r="AN90" s="27">
        <v>1</v>
      </c>
      <c r="AO90" s="27">
        <v>1</v>
      </c>
      <c r="AP90" s="27">
        <v>1</v>
      </c>
    </row>
    <row r="91" spans="1:42">
      <c r="A91" s="133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|CffCCCCCC道果属性：|r|n攻击+21250|n业力+17000|n生命值+425000|n生命回复+8500|n物理伤害+18%|n法术伤害+15%|n杀敌攻击+8|n杀敌业力+1|n杀敌生命+30|n|n|Cff00FF7F点击吸收道果，强行突破境界。|r</v>
      </c>
      <c r="J91" s="135" t="str">
        <f t="shared" si="22"/>
        <v>|Cff00FF7F完美的黄级道果【4】|r</v>
      </c>
      <c r="K91" s="135" t="str">
        <f t="shared" si="23"/>
        <v>|CffCCCCCC道果属性：|r|n攻击+21250|n业力+17000|n生命值+425000|n生命回复+8500|n物理伤害+18%|n法术伤害+15%|n杀敌攻击+8|n杀敌业力+1|n杀敌生命+30|n|n|Cff00FF7F点击吸收道果，强行突破境界。|r</v>
      </c>
      <c r="L91" s="27"/>
      <c r="M91" s="136" t="str">
        <f>VLOOKUP(LEFT(RIGHT(B91,5),4),物品!B:CU,20,FALSE)</f>
        <v>ReplaceableTextures\\CommandButtons\\BTNDG14.blp</v>
      </c>
      <c r="N91" s="154" t="s">
        <v>83</v>
      </c>
      <c r="O91" s="136" t="s">
        <v>89</v>
      </c>
      <c r="P91" s="27">
        <v>0</v>
      </c>
      <c r="Q91" s="27">
        <v>0</v>
      </c>
      <c r="R91" s="154" t="s">
        <v>83</v>
      </c>
      <c r="S91" s="154" t="s">
        <v>83</v>
      </c>
      <c r="T91" s="154" t="s">
        <v>83</v>
      </c>
      <c r="U91" s="154" t="s">
        <v>83</v>
      </c>
      <c r="V91" s="27"/>
      <c r="W91" s="27" t="s">
        <v>93</v>
      </c>
      <c r="X91" s="27">
        <v>0</v>
      </c>
      <c r="Y91" s="154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4" t="s">
        <v>83</v>
      </c>
      <c r="AF91" s="154" t="s">
        <v>83</v>
      </c>
      <c r="AG91" s="154" t="s">
        <v>83</v>
      </c>
      <c r="AH91" s="154" t="s">
        <v>83</v>
      </c>
      <c r="AI91" s="27"/>
      <c r="AJ91" s="27"/>
      <c r="AK91" s="27">
        <v>1</v>
      </c>
      <c r="AL91" s="27">
        <v>1</v>
      </c>
      <c r="AM91" s="154" t="s">
        <v>83</v>
      </c>
      <c r="AN91" s="27">
        <v>1</v>
      </c>
      <c r="AO91" s="27">
        <v>1</v>
      </c>
      <c r="AP91" s="27">
        <v>1</v>
      </c>
    </row>
    <row r="92" spans="1:42">
      <c r="A92" s="133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|CffCCCCCC道果属性：|r|n攻击+33750|n业力+27000|n生命值+675000|n生命回复+13500|n物理伤害+18%|n法术伤害+15%|n杀敌攻击+8|n杀敌业力+1|n杀敌生命+30|n|n|Cff00FF7F点击吸收道果，强行突破境界。|r</v>
      </c>
      <c r="J92" s="135" t="str">
        <f t="shared" si="22"/>
        <v>|Cff00BFFF完美的玄级道果【5】|r</v>
      </c>
      <c r="K92" s="135" t="str">
        <f t="shared" si="23"/>
        <v>|CffCCCCCC道果属性：|r|n攻击+33750|n业力+27000|n生命值+675000|n生命回复+13500|n物理伤害+18%|n法术伤害+15%|n杀敌攻击+8|n杀敌业力+1|n杀敌生命+30|n|n|Cff00FF7F点击吸收道果，强行突破境界。|r</v>
      </c>
      <c r="L92" s="27"/>
      <c r="M92" s="136" t="str">
        <f>VLOOKUP(LEFT(RIGHT(B92,5),4),物品!B:CU,20,FALSE)</f>
        <v>ReplaceableTextures\\CommandButtons\\BTNDG15.blp</v>
      </c>
      <c r="N92" s="154" t="s">
        <v>83</v>
      </c>
      <c r="O92" s="136" t="s">
        <v>90</v>
      </c>
      <c r="P92" s="27">
        <v>0</v>
      </c>
      <c r="Q92" s="27">
        <v>0</v>
      </c>
      <c r="R92" s="154" t="s">
        <v>83</v>
      </c>
      <c r="S92" s="154" t="s">
        <v>83</v>
      </c>
      <c r="T92" s="154" t="s">
        <v>83</v>
      </c>
      <c r="U92" s="154" t="s">
        <v>83</v>
      </c>
      <c r="V92" s="27"/>
      <c r="W92" s="27" t="s">
        <v>93</v>
      </c>
      <c r="X92" s="27">
        <v>0</v>
      </c>
      <c r="Y92" s="154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4" t="s">
        <v>83</v>
      </c>
      <c r="AF92" s="154" t="s">
        <v>83</v>
      </c>
      <c r="AG92" s="154" t="s">
        <v>83</v>
      </c>
      <c r="AH92" s="154" t="s">
        <v>83</v>
      </c>
      <c r="AI92" s="27"/>
      <c r="AJ92" s="27"/>
      <c r="AK92" s="27">
        <v>1</v>
      </c>
      <c r="AL92" s="27">
        <v>1</v>
      </c>
      <c r="AM92" s="154" t="s">
        <v>83</v>
      </c>
      <c r="AN92" s="27">
        <v>1</v>
      </c>
      <c r="AO92" s="27">
        <v>1</v>
      </c>
      <c r="AP92" s="27">
        <v>1</v>
      </c>
    </row>
    <row r="93" spans="1:42">
      <c r="A93" s="133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|CffCCCCCC道果属性：|r|n攻击+50000|n业力+40000|n生命值+1000000|n生命回复+20000|n物理伤害+18%|n法术伤害+15%|n杀敌攻击+8|n杀敌业力+1|n杀敌生命+30|n|n|Cff00FF7F点击吸收道果，强行突破境界。|r</v>
      </c>
      <c r="J93" s="135" t="str">
        <f t="shared" si="22"/>
        <v>|Cff00BFFF完美的地级道果【6】|r</v>
      </c>
      <c r="K93" s="135" t="str">
        <f t="shared" si="23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L93" s="27"/>
      <c r="M93" s="136" t="str">
        <f>VLOOKUP(LEFT(RIGHT(B93,5),4),物品!B:CU,20,FALSE)</f>
        <v>ReplaceableTextures\\CommandButtons\\BTNDG16.blp</v>
      </c>
      <c r="N93" s="154" t="s">
        <v>83</v>
      </c>
      <c r="O93" s="136" t="s">
        <v>90</v>
      </c>
      <c r="P93" s="27">
        <v>0</v>
      </c>
      <c r="Q93" s="27">
        <v>0</v>
      </c>
      <c r="R93" s="154" t="s">
        <v>83</v>
      </c>
      <c r="S93" s="154" t="s">
        <v>83</v>
      </c>
      <c r="T93" s="154" t="s">
        <v>83</v>
      </c>
      <c r="U93" s="154" t="s">
        <v>83</v>
      </c>
      <c r="V93" s="27"/>
      <c r="W93" s="27" t="s">
        <v>93</v>
      </c>
      <c r="X93" s="27">
        <v>0</v>
      </c>
      <c r="Y93" s="154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4" t="s">
        <v>83</v>
      </c>
      <c r="AF93" s="154" t="s">
        <v>83</v>
      </c>
      <c r="AG93" s="154" t="s">
        <v>83</v>
      </c>
      <c r="AH93" s="154" t="s">
        <v>83</v>
      </c>
      <c r="AI93" s="27"/>
      <c r="AJ93" s="27"/>
      <c r="AK93" s="27">
        <v>1</v>
      </c>
      <c r="AL93" s="27">
        <v>1</v>
      </c>
      <c r="AM93" s="154" t="s">
        <v>83</v>
      </c>
      <c r="AN93" s="27">
        <v>1</v>
      </c>
      <c r="AO93" s="27">
        <v>1</v>
      </c>
      <c r="AP93" s="27">
        <v>1</v>
      </c>
    </row>
    <row r="94" spans="1:42">
      <c r="A94" s="133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|CffCCCCCC道果属性：|r|n攻击+72500|n业力+58000|n生命值+1450000|n生命回复+29000|n物理伤害+24%|n法术伤害+20%|n杀敌攻击+8|n杀敌业力+1|n杀敌生命+30|n|n|Cff00FF7F点击吸收道果，强行突破境界。|r</v>
      </c>
      <c r="J94" s="135" t="str">
        <f t="shared" si="22"/>
        <v>|CffFFC926完美的天级道果【7】|r</v>
      </c>
      <c r="K94" s="135" t="str">
        <f t="shared" si="23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L94" s="27"/>
      <c r="M94" s="136" t="str">
        <f>VLOOKUP(LEFT(RIGHT(B94,5),4),物品!B:CU,20,FALSE)</f>
        <v>ReplaceableTextures\\CommandButtons\\BTNDG17.blp</v>
      </c>
      <c r="N94" s="154" t="s">
        <v>83</v>
      </c>
      <c r="O94" s="136" t="s">
        <v>91</v>
      </c>
      <c r="P94" s="27">
        <v>0</v>
      </c>
      <c r="Q94" s="27">
        <v>0</v>
      </c>
      <c r="R94" s="154" t="s">
        <v>83</v>
      </c>
      <c r="S94" s="154" t="s">
        <v>83</v>
      </c>
      <c r="T94" s="154" t="s">
        <v>83</v>
      </c>
      <c r="U94" s="154" t="s">
        <v>83</v>
      </c>
      <c r="V94" s="27"/>
      <c r="W94" s="27" t="s">
        <v>93</v>
      </c>
      <c r="X94" s="27">
        <v>0</v>
      </c>
      <c r="Y94" s="154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4" t="s">
        <v>83</v>
      </c>
      <c r="AF94" s="154" t="s">
        <v>83</v>
      </c>
      <c r="AG94" s="154" t="s">
        <v>83</v>
      </c>
      <c r="AH94" s="154" t="s">
        <v>83</v>
      </c>
      <c r="AI94" s="27"/>
      <c r="AJ94" s="27"/>
      <c r="AK94" s="27">
        <v>1</v>
      </c>
      <c r="AL94" s="27">
        <v>1</v>
      </c>
      <c r="AM94" s="154" t="s">
        <v>83</v>
      </c>
      <c r="AN94" s="27">
        <v>1</v>
      </c>
      <c r="AO94" s="27">
        <v>1</v>
      </c>
      <c r="AP94" s="27">
        <v>1</v>
      </c>
    </row>
    <row r="95" spans="1:42">
      <c r="A95" s="133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|CffCCCCCC道果属性：|r|n攻击+102500|n业力+82000|n生命值+2050000|n生命回复+41000|n物理伤害+24%|n法术伤害+20%|n杀敌攻击+8|n杀敌业力+1|n杀敌生命+30|n|n|Cff00FF7F点击吸收道果，强行突破境界。|r</v>
      </c>
      <c r="J95" s="135" t="str">
        <f t="shared" si="22"/>
        <v>|CffFFC926完美的仙品道果【8】|r</v>
      </c>
      <c r="K95" s="135" t="str">
        <f t="shared" si="23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L95" s="27"/>
      <c r="M95" s="136" t="str">
        <f>VLOOKUP(LEFT(RIGHT(B95,5),4),物品!B:CU,20,FALSE)</f>
        <v>ReplaceableTextures\\CommandButtons\\BTNDG18.blp</v>
      </c>
      <c r="N95" s="154" t="s">
        <v>83</v>
      </c>
      <c r="O95" s="136" t="s">
        <v>91</v>
      </c>
      <c r="P95" s="27">
        <v>0</v>
      </c>
      <c r="Q95" s="27">
        <v>0</v>
      </c>
      <c r="R95" s="154" t="s">
        <v>83</v>
      </c>
      <c r="S95" s="154" t="s">
        <v>83</v>
      </c>
      <c r="T95" s="154" t="s">
        <v>83</v>
      </c>
      <c r="U95" s="154" t="s">
        <v>83</v>
      </c>
      <c r="V95" s="27"/>
      <c r="W95" s="27" t="s">
        <v>93</v>
      </c>
      <c r="X95" s="27">
        <v>0</v>
      </c>
      <c r="Y95" s="154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4" t="s">
        <v>83</v>
      </c>
      <c r="AF95" s="154" t="s">
        <v>83</v>
      </c>
      <c r="AG95" s="154" t="s">
        <v>83</v>
      </c>
      <c r="AH95" s="154" t="s">
        <v>83</v>
      </c>
      <c r="AI95" s="27"/>
      <c r="AJ95" s="27"/>
      <c r="AK95" s="27">
        <v>1</v>
      </c>
      <c r="AL95" s="27">
        <v>1</v>
      </c>
      <c r="AM95" s="154" t="s">
        <v>83</v>
      </c>
      <c r="AN95" s="27">
        <v>1</v>
      </c>
      <c r="AO95" s="27">
        <v>1</v>
      </c>
      <c r="AP95" s="27">
        <v>1</v>
      </c>
    </row>
    <row r="96" spans="1:42">
      <c r="A96" s="133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J96" s="135" t="str">
        <f t="shared" si="22"/>
        <v>|CffFF0000完美的至圣道果【9】|r</v>
      </c>
      <c r="K96" s="135" t="str">
        <f t="shared" si="23"/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L96" s="27"/>
      <c r="M96" s="136" t="str">
        <f>VLOOKUP(LEFT(RIGHT(B96,5),4),物品!B:CU,20,FALSE)</f>
        <v>ReplaceableTextures\\CommandButtons\\BTNDG19.blp</v>
      </c>
      <c r="N96" s="154" t="s">
        <v>83</v>
      </c>
      <c r="O96" s="136" t="s">
        <v>92</v>
      </c>
      <c r="P96" s="27">
        <v>0</v>
      </c>
      <c r="Q96" s="27">
        <v>0</v>
      </c>
      <c r="R96" s="154" t="s">
        <v>83</v>
      </c>
      <c r="S96" s="154" t="s">
        <v>83</v>
      </c>
      <c r="T96" s="154" t="s">
        <v>83</v>
      </c>
      <c r="U96" s="154" t="s">
        <v>83</v>
      </c>
      <c r="V96" s="27"/>
      <c r="W96" s="27" t="s">
        <v>93</v>
      </c>
      <c r="X96" s="27">
        <v>0</v>
      </c>
      <c r="Y96" s="154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4" t="s">
        <v>83</v>
      </c>
      <c r="AF96" s="154" t="s">
        <v>83</v>
      </c>
      <c r="AG96" s="154" t="s">
        <v>83</v>
      </c>
      <c r="AH96" s="154" t="s">
        <v>83</v>
      </c>
      <c r="AI96" s="27"/>
      <c r="AJ96" s="27"/>
      <c r="AK96" s="27">
        <v>1</v>
      </c>
      <c r="AL96" s="27">
        <v>1</v>
      </c>
      <c r="AM96" s="154" t="s">
        <v>83</v>
      </c>
      <c r="AN96" s="27">
        <v>1</v>
      </c>
      <c r="AO96" s="27">
        <v>1</v>
      </c>
      <c r="AP96" s="27">
        <v>1</v>
      </c>
    </row>
    <row r="97" spans="1:42">
      <c r="A97" s="133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J97" s="135" t="str">
        <f t="shared" si="22"/>
        <v>|CffFF0000完美的混沌道果【10】|r</v>
      </c>
      <c r="K97" s="135" t="str">
        <f t="shared" si="23"/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L97" s="27"/>
      <c r="M97" s="136" t="str">
        <f>VLOOKUP(LEFT(RIGHT(B97,5),4),物品!B:CU,20,FALSE)</f>
        <v>ReplaceableTextures\\CommandButtons\\BTNDG20.blp</v>
      </c>
      <c r="N97" s="154" t="s">
        <v>83</v>
      </c>
      <c r="O97" s="136" t="s">
        <v>92</v>
      </c>
      <c r="P97" s="27">
        <v>0</v>
      </c>
      <c r="Q97" s="27">
        <v>0</v>
      </c>
      <c r="R97" s="154" t="s">
        <v>83</v>
      </c>
      <c r="S97" s="154" t="s">
        <v>83</v>
      </c>
      <c r="T97" s="154" t="s">
        <v>83</v>
      </c>
      <c r="U97" s="154" t="s">
        <v>83</v>
      </c>
      <c r="V97" s="27"/>
      <c r="W97" s="27" t="s">
        <v>93</v>
      </c>
      <c r="X97" s="27">
        <v>0</v>
      </c>
      <c r="Y97" s="154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4" t="s">
        <v>83</v>
      </c>
      <c r="AF97" s="154" t="s">
        <v>83</v>
      </c>
      <c r="AG97" s="154" t="s">
        <v>83</v>
      </c>
      <c r="AH97" s="154" t="s">
        <v>83</v>
      </c>
      <c r="AI97" s="27"/>
      <c r="AJ97" s="27"/>
      <c r="AK97" s="27">
        <v>1</v>
      </c>
      <c r="AL97" s="27">
        <v>1</v>
      </c>
      <c r="AM97" s="154" t="s">
        <v>83</v>
      </c>
      <c r="AN97" s="27">
        <v>1</v>
      </c>
      <c r="AO97" s="27">
        <v>1</v>
      </c>
      <c r="AP97" s="27">
        <v>1</v>
      </c>
    </row>
    <row r="98" spans="1:42">
      <c r="A98" s="133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J98" s="135" t="str">
        <f t="shared" si="20"/>
        <v>残缺的低级道果【1】</v>
      </c>
      <c r="K98" s="135" t="str">
        <f t="shared" si="21"/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L98" s="27"/>
      <c r="M98" s="136" t="str">
        <f>VLOOKUP(LEFT(RIGHT(B98,5),4),物品!B:CU,20,FALSE)</f>
        <v>ReplaceableTextures\\CommandButtons\\BTNDG01.blp</v>
      </c>
      <c r="N98" s="154" t="s">
        <v>83</v>
      </c>
      <c r="O98" s="136" t="s">
        <v>87</v>
      </c>
      <c r="P98" s="27">
        <v>0</v>
      </c>
      <c r="Q98" s="27">
        <v>0</v>
      </c>
      <c r="R98" s="154" t="s">
        <v>83</v>
      </c>
      <c r="S98" s="154" t="s">
        <v>83</v>
      </c>
      <c r="T98" s="154" t="s">
        <v>83</v>
      </c>
      <c r="U98" s="154" t="s">
        <v>83</v>
      </c>
      <c r="V98" s="27"/>
      <c r="W98" s="27" t="s">
        <v>93</v>
      </c>
      <c r="X98" s="27">
        <v>0</v>
      </c>
      <c r="Y98" s="154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4" t="s">
        <v>83</v>
      </c>
      <c r="AF98" s="154" t="s">
        <v>83</v>
      </c>
      <c r="AG98" s="154" t="s">
        <v>83</v>
      </c>
      <c r="AH98" s="154" t="s">
        <v>83</v>
      </c>
      <c r="AI98" s="27"/>
      <c r="AJ98" s="27"/>
      <c r="AK98" s="27">
        <v>1</v>
      </c>
      <c r="AL98" s="27">
        <v>1</v>
      </c>
      <c r="AM98" s="154" t="s">
        <v>83</v>
      </c>
      <c r="AN98" s="27">
        <v>1</v>
      </c>
      <c r="AO98" s="27">
        <v>1</v>
      </c>
      <c r="AP98" s="27">
        <v>1</v>
      </c>
    </row>
    <row r="99" spans="1:42">
      <c r="A99" s="133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J99" s="135" t="str">
        <f t="shared" si="20"/>
        <v>残缺的中级道果【2】</v>
      </c>
      <c r="K99" s="135" t="str">
        <f t="shared" si="21"/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L99" s="27"/>
      <c r="M99" s="136" t="str">
        <f>VLOOKUP(LEFT(RIGHT(B99,5),4),物品!B:CU,20,FALSE)</f>
        <v>ReplaceableTextures\\CommandButtons\\BTNDG02.blp</v>
      </c>
      <c r="N99" s="154" t="s">
        <v>83</v>
      </c>
      <c r="O99" s="136" t="s">
        <v>87</v>
      </c>
      <c r="P99" s="27">
        <v>0</v>
      </c>
      <c r="Q99" s="27">
        <v>0</v>
      </c>
      <c r="R99" s="154" t="s">
        <v>83</v>
      </c>
      <c r="S99" s="154" t="s">
        <v>83</v>
      </c>
      <c r="T99" s="154" t="s">
        <v>83</v>
      </c>
      <c r="U99" s="154" t="s">
        <v>83</v>
      </c>
      <c r="V99" s="27"/>
      <c r="W99" s="27" t="s">
        <v>93</v>
      </c>
      <c r="X99" s="27">
        <v>0</v>
      </c>
      <c r="Y99" s="154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4" t="s">
        <v>83</v>
      </c>
      <c r="AF99" s="154" t="s">
        <v>83</v>
      </c>
      <c r="AG99" s="154" t="s">
        <v>83</v>
      </c>
      <c r="AH99" s="154" t="s">
        <v>83</v>
      </c>
      <c r="AI99" s="27"/>
      <c r="AJ99" s="27"/>
      <c r="AK99" s="27">
        <v>1</v>
      </c>
      <c r="AL99" s="27">
        <v>1</v>
      </c>
      <c r="AM99" s="154" t="s">
        <v>83</v>
      </c>
      <c r="AN99" s="27">
        <v>1</v>
      </c>
      <c r="AO99" s="27">
        <v>1</v>
      </c>
      <c r="AP99" s="27">
        <v>1</v>
      </c>
    </row>
    <row r="100" spans="1:42">
      <c r="A100" s="133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J100" s="135" t="str">
        <f t="shared" ref="J100:J103" si="24">H100</f>
        <v>|Cff00FF7F残缺的高级道果【3】|r</v>
      </c>
      <c r="K100" s="135" t="str">
        <f t="shared" ref="K100:K103" si="25">I100</f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L100" s="27"/>
      <c r="M100" s="136" t="str">
        <f>VLOOKUP(LEFT(RIGHT(B100,5),4),物品!B:CU,20,FALSE)</f>
        <v>ReplaceableTextures\\CommandButtons\\BTNDG03.blp</v>
      </c>
      <c r="N100" s="154" t="s">
        <v>83</v>
      </c>
      <c r="O100" s="136" t="s">
        <v>89</v>
      </c>
      <c r="P100" s="27">
        <v>0</v>
      </c>
      <c r="Q100" s="27">
        <v>0</v>
      </c>
      <c r="R100" s="154" t="s">
        <v>83</v>
      </c>
      <c r="S100" s="154" t="s">
        <v>83</v>
      </c>
      <c r="T100" s="154" t="s">
        <v>83</v>
      </c>
      <c r="U100" s="154" t="s">
        <v>83</v>
      </c>
      <c r="V100" s="27"/>
      <c r="W100" s="27" t="s">
        <v>93</v>
      </c>
      <c r="X100" s="27">
        <v>0</v>
      </c>
      <c r="Y100" s="154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4" t="s">
        <v>83</v>
      </c>
      <c r="AF100" s="154" t="s">
        <v>83</v>
      </c>
      <c r="AG100" s="154" t="s">
        <v>83</v>
      </c>
      <c r="AH100" s="154" t="s">
        <v>83</v>
      </c>
      <c r="AI100" s="27"/>
      <c r="AJ100" s="27"/>
      <c r="AK100" s="27">
        <v>1</v>
      </c>
      <c r="AL100" s="27">
        <v>1</v>
      </c>
      <c r="AM100" s="154" t="s">
        <v>83</v>
      </c>
      <c r="AN100" s="27">
        <v>1</v>
      </c>
      <c r="AO100" s="27">
        <v>1</v>
      </c>
      <c r="AP100" s="27">
        <v>1</v>
      </c>
    </row>
    <row r="101" spans="1:42">
      <c r="A101" s="133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J101" s="135" t="str">
        <f t="shared" si="24"/>
        <v>|Cff00FF7F残缺的黄级道果【4】|r</v>
      </c>
      <c r="K101" s="135" t="str">
        <f t="shared" si="25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L101" s="27"/>
      <c r="M101" s="136" t="str">
        <f>VLOOKUP(LEFT(RIGHT(B101,5),4),物品!B:CU,20,FALSE)</f>
        <v>ReplaceableTextures\\CommandButtons\\BTNDG04.blp</v>
      </c>
      <c r="N101" s="154" t="s">
        <v>83</v>
      </c>
      <c r="O101" s="136" t="s">
        <v>89</v>
      </c>
      <c r="P101" s="27">
        <v>0</v>
      </c>
      <c r="Q101" s="27">
        <v>0</v>
      </c>
      <c r="R101" s="154" t="s">
        <v>83</v>
      </c>
      <c r="S101" s="154" t="s">
        <v>83</v>
      </c>
      <c r="T101" s="154" t="s">
        <v>83</v>
      </c>
      <c r="U101" s="154" t="s">
        <v>83</v>
      </c>
      <c r="V101" s="27"/>
      <c r="W101" s="27" t="s">
        <v>93</v>
      </c>
      <c r="X101" s="27">
        <v>0</v>
      </c>
      <c r="Y101" s="154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4" t="s">
        <v>83</v>
      </c>
      <c r="AF101" s="154" t="s">
        <v>83</v>
      </c>
      <c r="AG101" s="154" t="s">
        <v>83</v>
      </c>
      <c r="AH101" s="154" t="s">
        <v>83</v>
      </c>
      <c r="AI101" s="27"/>
      <c r="AJ101" s="27"/>
      <c r="AK101" s="27">
        <v>1</v>
      </c>
      <c r="AL101" s="27">
        <v>1</v>
      </c>
      <c r="AM101" s="154" t="s">
        <v>83</v>
      </c>
      <c r="AN101" s="27">
        <v>1</v>
      </c>
      <c r="AO101" s="27">
        <v>1</v>
      </c>
      <c r="AP101" s="27">
        <v>1</v>
      </c>
    </row>
    <row r="102" spans="1:42">
      <c r="A102" s="133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J102" s="135" t="str">
        <f t="shared" si="24"/>
        <v>|Cff00BFFF残缺的玄级道果【5】|r</v>
      </c>
      <c r="K102" s="135" t="str">
        <f t="shared" si="25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L102" s="27"/>
      <c r="M102" s="136" t="str">
        <f>VLOOKUP(LEFT(RIGHT(B102,5),4),物品!B:CU,20,FALSE)</f>
        <v>ReplaceableTextures\\CommandButtons\\BTNDG05.blp</v>
      </c>
      <c r="N102" s="154" t="s">
        <v>83</v>
      </c>
      <c r="O102" s="136" t="s">
        <v>90</v>
      </c>
      <c r="P102" s="27">
        <v>0</v>
      </c>
      <c r="Q102" s="27">
        <v>0</v>
      </c>
      <c r="R102" s="154" t="s">
        <v>83</v>
      </c>
      <c r="S102" s="154" t="s">
        <v>83</v>
      </c>
      <c r="T102" s="154" t="s">
        <v>83</v>
      </c>
      <c r="U102" s="154" t="s">
        <v>83</v>
      </c>
      <c r="V102" s="27"/>
      <c r="W102" s="27" t="s">
        <v>93</v>
      </c>
      <c r="X102" s="27">
        <v>0</v>
      </c>
      <c r="Y102" s="154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4" t="s">
        <v>83</v>
      </c>
      <c r="AF102" s="154" t="s">
        <v>83</v>
      </c>
      <c r="AG102" s="154" t="s">
        <v>83</v>
      </c>
      <c r="AH102" s="154" t="s">
        <v>83</v>
      </c>
      <c r="AI102" s="27"/>
      <c r="AJ102" s="27"/>
      <c r="AK102" s="27">
        <v>1</v>
      </c>
      <c r="AL102" s="27">
        <v>1</v>
      </c>
      <c r="AM102" s="154" t="s">
        <v>83</v>
      </c>
      <c r="AN102" s="27">
        <v>1</v>
      </c>
      <c r="AO102" s="27">
        <v>1</v>
      </c>
      <c r="AP102" s="27">
        <v>1</v>
      </c>
    </row>
    <row r="103" spans="1:42">
      <c r="A103" s="133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J103" s="135" t="str">
        <f t="shared" si="24"/>
        <v>|Cff00BFFF残缺的地级道果【6】|r</v>
      </c>
      <c r="K103" s="135" t="str">
        <f t="shared" si="25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L103" s="27"/>
      <c r="M103" s="136" t="str">
        <f>VLOOKUP(LEFT(RIGHT(B103,5),4),物品!B:CU,20,FALSE)</f>
        <v>ReplaceableTextures\\CommandButtons\\BTNDG06.blp</v>
      </c>
      <c r="N103" s="154" t="s">
        <v>83</v>
      </c>
      <c r="O103" s="136" t="s">
        <v>90</v>
      </c>
      <c r="P103" s="27">
        <v>0</v>
      </c>
      <c r="Q103" s="27">
        <v>0</v>
      </c>
      <c r="R103" s="154" t="s">
        <v>83</v>
      </c>
      <c r="S103" s="154" t="s">
        <v>83</v>
      </c>
      <c r="T103" s="154" t="s">
        <v>83</v>
      </c>
      <c r="U103" s="154" t="s">
        <v>83</v>
      </c>
      <c r="V103" s="27"/>
      <c r="W103" s="27" t="s">
        <v>93</v>
      </c>
      <c r="X103" s="27">
        <v>0</v>
      </c>
      <c r="Y103" s="154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4" t="s">
        <v>83</v>
      </c>
      <c r="AF103" s="154" t="s">
        <v>83</v>
      </c>
      <c r="AG103" s="154" t="s">
        <v>83</v>
      </c>
      <c r="AH103" s="154" t="s">
        <v>83</v>
      </c>
      <c r="AI103" s="27"/>
      <c r="AJ103" s="27"/>
      <c r="AK103" s="27">
        <v>1</v>
      </c>
      <c r="AL103" s="27">
        <v>1</v>
      </c>
      <c r="AM103" s="154" t="s">
        <v>83</v>
      </c>
      <c r="AN103" s="27">
        <v>1</v>
      </c>
      <c r="AO103" s="27">
        <v>1</v>
      </c>
      <c r="AP103" s="27">
        <v>1</v>
      </c>
    </row>
    <row r="104" spans="1:42">
      <c r="A104" s="133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J104" s="135" t="str">
        <f t="shared" si="20"/>
        <v>|CffFFC926残缺的天级道果【7】|r</v>
      </c>
      <c r="K104" s="135" t="str">
        <f t="shared" si="21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L104" s="27"/>
      <c r="M104" s="136" t="str">
        <f>VLOOKUP(LEFT(RIGHT(B104,5),4),物品!B:CU,20,FALSE)</f>
        <v>ReplaceableTextures\\CommandButtons\\BTNDG07.blp</v>
      </c>
      <c r="N104" s="154" t="s">
        <v>83</v>
      </c>
      <c r="O104" s="136" t="s">
        <v>91</v>
      </c>
      <c r="P104" s="27">
        <v>0</v>
      </c>
      <c r="Q104" s="27">
        <v>0</v>
      </c>
      <c r="R104" s="154" t="s">
        <v>83</v>
      </c>
      <c r="S104" s="154" t="s">
        <v>83</v>
      </c>
      <c r="T104" s="154" t="s">
        <v>83</v>
      </c>
      <c r="U104" s="154" t="s">
        <v>83</v>
      </c>
      <c r="V104" s="27"/>
      <c r="W104" s="27" t="s">
        <v>93</v>
      </c>
      <c r="X104" s="27">
        <v>0</v>
      </c>
      <c r="Y104" s="154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4" t="s">
        <v>83</v>
      </c>
      <c r="AF104" s="154" t="s">
        <v>83</v>
      </c>
      <c r="AG104" s="154" t="s">
        <v>83</v>
      </c>
      <c r="AH104" s="154" t="s">
        <v>83</v>
      </c>
      <c r="AI104" s="27"/>
      <c r="AJ104" s="27"/>
      <c r="AK104" s="27">
        <v>1</v>
      </c>
      <c r="AL104" s="27">
        <v>1</v>
      </c>
      <c r="AM104" s="154" t="s">
        <v>83</v>
      </c>
      <c r="AN104" s="27">
        <v>1</v>
      </c>
      <c r="AO104" s="27">
        <v>1</v>
      </c>
      <c r="AP104" s="27">
        <v>1</v>
      </c>
    </row>
    <row r="105" spans="1:42">
      <c r="A105" s="133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J105" s="135" t="str">
        <f t="shared" si="20"/>
        <v>|CffFFC926残缺的仙品道果【8】|r</v>
      </c>
      <c r="K105" s="135" t="str">
        <f t="shared" si="21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L105" s="27"/>
      <c r="M105" s="136" t="str">
        <f>VLOOKUP(LEFT(RIGHT(B105,5),4),物品!B:CU,20,FALSE)</f>
        <v>ReplaceableTextures\\CommandButtons\\BTNDG08.blp</v>
      </c>
      <c r="N105" s="154" t="s">
        <v>83</v>
      </c>
      <c r="O105" s="136" t="s">
        <v>91</v>
      </c>
      <c r="P105" s="27">
        <v>0</v>
      </c>
      <c r="Q105" s="27">
        <v>0</v>
      </c>
      <c r="R105" s="154" t="s">
        <v>83</v>
      </c>
      <c r="S105" s="154" t="s">
        <v>83</v>
      </c>
      <c r="T105" s="154" t="s">
        <v>83</v>
      </c>
      <c r="U105" s="154" t="s">
        <v>83</v>
      </c>
      <c r="V105" s="27"/>
      <c r="W105" s="27" t="s">
        <v>93</v>
      </c>
      <c r="X105" s="27">
        <v>0</v>
      </c>
      <c r="Y105" s="154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4" t="s">
        <v>83</v>
      </c>
      <c r="AF105" s="154" t="s">
        <v>83</v>
      </c>
      <c r="AG105" s="154" t="s">
        <v>83</v>
      </c>
      <c r="AH105" s="154" t="s">
        <v>83</v>
      </c>
      <c r="AI105" s="27"/>
      <c r="AJ105" s="27"/>
      <c r="AK105" s="27">
        <v>1</v>
      </c>
      <c r="AL105" s="27">
        <v>1</v>
      </c>
      <c r="AM105" s="154" t="s">
        <v>83</v>
      </c>
      <c r="AN105" s="27">
        <v>1</v>
      </c>
      <c r="AO105" s="27">
        <v>1</v>
      </c>
      <c r="AP105" s="27">
        <v>1</v>
      </c>
    </row>
    <row r="106" spans="1:42">
      <c r="A106" s="133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J106" s="135" t="str">
        <f t="shared" si="20"/>
        <v>|CffFF0000残缺的至圣道果【9】|r</v>
      </c>
      <c r="K106" s="135" t="str">
        <f t="shared" si="21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L106" s="27"/>
      <c r="M106" s="136" t="str">
        <f>VLOOKUP(LEFT(RIGHT(B106,5),4),物品!B:CU,20,FALSE)</f>
        <v>ReplaceableTextures\\CommandButtons\\BTNDG09.blp</v>
      </c>
      <c r="N106" s="154" t="s">
        <v>83</v>
      </c>
      <c r="O106" s="136" t="s">
        <v>92</v>
      </c>
      <c r="P106" s="27">
        <v>0</v>
      </c>
      <c r="Q106" s="27">
        <v>0</v>
      </c>
      <c r="R106" s="154" t="s">
        <v>83</v>
      </c>
      <c r="S106" s="154" t="s">
        <v>83</v>
      </c>
      <c r="T106" s="154" t="s">
        <v>83</v>
      </c>
      <c r="U106" s="154" t="s">
        <v>83</v>
      </c>
      <c r="V106" s="27"/>
      <c r="W106" s="27" t="s">
        <v>93</v>
      </c>
      <c r="X106" s="27">
        <v>0</v>
      </c>
      <c r="Y106" s="154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4" t="s">
        <v>83</v>
      </c>
      <c r="AF106" s="154" t="s">
        <v>83</v>
      </c>
      <c r="AG106" s="154" t="s">
        <v>83</v>
      </c>
      <c r="AH106" s="154" t="s">
        <v>83</v>
      </c>
      <c r="AI106" s="27"/>
      <c r="AJ106" s="27"/>
      <c r="AK106" s="27">
        <v>1</v>
      </c>
      <c r="AL106" s="27">
        <v>1</v>
      </c>
      <c r="AM106" s="154" t="s">
        <v>83</v>
      </c>
      <c r="AN106" s="27">
        <v>1</v>
      </c>
      <c r="AO106" s="27">
        <v>1</v>
      </c>
      <c r="AP106" s="27">
        <v>1</v>
      </c>
    </row>
    <row r="107" spans="1:42">
      <c r="A107" s="133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J107" s="135" t="str">
        <f t="shared" si="20"/>
        <v>|CffFF0000残缺的混沌道果【10】|r</v>
      </c>
      <c r="K107" s="135" t="str">
        <f t="shared" si="21"/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L107" s="27"/>
      <c r="M107" s="136" t="str">
        <f>VLOOKUP(LEFT(RIGHT(B107,5),4),物品!B:CU,20,FALSE)</f>
        <v>ReplaceableTextures\\CommandButtons\\BTNDG10.blp</v>
      </c>
      <c r="N107" s="154" t="s">
        <v>83</v>
      </c>
      <c r="O107" s="136" t="s">
        <v>92</v>
      </c>
      <c r="P107" s="27">
        <v>0</v>
      </c>
      <c r="Q107" s="27">
        <v>0</v>
      </c>
      <c r="R107" s="154" t="s">
        <v>83</v>
      </c>
      <c r="S107" s="154" t="s">
        <v>83</v>
      </c>
      <c r="T107" s="154" t="s">
        <v>83</v>
      </c>
      <c r="U107" s="154" t="s">
        <v>83</v>
      </c>
      <c r="V107" s="27"/>
      <c r="W107" s="27" t="s">
        <v>93</v>
      </c>
      <c r="X107" s="27">
        <v>0</v>
      </c>
      <c r="Y107" s="154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4" t="s">
        <v>83</v>
      </c>
      <c r="AF107" s="154" t="s">
        <v>83</v>
      </c>
      <c r="AG107" s="154" t="s">
        <v>83</v>
      </c>
      <c r="AH107" s="154" t="s">
        <v>83</v>
      </c>
      <c r="AI107" s="27"/>
      <c r="AJ107" s="27"/>
      <c r="AK107" s="27">
        <v>1</v>
      </c>
      <c r="AL107" s="27">
        <v>1</v>
      </c>
      <c r="AM107" s="154" t="s">
        <v>83</v>
      </c>
      <c r="AN107" s="27">
        <v>1</v>
      </c>
      <c r="AO107" s="27">
        <v>1</v>
      </c>
      <c r="AP107" s="27">
        <v>1</v>
      </c>
    </row>
    <row r="108" spans="1:42">
      <c r="A108" s="133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5" t="str">
        <f t="shared" si="20"/>
        <v>Q技能随机卷</v>
      </c>
      <c r="K108" s="135" t="str">
        <f t="shared" si="21"/>
        <v>随机获得|Cffffd24d1|r个|Cffffd24dQ技能|r</v>
      </c>
      <c r="L108" s="27"/>
      <c r="M108" s="136" t="str">
        <f>VLOOKUP(LEFT(RIGHT(B108,5),4),物品!B:CU,20,FALSE)</f>
        <v>ReplaceableTextures\\CommandButtons\\BTN001.blp</v>
      </c>
      <c r="N108" s="154" t="s">
        <v>83</v>
      </c>
      <c r="O108" s="136" t="s">
        <v>94</v>
      </c>
      <c r="P108" s="27">
        <v>0</v>
      </c>
      <c r="Q108" s="27">
        <v>0</v>
      </c>
      <c r="R108" s="154" t="s">
        <v>83</v>
      </c>
      <c r="S108" s="154" t="s">
        <v>83</v>
      </c>
      <c r="T108" s="154" t="s">
        <v>83</v>
      </c>
      <c r="U108" s="154" t="s">
        <v>83</v>
      </c>
      <c r="V108" s="27"/>
      <c r="W108" s="27" t="s">
        <v>93</v>
      </c>
      <c r="X108" s="27">
        <v>0</v>
      </c>
      <c r="Y108" s="15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4" t="s">
        <v>83</v>
      </c>
      <c r="AF108" s="154" t="s">
        <v>83</v>
      </c>
      <c r="AG108" s="154" t="s">
        <v>83</v>
      </c>
      <c r="AH108" s="154" t="s">
        <v>83</v>
      </c>
      <c r="AI108" s="27"/>
      <c r="AJ108" s="27"/>
      <c r="AK108" s="27">
        <v>1</v>
      </c>
      <c r="AL108" s="27">
        <v>1</v>
      </c>
      <c r="AM108" s="154" t="s">
        <v>83</v>
      </c>
      <c r="AN108" s="27">
        <v>1</v>
      </c>
      <c r="AO108" s="27">
        <v>1</v>
      </c>
      <c r="AP108" s="27">
        <v>1</v>
      </c>
    </row>
    <row r="109" spans="1:42">
      <c r="A109" s="133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购买需求：灵力x10|n|n使用技能进阶石可消耗品质潜力提升技能品质，只能对A级及以下的技能使用。</v>
      </c>
      <c r="J109" s="135" t="str">
        <f t="shared" si="20"/>
        <v>|Cff00BFFF技能进阶石【完美】|r</v>
      </c>
      <c r="K109" s="135" t="str">
        <f t="shared" si="21"/>
        <v>购买需求：灵力x10|n|n使用技能进阶石可消耗品质潜力提升技能品质，只能对A级及以下的技能使用。</v>
      </c>
      <c r="L109" s="27"/>
      <c r="M109" s="136" t="str">
        <f>VLOOKUP(LEFT(RIGHT(B109,5),4),物品!B:CU,20,FALSE)</f>
        <v>ReplaceableTextures\\CommandButtons\\BTNIN05.blp</v>
      </c>
      <c r="N109" s="154" t="s">
        <v>83</v>
      </c>
      <c r="O109" s="136" t="s">
        <v>95</v>
      </c>
      <c r="P109" s="27">
        <v>1</v>
      </c>
      <c r="Q109" s="27">
        <v>1</v>
      </c>
      <c r="R109" s="154" t="s">
        <v>83</v>
      </c>
      <c r="S109" s="154" t="s">
        <v>83</v>
      </c>
      <c r="T109" s="154" t="s">
        <v>83</v>
      </c>
      <c r="U109" s="154" t="s">
        <v>83</v>
      </c>
      <c r="V109" s="27"/>
      <c r="W109" s="27" t="s">
        <v>88</v>
      </c>
      <c r="X109" s="27">
        <v>0</v>
      </c>
      <c r="Y109" s="154" t="s">
        <v>83</v>
      </c>
      <c r="Z109" s="27">
        <v>0</v>
      </c>
      <c r="AA109" s="27">
        <v>0</v>
      </c>
      <c r="AB109" s="135">
        <v>0</v>
      </c>
      <c r="AC109" s="27">
        <v>1</v>
      </c>
      <c r="AD109" s="27">
        <v>1</v>
      </c>
      <c r="AE109" s="154" t="s">
        <v>83</v>
      </c>
      <c r="AF109" s="154" t="s">
        <v>83</v>
      </c>
      <c r="AG109" s="154" t="s">
        <v>83</v>
      </c>
      <c r="AH109" s="154" t="s">
        <v>83</v>
      </c>
      <c r="AI109" s="27">
        <v>1</v>
      </c>
      <c r="AJ109" s="27"/>
      <c r="AK109" s="27">
        <v>1</v>
      </c>
      <c r="AL109" s="27">
        <v>1</v>
      </c>
      <c r="AM109" s="154" t="s">
        <v>83</v>
      </c>
      <c r="AN109" s="27">
        <v>1</v>
      </c>
      <c r="AO109" s="27">
        <v>1</v>
      </c>
      <c r="AP109" s="27">
        <v>1</v>
      </c>
    </row>
    <row r="110" spans="1:42">
      <c r="A110" s="133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35" t="str">
        <f t="shared" si="20"/>
        <v>|CffFFD24D品质潜能石【完美】|r</v>
      </c>
      <c r="K110" s="135" t="str">
        <f t="shared" si="21"/>
        <v>购买需求：灵力x20|n|n使用后为指定技能增加1点品质潜力</v>
      </c>
      <c r="L110" s="27"/>
      <c r="M110" s="136" t="str">
        <f>VLOOKUP(LEFT(RIGHT(B110,5),4),物品!B:CU,20,FALSE)</f>
        <v>ReplaceableTextures\\CommandButtons\\BTNIN04.blp</v>
      </c>
      <c r="N110" s="154" t="s">
        <v>83</v>
      </c>
      <c r="O110" s="136" t="s">
        <v>95</v>
      </c>
      <c r="P110" s="27"/>
      <c r="Q110" s="27"/>
      <c r="R110" s="154" t="s">
        <v>83</v>
      </c>
      <c r="S110" s="154" t="s">
        <v>83</v>
      </c>
      <c r="T110" s="154" t="s">
        <v>83</v>
      </c>
      <c r="U110" s="154" t="s">
        <v>83</v>
      </c>
      <c r="V110" s="27"/>
      <c r="W110" s="27" t="s">
        <v>88</v>
      </c>
      <c r="X110" s="27">
        <v>0</v>
      </c>
      <c r="Y110" s="154" t="s">
        <v>83</v>
      </c>
      <c r="Z110" s="27">
        <v>0</v>
      </c>
      <c r="AA110" s="27">
        <v>0</v>
      </c>
      <c r="AB110" s="135">
        <v>0</v>
      </c>
      <c r="AC110" s="27">
        <v>1</v>
      </c>
      <c r="AD110" s="27">
        <v>1</v>
      </c>
      <c r="AE110" s="154" t="s">
        <v>83</v>
      </c>
      <c r="AF110" s="154" t="s">
        <v>83</v>
      </c>
      <c r="AG110" s="154" t="s">
        <v>83</v>
      </c>
      <c r="AH110" s="154" t="s">
        <v>83</v>
      </c>
      <c r="AI110" s="27">
        <v>1</v>
      </c>
      <c r="AJ110" s="27"/>
      <c r="AK110" s="27">
        <v>1</v>
      </c>
      <c r="AL110" s="27">
        <v>1</v>
      </c>
      <c r="AM110" s="154" t="s">
        <v>83</v>
      </c>
      <c r="AN110" s="27">
        <v>1</v>
      </c>
      <c r="AO110" s="27">
        <v>1</v>
      </c>
      <c r="AP110" s="27">
        <v>1</v>
      </c>
    </row>
    <row r="111" spans="1:42">
      <c r="A111" s="133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购买需求：灵力x4|n|n使用技能进阶石可消耗品质潜力提升技能品质，只能对A级及以下的技能使用。只有50%的概率成功</v>
      </c>
      <c r="J111" s="135" t="str">
        <f t="shared" si="20"/>
        <v>|Cff00FF7F技能进阶石【残缺】|r</v>
      </c>
      <c r="K111" s="135" t="str">
        <f t="shared" si="21"/>
        <v>购买需求：灵力x4|n|n使用技能进阶石可消耗品质潜力提升技能品质，只能对A级及以下的技能使用。只有50%的概率成功</v>
      </c>
      <c r="L111" s="27"/>
      <c r="M111" s="136" t="str">
        <f>VLOOKUP(LEFT(RIGHT(B111,5),4),物品!B:CU,20,FALSE)</f>
        <v>ReplaceableTextures\\CommandButtons\\BTNIN06.blp</v>
      </c>
      <c r="N111" s="154" t="s">
        <v>83</v>
      </c>
      <c r="O111" s="136" t="s">
        <v>95</v>
      </c>
      <c r="P111" s="27">
        <v>0</v>
      </c>
      <c r="Q111" s="27">
        <v>1</v>
      </c>
      <c r="R111" s="154" t="s">
        <v>83</v>
      </c>
      <c r="S111" s="154" t="s">
        <v>83</v>
      </c>
      <c r="T111" s="154" t="s">
        <v>83</v>
      </c>
      <c r="U111" s="154" t="s">
        <v>83</v>
      </c>
      <c r="V111" s="27"/>
      <c r="W111" s="27" t="s">
        <v>88</v>
      </c>
      <c r="X111" s="27">
        <v>0</v>
      </c>
      <c r="Y111" s="154" t="s">
        <v>83</v>
      </c>
      <c r="Z111" s="27">
        <v>0</v>
      </c>
      <c r="AA111" s="27">
        <v>0</v>
      </c>
      <c r="AB111" s="135">
        <v>0</v>
      </c>
      <c r="AC111" s="27">
        <v>1</v>
      </c>
      <c r="AD111" s="27">
        <v>1</v>
      </c>
      <c r="AE111" s="154" t="s">
        <v>83</v>
      </c>
      <c r="AF111" s="154" t="s">
        <v>83</v>
      </c>
      <c r="AG111" s="154" t="s">
        <v>83</v>
      </c>
      <c r="AH111" s="154" t="s">
        <v>83</v>
      </c>
      <c r="AI111" s="27">
        <v>1</v>
      </c>
      <c r="AJ111" s="27"/>
      <c r="AK111" s="27">
        <v>1</v>
      </c>
      <c r="AL111" s="27">
        <v>1</v>
      </c>
      <c r="AM111" s="154" t="s">
        <v>83</v>
      </c>
      <c r="AN111" s="27">
        <v>1</v>
      </c>
      <c r="AO111" s="27">
        <v>1</v>
      </c>
      <c r="AP111" s="27">
        <v>1</v>
      </c>
    </row>
    <row r="112" spans="1:42">
      <c r="A112" s="133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35" t="str">
        <f t="shared" si="20"/>
        <v>|CffFFD24D品质潜能石【】|r</v>
      </c>
      <c r="K112" s="135">
        <f t="shared" si="21"/>
        <v>0</v>
      </c>
      <c r="L112" s="27"/>
      <c r="M112" s="136" t="str">
        <f>VLOOKUP(LEFT(RIGHT(B112,5),4),物品!B:CU,20,FALSE)</f>
        <v>ReplaceableTextures\\CommandButtons\\BTNIN04.blp</v>
      </c>
      <c r="N112" s="154" t="s">
        <v>83</v>
      </c>
      <c r="O112" s="136" t="s">
        <v>95</v>
      </c>
      <c r="P112" s="27">
        <v>2</v>
      </c>
      <c r="Q112" s="27">
        <v>1</v>
      </c>
      <c r="R112" s="154" t="s">
        <v>83</v>
      </c>
      <c r="S112" s="154" t="s">
        <v>83</v>
      </c>
      <c r="T112" s="154" t="s">
        <v>83</v>
      </c>
      <c r="U112" s="154" t="s">
        <v>83</v>
      </c>
      <c r="V112" s="27"/>
      <c r="W112" s="27" t="s">
        <v>88</v>
      </c>
      <c r="X112" s="27">
        <v>0</v>
      </c>
      <c r="Y112" s="154" t="s">
        <v>83</v>
      </c>
      <c r="Z112" s="27">
        <v>0</v>
      </c>
      <c r="AA112" s="27">
        <v>0</v>
      </c>
      <c r="AB112" s="135">
        <v>0</v>
      </c>
      <c r="AC112" s="27">
        <v>1</v>
      </c>
      <c r="AD112" s="27">
        <v>1</v>
      </c>
      <c r="AE112" s="154" t="s">
        <v>83</v>
      </c>
      <c r="AF112" s="154" t="s">
        <v>83</v>
      </c>
      <c r="AG112" s="154" t="s">
        <v>83</v>
      </c>
      <c r="AH112" s="154" t="s">
        <v>83</v>
      </c>
      <c r="AI112" s="27">
        <v>1</v>
      </c>
      <c r="AJ112" s="27"/>
      <c r="AK112" s="27">
        <v>1</v>
      </c>
      <c r="AL112" s="27">
        <v>1</v>
      </c>
      <c r="AM112" s="154" t="s">
        <v>83</v>
      </c>
      <c r="AN112" s="27">
        <v>1</v>
      </c>
      <c r="AO112" s="27">
        <v>1</v>
      </c>
      <c r="AP112" s="27">
        <v>1</v>
      </c>
    </row>
    <row r="113" spans="1:42">
      <c r="A113" s="133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使用技能进阶石可消耗品质潜力提升技能品质，只能对A级及以下的技能使用。</v>
      </c>
      <c r="J113" s="135" t="str">
        <f t="shared" ref="J113:J114" si="26">H113</f>
        <v>|Cff00BFFF技能进阶石【完美】|r</v>
      </c>
      <c r="K113" s="135" t="str">
        <f t="shared" ref="K113:K114" si="27">I113</f>
        <v>使用技能进阶石可消耗品质潜力提升技能品质，只能对A级及以下的技能使用。</v>
      </c>
      <c r="L113" s="27"/>
      <c r="M113" s="136" t="str">
        <f>VLOOKUP(LEFT(RIGHT(B113,5),4),物品!B:CU,20,FALSE)</f>
        <v>ReplaceableTextures\\CommandButtons\\BTNIN05.blp</v>
      </c>
      <c r="N113" s="154" t="s">
        <v>83</v>
      </c>
      <c r="O113" s="136" t="s">
        <v>94</v>
      </c>
      <c r="P113" s="27">
        <v>1</v>
      </c>
      <c r="Q113" s="27">
        <v>1</v>
      </c>
      <c r="R113" s="154" t="s">
        <v>83</v>
      </c>
      <c r="S113" s="154" t="s">
        <v>83</v>
      </c>
      <c r="T113" s="154" t="s">
        <v>83</v>
      </c>
      <c r="U113" s="154" t="s">
        <v>83</v>
      </c>
      <c r="V113" s="27"/>
      <c r="W113" s="27" t="s">
        <v>93</v>
      </c>
      <c r="X113" s="27">
        <v>0</v>
      </c>
      <c r="Y113" s="154" t="s">
        <v>83</v>
      </c>
      <c r="Z113" s="27">
        <v>0</v>
      </c>
      <c r="AA113" s="27">
        <v>0</v>
      </c>
      <c r="AB113" s="27">
        <v>10</v>
      </c>
      <c r="AC113" s="27">
        <v>1</v>
      </c>
      <c r="AD113" s="27">
        <v>1</v>
      </c>
      <c r="AE113" s="154" t="s">
        <v>83</v>
      </c>
      <c r="AF113" s="154" t="s">
        <v>83</v>
      </c>
      <c r="AG113" s="154" t="s">
        <v>83</v>
      </c>
      <c r="AH113" s="154" t="s">
        <v>83</v>
      </c>
      <c r="AI113" s="27"/>
      <c r="AJ113" s="27"/>
      <c r="AK113" s="27">
        <v>1</v>
      </c>
      <c r="AL113" s="27">
        <v>1</v>
      </c>
      <c r="AM113" s="154" t="s">
        <v>83</v>
      </c>
      <c r="AN113" s="27">
        <v>1</v>
      </c>
      <c r="AO113" s="27">
        <v>1</v>
      </c>
      <c r="AP113" s="27">
        <v>1</v>
      </c>
    </row>
    <row r="114" spans="1:42">
      <c r="A114" s="133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35" t="str">
        <f t="shared" si="26"/>
        <v>|CffFFD24D品质潜能石【完美】|r</v>
      </c>
      <c r="K114" s="135" t="str">
        <f t="shared" si="27"/>
        <v>使用后为指定技能增加1点品质潜力</v>
      </c>
      <c r="L114" s="27"/>
      <c r="M114" s="136" t="str">
        <f>VLOOKUP(LEFT(RIGHT(B114,5),4),物品!B:CU,20,FALSE)</f>
        <v>ReplaceableTextures\\CommandButtons\\BTNIN04.blp</v>
      </c>
      <c r="N114" s="154" t="s">
        <v>83</v>
      </c>
      <c r="O114" s="136" t="s">
        <v>94</v>
      </c>
      <c r="P114" s="27"/>
      <c r="Q114" s="27"/>
      <c r="R114" s="154" t="s">
        <v>83</v>
      </c>
      <c r="S114" s="154" t="s">
        <v>83</v>
      </c>
      <c r="T114" s="154" t="s">
        <v>83</v>
      </c>
      <c r="U114" s="154" t="s">
        <v>83</v>
      </c>
      <c r="V114" s="27"/>
      <c r="W114" s="27" t="s">
        <v>93</v>
      </c>
      <c r="X114" s="27">
        <v>0</v>
      </c>
      <c r="Y114" s="15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4" t="s">
        <v>83</v>
      </c>
      <c r="AF114" s="154" t="s">
        <v>83</v>
      </c>
      <c r="AG114" s="154" t="s">
        <v>83</v>
      </c>
      <c r="AH114" s="154" t="s">
        <v>83</v>
      </c>
      <c r="AI114" s="27"/>
      <c r="AJ114" s="27"/>
      <c r="AK114" s="27">
        <v>1</v>
      </c>
      <c r="AL114" s="27">
        <v>1</v>
      </c>
      <c r="AM114" s="154" t="s">
        <v>83</v>
      </c>
      <c r="AN114" s="27">
        <v>1</v>
      </c>
      <c r="AO114" s="27">
        <v>1</v>
      </c>
      <c r="AP114" s="27">
        <v>1</v>
      </c>
    </row>
    <row r="115" spans="1:42">
      <c r="A115" s="133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使用技能进阶石可消耗品质潜力提升技能品质，只能对A级及以下的技能使用。只有50%的概率成功</v>
      </c>
      <c r="J115" s="135" t="str">
        <f t="shared" ref="J115" si="28">H115</f>
        <v>|Cff00FF7F技能进阶石【残缺】|r</v>
      </c>
      <c r="K115" s="135" t="str">
        <f t="shared" ref="K115" si="29">I115</f>
        <v>使用技能进阶石可消耗品质潜力提升技能品质，只能对A级及以下的技能使用。只有50%的概率成功</v>
      </c>
      <c r="L115" s="27"/>
      <c r="M115" s="136" t="str">
        <f>VLOOKUP(LEFT(RIGHT(B115,5),4),物品!B:CU,20,FALSE)</f>
        <v>ReplaceableTextures\\CommandButtons\\BTNIN06.blp</v>
      </c>
      <c r="N115" s="154" t="s">
        <v>83</v>
      </c>
      <c r="O115" s="136" t="s">
        <v>94</v>
      </c>
      <c r="P115" s="27">
        <v>0</v>
      </c>
      <c r="Q115" s="27">
        <v>1</v>
      </c>
      <c r="R115" s="154" t="s">
        <v>83</v>
      </c>
      <c r="S115" s="154" t="s">
        <v>83</v>
      </c>
      <c r="T115" s="154" t="s">
        <v>83</v>
      </c>
      <c r="U115" s="154" t="s">
        <v>83</v>
      </c>
      <c r="V115" s="27"/>
      <c r="W115" s="27" t="s">
        <v>93</v>
      </c>
      <c r="X115" s="27">
        <v>0</v>
      </c>
      <c r="Y115" s="154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54" t="s">
        <v>83</v>
      </c>
      <c r="AF115" s="154" t="s">
        <v>83</v>
      </c>
      <c r="AG115" s="154" t="s">
        <v>83</v>
      </c>
      <c r="AH115" s="154" t="s">
        <v>83</v>
      </c>
      <c r="AI115" s="27"/>
      <c r="AJ115" s="27"/>
      <c r="AK115" s="27">
        <v>1</v>
      </c>
      <c r="AL115" s="27">
        <v>1</v>
      </c>
      <c r="AM115" s="154" t="s">
        <v>83</v>
      </c>
      <c r="AN115" s="27">
        <v>1</v>
      </c>
      <c r="AO115" s="27">
        <v>1</v>
      </c>
      <c r="AP115" s="27">
        <v>1</v>
      </c>
    </row>
    <row r="116" spans="1:42">
      <c r="A116" s="133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35" t="str">
        <f t="shared" ref="J116" si="30">H116</f>
        <v>|CffFFD24D品质潜能石【】|r</v>
      </c>
      <c r="K116" s="135">
        <f t="shared" ref="K116" si="31">I116</f>
        <v>0</v>
      </c>
      <c r="L116" s="27"/>
      <c r="M116" s="136" t="str">
        <f>VLOOKUP(LEFT(RIGHT(B116,5),4),物品!B:CU,20,FALSE)</f>
        <v>ReplaceableTextures\\CommandButtons\\BTNIN04.blp</v>
      </c>
      <c r="N116" s="154" t="s">
        <v>83</v>
      </c>
      <c r="O116" s="136" t="s">
        <v>94</v>
      </c>
      <c r="P116" s="27">
        <v>2</v>
      </c>
      <c r="Q116" s="27">
        <v>1</v>
      </c>
      <c r="R116" s="154" t="s">
        <v>83</v>
      </c>
      <c r="S116" s="154" t="s">
        <v>83</v>
      </c>
      <c r="T116" s="154" t="s">
        <v>83</v>
      </c>
      <c r="U116" s="154" t="s">
        <v>83</v>
      </c>
      <c r="V116" s="27"/>
      <c r="W116" s="27" t="s">
        <v>93</v>
      </c>
      <c r="X116" s="27">
        <v>0</v>
      </c>
      <c r="Y116" s="15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4" t="s">
        <v>83</v>
      </c>
      <c r="AF116" s="154" t="s">
        <v>83</v>
      </c>
      <c r="AG116" s="154" t="s">
        <v>83</v>
      </c>
      <c r="AH116" s="154" t="s">
        <v>83</v>
      </c>
      <c r="AI116" s="27"/>
      <c r="AJ116" s="27"/>
      <c r="AK116" s="27">
        <v>1</v>
      </c>
      <c r="AL116" s="27">
        <v>1</v>
      </c>
      <c r="AM116" s="154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3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获得一个随机品质的法宝。|n|n|Cff00ff7f副本难度影响法宝品质稀有度。|r</v>
      </c>
      <c r="J117" s="135" t="str">
        <f t="shared" ref="J117" si="32">H117</f>
        <v>随机法宝</v>
      </c>
      <c r="K117" s="135" t="str">
        <f t="shared" ref="K117" si="33">I117</f>
        <v>获得一个随机品质的法宝。|n|n|Cff00ff7f副本难度影响法宝品质稀有度。|r</v>
      </c>
      <c r="L117" s="27"/>
      <c r="M117" s="136" t="str">
        <f>VLOOKUP(LEFT(RIGHT(B117,5),4),物品!B:CU,20,FALSE)</f>
        <v>ReplaceableTextures\\CommandButtons\\BTNCF01.blp</v>
      </c>
      <c r="N117" s="154" t="s">
        <v>83</v>
      </c>
      <c r="O117" s="136" t="s">
        <v>95</v>
      </c>
      <c r="P117" s="27">
        <v>0</v>
      </c>
      <c r="Q117" s="27">
        <v>0</v>
      </c>
      <c r="R117" s="154" t="s">
        <v>83</v>
      </c>
      <c r="S117" s="154" t="s">
        <v>83</v>
      </c>
      <c r="T117" s="154" t="s">
        <v>83</v>
      </c>
      <c r="U117" s="154" t="s">
        <v>83</v>
      </c>
      <c r="V117" s="27"/>
      <c r="W117" s="27" t="s">
        <v>88</v>
      </c>
      <c r="X117" s="27">
        <v>0</v>
      </c>
      <c r="Y117" s="15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4" t="s">
        <v>83</v>
      </c>
      <c r="AF117" s="154" t="s">
        <v>83</v>
      </c>
      <c r="AG117" s="154" t="s">
        <v>83</v>
      </c>
      <c r="AH117" s="154" t="s">
        <v>83</v>
      </c>
      <c r="AI117" s="27">
        <v>1</v>
      </c>
      <c r="AJ117" s="27"/>
      <c r="AK117" s="27">
        <v>1</v>
      </c>
      <c r="AL117" s="27">
        <v>1</v>
      </c>
      <c r="AM117" s="154" t="s">
        <v>83</v>
      </c>
      <c r="AN117" s="27">
        <v>1</v>
      </c>
      <c r="AO117" s="27">
        <v>1</v>
      </c>
      <c r="AP117" s="27">
        <v>1</v>
      </c>
    </row>
    <row r="118" spans="1:42">
      <c r="A118" s="133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35" t="str">
        <f t="shared" ref="J118:J121" si="34">H118</f>
        <v>蛋黄月饼</v>
      </c>
      <c r="K118" s="135" t="str">
        <f t="shared" ref="K118:K121" si="35">I118</f>
        <v>回复|Cffffd24d80%|r生命，|Cff00ff7f解除|r异常状态</v>
      </c>
      <c r="L118" s="27"/>
      <c r="M118" s="136" t="str">
        <f>VLOOKUP(LEFT(RIGHT(B118,5),4),物品!B:CU,20,FALSE)</f>
        <v>ReplaceableTextures\\CommandButtons\\BTNI001.blp</v>
      </c>
      <c r="N118" s="154" t="s">
        <v>83</v>
      </c>
      <c r="O118" s="136" t="s">
        <v>94</v>
      </c>
      <c r="P118" s="27">
        <v>0</v>
      </c>
      <c r="Q118" s="27">
        <v>0</v>
      </c>
      <c r="R118" s="154" t="s">
        <v>83</v>
      </c>
      <c r="S118" s="154" t="s">
        <v>83</v>
      </c>
      <c r="T118" s="154" t="s">
        <v>83</v>
      </c>
      <c r="U118" s="154" t="s">
        <v>83</v>
      </c>
      <c r="V118" s="27"/>
      <c r="W118" s="27" t="s">
        <v>93</v>
      </c>
      <c r="X118" s="27">
        <v>0</v>
      </c>
      <c r="Y118" s="15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4" t="s">
        <v>83</v>
      </c>
      <c r="AF118" s="154" t="s">
        <v>83</v>
      </c>
      <c r="AG118" s="154" t="s">
        <v>83</v>
      </c>
      <c r="AH118" s="154" t="s">
        <v>83</v>
      </c>
      <c r="AI118" s="27"/>
      <c r="AJ118" s="27"/>
      <c r="AK118" s="27">
        <v>1</v>
      </c>
      <c r="AL118" s="27">
        <v>1</v>
      </c>
      <c r="AM118" s="154" t="s">
        <v>83</v>
      </c>
      <c r="AN118" s="27">
        <v>1</v>
      </c>
      <c r="AO118" s="27">
        <v>1</v>
      </c>
      <c r="AP118" s="27">
        <v>1</v>
      </c>
    </row>
    <row r="119" spans="1:42">
      <c r="A119" s="133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35" t="str">
        <f t="shared" si="34"/>
        <v>豆沙月饼</v>
      </c>
      <c r="K119" s="135" t="str">
        <f t="shared" si="35"/>
        <v>暴击|Cffff0000+10%|n|n|r|Cff00ff7f效果持续15秒。|r</v>
      </c>
      <c r="L119" s="27"/>
      <c r="M119" s="136" t="str">
        <f>VLOOKUP(LEFT(RIGHT(B119,5),4),物品!B:CU,20,FALSE)</f>
        <v>ReplaceableTextures\\CommandButtons\\BTNI002.blp</v>
      </c>
      <c r="N119" s="154" t="s">
        <v>83</v>
      </c>
      <c r="O119" s="136" t="s">
        <v>94</v>
      </c>
      <c r="P119" s="27">
        <v>0</v>
      </c>
      <c r="Q119" s="27">
        <v>0</v>
      </c>
      <c r="R119" s="154" t="s">
        <v>83</v>
      </c>
      <c r="S119" s="154" t="s">
        <v>83</v>
      </c>
      <c r="T119" s="154" t="s">
        <v>83</v>
      </c>
      <c r="U119" s="154" t="s">
        <v>83</v>
      </c>
      <c r="V119" s="27"/>
      <c r="W119" s="27" t="s">
        <v>93</v>
      </c>
      <c r="X119" s="27">
        <v>0</v>
      </c>
      <c r="Y119" s="15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54" t="s">
        <v>83</v>
      </c>
      <c r="AF119" s="154" t="s">
        <v>83</v>
      </c>
      <c r="AG119" s="154" t="s">
        <v>83</v>
      </c>
      <c r="AH119" s="154" t="s">
        <v>83</v>
      </c>
      <c r="AI119" s="27"/>
      <c r="AJ119" s="27"/>
      <c r="AK119" s="27">
        <v>1</v>
      </c>
      <c r="AL119" s="27">
        <v>1</v>
      </c>
      <c r="AM119" s="154" t="s">
        <v>83</v>
      </c>
      <c r="AN119" s="27">
        <v>1</v>
      </c>
      <c r="AO119" s="27">
        <v>1</v>
      </c>
      <c r="AP119" s="27">
        <v>1</v>
      </c>
    </row>
    <row r="120" spans="1:42">
      <c r="A120" s="133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35" t="str">
        <f t="shared" si="34"/>
        <v>冰皮月饼</v>
      </c>
      <c r="K120" s="135" t="str">
        <f t="shared" si="35"/>
        <v>攻击速度|Cffffd24d+40%|r。|n|n|Cff00ff7f持续15秒。|r</v>
      </c>
      <c r="L120" s="27"/>
      <c r="M120" s="136" t="str">
        <f>VLOOKUP(LEFT(RIGHT(B120,5),4),物品!B:CU,20,FALSE)</f>
        <v>ReplaceableTextures\\CommandButtons\\BTNI003.blp</v>
      </c>
      <c r="N120" s="154" t="s">
        <v>83</v>
      </c>
      <c r="O120" s="136" t="s">
        <v>94</v>
      </c>
      <c r="P120" s="27">
        <v>0</v>
      </c>
      <c r="Q120" s="27">
        <v>0</v>
      </c>
      <c r="R120" s="154" t="s">
        <v>83</v>
      </c>
      <c r="S120" s="154" t="s">
        <v>83</v>
      </c>
      <c r="T120" s="154" t="s">
        <v>83</v>
      </c>
      <c r="U120" s="154" t="s">
        <v>83</v>
      </c>
      <c r="V120" s="27"/>
      <c r="W120" s="27" t="s">
        <v>93</v>
      </c>
      <c r="X120" s="27">
        <v>0</v>
      </c>
      <c r="Y120" s="15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54" t="s">
        <v>83</v>
      </c>
      <c r="AF120" s="154" t="s">
        <v>83</v>
      </c>
      <c r="AG120" s="154" t="s">
        <v>83</v>
      </c>
      <c r="AH120" s="154" t="s">
        <v>83</v>
      </c>
      <c r="AI120" s="27"/>
      <c r="AJ120" s="27"/>
      <c r="AK120" s="27">
        <v>1</v>
      </c>
      <c r="AL120" s="27">
        <v>1</v>
      </c>
      <c r="AM120" s="154" t="s">
        <v>83</v>
      </c>
      <c r="AN120" s="27">
        <v>1</v>
      </c>
      <c r="AO120" s="27">
        <v>1</v>
      </c>
      <c r="AP120" s="27">
        <v>1</v>
      </c>
    </row>
    <row r="121" spans="1:42">
      <c r="A121" s="133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法术伤害提高|Cffffd24d20%|r|Cfff0f0f0。|n|n|r|Cff00ff7f持续15秒。|r</v>
      </c>
      <c r="J121" s="135" t="str">
        <f t="shared" si="34"/>
        <v>果蔬月饼</v>
      </c>
      <c r="K121" s="135" t="str">
        <f t="shared" si="35"/>
        <v>法术伤害提高|Cffffd24d20%|r|Cfff0f0f0。|n|n|r|Cff00ff7f持续15秒。|r</v>
      </c>
      <c r="L121" s="27"/>
      <c r="M121" s="136" t="str">
        <f>VLOOKUP(LEFT(RIGHT(B121,5),4),物品!B:CU,20,FALSE)</f>
        <v>ReplaceableTextures\\CommandButtons\\BTNI004.blp</v>
      </c>
      <c r="N121" s="154" t="s">
        <v>83</v>
      </c>
      <c r="O121" s="136" t="s">
        <v>94</v>
      </c>
      <c r="P121" s="27">
        <v>0</v>
      </c>
      <c r="Q121" s="27">
        <v>0</v>
      </c>
      <c r="R121" s="154" t="s">
        <v>83</v>
      </c>
      <c r="S121" s="154" t="s">
        <v>83</v>
      </c>
      <c r="T121" s="154" t="s">
        <v>83</v>
      </c>
      <c r="U121" s="154" t="s">
        <v>83</v>
      </c>
      <c r="V121" s="27"/>
      <c r="W121" s="27" t="s">
        <v>93</v>
      </c>
      <c r="X121" s="27">
        <v>0</v>
      </c>
      <c r="Y121" s="15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54" t="s">
        <v>83</v>
      </c>
      <c r="AF121" s="154" t="s">
        <v>83</v>
      </c>
      <c r="AG121" s="154" t="s">
        <v>83</v>
      </c>
      <c r="AH121" s="154" t="s">
        <v>83</v>
      </c>
      <c r="AI121" s="27"/>
      <c r="AJ121" s="27"/>
      <c r="AK121" s="27">
        <v>1</v>
      </c>
      <c r="AL121" s="27">
        <v>1</v>
      </c>
      <c r="AM121" s="154" t="s">
        <v>83</v>
      </c>
      <c r="AN121" s="27">
        <v>1</v>
      </c>
      <c r="AO121" s="27">
        <v>1</v>
      </c>
      <c r="AP121" s="27">
        <v>1</v>
      </c>
    </row>
    <row r="122" spans="1:42">
      <c r="A122" s="133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物理伤害提高|Cffffd24d20%|r。|n|n|Cff00ff7f持续15秒。|r</v>
      </c>
      <c r="J122" s="135" t="str">
        <f t="shared" ref="J122:J124" si="36">H122</f>
        <v>鲜肉月饼</v>
      </c>
      <c r="K122" s="135" t="str">
        <f t="shared" ref="K122:K124" si="37">I122</f>
        <v>物理伤害提高|Cffffd24d20%|r。|n|n|Cff00ff7f持续15秒。|r</v>
      </c>
      <c r="L122" s="27"/>
      <c r="M122" s="136" t="str">
        <f>VLOOKUP(LEFT(RIGHT(B122,5),4),物品!B:CU,20,FALSE)</f>
        <v>ReplaceableTextures\\CommandButtons\\BTNI005.blp</v>
      </c>
      <c r="N122" s="154" t="s">
        <v>83</v>
      </c>
      <c r="O122" s="136" t="s">
        <v>94</v>
      </c>
      <c r="P122" s="27">
        <v>0</v>
      </c>
      <c r="Q122" s="27">
        <v>0</v>
      </c>
      <c r="R122" s="154" t="s">
        <v>83</v>
      </c>
      <c r="S122" s="154" t="s">
        <v>83</v>
      </c>
      <c r="T122" s="154" t="s">
        <v>83</v>
      </c>
      <c r="U122" s="154" t="s">
        <v>83</v>
      </c>
      <c r="V122" s="27"/>
      <c r="W122" s="27" t="s">
        <v>93</v>
      </c>
      <c r="X122" s="27">
        <v>0</v>
      </c>
      <c r="Y122" s="154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54" t="s">
        <v>83</v>
      </c>
      <c r="AF122" s="154" t="s">
        <v>83</v>
      </c>
      <c r="AG122" s="154" t="s">
        <v>83</v>
      </c>
      <c r="AH122" s="154" t="s">
        <v>83</v>
      </c>
      <c r="AI122" s="27"/>
      <c r="AJ122" s="27"/>
      <c r="AK122" s="27">
        <v>1</v>
      </c>
      <c r="AL122" s="27">
        <v>1</v>
      </c>
      <c r="AM122" s="154" t="s">
        <v>83</v>
      </c>
      <c r="AN122" s="27">
        <v>1</v>
      </c>
      <c r="AO122" s="27">
        <v>1</v>
      </c>
      <c r="AP122" s="27">
        <v>1</v>
      </c>
    </row>
    <row r="123" spans="1:42">
      <c r="A123" s="133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护甲|Cffffd24d+10|r|n金币加成|Cffffd24d+10%|n|r|n击杀300个敌人后奖励：|n|CffFFD24D3000~6000|r金币|n|CffCC99FF1000-2000|r业力|n|n|Cff00FF7F同时只能携带一个招魂幡|r</v>
      </c>
      <c r="J123" s="135" t="str">
        <f t="shared" ref="J123" si="38">H123</f>
        <v>招魂幡Lv0</v>
      </c>
      <c r="K123" s="135" t="str">
        <f t="shared" ref="K123" si="39">I123</f>
        <v>护甲|Cffffd24d+10|r|n金币加成|Cffffd24d+10%|n|r|n击杀300个敌人后奖励：|n|CffFFD24D3000~6000|r金币|n|CffCC99FF1000-2000|r业力|n|n|Cff00FF7F同时只能携带一个招魂幡|r</v>
      </c>
      <c r="L123" s="27"/>
      <c r="M123" s="136" t="str">
        <f>VLOOKUP(LEFT(RIGHT(B123,5),4),物品!B:CU,20,FALSE)</f>
        <v>ReplaceableTextures\\CommandButtons\\BTNZHP1.blp</v>
      </c>
      <c r="N123" s="27">
        <v>0.5</v>
      </c>
      <c r="O123" s="136" t="s">
        <v>96</v>
      </c>
      <c r="P123" s="27">
        <v>0</v>
      </c>
      <c r="Q123" s="27">
        <v>0</v>
      </c>
      <c r="R123" s="154" t="s">
        <v>83</v>
      </c>
      <c r="S123" s="154" t="s">
        <v>83</v>
      </c>
      <c r="T123" s="154" t="s">
        <v>83</v>
      </c>
      <c r="U123" s="154" t="s">
        <v>83</v>
      </c>
      <c r="V123" s="27">
        <v>4</v>
      </c>
      <c r="W123" s="27" t="s">
        <v>85</v>
      </c>
      <c r="X123" s="27">
        <v>0</v>
      </c>
      <c r="Y123" s="154" t="s">
        <v>83</v>
      </c>
      <c r="Z123" s="27">
        <v>0</v>
      </c>
      <c r="AA123" s="27">
        <v>0</v>
      </c>
      <c r="AB123" s="27">
        <v>1</v>
      </c>
      <c r="AC123" s="27">
        <v>1</v>
      </c>
      <c r="AD123" s="27">
        <v>1</v>
      </c>
      <c r="AE123" s="154" t="s">
        <v>83</v>
      </c>
      <c r="AF123" s="154" t="s">
        <v>83</v>
      </c>
      <c r="AG123" s="154" t="s">
        <v>83</v>
      </c>
      <c r="AH123" s="154" t="s">
        <v>83</v>
      </c>
      <c r="AI123" s="27"/>
      <c r="AJ123" s="27"/>
      <c r="AK123" s="27">
        <v>1</v>
      </c>
      <c r="AL123" s="27">
        <v>1</v>
      </c>
      <c r="AM123" s="154" t="s">
        <v>83</v>
      </c>
      <c r="AN123" s="27">
        <v>300</v>
      </c>
      <c r="AO123" s="27"/>
      <c r="AP123" s="27"/>
    </row>
    <row r="124" spans="1:42">
      <c r="A124" s="133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护甲|cffffd24d+20|n|r金币加成|cffffd24d+15%|n|n|r击杀1000个敌人后奖励：|n|cffffd24d7000~12000|r金币|n|cffcc99ff2000-5000|r业力|n|n|cff00ff7f同时只能携带一个招魂幡|r</v>
      </c>
      <c r="J124" s="135" t="str">
        <f t="shared" si="36"/>
        <v>招魂幡Lv1</v>
      </c>
      <c r="K124" s="135" t="str">
        <f t="shared" si="37"/>
        <v>护甲|cffffd24d+20|n|r金币加成|cffffd24d+15%|n|n|r击杀1000个敌人后奖励：|n|cffffd24d7000~12000|r金币|n|cffcc99ff2000-5000|r业力|n|n|cff00ff7f同时只能携带一个招魂幡|r</v>
      </c>
      <c r="L124" s="27"/>
      <c r="M124" s="136" t="str">
        <f>VLOOKUP(LEFT(RIGHT(B124,5),4),物品!B:CU,20,FALSE)</f>
        <v>ReplaceableTextures\\CommandButtons\\BTNZHP1.blp</v>
      </c>
      <c r="N124" s="27">
        <v>0.5</v>
      </c>
      <c r="O124" s="136" t="s">
        <v>96</v>
      </c>
      <c r="P124" s="27">
        <v>0</v>
      </c>
      <c r="Q124" s="27">
        <v>1</v>
      </c>
      <c r="R124" s="154" t="s">
        <v>83</v>
      </c>
      <c r="S124" s="154" t="s">
        <v>83</v>
      </c>
      <c r="T124" s="154" t="s">
        <v>83</v>
      </c>
      <c r="U124" s="154" t="s">
        <v>83</v>
      </c>
      <c r="V124" s="27">
        <v>4</v>
      </c>
      <c r="W124" s="27" t="s">
        <v>85</v>
      </c>
      <c r="X124" s="27">
        <v>0</v>
      </c>
      <c r="Y124" s="154" t="s">
        <v>83</v>
      </c>
      <c r="Z124" s="27">
        <v>0</v>
      </c>
      <c r="AA124" s="27">
        <v>0</v>
      </c>
      <c r="AB124" s="27">
        <v>1</v>
      </c>
      <c r="AC124" s="27">
        <v>1</v>
      </c>
      <c r="AD124" s="27">
        <v>1</v>
      </c>
      <c r="AE124" s="154" t="s">
        <v>83</v>
      </c>
      <c r="AF124" s="154" t="s">
        <v>83</v>
      </c>
      <c r="AG124" s="154" t="s">
        <v>83</v>
      </c>
      <c r="AH124" s="154" t="s">
        <v>83</v>
      </c>
      <c r="AI124" s="27"/>
      <c r="AJ124" s="27"/>
      <c r="AK124" s="27">
        <v>1</v>
      </c>
      <c r="AL124" s="27">
        <v>1</v>
      </c>
      <c r="AM124" s="154" t="s">
        <v>83</v>
      </c>
      <c r="AN124" s="27">
        <v>1000</v>
      </c>
      <c r="AO124" s="27"/>
      <c r="AP124" s="27"/>
    </row>
    <row r="125" spans="1:42">
      <c r="A125" s="133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护甲|cffffd24d+50|n|r金币加成|cffffd24d+20%|n|n|r击杀1000个敌人后奖励：|n|cffffd24d8000~13000|r金币|n|cffcc99ff3000-6000|r业力|n|n|cff00ff7f同时只能携带一个招魂幡|r</v>
      </c>
      <c r="J125" s="135" t="str">
        <f t="shared" ref="J125:J126" si="40">H125</f>
        <v>|Cff00FF7F招魂幡Lv2|r</v>
      </c>
      <c r="K125" s="135" t="str">
        <f t="shared" ref="K125:K126" si="41">I125</f>
        <v>护甲|cffffd24d+50|n|r金币加成|cffffd24d+20%|n|n|r击杀1000个敌人后奖励：|n|cffffd24d8000~13000|r金币|n|cffcc99ff3000-6000|r业力|n|n|cff00ff7f同时只能携带一个招魂幡|r</v>
      </c>
      <c r="L125" s="27"/>
      <c r="M125" s="136" t="str">
        <f>VLOOKUP(LEFT(RIGHT(B125,5),4),物品!B:CU,20,FALSE)</f>
        <v>ReplaceableTextures\\CommandButtons\\BTNZHP2.blp</v>
      </c>
      <c r="N125" s="27">
        <v>0.5</v>
      </c>
      <c r="O125" s="136" t="s">
        <v>96</v>
      </c>
      <c r="P125" s="27">
        <v>1</v>
      </c>
      <c r="Q125" s="27">
        <v>1</v>
      </c>
      <c r="R125" s="154" t="s">
        <v>83</v>
      </c>
      <c r="S125" s="154" t="s">
        <v>83</v>
      </c>
      <c r="T125" s="154" t="s">
        <v>83</v>
      </c>
      <c r="U125" s="154" t="s">
        <v>83</v>
      </c>
      <c r="V125" s="27">
        <v>4</v>
      </c>
      <c r="W125" s="27" t="s">
        <v>85</v>
      </c>
      <c r="X125" s="27">
        <v>0</v>
      </c>
      <c r="Y125" s="154" t="s">
        <v>83</v>
      </c>
      <c r="Z125" s="27">
        <v>0</v>
      </c>
      <c r="AA125" s="27">
        <v>0</v>
      </c>
      <c r="AB125" s="27">
        <v>2</v>
      </c>
      <c r="AC125" s="27">
        <v>1</v>
      </c>
      <c r="AD125" s="27">
        <v>1</v>
      </c>
      <c r="AE125" s="154" t="s">
        <v>83</v>
      </c>
      <c r="AF125" s="154" t="s">
        <v>83</v>
      </c>
      <c r="AG125" s="154" t="s">
        <v>83</v>
      </c>
      <c r="AH125" s="154" t="s">
        <v>83</v>
      </c>
      <c r="AI125" s="27"/>
      <c r="AJ125" s="27"/>
      <c r="AK125" s="27">
        <v>1</v>
      </c>
      <c r="AL125" s="27">
        <v>1</v>
      </c>
      <c r="AM125" s="154" t="s">
        <v>83</v>
      </c>
      <c r="AN125" s="27">
        <v>1000</v>
      </c>
      <c r="AO125" s="27"/>
      <c r="AP125" s="27"/>
    </row>
    <row r="126" spans="1:42">
      <c r="A126" s="133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护甲|cffffd24d+100|n|r金币加成|cffffd24d+25%|n|n|r击杀1000个敌人后奖励：|n|cffffd24d9000~14000|r金币|n|cffcc99ff4000-7000|r业力|n|n|cff00ff7f同时只能携带一个招魂幡|r</v>
      </c>
      <c r="J126" s="135" t="str">
        <f t="shared" si="40"/>
        <v>|Cff00BFFF招魂幡Lv3|r</v>
      </c>
      <c r="K126" s="135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6" s="27"/>
      <c r="M126" s="136" t="str">
        <f>VLOOKUP(LEFT(RIGHT(B126,5),4),物品!B:CU,20,FALSE)</f>
        <v>ReplaceableTextures\\CommandButtons\\BTNZHP3.blp</v>
      </c>
      <c r="N126" s="27">
        <v>0.5</v>
      </c>
      <c r="O126" s="136" t="s">
        <v>96</v>
      </c>
      <c r="P126" s="27">
        <v>2</v>
      </c>
      <c r="Q126" s="27">
        <v>1</v>
      </c>
      <c r="R126" s="154" t="s">
        <v>83</v>
      </c>
      <c r="S126" s="154" t="s">
        <v>83</v>
      </c>
      <c r="T126" s="154" t="s">
        <v>83</v>
      </c>
      <c r="U126" s="154" t="s">
        <v>83</v>
      </c>
      <c r="V126" s="27">
        <v>4</v>
      </c>
      <c r="W126" s="27" t="s">
        <v>85</v>
      </c>
      <c r="X126" s="27">
        <v>0</v>
      </c>
      <c r="Y126" s="15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54" t="s">
        <v>83</v>
      </c>
      <c r="AF126" s="154" t="s">
        <v>83</v>
      </c>
      <c r="AG126" s="154" t="s">
        <v>83</v>
      </c>
      <c r="AH126" s="154" t="s">
        <v>83</v>
      </c>
      <c r="AI126" s="27"/>
      <c r="AJ126" s="27"/>
      <c r="AK126" s="27">
        <v>1</v>
      </c>
      <c r="AL126" s="27">
        <v>1</v>
      </c>
      <c r="AM126" s="154" t="s">
        <v>83</v>
      </c>
      <c r="AN126" s="27">
        <v>1000</v>
      </c>
      <c r="AO126" s="27"/>
      <c r="AP126" s="27"/>
    </row>
    <row r="127" spans="1:42">
      <c r="A127" s="133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护甲|cffffd24d+200|n|r金币加成|cffffd24d+30%|n|n|r击杀1000个敌人后奖励：|n|cffffd24d10000~15000|r金币|n|cffcc99ff5000-8000|r业力|n|n|cff00ff7f同时只能携带一个招魂幡|r</v>
      </c>
      <c r="J127" s="135" t="str">
        <f t="shared" ref="J127:J129" si="42">H127</f>
        <v>|CffFFD24D招魂幡Lv4|r</v>
      </c>
      <c r="K127" s="135" t="str">
        <f t="shared" ref="K127:K129" si="43">I127</f>
        <v>护甲|cffffd24d+200|n|r金币加成|cffffd24d+30%|n|n|r击杀1000个敌人后奖励：|n|cffffd24d10000~15000|r金币|n|cffcc99ff5000-8000|r业力|n|n|cff00ff7f同时只能携带一个招魂幡|r</v>
      </c>
      <c r="L127" s="27"/>
      <c r="M127" s="136" t="str">
        <f>VLOOKUP(LEFT(RIGHT(B127,5),4),物品!B:CU,20,FALSE)</f>
        <v>ReplaceableTextures\\CommandButtons\\BTNZHP4.blp</v>
      </c>
      <c r="N127" s="27">
        <v>0.5</v>
      </c>
      <c r="O127" s="136" t="s">
        <v>96</v>
      </c>
      <c r="P127" s="27">
        <v>3</v>
      </c>
      <c r="Q127" s="27">
        <v>1</v>
      </c>
      <c r="R127" s="154" t="s">
        <v>83</v>
      </c>
      <c r="S127" s="154" t="s">
        <v>83</v>
      </c>
      <c r="T127" s="154" t="s">
        <v>83</v>
      </c>
      <c r="U127" s="154" t="s">
        <v>83</v>
      </c>
      <c r="V127" s="27">
        <v>4</v>
      </c>
      <c r="W127" s="27" t="s">
        <v>85</v>
      </c>
      <c r="X127" s="27">
        <v>0</v>
      </c>
      <c r="Y127" s="154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54" t="s">
        <v>83</v>
      </c>
      <c r="AF127" s="154" t="s">
        <v>83</v>
      </c>
      <c r="AG127" s="154" t="s">
        <v>83</v>
      </c>
      <c r="AH127" s="154" t="s">
        <v>83</v>
      </c>
      <c r="AI127" s="27"/>
      <c r="AJ127" s="27"/>
      <c r="AK127" s="27">
        <v>1</v>
      </c>
      <c r="AL127" s="27">
        <v>1</v>
      </c>
      <c r="AM127" s="154" t="s">
        <v>83</v>
      </c>
      <c r="AN127" s="27">
        <v>1000</v>
      </c>
      <c r="AO127" s="27"/>
      <c r="AP127" s="27"/>
    </row>
    <row r="128" spans="1:42">
      <c r="A128" s="133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护甲|cffffd24d+300|n|r金币加成|cffffd24d+35%|n|n|r击杀1000个敌人后奖励：|n|cffffd24d12000~17000|r金币|n|cffcc99ff6000-9000|r业力|n|n|cff00ff7f同时只能携带一个招魂幡|r</v>
      </c>
      <c r="J128" s="135" t="str">
        <f t="shared" ref="J128" si="44">H128</f>
        <v>|CffFF0000招魂幡Lv5|r</v>
      </c>
      <c r="K128" s="135" t="str">
        <f t="shared" ref="K128" si="45">I128</f>
        <v>护甲|cffffd24d+300|n|r金币加成|cffffd24d+35%|n|n|r击杀1000个敌人后奖励：|n|cffffd24d12000~17000|r金币|n|cffcc99ff6000-9000|r业力|n|n|cff00ff7f同时只能携带一个招魂幡|r</v>
      </c>
      <c r="L128" s="27"/>
      <c r="M128" s="136" t="str">
        <f>VLOOKUP(LEFT(RIGHT(B128,5),4),物品!B:CU,20,FALSE)</f>
        <v>ReplaceableTextures\\CommandButtons\\BTNZHP5.blp</v>
      </c>
      <c r="N128" s="27">
        <v>0.5</v>
      </c>
      <c r="O128" s="136" t="s">
        <v>96</v>
      </c>
      <c r="P128" s="27">
        <v>0</v>
      </c>
      <c r="Q128" s="27">
        <v>0</v>
      </c>
      <c r="R128" s="154" t="s">
        <v>83</v>
      </c>
      <c r="S128" s="154" t="s">
        <v>83</v>
      </c>
      <c r="T128" s="154" t="s">
        <v>83</v>
      </c>
      <c r="U128" s="154" t="s">
        <v>83</v>
      </c>
      <c r="V128" s="27">
        <v>4</v>
      </c>
      <c r="W128" s="27" t="s">
        <v>85</v>
      </c>
      <c r="X128" s="27">
        <v>0</v>
      </c>
      <c r="Y128" s="154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54" t="s">
        <v>83</v>
      </c>
      <c r="AF128" s="154" t="s">
        <v>83</v>
      </c>
      <c r="AG128" s="154" t="s">
        <v>83</v>
      </c>
      <c r="AH128" s="154" t="s">
        <v>83</v>
      </c>
      <c r="AI128" s="27"/>
      <c r="AJ128" s="27"/>
      <c r="AK128" s="27">
        <v>1</v>
      </c>
      <c r="AL128" s="27">
        <v>1</v>
      </c>
      <c r="AM128" s="154" t="s">
        <v>83</v>
      </c>
      <c r="AN128" s="27">
        <v>1000</v>
      </c>
      <c r="AO128" s="27"/>
      <c r="AP128" s="27"/>
    </row>
    <row r="129" spans="1:42">
      <c r="A129" s="133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开启后获得一个|Cffffd24d随机锦囊|r。</v>
      </c>
      <c r="J129" s="135" t="str">
        <f t="shared" si="42"/>
        <v>|CffFFD24D锦囊|r</v>
      </c>
      <c r="K129" s="135" t="str">
        <f t="shared" si="43"/>
        <v>开启后获得一个|Cffffd24d随机锦囊|r。</v>
      </c>
      <c r="L129" s="27"/>
      <c r="M129" s="136" t="str">
        <f>VLOOKUP(LEFT(RIGHT(B129,5),4),物品!B:CU,20,FALSE)</f>
        <v>ReplaceableTextures\\CommandButtons\\BTNIN00.blp</v>
      </c>
      <c r="N129" s="27">
        <v>0.8</v>
      </c>
      <c r="O129" s="136" t="s">
        <v>97</v>
      </c>
      <c r="P129" s="27">
        <v>0</v>
      </c>
      <c r="Q129" s="27">
        <v>0</v>
      </c>
      <c r="R129" s="154" t="s">
        <v>83</v>
      </c>
      <c r="S129" s="154" t="s">
        <v>83</v>
      </c>
      <c r="T129" s="154" t="s">
        <v>83</v>
      </c>
      <c r="U129" s="154" t="s">
        <v>83</v>
      </c>
      <c r="V129" s="27"/>
      <c r="W129" s="27" t="s">
        <v>93</v>
      </c>
      <c r="X129" s="27">
        <v>0</v>
      </c>
      <c r="Y129" s="154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54" t="s">
        <v>83</v>
      </c>
      <c r="AF129" s="154" t="s">
        <v>83</v>
      </c>
      <c r="AG129" s="154" t="s">
        <v>83</v>
      </c>
      <c r="AH129" s="154" t="s">
        <v>83</v>
      </c>
      <c r="AI129" s="27"/>
      <c r="AJ129" s="27"/>
      <c r="AK129" s="27">
        <v>1</v>
      </c>
      <c r="AL129" s="27">
        <v>1</v>
      </c>
      <c r="AM129" s="154" t="s">
        <v>83</v>
      </c>
      <c r="AN129" s="27">
        <v>1</v>
      </c>
      <c r="AO129" s="27">
        <v>1</v>
      </c>
      <c r="AP129" s="27">
        <v>1</v>
      </c>
    </row>
    <row r="130" spans="1:42">
      <c r="A130" s="133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来份快餐</v>
      </c>
      <c r="I130" s="27" t="str">
        <f>VLOOKUP(B130,物品!B:CV,99,FALSE)</f>
        <v>每秒回复|Cffffd24d10%|r生命值，持续|Cffffd24d10|r秒</v>
      </c>
      <c r="J130" s="135" t="str">
        <f t="shared" ref="J130" si="46">H130</f>
        <v>来份快餐</v>
      </c>
      <c r="K130" s="135" t="str">
        <f t="shared" ref="K130" si="47">I130</f>
        <v>每秒回复|Cffffd24d10%|r生命值，持续|Cffffd24d10|r秒</v>
      </c>
      <c r="L130" s="27"/>
      <c r="M130" s="136" t="str">
        <f>VLOOKUP(LEFT(RIGHT(B130,5),4),物品!B:CU,20,FALSE)</f>
        <v>ReplaceableTextures\\CommandButtons\\BTNIN07.blp</v>
      </c>
      <c r="N130" s="154" t="s">
        <v>83</v>
      </c>
      <c r="O130" s="136" t="s">
        <v>94</v>
      </c>
      <c r="P130" s="27">
        <v>0</v>
      </c>
      <c r="Q130" s="27">
        <v>0</v>
      </c>
      <c r="R130" s="154" t="s">
        <v>83</v>
      </c>
      <c r="S130" s="154" t="s">
        <v>83</v>
      </c>
      <c r="T130" s="154" t="s">
        <v>83</v>
      </c>
      <c r="U130" s="154" t="s">
        <v>83</v>
      </c>
      <c r="V130" s="27"/>
      <c r="W130" s="27" t="s">
        <v>93</v>
      </c>
      <c r="X130" s="27">
        <v>0</v>
      </c>
      <c r="Y130" s="154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4" t="s">
        <v>83</v>
      </c>
      <c r="AF130" s="154" t="s">
        <v>83</v>
      </c>
      <c r="AG130" s="154" t="s">
        <v>83</v>
      </c>
      <c r="AH130" s="154" t="s">
        <v>83</v>
      </c>
      <c r="AI130" s="27"/>
      <c r="AJ130" s="27"/>
      <c r="AK130" s="27">
        <v>1</v>
      </c>
      <c r="AL130" s="27">
        <v>1</v>
      </c>
      <c r="AM130" s="154" t="s">
        <v>83</v>
      </c>
      <c r="AN130" s="27">
        <v>1</v>
      </c>
      <c r="AO130" s="27">
        <v>1</v>
      </c>
      <c r="AP130" s="27">
        <v>1</v>
      </c>
    </row>
    <row r="131" spans="1:42">
      <c r="A131" s="133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抬你一手</v>
      </c>
      <c r="I131" s="27" t="str">
        <f>VLOOKUP(B131,物品!B:CV,99,FALSE)</f>
        <v>|CffFFC926击杀|r当前存在的|Cffffc926进攻怪|r和|Cffffc926Boss|r。|n|n|Cff00ff7f无法在大决战时使用|r</v>
      </c>
      <c r="J131" s="135" t="str">
        <f t="shared" ref="J131:J133" si="48">H131</f>
        <v>抬你一手</v>
      </c>
      <c r="K131" s="135" t="str">
        <f t="shared" ref="K131:K133" si="49">I131</f>
        <v>|CffFFC926击杀|r当前存在的|Cffffc926进攻怪|r和|Cffffc926Boss|r。|n|n|Cff00ff7f无法在大决战时使用|r</v>
      </c>
      <c r="L131" s="27"/>
      <c r="M131" s="136" t="str">
        <f>VLOOKUP(LEFT(RIGHT(B131,5),4),物品!B:CU,20,FALSE)</f>
        <v>ReplaceableTextures\\CommandButtons\\BTNIN08.blp</v>
      </c>
      <c r="N131" s="154" t="s">
        <v>83</v>
      </c>
      <c r="O131" s="136" t="s">
        <v>94</v>
      </c>
      <c r="P131" s="27">
        <v>0</v>
      </c>
      <c r="Q131" s="27">
        <v>0</v>
      </c>
      <c r="R131" s="154" t="s">
        <v>83</v>
      </c>
      <c r="S131" s="154" t="s">
        <v>83</v>
      </c>
      <c r="T131" s="154" t="s">
        <v>83</v>
      </c>
      <c r="U131" s="154" t="s">
        <v>83</v>
      </c>
      <c r="V131" s="27"/>
      <c r="W131" s="27" t="s">
        <v>93</v>
      </c>
      <c r="X131" s="27">
        <v>0</v>
      </c>
      <c r="Y131" s="154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4" t="s">
        <v>83</v>
      </c>
      <c r="AF131" s="154" t="s">
        <v>83</v>
      </c>
      <c r="AG131" s="154" t="s">
        <v>83</v>
      </c>
      <c r="AH131" s="154" t="s">
        <v>83</v>
      </c>
      <c r="AI131" s="27"/>
      <c r="AJ131" s="27"/>
      <c r="AK131" s="27">
        <v>1</v>
      </c>
      <c r="AL131" s="27">
        <v>1</v>
      </c>
      <c r="AM131" s="154" t="s">
        <v>83</v>
      </c>
      <c r="AN131" s="27">
        <v>1</v>
      </c>
      <c r="AO131" s="27">
        <v>1</v>
      </c>
      <c r="AP131" s="27">
        <v>1</v>
      </c>
    </row>
    <row r="132" spans="1:42">
      <c r="A132" s="133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死者苏生</v>
      </c>
      <c r="I132" s="27" t="str">
        <f>VLOOKUP(B132,物品!B:CV,99,FALSE)</f>
        <v>死亡时复活。</v>
      </c>
      <c r="J132" s="135" t="str">
        <f t="shared" si="48"/>
        <v>死者苏生</v>
      </c>
      <c r="K132" s="135" t="str">
        <f t="shared" si="49"/>
        <v>死亡时复活。</v>
      </c>
      <c r="L132" s="27"/>
      <c r="M132" s="136" t="str">
        <f>VLOOKUP(LEFT(RIGHT(B132,5),4),物品!B:CU,20,FALSE)</f>
        <v>ReplaceableTextures\\CommandButtons\\BTNIN09.blp</v>
      </c>
      <c r="N132" s="154" t="s">
        <v>83</v>
      </c>
      <c r="O132" s="136" t="s">
        <v>94</v>
      </c>
      <c r="P132" s="27">
        <v>0</v>
      </c>
      <c r="Q132" s="27">
        <v>0</v>
      </c>
      <c r="R132" s="154" t="s">
        <v>83</v>
      </c>
      <c r="S132" s="154" t="s">
        <v>83</v>
      </c>
      <c r="T132" s="154" t="s">
        <v>83</v>
      </c>
      <c r="U132" s="154" t="s">
        <v>83</v>
      </c>
      <c r="V132" s="27"/>
      <c r="W132" s="27" t="s">
        <v>93</v>
      </c>
      <c r="X132" s="27">
        <v>0</v>
      </c>
      <c r="Y132" s="154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4" t="s">
        <v>83</v>
      </c>
      <c r="AF132" s="154" t="s">
        <v>83</v>
      </c>
      <c r="AG132" s="154" t="s">
        <v>83</v>
      </c>
      <c r="AH132" s="154" t="s">
        <v>83</v>
      </c>
      <c r="AI132" s="27"/>
      <c r="AJ132" s="27"/>
      <c r="AK132" s="27">
        <v>1</v>
      </c>
      <c r="AL132" s="27">
        <v>1</v>
      </c>
      <c r="AM132" s="154" t="s">
        <v>83</v>
      </c>
      <c r="AN132" s="27">
        <v>1</v>
      </c>
      <c r="AO132" s="27">
        <v>1</v>
      </c>
      <c r="AP132" s="27">
        <v>1</v>
      </c>
    </row>
    <row r="133" spans="1:42">
      <c r="A133" s="133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福娃这么可爱..</v>
      </c>
      <c r="I133" s="27" t="str">
        <f>VLOOKUP(B133,物品!B:CV,99,FALSE)</f>
        <v>点金一个|Cffffd24d练功房福娃|r，获得|Cffffd24d100|r倍金币奖励</v>
      </c>
      <c r="J133" s="135" t="str">
        <f t="shared" si="48"/>
        <v>福娃这么可爱..</v>
      </c>
      <c r="K133" s="135" t="str">
        <f t="shared" si="49"/>
        <v>点金一个|Cffffd24d练功房福娃|r，获得|Cffffd24d100|r倍金币奖励</v>
      </c>
      <c r="L133" s="27"/>
      <c r="M133" s="136" t="str">
        <f>VLOOKUP(LEFT(RIGHT(B133,5),4),物品!B:CU,20,FALSE)</f>
        <v>ReplaceableTextures\\CommandButtons\\BTNIN10.blp</v>
      </c>
      <c r="N133" s="154" t="s">
        <v>83</v>
      </c>
      <c r="O133" s="136" t="s">
        <v>94</v>
      </c>
      <c r="P133" s="27">
        <v>0</v>
      </c>
      <c r="Q133" s="27">
        <v>0</v>
      </c>
      <c r="R133" s="154" t="s">
        <v>83</v>
      </c>
      <c r="S133" s="154" t="s">
        <v>83</v>
      </c>
      <c r="T133" s="154" t="s">
        <v>83</v>
      </c>
      <c r="U133" s="154" t="s">
        <v>83</v>
      </c>
      <c r="V133" s="27"/>
      <c r="W133" s="27" t="s">
        <v>93</v>
      </c>
      <c r="X133" s="27">
        <v>0</v>
      </c>
      <c r="Y133" s="154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54" t="s">
        <v>83</v>
      </c>
      <c r="AH133" s="154" t="s">
        <v>83</v>
      </c>
      <c r="AI133" s="27"/>
      <c r="AJ133" s="27"/>
      <c r="AK133" s="27">
        <v>1</v>
      </c>
      <c r="AL133" s="27">
        <v>1</v>
      </c>
      <c r="AM133" s="154" t="s">
        <v>83</v>
      </c>
      <c r="AN133" s="27">
        <v>0</v>
      </c>
      <c r="AO133" s="27">
        <v>0</v>
      </c>
      <c r="AP133" s="27">
        <v>1</v>
      </c>
    </row>
    <row r="134" spans="1:42">
      <c r="A134" s="133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奥里给Lo他</v>
      </c>
      <c r="I134" s="27" t="str">
        <f>VLOOKUP(B134,物品!B:CV,99,FALSE)</f>
        <v>|CffFFD24D5|r秒内提高|Cffffd24d100%|r物理伤害</v>
      </c>
      <c r="J134" s="135" t="str">
        <f t="shared" ref="J134:J140" si="50">H134</f>
        <v>奥里给Lo他</v>
      </c>
      <c r="K134" s="135" t="str">
        <f t="shared" ref="K134:K140" si="51">I134</f>
        <v>|CffFFD24D5|r秒内提高|Cffffd24d100%|r物理伤害</v>
      </c>
      <c r="L134" s="27"/>
      <c r="M134" s="136" t="str">
        <f>VLOOKUP(LEFT(RIGHT(B134,5),4),物品!B:CU,20,FALSE)</f>
        <v>ReplaceableTextures\\CommandButtons\\BTNIN11.blp</v>
      </c>
      <c r="N134" s="154" t="s">
        <v>83</v>
      </c>
      <c r="O134" s="136" t="s">
        <v>94</v>
      </c>
      <c r="P134" s="27">
        <v>0</v>
      </c>
      <c r="Q134" s="27">
        <v>0</v>
      </c>
      <c r="R134" s="154" t="s">
        <v>83</v>
      </c>
      <c r="S134" s="154" t="s">
        <v>83</v>
      </c>
      <c r="T134" s="154" t="s">
        <v>83</v>
      </c>
      <c r="U134" s="154" t="s">
        <v>83</v>
      </c>
      <c r="V134" s="27"/>
      <c r="W134" s="27" t="s">
        <v>93</v>
      </c>
      <c r="X134" s="27">
        <v>0</v>
      </c>
      <c r="Y134" s="154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4" t="s">
        <v>83</v>
      </c>
      <c r="AF134" s="154" t="s">
        <v>83</v>
      </c>
      <c r="AG134" s="154" t="s">
        <v>83</v>
      </c>
      <c r="AH134" s="154" t="s">
        <v>83</v>
      </c>
      <c r="AI134" s="27"/>
      <c r="AJ134" s="27"/>
      <c r="AK134" s="27">
        <v>1</v>
      </c>
      <c r="AL134" s="27">
        <v>1</v>
      </c>
      <c r="AM134" s="154" t="s">
        <v>83</v>
      </c>
      <c r="AN134" s="27">
        <v>1</v>
      </c>
      <c r="AO134" s="27">
        <v>1</v>
      </c>
      <c r="AP134" s="27">
        <v>1</v>
      </c>
    </row>
    <row r="135" spans="1:42">
      <c r="A135" s="133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以逸待劳</v>
      </c>
      <c r="I135" s="27" t="str">
        <f>VLOOKUP(B135,物品!B:CV,99,FALSE)</f>
        <v>在|Cffffd24d基地-周文王|r附近召唤|Cffffd24d1|r个|Cffffd24d黑市商店|r，仅存在|Cffffd24d30|r秒。</v>
      </c>
      <c r="J135" s="135" t="str">
        <f t="shared" si="50"/>
        <v>以逸待劳</v>
      </c>
      <c r="K135" s="135" t="str">
        <f t="shared" si="51"/>
        <v>在|Cffffd24d基地-周文王|r附近召唤|Cffffd24d1|r个|Cffffd24d黑市商店|r，仅存在|Cffffd24d30|r秒。</v>
      </c>
      <c r="L135" s="27"/>
      <c r="M135" s="136" t="str">
        <f>VLOOKUP(LEFT(RIGHT(B135,5),4),物品!B:CU,20,FALSE)</f>
        <v>ReplaceableTextures\\CommandButtons\\BTNIN12.blp</v>
      </c>
      <c r="N135" s="154" t="s">
        <v>83</v>
      </c>
      <c r="O135" s="136" t="s">
        <v>94</v>
      </c>
      <c r="P135" s="27">
        <v>0</v>
      </c>
      <c r="Q135" s="27">
        <v>0</v>
      </c>
      <c r="R135" s="154" t="s">
        <v>83</v>
      </c>
      <c r="S135" s="154" t="s">
        <v>83</v>
      </c>
      <c r="T135" s="154" t="s">
        <v>83</v>
      </c>
      <c r="U135" s="154" t="s">
        <v>83</v>
      </c>
      <c r="V135" s="27"/>
      <c r="W135" s="27" t="s">
        <v>93</v>
      </c>
      <c r="X135" s="27">
        <v>0</v>
      </c>
      <c r="Y135" s="154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4" t="s">
        <v>83</v>
      </c>
      <c r="AF135" s="154" t="s">
        <v>83</v>
      </c>
      <c r="AG135" s="154" t="s">
        <v>83</v>
      </c>
      <c r="AH135" s="154" t="s">
        <v>83</v>
      </c>
      <c r="AI135" s="27"/>
      <c r="AJ135" s="27"/>
      <c r="AK135" s="27">
        <v>1</v>
      </c>
      <c r="AL135" s="27">
        <v>1</v>
      </c>
      <c r="AM135" s="154" t="s">
        <v>83</v>
      </c>
      <c r="AN135" s="27">
        <v>1</v>
      </c>
      <c r="AO135" s="27">
        <v>1</v>
      </c>
      <c r="AP135" s="27">
        <v>1</v>
      </c>
    </row>
    <row r="136" spans="1:42">
      <c r="A136" s="133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全军出击</v>
      </c>
      <c r="I136" s="27" t="str">
        <f>VLOOKUP(B136,物品!B:CV,99,FALSE)</f>
        <v>场上存活的队友|Cffffd24d10|r秒内提高|Cffffd24d30%|r法术伤害</v>
      </c>
      <c r="J136" s="135" t="str">
        <f t="shared" si="50"/>
        <v>全军出击</v>
      </c>
      <c r="K136" s="135" t="str">
        <f t="shared" si="51"/>
        <v>场上存活的队友|Cffffd24d10|r秒内提高|Cffffd24d30%|r法术伤害</v>
      </c>
      <c r="L136" s="27"/>
      <c r="M136" s="136" t="str">
        <f>VLOOKUP(LEFT(RIGHT(B136,5),4),物品!B:CU,20,FALSE)</f>
        <v>ReplaceableTextures\\CommandButtons\\BTNIN13.blp</v>
      </c>
      <c r="N136" s="154" t="s">
        <v>83</v>
      </c>
      <c r="O136" s="136" t="s">
        <v>94</v>
      </c>
      <c r="P136" s="27">
        <v>0</v>
      </c>
      <c r="Q136" s="27">
        <v>0</v>
      </c>
      <c r="R136" s="154" t="s">
        <v>83</v>
      </c>
      <c r="S136" s="154" t="s">
        <v>83</v>
      </c>
      <c r="T136" s="154" t="s">
        <v>83</v>
      </c>
      <c r="U136" s="154" t="s">
        <v>83</v>
      </c>
      <c r="V136" s="27"/>
      <c r="W136" s="27" t="s">
        <v>93</v>
      </c>
      <c r="X136" s="27">
        <v>0</v>
      </c>
      <c r="Y136" s="154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4" t="s">
        <v>83</v>
      </c>
      <c r="AF136" s="154" t="s">
        <v>83</v>
      </c>
      <c r="AG136" s="154" t="s">
        <v>83</v>
      </c>
      <c r="AH136" s="154" t="s">
        <v>83</v>
      </c>
      <c r="AI136" s="27"/>
      <c r="AJ136" s="27"/>
      <c r="AK136" s="27">
        <v>1</v>
      </c>
      <c r="AL136" s="27">
        <v>1</v>
      </c>
      <c r="AM136" s="154" t="s">
        <v>83</v>
      </c>
      <c r="AN136" s="27">
        <v>1</v>
      </c>
      <c r="AO136" s="27">
        <v>1</v>
      </c>
      <c r="AP136" s="27">
        <v>1</v>
      </c>
    </row>
    <row r="137" spans="1:42">
      <c r="A137" s="133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心跳时刻</v>
      </c>
      <c r="I137" s="27" t="str">
        <f>VLOOKUP(B137,物品!B:CV,99,FALSE)</f>
        <v>使用后基地无敌|Cffffd24d5|r秒。</v>
      </c>
      <c r="J137" s="135" t="str">
        <f t="shared" si="50"/>
        <v>心跳时刻</v>
      </c>
      <c r="K137" s="135" t="str">
        <f t="shared" si="51"/>
        <v>使用后基地无敌|Cffffd24d5|r秒。</v>
      </c>
      <c r="L137" s="27"/>
      <c r="M137" s="136" t="str">
        <f>VLOOKUP(LEFT(RIGHT(B137,5),4),物品!B:CU,20,FALSE)</f>
        <v>ReplaceableTextures\\CommandButtons\\BTNIN14.blp</v>
      </c>
      <c r="N137" s="154" t="s">
        <v>83</v>
      </c>
      <c r="O137" s="136" t="s">
        <v>94</v>
      </c>
      <c r="P137" s="27">
        <v>0</v>
      </c>
      <c r="Q137" s="27">
        <v>0</v>
      </c>
      <c r="R137" s="154" t="s">
        <v>83</v>
      </c>
      <c r="S137" s="154" t="s">
        <v>83</v>
      </c>
      <c r="T137" s="154" t="s">
        <v>83</v>
      </c>
      <c r="U137" s="154" t="s">
        <v>83</v>
      </c>
      <c r="V137" s="27"/>
      <c r="W137" s="27" t="s">
        <v>93</v>
      </c>
      <c r="X137" s="27">
        <v>0</v>
      </c>
      <c r="Y137" s="154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4" t="s">
        <v>83</v>
      </c>
      <c r="AF137" s="154" t="s">
        <v>83</v>
      </c>
      <c r="AG137" s="154" t="s">
        <v>83</v>
      </c>
      <c r="AH137" s="154" t="s">
        <v>83</v>
      </c>
      <c r="AI137" s="27"/>
      <c r="AJ137" s="27"/>
      <c r="AK137" s="27">
        <v>1</v>
      </c>
      <c r="AL137" s="27">
        <v>1</v>
      </c>
      <c r="AM137" s="154" t="s">
        <v>83</v>
      </c>
      <c r="AN137" s="27">
        <v>1</v>
      </c>
      <c r="AO137" s="27">
        <v>1</v>
      </c>
      <c r="AP137" s="27">
        <v>1</v>
      </c>
    </row>
    <row r="138" spans="1:42">
      <c r="A138" s="133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据守</v>
      </c>
      <c r="I138" s="27" t="str">
        <f>VLOOKUP(B138,物品!B:CV,99,FALSE)</f>
        <v>场上存活的队友|Cffffd24d10|r秒内减少|Cffffd24d20%|r承受伤害</v>
      </c>
      <c r="J138" s="135" t="str">
        <f t="shared" si="50"/>
        <v>据守</v>
      </c>
      <c r="K138" s="135" t="str">
        <f t="shared" si="51"/>
        <v>场上存活的队友|Cffffd24d10|r秒内减少|Cffffd24d20%|r承受伤害</v>
      </c>
      <c r="L138" s="27"/>
      <c r="M138" s="136" t="str">
        <f>VLOOKUP(LEFT(RIGHT(B138,5),4),物品!B:CU,20,FALSE)</f>
        <v>ReplaceableTextures\\CommandButtons\\BTNIN15.blp</v>
      </c>
      <c r="N138" s="154" t="s">
        <v>83</v>
      </c>
      <c r="O138" s="136" t="s">
        <v>94</v>
      </c>
      <c r="P138" s="27">
        <v>0</v>
      </c>
      <c r="Q138" s="27">
        <v>0</v>
      </c>
      <c r="R138" s="154" t="s">
        <v>83</v>
      </c>
      <c r="S138" s="154" t="s">
        <v>83</v>
      </c>
      <c r="T138" s="154" t="s">
        <v>83</v>
      </c>
      <c r="U138" s="154" t="s">
        <v>83</v>
      </c>
      <c r="V138" s="27"/>
      <c r="W138" s="27" t="s">
        <v>93</v>
      </c>
      <c r="X138" s="27">
        <v>0</v>
      </c>
      <c r="Y138" s="154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4" t="s">
        <v>83</v>
      </c>
      <c r="AF138" s="154" t="s">
        <v>83</v>
      </c>
      <c r="AG138" s="154" t="s">
        <v>83</v>
      </c>
      <c r="AH138" s="154" t="s">
        <v>83</v>
      </c>
      <c r="AI138" s="27"/>
      <c r="AJ138" s="27"/>
      <c r="AK138" s="27">
        <v>1</v>
      </c>
      <c r="AL138" s="27">
        <v>1</v>
      </c>
      <c r="AM138" s="154" t="s">
        <v>83</v>
      </c>
      <c r="AN138" s="27">
        <v>1</v>
      </c>
      <c r="AO138" s="27">
        <v>1</v>
      </c>
      <c r="AP138" s="27">
        <v>1</v>
      </c>
    </row>
    <row r="139" spans="1:42">
      <c r="A139" s="133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35" t="str">
        <f t="shared" si="50"/>
        <v>赌输可退</v>
      </c>
      <c r="K139" s="135" t="str">
        <f t="shared" si="51"/>
        <v>使|Cffffd24d1|r个|Cffffd24d道果品质|r提高|Cffffd24d-1~+2|r。|n|n|Cff00ff7f只能对天级【7】或以下的道果使用|r</v>
      </c>
      <c r="L139" s="27"/>
      <c r="M139" s="136" t="str">
        <f>VLOOKUP(LEFT(RIGHT(B139,5),4),物品!B:CU,20,FALSE)</f>
        <v>ReplaceableTextures\\CommandButtons\\BTNIN16.blp</v>
      </c>
      <c r="N139" s="154" t="s">
        <v>83</v>
      </c>
      <c r="O139" s="136" t="s">
        <v>94</v>
      </c>
      <c r="P139" s="27">
        <v>0</v>
      </c>
      <c r="Q139" s="27">
        <v>0</v>
      </c>
      <c r="R139" s="154" t="s">
        <v>83</v>
      </c>
      <c r="S139" s="154" t="s">
        <v>83</v>
      </c>
      <c r="T139" s="154" t="s">
        <v>83</v>
      </c>
      <c r="U139" s="154" t="s">
        <v>83</v>
      </c>
      <c r="V139" s="27"/>
      <c r="W139" s="27" t="s">
        <v>93</v>
      </c>
      <c r="X139" s="27">
        <v>0</v>
      </c>
      <c r="Y139" s="154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4" t="s">
        <v>83</v>
      </c>
      <c r="AF139" s="154" t="s">
        <v>83</v>
      </c>
      <c r="AG139" s="154" t="s">
        <v>83</v>
      </c>
      <c r="AH139" s="154" t="s">
        <v>83</v>
      </c>
      <c r="AI139" s="27"/>
      <c r="AJ139" s="27"/>
      <c r="AK139" s="27">
        <v>1</v>
      </c>
      <c r="AL139" s="27">
        <v>1</v>
      </c>
      <c r="AM139" s="154" t="s">
        <v>83</v>
      </c>
      <c r="AN139" s="27">
        <v>1</v>
      </c>
      <c r="AO139" s="27">
        <v>1</v>
      </c>
      <c r="AP139" s="27">
        <v>1</v>
      </c>
    </row>
    <row r="140" spans="1:42">
      <c r="A140" s="133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来点玄铁</v>
      </c>
      <c r="I140" s="27" t="str">
        <f>VLOOKUP(B140,物品!B:CV,99,FALSE)</f>
        <v>玄铁|Cffffd24d+5~50|r</v>
      </c>
      <c r="J140" s="135" t="str">
        <f t="shared" si="50"/>
        <v>来点玄铁</v>
      </c>
      <c r="K140" s="135" t="str">
        <f t="shared" si="51"/>
        <v>玄铁|Cffffd24d+5~50|r</v>
      </c>
      <c r="L140" s="27"/>
      <c r="M140" s="136" t="str">
        <f>VLOOKUP(LEFT(RIGHT(B140,5),4),物品!B:CU,20,FALSE)</f>
        <v>ReplaceableTextures\\CommandButtons\\BTNIN17.blp</v>
      </c>
      <c r="N140" s="154" t="s">
        <v>83</v>
      </c>
      <c r="O140" s="136" t="s">
        <v>94</v>
      </c>
      <c r="P140" s="27">
        <v>0</v>
      </c>
      <c r="Q140" s="27">
        <v>0</v>
      </c>
      <c r="R140" s="154" t="s">
        <v>83</v>
      </c>
      <c r="S140" s="154" t="s">
        <v>83</v>
      </c>
      <c r="T140" s="154" t="s">
        <v>83</v>
      </c>
      <c r="U140" s="154" t="s">
        <v>83</v>
      </c>
      <c r="V140" s="27"/>
      <c r="W140" s="27" t="s">
        <v>93</v>
      </c>
      <c r="X140" s="27">
        <v>0</v>
      </c>
      <c r="Y140" s="154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4" t="s">
        <v>83</v>
      </c>
      <c r="AF140" s="154" t="s">
        <v>83</v>
      </c>
      <c r="AG140" s="154" t="s">
        <v>83</v>
      </c>
      <c r="AH140" s="154" t="s">
        <v>83</v>
      </c>
      <c r="AI140" s="27"/>
      <c r="AJ140" s="27"/>
      <c r="AK140" s="27">
        <v>1</v>
      </c>
      <c r="AL140" s="27">
        <v>1</v>
      </c>
      <c r="AM140" s="154" t="s">
        <v>83</v>
      </c>
      <c r="AN140" s="27">
        <v>1</v>
      </c>
      <c r="AO140" s="27">
        <v>1</v>
      </c>
      <c r="AP140" s="27">
        <v>1</v>
      </c>
    </row>
    <row r="141" spans="1:42">
      <c r="A141" s="133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恭喜发财</v>
      </c>
      <c r="I141" s="27" t="str">
        <f>VLOOKUP(B141,物品!B:CV,99,FALSE)</f>
        <v>|CffFFD24D30|r秒内增加|Cffffd24d30%|r金币加成</v>
      </c>
      <c r="J141" s="135" t="str">
        <f t="shared" ref="J141" si="52">H141</f>
        <v>恭喜发财</v>
      </c>
      <c r="K141" s="135" t="str">
        <f t="shared" ref="K141" si="53">I141</f>
        <v>|CffFFD24D30|r秒内增加|Cffffd24d30%|r金币加成</v>
      </c>
      <c r="L141" s="27"/>
      <c r="M141" s="136" t="str">
        <f>VLOOKUP(LEFT(RIGHT(B141,5),4),物品!B:CU,20,FALSE)</f>
        <v>ReplaceableTextures\\CommandButtons\\BTNIN18.blp</v>
      </c>
      <c r="N141" s="154" t="s">
        <v>83</v>
      </c>
      <c r="O141" s="136" t="s">
        <v>94</v>
      </c>
      <c r="P141" s="27">
        <v>0</v>
      </c>
      <c r="Q141" s="27">
        <v>0</v>
      </c>
      <c r="R141" s="154" t="s">
        <v>83</v>
      </c>
      <c r="S141" s="154" t="s">
        <v>83</v>
      </c>
      <c r="T141" s="154" t="s">
        <v>83</v>
      </c>
      <c r="U141" s="154" t="s">
        <v>83</v>
      </c>
      <c r="V141" s="27"/>
      <c r="W141" s="27" t="s">
        <v>93</v>
      </c>
      <c r="X141" s="27">
        <v>0</v>
      </c>
      <c r="Y141" s="154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4" t="s">
        <v>83</v>
      </c>
      <c r="AF141" s="154" t="s">
        <v>83</v>
      </c>
      <c r="AG141" s="154" t="s">
        <v>83</v>
      </c>
      <c r="AH141" s="154" t="s">
        <v>83</v>
      </c>
      <c r="AI141" s="27"/>
      <c r="AJ141" s="27"/>
      <c r="AK141" s="27">
        <v>1</v>
      </c>
      <c r="AL141" s="27">
        <v>1</v>
      </c>
      <c r="AM141" s="154" t="s">
        <v>83</v>
      </c>
      <c r="AN141" s="27">
        <v>1</v>
      </c>
      <c r="AO141" s="27">
        <v>1</v>
      </c>
      <c r="AP141" s="27">
        <v>1</v>
      </c>
    </row>
    <row r="142" spans="1:42">
      <c r="A142" s="133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35" t="str">
        <f t="shared" ref="J142:J150" si="54">H142</f>
        <v>附魔宝箱</v>
      </c>
      <c r="K142" s="135" t="str">
        <f t="shared" ref="K142:K150" si="55">I142</f>
        <v>使用后获得|Cffffc926随机类型技能附魔石|r</v>
      </c>
      <c r="L142" s="27"/>
      <c r="M142" s="136" t="str">
        <f>VLOOKUP(LEFT(RIGHT(B142,5),4),物品!B:CU,20,FALSE)</f>
        <v>ReplaceableTextures\\CommandButtons\\BTNIN16.blp</v>
      </c>
      <c r="N142" s="154" t="s">
        <v>83</v>
      </c>
      <c r="O142" s="136" t="s">
        <v>99</v>
      </c>
      <c r="P142" s="27">
        <v>0</v>
      </c>
      <c r="Q142" s="27">
        <v>0</v>
      </c>
      <c r="R142" s="154" t="s">
        <v>83</v>
      </c>
      <c r="S142" s="154" t="s">
        <v>83</v>
      </c>
      <c r="T142" s="154" t="s">
        <v>83</v>
      </c>
      <c r="U142" s="154" t="s">
        <v>83</v>
      </c>
      <c r="V142" s="27"/>
      <c r="W142" s="27" t="s">
        <v>93</v>
      </c>
      <c r="X142" s="27">
        <v>0</v>
      </c>
      <c r="Y142" s="154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4" t="s">
        <v>83</v>
      </c>
      <c r="AF142" s="154" t="s">
        <v>83</v>
      </c>
      <c r="AG142" s="154" t="s">
        <v>83</v>
      </c>
      <c r="AH142" s="154" t="s">
        <v>83</v>
      </c>
      <c r="AI142" s="27"/>
      <c r="AJ142" s="27"/>
      <c r="AK142" s="27">
        <v>1</v>
      </c>
      <c r="AL142" s="27">
        <v>1</v>
      </c>
      <c r="AM142" s="154" t="s">
        <v>83</v>
      </c>
      <c r="AN142" s="27">
        <v>1</v>
      </c>
      <c r="AO142" s="27">
        <v>1</v>
      </c>
      <c r="AP142" s="27">
        <v>1</v>
      </c>
    </row>
    <row r="143" spans="1:42">
      <c r="A143" s="133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鼠年大吉</v>
      </c>
      <c r="I143" s="27" t="str">
        <f>VLOOKUP(B143,物品!B:CV,99,FALSE)</f>
        <v>|CffFFD24D30|r秒内杀敌金币|Cffffd24d+10|r</v>
      </c>
      <c r="J143" s="135" t="str">
        <f t="shared" si="54"/>
        <v>鼠年大吉</v>
      </c>
      <c r="K143" s="135" t="str">
        <f t="shared" si="55"/>
        <v>|CffFFD24D30|r秒内杀敌金币|Cffffd24d+10|r</v>
      </c>
      <c r="L143" s="27"/>
      <c r="M143" s="136" t="str">
        <f>VLOOKUP(LEFT(RIGHT(B143,5),4),物品!B:CU,20,FALSE)</f>
        <v>ReplaceableTextures\\CommandButtons\\BTNIN20.blp</v>
      </c>
      <c r="N143" s="154" t="s">
        <v>83</v>
      </c>
      <c r="O143" s="136" t="s">
        <v>94</v>
      </c>
      <c r="P143" s="27">
        <v>0</v>
      </c>
      <c r="Q143" s="27">
        <v>0</v>
      </c>
      <c r="R143" s="154" t="s">
        <v>83</v>
      </c>
      <c r="S143" s="154" t="s">
        <v>83</v>
      </c>
      <c r="T143" s="154" t="s">
        <v>83</v>
      </c>
      <c r="U143" s="154" t="s">
        <v>83</v>
      </c>
      <c r="V143" s="27"/>
      <c r="W143" s="27" t="s">
        <v>93</v>
      </c>
      <c r="X143" s="27">
        <v>0</v>
      </c>
      <c r="Y143" s="15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4" t="s">
        <v>83</v>
      </c>
      <c r="AF143" s="154" t="s">
        <v>83</v>
      </c>
      <c r="AG143" s="154" t="s">
        <v>83</v>
      </c>
      <c r="AH143" s="154" t="s">
        <v>83</v>
      </c>
      <c r="AI143" s="27"/>
      <c r="AJ143" s="27"/>
      <c r="AK143" s="27">
        <v>1</v>
      </c>
      <c r="AL143" s="27">
        <v>1</v>
      </c>
      <c r="AM143" s="154" t="s">
        <v>83</v>
      </c>
      <c r="AN143" s="27">
        <v>1</v>
      </c>
      <c r="AO143" s="27">
        <v>1</v>
      </c>
      <c r="AP143" s="27">
        <v>1</v>
      </c>
    </row>
    <row r="144" spans="1:42">
      <c r="A144" s="133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兄弟们拼了</v>
      </c>
      <c r="I144" s="27" t="str">
        <f>VLOOKUP(B144,物品!B:CV,99,FALSE)</f>
        <v>全体队友|Cffffd24d10|r秒内提高|Cffffd24d30%|r生命恢复，|Cffffd24d物理及法术伤害提高50%|r。|n|Cff00ff7f效果结束时，所有队友当前生命值降低至20%|r|r</v>
      </c>
      <c r="J144" s="135" t="str">
        <f t="shared" si="54"/>
        <v>兄弟们拼了</v>
      </c>
      <c r="K144" s="135" t="str">
        <f t="shared" si="55"/>
        <v>全体队友|Cffffd24d10|r秒内提高|Cffffd24d30%|r生命恢复，|Cffffd24d物理及法术伤害提高50%|r。|n|Cff00ff7f效果结束时，所有队友当前生命值降低至20%|r|r</v>
      </c>
      <c r="L144" s="27"/>
      <c r="M144" s="136" t="str">
        <f>VLOOKUP(LEFT(RIGHT(B144,5),4),物品!B:CU,20,FALSE)</f>
        <v>ReplaceableTextures\\CommandButtons\\BTNIN21.blp</v>
      </c>
      <c r="N144" s="154" t="s">
        <v>83</v>
      </c>
      <c r="O144" s="136" t="s">
        <v>94</v>
      </c>
      <c r="P144" s="27">
        <v>0</v>
      </c>
      <c r="Q144" s="27">
        <v>0</v>
      </c>
      <c r="R144" s="154" t="s">
        <v>83</v>
      </c>
      <c r="S144" s="154" t="s">
        <v>83</v>
      </c>
      <c r="T144" s="154" t="s">
        <v>83</v>
      </c>
      <c r="U144" s="154" t="s">
        <v>83</v>
      </c>
      <c r="V144" s="27"/>
      <c r="W144" s="27" t="s">
        <v>93</v>
      </c>
      <c r="X144" s="27">
        <v>0</v>
      </c>
      <c r="Y144" s="154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4" t="s">
        <v>83</v>
      </c>
      <c r="AF144" s="154" t="s">
        <v>83</v>
      </c>
      <c r="AG144" s="154" t="s">
        <v>83</v>
      </c>
      <c r="AH144" s="154" t="s">
        <v>83</v>
      </c>
      <c r="AI144" s="27"/>
      <c r="AJ144" s="27"/>
      <c r="AK144" s="27">
        <v>1</v>
      </c>
      <c r="AL144" s="27">
        <v>1</v>
      </c>
      <c r="AM144" s="154" t="s">
        <v>83</v>
      </c>
      <c r="AN144" s="27">
        <v>1</v>
      </c>
      <c r="AO144" s="27">
        <v>1</v>
      </c>
      <c r="AP144" s="27">
        <v>1</v>
      </c>
    </row>
    <row r="145" spans="1:42">
      <c r="A145" s="133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老铁忍住啊</v>
      </c>
      <c r="I145" s="27" t="str">
        <f>VLOOKUP(B145,物品!B:CV,99,FALSE)</f>
        <v>使用后|Cffffd24d5|r分钟内|Cffffd24d不使用任何主动技能/药水|r，获得|Cffffd24d1|r个|Cffff0000附魔宝箱|r</v>
      </c>
      <c r="J145" s="135" t="str">
        <f t="shared" si="54"/>
        <v>老铁忍住啊</v>
      </c>
      <c r="K145" s="135" t="str">
        <f t="shared" si="55"/>
        <v>使用后|Cffffd24d5|r分钟内|Cffffd24d不使用任何主动技能/药水|r，获得|Cffffd24d1|r个|Cffff0000附魔宝箱|r</v>
      </c>
      <c r="L145" s="27"/>
      <c r="M145" s="136" t="str">
        <f>VLOOKUP(LEFT(RIGHT(B145,5),4),物品!B:CU,20,FALSE)</f>
        <v>ReplaceableTextures\\CommandButtons\\BTNIN22.blp</v>
      </c>
      <c r="N145" s="154" t="s">
        <v>83</v>
      </c>
      <c r="O145" s="136" t="s">
        <v>94</v>
      </c>
      <c r="P145" s="27">
        <v>0</v>
      </c>
      <c r="Q145" s="27">
        <v>0</v>
      </c>
      <c r="R145" s="154" t="s">
        <v>83</v>
      </c>
      <c r="S145" s="154" t="s">
        <v>83</v>
      </c>
      <c r="T145" s="154" t="s">
        <v>83</v>
      </c>
      <c r="U145" s="154" t="s">
        <v>83</v>
      </c>
      <c r="V145" s="27"/>
      <c r="W145" s="27" t="s">
        <v>93</v>
      </c>
      <c r="X145" s="27">
        <v>0</v>
      </c>
      <c r="Y145" s="154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4" t="s">
        <v>83</v>
      </c>
      <c r="AF145" s="154" t="s">
        <v>83</v>
      </c>
      <c r="AG145" s="154" t="s">
        <v>83</v>
      </c>
      <c r="AH145" s="154" t="s">
        <v>83</v>
      </c>
      <c r="AI145" s="27"/>
      <c r="AJ145" s="27"/>
      <c r="AK145" s="27">
        <v>1</v>
      </c>
      <c r="AL145" s="27">
        <v>1</v>
      </c>
      <c r="AM145" s="154" t="s">
        <v>83</v>
      </c>
      <c r="AN145" s="27">
        <v>1</v>
      </c>
      <c r="AO145" s="27">
        <v>1</v>
      </c>
      <c r="AP145" s="27">
        <v>1</v>
      </c>
    </row>
    <row r="146" spans="1:42">
      <c r="A146" s="133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老铁忍住呀</v>
      </c>
      <c r="I146" s="27" t="str">
        <f>VLOOKUP(B146,物品!B:CV,99,FALSE)</f>
        <v>使用后|Cffffd24d5|r分钟内|Cffffd24d不进行任何挑战|r，获得|Cffffd24d1|r个|Cffff0000附魔宝箱|r</v>
      </c>
      <c r="J146" s="135" t="str">
        <f t="shared" si="54"/>
        <v>老铁忍住呀</v>
      </c>
      <c r="K146" s="135" t="str">
        <f t="shared" si="55"/>
        <v>使用后|Cffffd24d5|r分钟内|Cffffd24d不进行任何挑战|r，获得|Cffffd24d1|r个|Cffff0000附魔宝箱|r</v>
      </c>
      <c r="L146" s="27"/>
      <c r="M146" s="136" t="str">
        <f>VLOOKUP(LEFT(RIGHT(B146,5),4),物品!B:CU,20,FALSE)</f>
        <v>ReplaceableTextures\\CommandButtons\\BTNIN23.blp</v>
      </c>
      <c r="N146" s="154" t="s">
        <v>83</v>
      </c>
      <c r="O146" s="136" t="s">
        <v>94</v>
      </c>
      <c r="P146" s="27">
        <v>0</v>
      </c>
      <c r="Q146" s="27">
        <v>0</v>
      </c>
      <c r="R146" s="154" t="s">
        <v>83</v>
      </c>
      <c r="S146" s="154" t="s">
        <v>83</v>
      </c>
      <c r="T146" s="154" t="s">
        <v>83</v>
      </c>
      <c r="U146" s="154" t="s">
        <v>83</v>
      </c>
      <c r="V146" s="27"/>
      <c r="W146" s="27" t="s">
        <v>93</v>
      </c>
      <c r="X146" s="27">
        <v>0</v>
      </c>
      <c r="Y146" s="154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4" t="s">
        <v>83</v>
      </c>
      <c r="AF146" s="154" t="s">
        <v>83</v>
      </c>
      <c r="AG146" s="154" t="s">
        <v>83</v>
      </c>
      <c r="AH146" s="154" t="s">
        <v>83</v>
      </c>
      <c r="AI146" s="27"/>
      <c r="AJ146" s="27"/>
      <c r="AK146" s="27">
        <v>1</v>
      </c>
      <c r="AL146" s="27">
        <v>1</v>
      </c>
      <c r="AM146" s="154" t="s">
        <v>83</v>
      </c>
      <c r="AN146" s="27">
        <v>1</v>
      </c>
      <c r="AO146" s="27">
        <v>1</v>
      </c>
      <c r="AP146" s="27">
        <v>1</v>
      </c>
    </row>
    <row r="147" spans="1:42">
      <c r="A147" s="133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跳不动了</v>
      </c>
      <c r="I147" s="27" t="str">
        <f>VLOOKUP(B147,物品!B:CV,99,FALSE)</f>
        <v>使用后|Cffffd24d5|r分钟内|Cffffd24d不使用轻功|r，获得|Cffffd24d1|r个|Cffff0000附魔宝箱|r</v>
      </c>
      <c r="J147" s="135" t="str">
        <f t="shared" si="54"/>
        <v>跳不动了</v>
      </c>
      <c r="K147" s="135" t="str">
        <f t="shared" si="55"/>
        <v>使用后|Cffffd24d5|r分钟内|Cffffd24d不使用轻功|r，获得|Cffffd24d1|r个|Cffff0000附魔宝箱|r</v>
      </c>
      <c r="L147" s="27"/>
      <c r="M147" s="136" t="str">
        <f>VLOOKUP(LEFT(RIGHT(B147,5),4),物品!B:CU,20,FALSE)</f>
        <v>ReplaceableTextures\\CommandButtons\\BTNIN24.blp</v>
      </c>
      <c r="N147" s="154" t="s">
        <v>83</v>
      </c>
      <c r="O147" s="136" t="s">
        <v>94</v>
      </c>
      <c r="P147" s="27">
        <v>0</v>
      </c>
      <c r="Q147" s="27">
        <v>0</v>
      </c>
      <c r="R147" s="154" t="s">
        <v>83</v>
      </c>
      <c r="S147" s="154" t="s">
        <v>83</v>
      </c>
      <c r="T147" s="154" t="s">
        <v>83</v>
      </c>
      <c r="U147" s="154" t="s">
        <v>83</v>
      </c>
      <c r="V147" s="27"/>
      <c r="W147" s="27" t="s">
        <v>93</v>
      </c>
      <c r="X147" s="27">
        <v>0</v>
      </c>
      <c r="Y147" s="154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4" t="s">
        <v>83</v>
      </c>
      <c r="AF147" s="154" t="s">
        <v>83</v>
      </c>
      <c r="AG147" s="154" t="s">
        <v>83</v>
      </c>
      <c r="AH147" s="154" t="s">
        <v>83</v>
      </c>
      <c r="AI147" s="27"/>
      <c r="AJ147" s="27"/>
      <c r="AK147" s="27">
        <v>1</v>
      </c>
      <c r="AL147" s="27">
        <v>1</v>
      </c>
      <c r="AM147" s="154" t="s">
        <v>83</v>
      </c>
      <c r="AN147" s="27">
        <v>1</v>
      </c>
      <c r="AO147" s="27">
        <v>1</v>
      </c>
      <c r="AP147" s="27">
        <v>1</v>
      </c>
    </row>
    <row r="148" spans="1:42">
      <c r="A148" s="133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35" t="str">
        <f t="shared" si="54"/>
        <v>|Cff00BFFF入门道果箱|r</v>
      </c>
      <c r="K148" s="135" t="str">
        <f t="shared" si="55"/>
        <v>打开后有几率获得以下奖励：|n【随机品质】中级道果|n|Cff00ff7f【随机品质】高级道果|r</v>
      </c>
      <c r="L148" s="27"/>
      <c r="M148" s="136" t="str">
        <f>VLOOKUP(LEFT(RIGHT(B148,5),4),物品!B:CU,20,FALSE)</f>
        <v>ReplaceableTextures\\CommandButtons\\BTNAM20.blp</v>
      </c>
      <c r="N148" s="154" t="s">
        <v>83</v>
      </c>
      <c r="O148" s="10" t="s">
        <v>100</v>
      </c>
      <c r="P148" s="27">
        <v>0</v>
      </c>
      <c r="Q148" s="27">
        <v>0</v>
      </c>
      <c r="R148" s="154" t="s">
        <v>83</v>
      </c>
      <c r="S148" s="154" t="s">
        <v>83</v>
      </c>
      <c r="T148" s="154" t="s">
        <v>83</v>
      </c>
      <c r="U148" s="154" t="s">
        <v>83</v>
      </c>
      <c r="V148" s="27"/>
      <c r="W148" s="27" t="s">
        <v>93</v>
      </c>
      <c r="X148" s="27">
        <v>0</v>
      </c>
      <c r="Y148" s="154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4" t="s">
        <v>83</v>
      </c>
      <c r="AF148" s="154" t="s">
        <v>83</v>
      </c>
      <c r="AG148" s="154" t="s">
        <v>83</v>
      </c>
      <c r="AH148" s="154" t="s">
        <v>83</v>
      </c>
      <c r="AI148" s="27"/>
      <c r="AJ148" s="27"/>
      <c r="AK148" s="27">
        <v>1</v>
      </c>
      <c r="AL148" s="27">
        <v>1</v>
      </c>
      <c r="AM148" s="154" t="s">
        <v>83</v>
      </c>
      <c r="AN148" s="27">
        <v>1</v>
      </c>
      <c r="AO148" s="27">
        <v>1</v>
      </c>
      <c r="AP148" s="27">
        <v>1</v>
      </c>
    </row>
    <row r="149" spans="1:42">
      <c r="A149" s="133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35" t="str">
        <f t="shared" si="54"/>
        <v>|CffFFD24D后天道果箱|r</v>
      </c>
      <c r="K149" s="135" t="str">
        <f t="shared" si="55"/>
        <v>打开后有几率获得以下奖励：|n|Cff00ff7f【随机品质】黄级道果|r|n|Cff00bfff【随机品质】玄级道果|n【随机品质】地级道果|r</v>
      </c>
      <c r="L149" s="27"/>
      <c r="M149" s="136" t="str">
        <f>VLOOKUP(LEFT(RIGHT(B149,5),4),物品!B:CU,20,FALSE)</f>
        <v>ReplaceableTextures\\CommandButtons\\BTNAM21.blp</v>
      </c>
      <c r="N149" s="154" t="s">
        <v>83</v>
      </c>
      <c r="O149" s="10" t="s">
        <v>101</v>
      </c>
      <c r="P149" s="27">
        <v>0</v>
      </c>
      <c r="Q149" s="27">
        <v>0</v>
      </c>
      <c r="R149" s="154" t="s">
        <v>83</v>
      </c>
      <c r="S149" s="154" t="s">
        <v>83</v>
      </c>
      <c r="T149" s="154" t="s">
        <v>83</v>
      </c>
      <c r="U149" s="154" t="s">
        <v>83</v>
      </c>
      <c r="V149" s="27"/>
      <c r="W149" s="27" t="s">
        <v>93</v>
      </c>
      <c r="X149" s="27">
        <v>0</v>
      </c>
      <c r="Y149" s="154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4" t="s">
        <v>83</v>
      </c>
      <c r="AF149" s="154" t="s">
        <v>83</v>
      </c>
      <c r="AG149" s="154" t="s">
        <v>83</v>
      </c>
      <c r="AH149" s="154" t="s">
        <v>83</v>
      </c>
      <c r="AI149" s="27"/>
      <c r="AJ149" s="27"/>
      <c r="AK149" s="27">
        <v>1</v>
      </c>
      <c r="AL149" s="27">
        <v>1</v>
      </c>
      <c r="AM149" s="154" t="s">
        <v>83</v>
      </c>
      <c r="AN149" s="27">
        <v>1</v>
      </c>
      <c r="AO149" s="27">
        <v>1</v>
      </c>
      <c r="AP149" s="27">
        <v>1</v>
      </c>
    </row>
    <row r="150" spans="1:42">
      <c r="A150" s="133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35" t="str">
        <f t="shared" si="54"/>
        <v>|CffFF0000先天道果箱|r</v>
      </c>
      <c r="K150" s="135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36" t="str">
        <f>VLOOKUP(LEFT(RIGHT(B150,5),4),物品!B:CU,20,FALSE)</f>
        <v>ReplaceableTextures\\CommandButtons\\BTNAM22.blp</v>
      </c>
      <c r="N150" s="154" t="s">
        <v>83</v>
      </c>
      <c r="O150" s="136" t="s">
        <v>102</v>
      </c>
      <c r="P150" s="27">
        <v>0</v>
      </c>
      <c r="Q150" s="27">
        <v>0</v>
      </c>
      <c r="R150" s="154" t="s">
        <v>83</v>
      </c>
      <c r="S150" s="154" t="s">
        <v>83</v>
      </c>
      <c r="T150" s="154" t="s">
        <v>83</v>
      </c>
      <c r="U150" s="154" t="s">
        <v>83</v>
      </c>
      <c r="V150" s="27"/>
      <c r="W150" s="27" t="s">
        <v>93</v>
      </c>
      <c r="X150" s="27">
        <v>0</v>
      </c>
      <c r="Y150" s="154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4" t="s">
        <v>83</v>
      </c>
      <c r="AF150" s="154" t="s">
        <v>83</v>
      </c>
      <c r="AG150" s="154" t="s">
        <v>83</v>
      </c>
      <c r="AH150" s="154" t="s">
        <v>83</v>
      </c>
      <c r="AI150" s="27"/>
      <c r="AJ150" s="27"/>
      <c r="AK150" s="27">
        <v>1</v>
      </c>
      <c r="AL150" s="27">
        <v>1</v>
      </c>
      <c r="AM150" s="154" t="s">
        <v>83</v>
      </c>
      <c r="AN150" s="27">
        <v>1</v>
      </c>
      <c r="AO150" s="27">
        <v>1</v>
      </c>
      <c r="AP150" s="27">
        <v>1</v>
      </c>
    </row>
    <row r="151" spans="1:42">
      <c r="A151" s="133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5" t="str">
        <f t="shared" ref="J151:J152" si="56">H151</f>
        <v>|CffFFD24D技能宝箱|r</v>
      </c>
      <c r="K151" s="135" t="str">
        <f t="shared" ref="K151:K152" si="57">I151</f>
        <v>使用后获得|Cffffc926随机类型技能升阶石|r</v>
      </c>
      <c r="L151" s="27"/>
      <c r="M151" s="136" t="str">
        <f>VLOOKUP(LEFT(RIGHT(B151,5),4),物品!B:CU,20,FALSE)</f>
        <v>ReplaceableTextures\\CommandButtons\\BTNAM23.blp</v>
      </c>
      <c r="N151" s="154" t="s">
        <v>83</v>
      </c>
      <c r="O151" s="10" t="s">
        <v>101</v>
      </c>
      <c r="P151" s="27">
        <v>0</v>
      </c>
      <c r="Q151" s="27">
        <v>0</v>
      </c>
      <c r="R151" s="154" t="s">
        <v>83</v>
      </c>
      <c r="S151" s="154" t="s">
        <v>83</v>
      </c>
      <c r="T151" s="154" t="s">
        <v>83</v>
      </c>
      <c r="U151" s="154" t="s">
        <v>83</v>
      </c>
      <c r="V151" s="27"/>
      <c r="W151" s="27" t="s">
        <v>93</v>
      </c>
      <c r="X151" s="27">
        <v>0</v>
      </c>
      <c r="Y151" s="154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4" t="s">
        <v>83</v>
      </c>
      <c r="AF151" s="154" t="s">
        <v>83</v>
      </c>
      <c r="AG151" s="154" t="s">
        <v>83</v>
      </c>
      <c r="AH151" s="154" t="s">
        <v>83</v>
      </c>
      <c r="AI151" s="27"/>
      <c r="AJ151" s="27"/>
      <c r="AK151" s="27">
        <v>1</v>
      </c>
      <c r="AL151" s="27">
        <v>1</v>
      </c>
      <c r="AM151" s="154" t="s">
        <v>83</v>
      </c>
      <c r="AN151" s="27">
        <v>1</v>
      </c>
      <c r="AO151" s="27">
        <v>1</v>
      </c>
      <c r="AP151" s="27">
        <v>1</v>
      </c>
    </row>
    <row r="152" spans="1:42">
      <c r="A152" s="133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35" t="str">
        <f t="shared" si="56"/>
        <v>|CffFFD24D附魔宝箱|r</v>
      </c>
      <c r="K152" s="135" t="str">
        <f t="shared" si="57"/>
        <v>使用后获得|Cffffc926随机类型技能附魔石|r</v>
      </c>
      <c r="L152" s="27"/>
      <c r="M152" s="136" t="str">
        <f>VLOOKUP(LEFT(RIGHT(B152,5),4),物品!B:CU,20,FALSE)</f>
        <v>ReplaceableTextures\\CommandButtons\\BTNAM24.blp</v>
      </c>
      <c r="N152" s="154" t="s">
        <v>83</v>
      </c>
      <c r="O152" s="10" t="s">
        <v>101</v>
      </c>
      <c r="P152" s="27">
        <v>0</v>
      </c>
      <c r="Q152" s="27">
        <v>0</v>
      </c>
      <c r="R152" s="154" t="s">
        <v>83</v>
      </c>
      <c r="S152" s="154" t="s">
        <v>83</v>
      </c>
      <c r="T152" s="154" t="s">
        <v>83</v>
      </c>
      <c r="U152" s="154" t="s">
        <v>83</v>
      </c>
      <c r="V152" s="27"/>
      <c r="W152" s="27" t="s">
        <v>93</v>
      </c>
      <c r="X152" s="27">
        <v>0</v>
      </c>
      <c r="Y152" s="154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4" t="s">
        <v>83</v>
      </c>
      <c r="AF152" s="154" t="s">
        <v>83</v>
      </c>
      <c r="AG152" s="154" t="s">
        <v>83</v>
      </c>
      <c r="AH152" s="154" t="s">
        <v>83</v>
      </c>
      <c r="AI152" s="27"/>
      <c r="AJ152" s="27"/>
      <c r="AK152" s="27">
        <v>1</v>
      </c>
      <c r="AL152" s="27">
        <v>1</v>
      </c>
      <c r="AM152" s="154" t="s">
        <v>83</v>
      </c>
      <c r="AN152" s="27">
        <v>1</v>
      </c>
      <c r="AO152" s="27">
        <v>1</v>
      </c>
      <c r="AP152" s="27">
        <v>1</v>
      </c>
    </row>
    <row r="153" spans="1:42">
      <c r="A153" s="133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35" t="str">
        <f t="shared" ref="J153:J154" si="58">H153</f>
        <v>|Cff00FF7F幸运星盒|r</v>
      </c>
      <c r="K153" s="135" t="str">
        <f t="shared" ref="K153:K154" si="59">I153</f>
        <v>开启后获得|Cff00bfff随机奖励|r。</v>
      </c>
      <c r="L153" s="27"/>
      <c r="M153" s="136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54" t="s">
        <v>83</v>
      </c>
      <c r="S153" s="154" t="s">
        <v>83</v>
      </c>
      <c r="T153" s="154" t="s">
        <v>83</v>
      </c>
      <c r="U153" s="154" t="s">
        <v>83</v>
      </c>
      <c r="V153" s="27"/>
      <c r="W153" s="27" t="s">
        <v>93</v>
      </c>
      <c r="X153" s="27">
        <v>0</v>
      </c>
      <c r="Y153" s="154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4" t="s">
        <v>83</v>
      </c>
      <c r="AF153" s="154" t="s">
        <v>83</v>
      </c>
      <c r="AG153" s="154" t="s">
        <v>83</v>
      </c>
      <c r="AH153" s="154" t="s">
        <v>83</v>
      </c>
      <c r="AI153" s="27"/>
      <c r="AJ153" s="27"/>
      <c r="AK153" s="27">
        <v>1</v>
      </c>
      <c r="AL153" s="27">
        <v>1</v>
      </c>
      <c r="AM153" s="154" t="s">
        <v>83</v>
      </c>
      <c r="AN153" s="27">
        <v>1</v>
      </c>
      <c r="AO153" s="27">
        <v>1</v>
      </c>
      <c r="AP153" s="27">
        <v>1</v>
      </c>
    </row>
    <row r="154" spans="1:42">
      <c r="A154" s="133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35" t="str">
        <f t="shared" si="58"/>
        <v>|CffFFD24D炽星魔盒|r</v>
      </c>
      <c r="K154" s="135" t="str">
        <f t="shared" si="59"/>
        <v>开启后获得|Cffffd24d随机奖励|r。</v>
      </c>
      <c r="L154" s="27"/>
      <c r="M154" s="136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54" t="s">
        <v>83</v>
      </c>
      <c r="S154" s="154" t="s">
        <v>83</v>
      </c>
      <c r="T154" s="154" t="s">
        <v>83</v>
      </c>
      <c r="U154" s="154" t="s">
        <v>83</v>
      </c>
      <c r="V154" s="27"/>
      <c r="W154" s="27" t="s">
        <v>93</v>
      </c>
      <c r="X154" s="27">
        <v>0</v>
      </c>
      <c r="Y154" s="154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4" t="s">
        <v>83</v>
      </c>
      <c r="AF154" s="154" t="s">
        <v>83</v>
      </c>
      <c r="AG154" s="154" t="s">
        <v>83</v>
      </c>
      <c r="AH154" s="154" t="s">
        <v>83</v>
      </c>
      <c r="AI154" s="27"/>
      <c r="AJ154" s="27"/>
      <c r="AK154" s="27">
        <v>1</v>
      </c>
      <c r="AL154" s="27">
        <v>1</v>
      </c>
      <c r="AM154" s="154" t="s">
        <v>83</v>
      </c>
      <c r="AN154" s="27">
        <v>1</v>
      </c>
      <c r="AO154" s="27">
        <v>1</v>
      </c>
      <c r="AP154" s="27">
        <v>1</v>
      </c>
    </row>
    <row r="155" spans="1:42">
      <c r="A155" s="133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35" t="str">
        <f t="shared" ref="J155" si="60">H155</f>
        <v>|CffFFD24D技能宝箱|r</v>
      </c>
      <c r="K155" s="135" t="str">
        <f t="shared" ref="K155" si="61">I155</f>
        <v>使用后获得|Cffffc926随机类型技能升阶石|r</v>
      </c>
      <c r="L155" s="27"/>
      <c r="M155" s="136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54" t="s">
        <v>83</v>
      </c>
      <c r="S155" s="154" t="s">
        <v>83</v>
      </c>
      <c r="T155" s="154" t="s">
        <v>83</v>
      </c>
      <c r="U155" s="154" t="s">
        <v>83</v>
      </c>
      <c r="V155" s="27"/>
      <c r="W155" s="27" t="s">
        <v>93</v>
      </c>
      <c r="X155" s="27">
        <v>0</v>
      </c>
      <c r="Y155" s="15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4" t="s">
        <v>83</v>
      </c>
      <c r="AF155" s="154" t="s">
        <v>83</v>
      </c>
      <c r="AG155" s="154" t="s">
        <v>83</v>
      </c>
      <c r="AH155" s="154" t="s">
        <v>83</v>
      </c>
      <c r="AI155" s="27"/>
      <c r="AJ155" s="27"/>
      <c r="AK155" s="27">
        <v>1</v>
      </c>
      <c r="AL155" s="27">
        <v>1</v>
      </c>
      <c r="AM155" s="154" t="s">
        <v>83</v>
      </c>
      <c r="AN155" s="27">
        <v>1</v>
      </c>
      <c r="AO155" s="27">
        <v>1</v>
      </c>
      <c r="AP155" s="27">
        <v>1</v>
      </c>
    </row>
    <row r="156" spans="1:42">
      <c r="A156" s="133"/>
      <c r="B156" s="27" t="str">
        <f>物品!B156</f>
        <v>IP01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|CffFF0000时渊入场券|r</v>
      </c>
      <c r="I156" s="27" t="str">
        <f>VLOOKUP(B156,物品!B:CV,99,FALSE)</f>
        <v>每次|Cffffd24d完成|r时渊副本将消耗|Cffffd24d1|r个|Cffffd24d时渊入场券|r</v>
      </c>
      <c r="J156" s="135" t="str">
        <f t="shared" ref="J156" si="62">H156</f>
        <v>|CffFF0000时渊入场券|r</v>
      </c>
      <c r="K156" s="135" t="str">
        <f t="shared" ref="K156" si="63">I156</f>
        <v>每次|Cffffd24d完成|r时渊副本将消耗|Cffffd24d1|r个|Cffffd24d时渊入场券|r</v>
      </c>
      <c r="L156" s="27"/>
      <c r="M156" s="136" t="str">
        <f>VLOOKUP(LEFT(RIGHT(B156,5),4),物品!B:CU,20,FALSE)</f>
        <v>ReplaceableTextures\\CommandButtons\\BTNIP01.blp</v>
      </c>
      <c r="N156" s="154" t="s">
        <v>83</v>
      </c>
      <c r="O156" s="136" t="s">
        <v>95</v>
      </c>
      <c r="P156" s="27">
        <v>0</v>
      </c>
      <c r="Q156" s="27">
        <v>0</v>
      </c>
      <c r="R156" s="154" t="s">
        <v>83</v>
      </c>
      <c r="S156" s="154" t="s">
        <v>83</v>
      </c>
      <c r="T156" s="154" t="s">
        <v>83</v>
      </c>
      <c r="U156" s="154" t="s">
        <v>83</v>
      </c>
      <c r="V156" s="27"/>
      <c r="W156" s="27" t="s">
        <v>88</v>
      </c>
      <c r="X156" s="27">
        <v>0</v>
      </c>
      <c r="Y156" s="154" t="s">
        <v>83</v>
      </c>
      <c r="Z156" s="27">
        <v>0</v>
      </c>
      <c r="AA156" s="27">
        <v>0</v>
      </c>
      <c r="AB156" s="27">
        <v>50</v>
      </c>
      <c r="AC156" s="27">
        <v>1</v>
      </c>
      <c r="AD156" s="27">
        <v>1</v>
      </c>
      <c r="AE156" s="154" t="s">
        <v>83</v>
      </c>
      <c r="AF156" s="154" t="s">
        <v>83</v>
      </c>
      <c r="AG156" s="154" t="s">
        <v>83</v>
      </c>
      <c r="AH156" s="154" t="s">
        <v>83</v>
      </c>
      <c r="AI156" s="27">
        <v>1</v>
      </c>
      <c r="AJ156" s="27"/>
      <c r="AK156" s="27">
        <v>1</v>
      </c>
      <c r="AL156" s="27">
        <v>1</v>
      </c>
      <c r="AM156" s="154" t="s">
        <v>83</v>
      </c>
      <c r="AN156" s="27">
        <v>1</v>
      </c>
      <c r="AO156" s="27">
        <v>1</v>
      </c>
      <c r="AP156" s="27">
        <v>1</v>
      </c>
    </row>
    <row r="157" spans="1:42">
      <c r="A157" s="133"/>
      <c r="B157" s="27" t="str">
        <f>物品!B157</f>
        <v>IP02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|CffFFD24D补天石|r</v>
      </c>
      <c r="I157" s="27" t="str">
        <f>VLOOKUP(B157,物品!B:CV,99,FALSE)</f>
        <v>点击|Cffffc926选中指定法宝|r后，再点击|Cffffc926重铸|r，可|Cffffc926重置|r指定法宝，|Cffffc926品质不变|r。|n|n|Cff00ff7f每次重铸消耗1个补天石|r</v>
      </c>
      <c r="J157" s="135" t="str">
        <f t="shared" ref="J157:J179" si="64">H157</f>
        <v>|CffFFD24D补天石|r</v>
      </c>
      <c r="K157" s="135" t="str">
        <f t="shared" ref="K157:K179" si="65">I157</f>
        <v>点击|Cffffc926选中指定法宝|r后，再点击|Cffffc926重铸|r，可|Cffffc926重置|r指定法宝，|Cffffc926品质不变|r。|n|n|Cff00ff7f每次重铸消耗1个补天石|r</v>
      </c>
      <c r="L157" s="27"/>
      <c r="M157" s="136" t="str">
        <f>VLOOKUP(LEFT(RIGHT(B157,5),4),物品!B:CU,20,FALSE)</f>
        <v>ReplaceableTextures\\CommandButtons\\BTNIP02.blp</v>
      </c>
      <c r="N157" s="154" t="s">
        <v>83</v>
      </c>
      <c r="O157" s="136" t="s">
        <v>95</v>
      </c>
      <c r="P157" s="27">
        <v>0</v>
      </c>
      <c r="Q157" s="27">
        <v>0</v>
      </c>
      <c r="R157" s="154" t="s">
        <v>83</v>
      </c>
      <c r="S157" s="154" t="s">
        <v>83</v>
      </c>
      <c r="T157" s="154" t="s">
        <v>83</v>
      </c>
      <c r="U157" s="154" t="s">
        <v>83</v>
      </c>
      <c r="V157" s="27"/>
      <c r="W157" s="27" t="s">
        <v>88</v>
      </c>
      <c r="X157" s="27">
        <v>0</v>
      </c>
      <c r="Y157" s="154" t="s">
        <v>83</v>
      </c>
      <c r="Z157" s="27">
        <v>0</v>
      </c>
      <c r="AA157" s="27">
        <v>0</v>
      </c>
      <c r="AB157" s="27">
        <v>80</v>
      </c>
      <c r="AC157" s="27">
        <v>1</v>
      </c>
      <c r="AD157" s="27">
        <v>1</v>
      </c>
      <c r="AE157" s="154" t="s">
        <v>83</v>
      </c>
      <c r="AF157" s="154" t="s">
        <v>83</v>
      </c>
      <c r="AG157" s="154" t="s">
        <v>83</v>
      </c>
      <c r="AH157" s="154" t="s">
        <v>83</v>
      </c>
      <c r="AI157" s="27">
        <v>1</v>
      </c>
      <c r="AJ157" s="27"/>
      <c r="AK157" s="27">
        <v>1</v>
      </c>
      <c r="AL157" s="27">
        <v>1</v>
      </c>
      <c r="AM157" s="154" t="s">
        <v>83</v>
      </c>
      <c r="AN157" s="27">
        <v>1</v>
      </c>
      <c r="AO157" s="27">
        <v>1</v>
      </c>
      <c r="AP157" s="27">
        <v>1</v>
      </c>
    </row>
    <row r="158" spans="1:42">
      <c r="A158" s="133"/>
      <c r="B158" s="27" t="str">
        <f>物品!B158</f>
        <v>IP03</v>
      </c>
      <c r="C158" s="27" t="s">
        <v>41</v>
      </c>
      <c r="D158" s="27" t="s">
        <v>81</v>
      </c>
      <c r="E158" s="27"/>
      <c r="F158" s="27"/>
      <c r="G158" s="27"/>
      <c r="H158" s="27" t="str">
        <f>VLOOKUP(LEFT(RIGHT(B158,5),4),物品!B:CU,2,FALSE)</f>
        <v>|CffFF0000鸿蒙结晶|r</v>
      </c>
      <c r="I158" s="27" t="str">
        <f>VLOOKUP(B158,物品!B:CV,99,FALSE)</f>
        <v>点击|Cffffc926选中指定法宝|r后，再点击|Cffffc926锻造|r，可|Cffffc926重置|r指定法宝，|Cffffc926品质提升一级|r。|n|n|Cff00ff7f每次重铸消耗1个鸿蒙结晶|r</v>
      </c>
      <c r="J158" s="135" t="str">
        <f t="shared" si="64"/>
        <v>|CffFF0000鸿蒙结晶|r</v>
      </c>
      <c r="K158" s="135" t="str">
        <f t="shared" si="65"/>
        <v>点击|Cffffc926选中指定法宝|r后，再点击|Cffffc926锻造|r，可|Cffffc926重置|r指定法宝，|Cffffc926品质提升一级|r。|n|n|Cff00ff7f每次重铸消耗1个鸿蒙结晶|r</v>
      </c>
      <c r="L158" s="27"/>
      <c r="M158" s="136" t="str">
        <f>VLOOKUP(LEFT(RIGHT(B158,5),4),物品!B:CU,20,FALSE)</f>
        <v>ReplaceableTextures\\CommandButtons\\BTNIP03.blp</v>
      </c>
      <c r="N158" s="154" t="s">
        <v>83</v>
      </c>
      <c r="O158" s="136" t="s">
        <v>95</v>
      </c>
      <c r="P158" s="27">
        <v>0</v>
      </c>
      <c r="Q158" s="27">
        <v>0</v>
      </c>
      <c r="R158" s="154" t="s">
        <v>83</v>
      </c>
      <c r="S158" s="154" t="s">
        <v>83</v>
      </c>
      <c r="T158" s="154" t="s">
        <v>83</v>
      </c>
      <c r="U158" s="154" t="s">
        <v>83</v>
      </c>
      <c r="V158" s="27"/>
      <c r="W158" s="27" t="s">
        <v>88</v>
      </c>
      <c r="X158" s="27">
        <v>0</v>
      </c>
      <c r="Y158" s="154" t="s">
        <v>83</v>
      </c>
      <c r="Z158" s="27">
        <v>0</v>
      </c>
      <c r="AA158" s="27">
        <v>0</v>
      </c>
      <c r="AB158" s="27">
        <v>200</v>
      </c>
      <c r="AC158" s="27">
        <v>1</v>
      </c>
      <c r="AD158" s="27">
        <v>1</v>
      </c>
      <c r="AE158" s="154" t="s">
        <v>83</v>
      </c>
      <c r="AF158" s="154" t="s">
        <v>83</v>
      </c>
      <c r="AG158" s="154" t="s">
        <v>83</v>
      </c>
      <c r="AH158" s="154" t="s">
        <v>83</v>
      </c>
      <c r="AI158" s="27">
        <v>1</v>
      </c>
      <c r="AJ158" s="27"/>
      <c r="AK158" s="27">
        <v>1</v>
      </c>
      <c r="AL158" s="27">
        <v>1</v>
      </c>
      <c r="AM158" s="154" t="s">
        <v>83</v>
      </c>
      <c r="AN158" s="27">
        <v>1</v>
      </c>
      <c r="AO158" s="27">
        <v>1</v>
      </c>
      <c r="AP158" s="27">
        <v>1</v>
      </c>
    </row>
    <row r="159" spans="1:42">
      <c r="A159" s="133"/>
      <c r="B159" s="27" t="str">
        <f>物品!B159</f>
        <v>IP04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|CffFF0000神兽洗灵石|r</v>
      </c>
      <c r="I159" s="27" t="str">
        <f>VLOOKUP(B159,物品!B:CV,99,FALSE)</f>
        <v>使用后|Cffffd24d重置|r当前|Cffff0000神兽神通【R】|r|Cfff0f0f0。|r</v>
      </c>
      <c r="J159" s="135" t="str">
        <f t="shared" ref="J159:J160" si="66">H159</f>
        <v>|CffFF0000神兽洗灵石|r</v>
      </c>
      <c r="K159" s="135" t="str">
        <f t="shared" ref="K159:K160" si="67">I159</f>
        <v>使用后|Cffffd24d重置|r当前|Cffff0000神兽神通【R】|r|Cfff0f0f0。|r</v>
      </c>
      <c r="L159" s="27"/>
      <c r="M159" s="136" t="str">
        <f>VLOOKUP(LEFT(RIGHT(B159,5),4),物品!B:CU,20,FALSE)</f>
        <v>ReplaceableTextures\\CommandButtons\\BTNIN08.blp</v>
      </c>
      <c r="N159" s="154" t="s">
        <v>83</v>
      </c>
      <c r="O159" s="136" t="s">
        <v>95</v>
      </c>
      <c r="P159" s="27">
        <v>0</v>
      </c>
      <c r="Q159" s="27">
        <v>0</v>
      </c>
      <c r="R159" s="154" t="s">
        <v>83</v>
      </c>
      <c r="S159" s="154" t="s">
        <v>83</v>
      </c>
      <c r="T159" s="154" t="s">
        <v>83</v>
      </c>
      <c r="U159" s="154" t="s">
        <v>83</v>
      </c>
      <c r="V159" s="27"/>
      <c r="W159" s="27" t="s">
        <v>93</v>
      </c>
      <c r="X159" s="27">
        <v>80000</v>
      </c>
      <c r="Y159" s="154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4" t="s">
        <v>83</v>
      </c>
      <c r="AF159" s="154" t="s">
        <v>83</v>
      </c>
      <c r="AG159" s="154" t="s">
        <v>83</v>
      </c>
      <c r="AH159" s="154" t="s">
        <v>83</v>
      </c>
      <c r="AI159" s="27"/>
      <c r="AJ159" s="27"/>
      <c r="AK159" s="27">
        <v>1</v>
      </c>
      <c r="AL159" s="27">
        <v>1</v>
      </c>
      <c r="AM159" s="154" t="s">
        <v>83</v>
      </c>
      <c r="AN159" s="27">
        <v>1</v>
      </c>
      <c r="AO159" s="27">
        <v>1</v>
      </c>
      <c r="AP159" s="27">
        <v>1</v>
      </c>
    </row>
    <row r="160" spans="1:42">
      <c r="A160" s="133"/>
      <c r="B160" s="27" t="str">
        <f>物品!B160</f>
        <v>IP05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|CffFF0000虚空圣战卡|r</v>
      </c>
      <c r="I160" s="27" t="str">
        <f>VLOOKUP(B160,物品!B:CV,99,FALSE)</f>
        <v>开启|Cffffd24d结界|r，前往虚空终止|Cffff0000封神圣战|r。</v>
      </c>
      <c r="J160" s="135" t="str">
        <f t="shared" si="66"/>
        <v>|CffFF0000虚空圣战卡|r</v>
      </c>
      <c r="K160" s="135" t="str">
        <f t="shared" si="67"/>
        <v>开启|Cffffd24d结界|r，前往虚空终止|Cffff0000封神圣战|r。</v>
      </c>
      <c r="L160" s="27"/>
      <c r="M160" s="136" t="str">
        <f>VLOOKUP(LEFT(RIGHT(B160,5),4),物品!B:CU,20,FALSE)</f>
        <v>ReplaceableTextures\\CommandButtons\\BTNIP05.blp</v>
      </c>
      <c r="N160" s="154" t="s">
        <v>83</v>
      </c>
      <c r="O160" s="136" t="s">
        <v>95</v>
      </c>
      <c r="P160" s="27">
        <v>0</v>
      </c>
      <c r="Q160" s="27">
        <v>0</v>
      </c>
      <c r="R160" s="154" t="s">
        <v>83</v>
      </c>
      <c r="S160" s="154" t="s">
        <v>83</v>
      </c>
      <c r="T160" s="154" t="s">
        <v>83</v>
      </c>
      <c r="U160" s="154" t="s">
        <v>83</v>
      </c>
      <c r="V160" s="27"/>
      <c r="W160" s="27" t="s">
        <v>93</v>
      </c>
      <c r="X160" s="27">
        <v>0</v>
      </c>
      <c r="Y160" s="15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54" t="s">
        <v>83</v>
      </c>
      <c r="AF160" s="154" t="s">
        <v>83</v>
      </c>
      <c r="AG160" s="154" t="s">
        <v>83</v>
      </c>
      <c r="AH160" s="154" t="s">
        <v>83</v>
      </c>
      <c r="AI160" s="27"/>
      <c r="AJ160" s="27"/>
      <c r="AK160" s="27">
        <v>1</v>
      </c>
      <c r="AL160" s="27">
        <v>1</v>
      </c>
      <c r="AM160" s="154" t="s">
        <v>83</v>
      </c>
      <c r="AN160" s="27">
        <v>1</v>
      </c>
      <c r="AO160" s="27">
        <v>1</v>
      </c>
      <c r="AP160" s="27">
        <v>1</v>
      </c>
    </row>
    <row r="161" spans="1:42">
      <c r="A161" s="133"/>
      <c r="B161" s="27" t="str">
        <f>物品!B161</f>
        <v>IP06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|Cff00FF7F大补丸|r</v>
      </c>
      <c r="I161" s="27" t="str">
        <f>VLOOKUP(B161,物品!B:CV,99,FALSE)</f>
        <v>使用后增加|Cffffd24d100点|r境界经验。</v>
      </c>
      <c r="J161" s="135" t="str">
        <f t="shared" ref="J161:J162" si="68">H161</f>
        <v>|Cff00FF7F大补丸|r</v>
      </c>
      <c r="K161" s="135" t="str">
        <f t="shared" ref="K161:K162" si="69">I161</f>
        <v>使用后增加|Cffffd24d100点|r境界经验。</v>
      </c>
      <c r="L161" s="27"/>
      <c r="M161" s="136" t="str">
        <f>VLOOKUP(LEFT(RIGHT(B161,5),4),物品!B:CU,20,FALSE)</f>
        <v>ReplaceableTextures\\CommandButtons\\BTNAM40.blp</v>
      </c>
      <c r="N161" s="154" t="s">
        <v>83</v>
      </c>
      <c r="O161" s="136" t="s">
        <v>95</v>
      </c>
      <c r="P161" s="27">
        <v>0</v>
      </c>
      <c r="Q161" s="27">
        <v>0</v>
      </c>
      <c r="R161" s="154" t="s">
        <v>83</v>
      </c>
      <c r="S161" s="154" t="s">
        <v>83</v>
      </c>
      <c r="T161" s="154" t="s">
        <v>83</v>
      </c>
      <c r="U161" s="154" t="s">
        <v>83</v>
      </c>
      <c r="V161" s="27"/>
      <c r="W161" s="27" t="s">
        <v>93</v>
      </c>
      <c r="X161" s="27">
        <v>0</v>
      </c>
      <c r="Y161" s="15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54" t="s">
        <v>83</v>
      </c>
      <c r="AF161" s="154" t="s">
        <v>83</v>
      </c>
      <c r="AG161" s="154" t="s">
        <v>83</v>
      </c>
      <c r="AH161" s="154" t="s">
        <v>83</v>
      </c>
      <c r="AI161" s="27"/>
      <c r="AJ161" s="27"/>
      <c r="AK161" s="27">
        <v>1</v>
      </c>
      <c r="AL161" s="27">
        <v>1</v>
      </c>
      <c r="AM161" s="154" t="s">
        <v>83</v>
      </c>
      <c r="AN161" s="27">
        <v>1</v>
      </c>
      <c r="AO161" s="27">
        <v>1</v>
      </c>
      <c r="AP161" s="27">
        <v>1</v>
      </c>
    </row>
    <row r="162" spans="1:42">
      <c r="A162" s="133"/>
      <c r="B162" s="27" t="str">
        <f>物品!B162</f>
        <v>IP07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|Cff00FF7F抽奖抵用券|r</v>
      </c>
      <c r="I162" s="27" t="str">
        <f>VLOOKUP(B162,物品!B:CV,99,FALSE)</f>
        <v>可抵扣|Cffffd24d1|r次抽奖消耗</v>
      </c>
      <c r="J162" s="135" t="str">
        <f t="shared" si="68"/>
        <v>|Cff00FF7F抽奖抵用券|r</v>
      </c>
      <c r="K162" s="135" t="str">
        <f t="shared" si="69"/>
        <v>可抵扣|Cffffd24d1|r次抽奖消耗</v>
      </c>
      <c r="L162" s="27"/>
      <c r="M162" s="136" t="str">
        <f>VLOOKUP(LEFT(RIGHT(B162,5),4),物品!B:CU,20,FALSE)</f>
        <v>ReplaceableTextures\\CommandButtons\\BTNIP07.blp</v>
      </c>
      <c r="N162" s="154" t="s">
        <v>83</v>
      </c>
      <c r="O162" s="136" t="s">
        <v>95</v>
      </c>
      <c r="P162" s="27">
        <v>0</v>
      </c>
      <c r="Q162" s="27">
        <v>0</v>
      </c>
      <c r="R162" s="154" t="s">
        <v>83</v>
      </c>
      <c r="S162" s="154" t="s">
        <v>83</v>
      </c>
      <c r="T162" s="154" t="s">
        <v>83</v>
      </c>
      <c r="U162" s="154" t="s">
        <v>83</v>
      </c>
      <c r="V162" s="27"/>
      <c r="W162" s="27" t="s">
        <v>93</v>
      </c>
      <c r="X162" s="27">
        <v>0</v>
      </c>
      <c r="Y162" s="15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54" t="s">
        <v>83</v>
      </c>
      <c r="AF162" s="154" t="s">
        <v>83</v>
      </c>
      <c r="AG162" s="154" t="s">
        <v>83</v>
      </c>
      <c r="AH162" s="154" t="s">
        <v>83</v>
      </c>
      <c r="AI162" s="27"/>
      <c r="AJ162" s="27"/>
      <c r="AK162" s="27">
        <v>1</v>
      </c>
      <c r="AL162" s="27">
        <v>1</v>
      </c>
      <c r="AM162" s="154" t="s">
        <v>83</v>
      </c>
      <c r="AN162" s="27">
        <v>1</v>
      </c>
      <c r="AO162" s="27">
        <v>1</v>
      </c>
      <c r="AP162" s="27">
        <v>1</v>
      </c>
    </row>
    <row r="163" spans="1:42">
      <c r="A163" s="133"/>
      <c r="B163" s="27" t="str">
        <f>物品!B163</f>
        <v>IP08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|Cff00FF7F超级大补丸|r</v>
      </c>
      <c r="I163" s="27" t="str">
        <f>VLOOKUP(B163,物品!B:CV,99,FALSE)</f>
        <v>使用后增加|Cffffd24d300点|r境界经验。</v>
      </c>
      <c r="J163" s="135" t="str">
        <f t="shared" ref="J163:J164" si="70">H163</f>
        <v>|Cff00FF7F超级大补丸|r</v>
      </c>
      <c r="K163" s="135" t="str">
        <f t="shared" ref="K163:K164" si="71">I163</f>
        <v>使用后增加|Cffffd24d300点|r境界经验。</v>
      </c>
      <c r="L163" s="27"/>
      <c r="M163" s="136" t="str">
        <f>VLOOKUP(LEFT(RIGHT(B163,5),4),物品!B:CU,20,FALSE)</f>
        <v>ReplaceableTextures\\CommandButtons\\BTNAM41.blp</v>
      </c>
      <c r="N163" s="154" t="s">
        <v>83</v>
      </c>
      <c r="O163" s="136" t="s">
        <v>95</v>
      </c>
      <c r="P163" s="27">
        <v>0</v>
      </c>
      <c r="Q163" s="27">
        <v>0</v>
      </c>
      <c r="R163" s="154" t="s">
        <v>83</v>
      </c>
      <c r="S163" s="154" t="s">
        <v>83</v>
      </c>
      <c r="T163" s="154" t="s">
        <v>83</v>
      </c>
      <c r="U163" s="154" t="s">
        <v>83</v>
      </c>
      <c r="V163" s="27"/>
      <c r="W163" s="27" t="s">
        <v>93</v>
      </c>
      <c r="X163" s="27">
        <v>0</v>
      </c>
      <c r="Y163" s="15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54" t="s">
        <v>83</v>
      </c>
      <c r="AF163" s="154" t="s">
        <v>83</v>
      </c>
      <c r="AG163" s="154" t="s">
        <v>83</v>
      </c>
      <c r="AH163" s="154" t="s">
        <v>83</v>
      </c>
      <c r="AI163" s="27"/>
      <c r="AJ163" s="27"/>
      <c r="AK163" s="27">
        <v>1</v>
      </c>
      <c r="AL163" s="27">
        <v>1</v>
      </c>
      <c r="AM163" s="154" t="s">
        <v>83</v>
      </c>
      <c r="AN163" s="27">
        <v>1</v>
      </c>
      <c r="AO163" s="27">
        <v>1</v>
      </c>
      <c r="AP163" s="27">
        <v>1</v>
      </c>
    </row>
    <row r="164" spans="1:42">
      <c r="A164" s="133"/>
      <c r="B164" s="27" t="str">
        <f>物品!B164</f>
        <v>IP09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|Cff00FF7F特级大补丸|r</v>
      </c>
      <c r="I164" s="27" t="str">
        <f>VLOOKUP(B164,物品!B:CV,99,FALSE)</f>
        <v>使用后增加|Cffffd24d500点|r境界经验。</v>
      </c>
      <c r="J164" s="135" t="str">
        <f t="shared" si="70"/>
        <v>|Cff00FF7F特级大补丸|r</v>
      </c>
      <c r="K164" s="135" t="str">
        <f t="shared" si="71"/>
        <v>使用后增加|Cffffd24d500点|r境界经验。</v>
      </c>
      <c r="L164" s="27"/>
      <c r="M164" s="136" t="str">
        <f>VLOOKUP(LEFT(RIGHT(B164,5),4),物品!B:CU,20,FALSE)</f>
        <v>ReplaceableTextures\\CommandButtons\\BTNAM42.blp</v>
      </c>
      <c r="N164" s="154" t="s">
        <v>83</v>
      </c>
      <c r="O164" s="136" t="s">
        <v>95</v>
      </c>
      <c r="P164" s="27">
        <v>0</v>
      </c>
      <c r="Q164" s="27">
        <v>0</v>
      </c>
      <c r="R164" s="154" t="s">
        <v>83</v>
      </c>
      <c r="S164" s="154" t="s">
        <v>83</v>
      </c>
      <c r="T164" s="154" t="s">
        <v>83</v>
      </c>
      <c r="U164" s="154" t="s">
        <v>83</v>
      </c>
      <c r="V164" s="27"/>
      <c r="W164" s="27" t="s">
        <v>93</v>
      </c>
      <c r="X164" s="27">
        <v>0</v>
      </c>
      <c r="Y164" s="15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54" t="s">
        <v>83</v>
      </c>
      <c r="AF164" s="154" t="s">
        <v>83</v>
      </c>
      <c r="AG164" s="154" t="s">
        <v>83</v>
      </c>
      <c r="AH164" s="154" t="s">
        <v>83</v>
      </c>
      <c r="AI164" s="27"/>
      <c r="AJ164" s="27"/>
      <c r="AK164" s="27">
        <v>1</v>
      </c>
      <c r="AL164" s="27">
        <v>1</v>
      </c>
      <c r="AM164" s="154" t="s">
        <v>83</v>
      </c>
      <c r="AN164" s="27">
        <v>1</v>
      </c>
      <c r="AO164" s="27">
        <v>1</v>
      </c>
      <c r="AP164" s="27">
        <v>1</v>
      </c>
    </row>
    <row r="165" spans="1:42">
      <c r="A165" s="133"/>
      <c r="B165" s="27" t="str">
        <f>物品!B165</f>
        <v>IT01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噬心劫</v>
      </c>
      <c r="I165" s="27" t="str">
        <f>VLOOKUP(B165,物品!B:CV,99,FALSE)</f>
        <v>渡过该劫后可结成|CffCCCCCC低级道果|r。|n|n|CffCCCCCC低级道果：|r|n攻击+5000|n业力+4000|n生命值+100000|n生命回复+2000|n物理伤害+12%|n法术伤害+10%|n杀敌攻击+8|n杀敌业力+1|n杀敌生命+30|n</v>
      </c>
      <c r="J165" s="135" t="str">
        <f t="shared" si="64"/>
        <v>噬心劫</v>
      </c>
      <c r="K165" s="135" t="str">
        <f t="shared" si="65"/>
        <v>渡过该劫后可结成|CffCCCCCC低级道果|r。|n|n|CffCCCCCC低级道果：|r|n攻击+5000|n业力+4000|n生命值+100000|n生命回复+2000|n物理伤害+12%|n法术伤害+10%|n杀敌攻击+8|n杀敌业力+1|n杀敌生命+30|n</v>
      </c>
      <c r="L165" s="27"/>
      <c r="M165" s="136" t="str">
        <f>VLOOKUP(LEFT(RIGHT(B165,5),4),物品!B:CU,20,FALSE)</f>
        <v>ReplaceableTextures\\CommandButtons\\BTNIT01.blp</v>
      </c>
      <c r="N165" s="154" t="s">
        <v>83</v>
      </c>
      <c r="O165" s="136" t="s">
        <v>95</v>
      </c>
      <c r="P165" s="27">
        <v>0</v>
      </c>
      <c r="Q165" s="27">
        <v>0</v>
      </c>
      <c r="R165" s="154" t="s">
        <v>83</v>
      </c>
      <c r="S165" s="154" t="s">
        <v>83</v>
      </c>
      <c r="T165" s="154" t="s">
        <v>83</v>
      </c>
      <c r="U165" s="154" t="s">
        <v>83</v>
      </c>
      <c r="V165" s="27"/>
      <c r="W165" s="27" t="s">
        <v>88</v>
      </c>
      <c r="X165" s="27">
        <v>3000</v>
      </c>
      <c r="Y165" s="154" t="s">
        <v>83</v>
      </c>
      <c r="Z165" s="27">
        <v>0</v>
      </c>
      <c r="AA165" s="27">
        <v>0</v>
      </c>
      <c r="AB165" s="135">
        <v>0</v>
      </c>
      <c r="AC165" s="27">
        <v>1</v>
      </c>
      <c r="AD165" s="27">
        <v>1</v>
      </c>
      <c r="AE165" s="154" t="s">
        <v>83</v>
      </c>
      <c r="AF165" s="154" t="s">
        <v>83</v>
      </c>
      <c r="AG165" s="154" t="s">
        <v>83</v>
      </c>
      <c r="AH165" s="154" t="s">
        <v>83</v>
      </c>
      <c r="AI165" s="27">
        <v>1</v>
      </c>
      <c r="AJ165" s="27"/>
      <c r="AK165" s="27">
        <v>1</v>
      </c>
      <c r="AL165" s="27">
        <v>1</v>
      </c>
      <c r="AM165" s="154" t="s">
        <v>83</v>
      </c>
      <c r="AN165" s="27">
        <v>1</v>
      </c>
      <c r="AO165" s="27">
        <v>1</v>
      </c>
      <c r="AP165" s="27">
        <v>1</v>
      </c>
    </row>
    <row r="166" spans="1:42">
      <c r="A166" s="133"/>
      <c r="B166" s="27" t="str">
        <f>物品!B166</f>
        <v>IT02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三重轰雷劫</v>
      </c>
      <c r="I166" s="27" t="str">
        <f>VLOOKUP(B166,物品!B:CV,99,FALSE)</f>
        <v>渡过该劫后可结成|CffCCCCCC中级道果|r。|n|n|CffCCCCCC中级道果：|r|n攻击+7500|n业力+6000|n生命值+150000|n生命回复+3000|n物理伤害+12%|n法术伤害+10%|n杀敌攻击+8|n杀敌业力+1|n杀敌生命+30|n</v>
      </c>
      <c r="J166" s="135" t="str">
        <f t="shared" si="64"/>
        <v>三重轰雷劫</v>
      </c>
      <c r="K166" s="135" t="str">
        <f t="shared" si="65"/>
        <v>渡过该劫后可结成|CffCCCCCC中级道果|r。|n|n|CffCCCCCC中级道果：|r|n攻击+7500|n业力+6000|n生命值+150000|n生命回复+3000|n物理伤害+12%|n法术伤害+10%|n杀敌攻击+8|n杀敌业力+1|n杀敌生命+30|n</v>
      </c>
      <c r="L166" s="27"/>
      <c r="M166" s="136" t="str">
        <f>VLOOKUP(LEFT(RIGHT(B166,5),4),物品!B:CU,20,FALSE)</f>
        <v>ReplaceableTextures\\CommandButtons\\BTNIT02.blp</v>
      </c>
      <c r="N166" s="154" t="s">
        <v>83</v>
      </c>
      <c r="O166" s="136" t="s">
        <v>95</v>
      </c>
      <c r="P166" s="27">
        <v>1</v>
      </c>
      <c r="Q166" s="27">
        <v>0</v>
      </c>
      <c r="R166" s="154" t="s">
        <v>83</v>
      </c>
      <c r="S166" s="154" t="s">
        <v>83</v>
      </c>
      <c r="T166" s="154" t="s">
        <v>83</v>
      </c>
      <c r="U166" s="154" t="s">
        <v>83</v>
      </c>
      <c r="V166" s="27"/>
      <c r="W166" s="27" t="s">
        <v>88</v>
      </c>
      <c r="X166" s="27">
        <v>3000</v>
      </c>
      <c r="Y166" s="154" t="s">
        <v>83</v>
      </c>
      <c r="Z166" s="27">
        <v>0</v>
      </c>
      <c r="AA166" s="27">
        <v>0</v>
      </c>
      <c r="AB166" s="135">
        <v>2</v>
      </c>
      <c r="AC166" s="27">
        <v>1</v>
      </c>
      <c r="AD166" s="27">
        <v>1</v>
      </c>
      <c r="AE166" s="154" t="s">
        <v>83</v>
      </c>
      <c r="AF166" s="154" t="s">
        <v>83</v>
      </c>
      <c r="AG166" s="154" t="s">
        <v>83</v>
      </c>
      <c r="AH166" s="154" t="s">
        <v>83</v>
      </c>
      <c r="AI166" s="27">
        <v>1</v>
      </c>
      <c r="AJ166" s="27"/>
      <c r="AK166" s="27">
        <v>1</v>
      </c>
      <c r="AL166" s="27">
        <v>1</v>
      </c>
      <c r="AM166" s="154" t="s">
        <v>83</v>
      </c>
      <c r="AN166" s="27">
        <v>1</v>
      </c>
      <c r="AO166" s="27">
        <v>1</v>
      </c>
      <c r="AP166" s="27">
        <v>1</v>
      </c>
    </row>
    <row r="167" spans="1:42">
      <c r="A167" s="133"/>
      <c r="B167" s="27" t="str">
        <f>物品!B167</f>
        <v>IT03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|Cff00FF7F六重天雷劫|r</v>
      </c>
      <c r="I167" s="27" t="str">
        <f>VLOOKUP(B167,物品!B:CV,99,FALSE)</f>
        <v>渡过该劫后可结成|Cff00ff7f高级道果|r。|n|n|Cff00ff7f高级道果：|r|n攻击+12500|n业力+10000|n生命值+250000|n生命回复+5000|n物理伤害+12%|n法术伤害+10%|n杀敌攻击+8|n杀敌业力+1|n杀敌生命+30|n</v>
      </c>
      <c r="J167" s="135" t="str">
        <f t="shared" si="64"/>
        <v>|Cff00FF7F六重天雷劫|r</v>
      </c>
      <c r="K167" s="135" t="str">
        <f t="shared" si="65"/>
        <v>渡过该劫后可结成|Cff00ff7f高级道果|r。|n|n|Cff00ff7f高级道果：|r|n攻击+12500|n业力+10000|n生命值+250000|n生命回复+5000|n物理伤害+12%|n法术伤害+10%|n杀敌攻击+8|n杀敌业力+1|n杀敌生命+30|n</v>
      </c>
      <c r="L167" s="27"/>
      <c r="M167" s="136" t="str">
        <f>VLOOKUP(LEFT(RIGHT(B167,5),4),物品!B:CU,20,FALSE)</f>
        <v>ReplaceableTextures\\CommandButtons\\BTNIT03.blp</v>
      </c>
      <c r="N167" s="154" t="s">
        <v>83</v>
      </c>
      <c r="O167" s="136" t="s">
        <v>95</v>
      </c>
      <c r="P167" s="27">
        <v>2</v>
      </c>
      <c r="Q167" s="27">
        <v>0</v>
      </c>
      <c r="R167" s="154" t="s">
        <v>83</v>
      </c>
      <c r="S167" s="154" t="s">
        <v>83</v>
      </c>
      <c r="T167" s="154" t="s">
        <v>83</v>
      </c>
      <c r="U167" s="154" t="s">
        <v>83</v>
      </c>
      <c r="V167" s="27"/>
      <c r="W167" s="27" t="s">
        <v>88</v>
      </c>
      <c r="X167" s="27">
        <v>5000</v>
      </c>
      <c r="Y167" s="154" t="s">
        <v>83</v>
      </c>
      <c r="Z167" s="27">
        <v>0</v>
      </c>
      <c r="AA167" s="27">
        <v>0</v>
      </c>
      <c r="AB167" s="135">
        <v>3</v>
      </c>
      <c r="AC167" s="27">
        <v>1</v>
      </c>
      <c r="AD167" s="27">
        <v>1</v>
      </c>
      <c r="AE167" s="154" t="s">
        <v>83</v>
      </c>
      <c r="AF167" s="154" t="s">
        <v>83</v>
      </c>
      <c r="AG167" s="154" t="s">
        <v>83</v>
      </c>
      <c r="AH167" s="154" t="s">
        <v>83</v>
      </c>
      <c r="AI167" s="27">
        <v>1</v>
      </c>
      <c r="AJ167" s="27"/>
      <c r="AK167" s="27">
        <v>1</v>
      </c>
      <c r="AL167" s="27">
        <v>1</v>
      </c>
      <c r="AM167" s="154" t="s">
        <v>83</v>
      </c>
      <c r="AN167" s="27">
        <v>1</v>
      </c>
      <c r="AO167" s="27">
        <v>1</v>
      </c>
      <c r="AP167" s="27">
        <v>1</v>
      </c>
    </row>
    <row r="168" spans="1:42">
      <c r="A168" s="133"/>
      <c r="B168" s="27" t="str">
        <f>物品!B168</f>
        <v>IT04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|Cff00FF7F九重煅神劫|r</v>
      </c>
      <c r="I168" s="27" t="str">
        <f>VLOOKUP(B168,物品!B:CV,99,FALSE)</f>
        <v>渡过该劫后可结成|Cff00ff7f黄级道果|r。|n|n|Cff00ff7f黄级道果：|r|n攻击+21250|n业力+17000|n生命值+425000|n生命回复+8500|n物理伤害+18%|n法术伤害+15%|n杀敌攻击+8|n杀敌业力+1|n杀敌生命+30|n</v>
      </c>
      <c r="J168" s="135" t="str">
        <f t="shared" si="64"/>
        <v>|Cff00FF7F九重煅神劫|r</v>
      </c>
      <c r="K168" s="135" t="str">
        <f t="shared" si="65"/>
        <v>渡过该劫后可结成|Cff00ff7f黄级道果|r。|n|n|Cff00ff7f黄级道果：|r|n攻击+21250|n业力+17000|n生命值+425000|n生命回复+8500|n物理伤害+18%|n法术伤害+15%|n杀敌攻击+8|n杀敌业力+1|n杀敌生命+30|n</v>
      </c>
      <c r="L168" s="27"/>
      <c r="M168" s="136" t="str">
        <f>VLOOKUP(LEFT(RIGHT(B168,5),4),物品!B:CU,20,FALSE)</f>
        <v>ReplaceableTextures\\CommandButtons\\BTNIT04.blp</v>
      </c>
      <c r="N168" s="154" t="s">
        <v>83</v>
      </c>
      <c r="O168" s="136" t="s">
        <v>95</v>
      </c>
      <c r="P168" s="27">
        <v>3</v>
      </c>
      <c r="Q168" s="27">
        <v>0</v>
      </c>
      <c r="R168" s="154" t="s">
        <v>83</v>
      </c>
      <c r="S168" s="154" t="s">
        <v>83</v>
      </c>
      <c r="T168" s="154" t="s">
        <v>83</v>
      </c>
      <c r="U168" s="154" t="s">
        <v>83</v>
      </c>
      <c r="V168" s="27"/>
      <c r="W168" s="27" t="s">
        <v>88</v>
      </c>
      <c r="X168" s="27">
        <v>7000</v>
      </c>
      <c r="Y168" s="154" t="s">
        <v>83</v>
      </c>
      <c r="Z168" s="27">
        <v>0</v>
      </c>
      <c r="AA168" s="27">
        <v>0</v>
      </c>
      <c r="AB168" s="135">
        <v>5</v>
      </c>
      <c r="AC168" s="27">
        <v>1</v>
      </c>
      <c r="AD168" s="27">
        <v>1</v>
      </c>
      <c r="AE168" s="154" t="s">
        <v>83</v>
      </c>
      <c r="AF168" s="154" t="s">
        <v>83</v>
      </c>
      <c r="AG168" s="154" t="s">
        <v>83</v>
      </c>
      <c r="AH168" s="154" t="s">
        <v>83</v>
      </c>
      <c r="AI168" s="27">
        <v>1</v>
      </c>
      <c r="AJ168" s="27"/>
      <c r="AK168" s="27">
        <v>1</v>
      </c>
      <c r="AL168" s="27">
        <v>1</v>
      </c>
      <c r="AM168" s="154" t="s">
        <v>83</v>
      </c>
      <c r="AN168" s="27">
        <v>1</v>
      </c>
      <c r="AO168" s="27">
        <v>1</v>
      </c>
      <c r="AP168" s="27">
        <v>1</v>
      </c>
    </row>
    <row r="169" spans="1:42">
      <c r="A169" s="133"/>
      <c r="B169" s="27" t="str">
        <f>物品!B169</f>
        <v>IT05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|Cff00BFFF灭魄血煞劫|r</v>
      </c>
      <c r="I169" s="27" t="str">
        <f>VLOOKUP(B169,物品!B:CV,99,FALSE)</f>
        <v>渡过该劫后可结成|Cff00bfff玄级道果|r。|n|n|Cff00bfff玄级道果：|r|n攻击+33750|n业力+27000|n生命值+675000|n生命回复+13500|n物理伤害+18%|n法术伤害+15%|n杀敌攻击+8|n杀敌业力+1|n杀敌生命+30|n</v>
      </c>
      <c r="J169" s="135" t="str">
        <f t="shared" si="64"/>
        <v>|Cff00BFFF灭魄血煞劫|r</v>
      </c>
      <c r="K169" s="135" t="str">
        <f t="shared" si="65"/>
        <v>渡过该劫后可结成|Cff00bfff玄级道果|r。|n|n|Cff00bfff玄级道果：|r|n攻击+33750|n业力+27000|n生命值+675000|n生命回复+13500|n物理伤害+18%|n法术伤害+15%|n杀敌攻击+8|n杀敌业力+1|n杀敌生命+30|n</v>
      </c>
      <c r="L169" s="27"/>
      <c r="M169" s="136" t="str">
        <f>VLOOKUP(LEFT(RIGHT(B169,5),4),物品!B:CU,20,FALSE)</f>
        <v>ReplaceableTextures\\CommandButtons\\BTNIT05.blp</v>
      </c>
      <c r="N169" s="154" t="s">
        <v>83</v>
      </c>
      <c r="O169" s="136" t="s">
        <v>95</v>
      </c>
      <c r="P169" s="27">
        <v>0</v>
      </c>
      <c r="Q169" s="27">
        <v>1</v>
      </c>
      <c r="R169" s="154" t="s">
        <v>83</v>
      </c>
      <c r="S169" s="154" t="s">
        <v>83</v>
      </c>
      <c r="T169" s="154" t="s">
        <v>83</v>
      </c>
      <c r="U169" s="154" t="s">
        <v>83</v>
      </c>
      <c r="V169" s="27"/>
      <c r="W169" s="27" t="s">
        <v>88</v>
      </c>
      <c r="X169" s="27">
        <v>10000</v>
      </c>
      <c r="Y169" s="154" t="s">
        <v>83</v>
      </c>
      <c r="Z169" s="27">
        <v>0</v>
      </c>
      <c r="AA169" s="27">
        <v>0</v>
      </c>
      <c r="AB169" s="135">
        <v>7</v>
      </c>
      <c r="AC169" s="27">
        <v>1</v>
      </c>
      <c r="AD169" s="27">
        <v>1</v>
      </c>
      <c r="AE169" s="154" t="s">
        <v>83</v>
      </c>
      <c r="AF169" s="154" t="s">
        <v>83</v>
      </c>
      <c r="AG169" s="154" t="s">
        <v>83</v>
      </c>
      <c r="AH169" s="154" t="s">
        <v>83</v>
      </c>
      <c r="AI169" s="27">
        <v>1</v>
      </c>
      <c r="AJ169" s="27"/>
      <c r="AK169" s="27">
        <v>1</v>
      </c>
      <c r="AL169" s="27">
        <v>1</v>
      </c>
      <c r="AM169" s="154" t="s">
        <v>83</v>
      </c>
      <c r="AN169" s="27">
        <v>1</v>
      </c>
      <c r="AO169" s="27">
        <v>1</v>
      </c>
      <c r="AP169" s="27">
        <v>1</v>
      </c>
    </row>
    <row r="170" spans="1:42">
      <c r="A170" s="133"/>
      <c r="B170" s="27" t="str">
        <f>物品!B170</f>
        <v>IT06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|Cff00BFFF入微洞虚劫|r</v>
      </c>
      <c r="I170" s="27" t="str">
        <f>VLOOKUP(B170,物品!B:CV,99,FALSE)</f>
        <v>渡过该劫后可结成|Cff00bfff地级道果|r。|n|n|Cff00bfff地级道果：|r|n攻击+50000|n业力+40000|n生命值+1000000|n生命回复+20000|n物理伤害+18%|n法术伤害+15%|n杀敌攻击+8|n杀敌业力+1|n杀敌生命+30|n</v>
      </c>
      <c r="J170" s="135" t="str">
        <f t="shared" si="64"/>
        <v>|Cff00BFFF入微洞虚劫|r</v>
      </c>
      <c r="K170" s="135" t="str">
        <f t="shared" si="65"/>
        <v>渡过该劫后可结成|Cff00bfff地级道果|r。|n|n|Cff00bfff地级道果：|r|n攻击+50000|n业力+40000|n生命值+1000000|n生命回复+20000|n物理伤害+18%|n法术伤害+15%|n杀敌攻击+8|n杀敌业力+1|n杀敌生命+30|n</v>
      </c>
      <c r="L170" s="27"/>
      <c r="M170" s="136" t="str">
        <f>VLOOKUP(LEFT(RIGHT(B170,5),4),物品!B:CU,20,FALSE)</f>
        <v>ReplaceableTextures\\CommandButtons\\BTNIT06.blp</v>
      </c>
      <c r="N170" s="154" t="s">
        <v>83</v>
      </c>
      <c r="O170" s="136" t="s">
        <v>95</v>
      </c>
      <c r="P170" s="27">
        <v>1</v>
      </c>
      <c r="Q170" s="27">
        <v>1</v>
      </c>
      <c r="R170" s="154" t="s">
        <v>83</v>
      </c>
      <c r="S170" s="154" t="s">
        <v>83</v>
      </c>
      <c r="T170" s="154" t="s">
        <v>83</v>
      </c>
      <c r="U170" s="154" t="s">
        <v>83</v>
      </c>
      <c r="V170" s="27"/>
      <c r="W170" s="27" t="s">
        <v>88</v>
      </c>
      <c r="X170" s="27">
        <v>15000</v>
      </c>
      <c r="Y170" s="154" t="s">
        <v>83</v>
      </c>
      <c r="Z170" s="27">
        <v>0</v>
      </c>
      <c r="AA170" s="27">
        <v>0</v>
      </c>
      <c r="AB170" s="135">
        <v>10</v>
      </c>
      <c r="AC170" s="27">
        <v>1</v>
      </c>
      <c r="AD170" s="27">
        <v>1</v>
      </c>
      <c r="AE170" s="154" t="s">
        <v>83</v>
      </c>
      <c r="AF170" s="154" t="s">
        <v>83</v>
      </c>
      <c r="AG170" s="154" t="s">
        <v>83</v>
      </c>
      <c r="AH170" s="154" t="s">
        <v>83</v>
      </c>
      <c r="AI170" s="27">
        <v>1</v>
      </c>
      <c r="AJ170" s="27"/>
      <c r="AK170" s="27">
        <v>1</v>
      </c>
      <c r="AL170" s="27">
        <v>1</v>
      </c>
      <c r="AM170" s="154" t="s">
        <v>83</v>
      </c>
      <c r="AN170" s="27">
        <v>1</v>
      </c>
      <c r="AO170" s="27">
        <v>1</v>
      </c>
      <c r="AP170" s="27">
        <v>1</v>
      </c>
    </row>
    <row r="171" spans="1:42">
      <c r="A171" s="133"/>
      <c r="B171" s="27" t="str">
        <f>物品!B171</f>
        <v>IT07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|CffFFD24D因果厄难劫|r</v>
      </c>
      <c r="I171" s="27" t="str">
        <f>VLOOKUP(B171,物品!B:CV,99,FALSE)</f>
        <v>渡过该劫后可结成|Cffffc926天级道果|r。|n|n|Cffffc926天级道果：|r|n攻击+72500|n业力+58000|n生命值+1450000|n生命回复+29000|n物理伤害+24%|n法术伤害+20%|n杀敌攻击+8|n杀敌业力+1|n杀敌生命+30|n</v>
      </c>
      <c r="J171" s="135" t="str">
        <f t="shared" si="64"/>
        <v>|CffFFD24D因果厄难劫|r</v>
      </c>
      <c r="K171" s="135" t="str">
        <f t="shared" si="65"/>
        <v>渡过该劫后可结成|Cffffc926天级道果|r。|n|n|Cffffc926天级道果：|r|n攻击+72500|n业力+58000|n生命值+1450000|n生命回复+29000|n物理伤害+24%|n法术伤害+20%|n杀敌攻击+8|n杀敌业力+1|n杀敌生命+30|n</v>
      </c>
      <c r="L171" s="27"/>
      <c r="M171" s="136" t="str">
        <f>VLOOKUP(LEFT(RIGHT(B171,5),4),物品!B:CU,20,FALSE)</f>
        <v>ReplaceableTextures\\CommandButtons\\BTNIT07.blp</v>
      </c>
      <c r="N171" s="154" t="s">
        <v>83</v>
      </c>
      <c r="O171" s="136" t="s">
        <v>95</v>
      </c>
      <c r="P171" s="27">
        <v>2</v>
      </c>
      <c r="Q171" s="27">
        <v>1</v>
      </c>
      <c r="R171" s="154" t="s">
        <v>83</v>
      </c>
      <c r="S171" s="154" t="s">
        <v>83</v>
      </c>
      <c r="T171" s="154" t="s">
        <v>83</v>
      </c>
      <c r="U171" s="154" t="s">
        <v>83</v>
      </c>
      <c r="V171" s="27"/>
      <c r="W171" s="27" t="s">
        <v>88</v>
      </c>
      <c r="X171" s="27">
        <v>20000</v>
      </c>
      <c r="Y171" s="154" t="s">
        <v>83</v>
      </c>
      <c r="Z171" s="27">
        <v>0</v>
      </c>
      <c r="AA171" s="27">
        <v>0</v>
      </c>
      <c r="AB171" s="135">
        <v>13</v>
      </c>
      <c r="AC171" s="27">
        <v>1</v>
      </c>
      <c r="AD171" s="27">
        <v>1</v>
      </c>
      <c r="AE171" s="154" t="s">
        <v>83</v>
      </c>
      <c r="AF171" s="154" t="s">
        <v>83</v>
      </c>
      <c r="AG171" s="154" t="s">
        <v>83</v>
      </c>
      <c r="AH171" s="154" t="s">
        <v>83</v>
      </c>
      <c r="AI171" s="27">
        <v>1</v>
      </c>
      <c r="AJ171" s="27"/>
      <c r="AK171" s="27">
        <v>1</v>
      </c>
      <c r="AL171" s="27">
        <v>1</v>
      </c>
      <c r="AM171" s="154" t="s">
        <v>83</v>
      </c>
      <c r="AN171" s="27">
        <v>1</v>
      </c>
      <c r="AO171" s="27">
        <v>1</v>
      </c>
      <c r="AP171" s="27">
        <v>1</v>
      </c>
    </row>
    <row r="172" spans="1:42">
      <c r="A172" s="133"/>
      <c r="B172" s="27" t="str">
        <f>物品!B172</f>
        <v>IT08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|CffFFD24D迷魂幻世劫|r</v>
      </c>
      <c r="I172" s="27" t="str">
        <f>VLOOKUP(B172,物品!B:CV,99,FALSE)</f>
        <v>渡过该劫后可结成|Cffffc926仙品道果|r。|n|n|Cffffc926仙品道果：|r|n攻击+102500|n业力+82000|n生命值+2050000|n生命回复+41000|n物理伤害+24%|n法术伤害+20%|n杀敌攻击+8|n杀敌业力+1|n杀敌生命+30|n</v>
      </c>
      <c r="J172" s="135" t="str">
        <f t="shared" si="64"/>
        <v>|CffFFD24D迷魂幻世劫|r</v>
      </c>
      <c r="K172" s="135" t="str">
        <f t="shared" si="65"/>
        <v>渡过该劫后可结成|Cffffc926仙品道果|r。|n|n|Cffffc926仙品道果：|r|n攻击+102500|n业力+82000|n生命值+2050000|n生命回复+41000|n物理伤害+24%|n法术伤害+20%|n杀敌攻击+8|n杀敌业力+1|n杀敌生命+30|n</v>
      </c>
      <c r="L172" s="27"/>
      <c r="M172" s="136" t="str">
        <f>VLOOKUP(LEFT(RIGHT(B172,5),4),物品!B:CU,20,FALSE)</f>
        <v>ReplaceableTextures\\CommandButtons\\BTNIT08.blp</v>
      </c>
      <c r="N172" s="154" t="s">
        <v>83</v>
      </c>
      <c r="O172" s="136" t="s">
        <v>95</v>
      </c>
      <c r="P172" s="27">
        <v>3</v>
      </c>
      <c r="Q172" s="27">
        <v>1</v>
      </c>
      <c r="R172" s="154" t="s">
        <v>83</v>
      </c>
      <c r="S172" s="154" t="s">
        <v>83</v>
      </c>
      <c r="T172" s="154" t="s">
        <v>83</v>
      </c>
      <c r="U172" s="154" t="s">
        <v>83</v>
      </c>
      <c r="V172" s="27"/>
      <c r="W172" s="27" t="s">
        <v>88</v>
      </c>
      <c r="X172" s="27">
        <v>25000</v>
      </c>
      <c r="Y172" s="154" t="s">
        <v>83</v>
      </c>
      <c r="Z172" s="27">
        <v>0</v>
      </c>
      <c r="AA172" s="27">
        <v>0</v>
      </c>
      <c r="AB172" s="135">
        <v>16</v>
      </c>
      <c r="AC172" s="27">
        <v>1</v>
      </c>
      <c r="AD172" s="27">
        <v>1</v>
      </c>
      <c r="AE172" s="154" t="s">
        <v>83</v>
      </c>
      <c r="AF172" s="154" t="s">
        <v>83</v>
      </c>
      <c r="AG172" s="154" t="s">
        <v>83</v>
      </c>
      <c r="AH172" s="154" t="s">
        <v>83</v>
      </c>
      <c r="AI172" s="27">
        <v>1</v>
      </c>
      <c r="AJ172" s="27"/>
      <c r="AK172" s="27">
        <v>1</v>
      </c>
      <c r="AL172" s="27">
        <v>1</v>
      </c>
      <c r="AM172" s="154" t="s">
        <v>83</v>
      </c>
      <c r="AN172" s="27">
        <v>1</v>
      </c>
      <c r="AO172" s="27">
        <v>1</v>
      </c>
      <c r="AP172" s="27">
        <v>1</v>
      </c>
    </row>
    <row r="173" spans="1:42">
      <c r="A173" s="133"/>
      <c r="B173" s="27" t="str">
        <f>物品!B173</f>
        <v>IT09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|CffFF0000天人五衰劫|r</v>
      </c>
      <c r="I173" s="27" t="str">
        <f>VLOOKUP(B173,物品!B:CV,99,FALSE)</f>
        <v>渡过该劫后可结成|Cffff0000至圣道果|r。|n|n|Cffff0000至圣道果：|r|n攻击+141250|n业力+113000|n生命值+2825000|n生命回复+56500|n物理伤害+24%|n法术伤害+20%|n杀敌攻击+8|n杀敌业力+1|n杀敌生命+30|n</v>
      </c>
      <c r="J173" s="135" t="str">
        <f t="shared" si="64"/>
        <v>|CffFF0000天人五衰劫|r</v>
      </c>
      <c r="K173" s="135" t="str">
        <f t="shared" si="65"/>
        <v>渡过该劫后可结成|Cffff0000至圣道果|r。|n|n|Cffff0000至圣道果：|r|n攻击+141250|n业力+113000|n生命值+2825000|n生命回复+56500|n物理伤害+24%|n法术伤害+20%|n杀敌攻击+8|n杀敌业力+1|n杀敌生命+30|n</v>
      </c>
      <c r="L173" s="27"/>
      <c r="M173" s="136" t="str">
        <f>VLOOKUP(LEFT(RIGHT(B173,5),4),物品!B:CU,20,FALSE)</f>
        <v>ReplaceableTextures\\CommandButtons\\BTNIT09.blp</v>
      </c>
      <c r="N173" s="154" t="s">
        <v>83</v>
      </c>
      <c r="O173" s="136" t="s">
        <v>95</v>
      </c>
      <c r="P173" s="27">
        <v>0</v>
      </c>
      <c r="Q173" s="27">
        <v>2</v>
      </c>
      <c r="R173" s="154" t="s">
        <v>83</v>
      </c>
      <c r="S173" s="154" t="s">
        <v>83</v>
      </c>
      <c r="T173" s="154" t="s">
        <v>83</v>
      </c>
      <c r="U173" s="154" t="s">
        <v>83</v>
      </c>
      <c r="V173" s="27"/>
      <c r="W173" s="27" t="s">
        <v>88</v>
      </c>
      <c r="X173" s="27">
        <v>30000</v>
      </c>
      <c r="Y173" s="154" t="s">
        <v>83</v>
      </c>
      <c r="Z173" s="27">
        <v>0</v>
      </c>
      <c r="AA173" s="27">
        <v>0</v>
      </c>
      <c r="AB173" s="135">
        <v>19</v>
      </c>
      <c r="AC173" s="27">
        <v>1</v>
      </c>
      <c r="AD173" s="27">
        <v>1</v>
      </c>
      <c r="AE173" s="154" t="s">
        <v>83</v>
      </c>
      <c r="AF173" s="154" t="s">
        <v>83</v>
      </c>
      <c r="AG173" s="154" t="s">
        <v>83</v>
      </c>
      <c r="AH173" s="154" t="s">
        <v>83</v>
      </c>
      <c r="AI173" s="27">
        <v>1</v>
      </c>
      <c r="AJ173" s="27"/>
      <c r="AK173" s="27">
        <v>1</v>
      </c>
      <c r="AL173" s="27">
        <v>1</v>
      </c>
      <c r="AM173" s="154" t="s">
        <v>83</v>
      </c>
      <c r="AN173" s="27">
        <v>1</v>
      </c>
      <c r="AO173" s="27">
        <v>1</v>
      </c>
      <c r="AP173" s="27">
        <v>1</v>
      </c>
    </row>
    <row r="174" spans="1:42">
      <c r="A174" s="133"/>
      <c r="B174" s="27" t="str">
        <f>物品!B174</f>
        <v>IT10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|CffFF0000混元灭世劫|r</v>
      </c>
      <c r="I174" s="27" t="str">
        <f>VLOOKUP(B174,物品!B:CV,99,FALSE)</f>
        <v>渡过该劫后可结成|Cffff0000混沌道果|r。|n|n|Cffff0000混沌道果：|r|n攻击+191250|n业力+153000|n生命值+3825000|n生命回复+76500|n物理伤害+36%|n法术伤害+30%|n杀敌攻击+8|n杀敌业力+1|n杀敌生命+30|n</v>
      </c>
      <c r="J174" s="135" t="str">
        <f t="shared" si="64"/>
        <v>|CffFF0000混元灭世劫|r</v>
      </c>
      <c r="K174" s="135" t="str">
        <f t="shared" si="65"/>
        <v>渡过该劫后可结成|Cffff0000混沌道果|r。|n|n|Cffff0000混沌道果：|r|n攻击+191250|n业力+153000|n生命值+3825000|n生命回复+76500|n物理伤害+36%|n法术伤害+30%|n杀敌攻击+8|n杀敌业力+1|n杀敌生命+30|n</v>
      </c>
      <c r="L174" s="27"/>
      <c r="M174" s="136" t="str">
        <f>VLOOKUP(LEFT(RIGHT(B174,5),4),物品!B:CU,20,FALSE)</f>
        <v>ReplaceableTextures\\CommandButtons\\BTNIT10.blp</v>
      </c>
      <c r="N174" s="154" t="s">
        <v>83</v>
      </c>
      <c r="O174" s="136" t="s">
        <v>95</v>
      </c>
      <c r="P174" s="27">
        <v>1</v>
      </c>
      <c r="Q174" s="27">
        <v>2</v>
      </c>
      <c r="R174" s="154" t="s">
        <v>83</v>
      </c>
      <c r="S174" s="154" t="s">
        <v>83</v>
      </c>
      <c r="T174" s="154" t="s">
        <v>83</v>
      </c>
      <c r="U174" s="154" t="s">
        <v>83</v>
      </c>
      <c r="V174" s="27"/>
      <c r="W174" s="27" t="s">
        <v>88</v>
      </c>
      <c r="X174" s="27">
        <v>50000</v>
      </c>
      <c r="Y174" s="154" t="s">
        <v>83</v>
      </c>
      <c r="Z174" s="27">
        <v>0</v>
      </c>
      <c r="AA174" s="27">
        <v>0</v>
      </c>
      <c r="AB174" s="135">
        <v>25</v>
      </c>
      <c r="AC174" s="27">
        <v>1</v>
      </c>
      <c r="AD174" s="27">
        <v>1</v>
      </c>
      <c r="AE174" s="154" t="s">
        <v>83</v>
      </c>
      <c r="AF174" s="154" t="s">
        <v>83</v>
      </c>
      <c r="AG174" s="154" t="s">
        <v>83</v>
      </c>
      <c r="AH174" s="154" t="s">
        <v>83</v>
      </c>
      <c r="AI174" s="27">
        <v>1</v>
      </c>
      <c r="AJ174" s="27"/>
      <c r="AK174" s="27">
        <v>1</v>
      </c>
      <c r="AL174" s="27">
        <v>1</v>
      </c>
      <c r="AM174" s="154" t="s">
        <v>83</v>
      </c>
      <c r="AN174" s="27">
        <v>1</v>
      </c>
      <c r="AO174" s="27">
        <v>1</v>
      </c>
      <c r="AP174" s="27">
        <v>1</v>
      </c>
    </row>
    <row r="175" spans="1:42">
      <c r="A175" s="133"/>
      <c r="B175" s="27" t="str">
        <f>物品!B175</f>
        <v>IT11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斩三尸</v>
      </c>
      <c r="I175" s="27" t="str">
        <f>VLOOKUP(B175,物品!B:CV,99,FALSE)</f>
        <v>境界挑战11</v>
      </c>
      <c r="J175" s="135" t="str">
        <f t="shared" si="64"/>
        <v>斩三尸</v>
      </c>
      <c r="K175" s="135" t="str">
        <f t="shared" si="65"/>
        <v>境界挑战11</v>
      </c>
      <c r="L175" s="27"/>
      <c r="M175" s="136" t="str">
        <f>VLOOKUP(LEFT(RIGHT(B175,5),4),物品!B:CU,20,FALSE)</f>
        <v>ReplaceableTextures\\CommandButtons\\BTNIT11.blp</v>
      </c>
      <c r="N175" s="154" t="s">
        <v>83</v>
      </c>
      <c r="O175" s="136" t="s">
        <v>95</v>
      </c>
      <c r="P175" s="27">
        <v>2</v>
      </c>
      <c r="Q175" s="27">
        <v>1</v>
      </c>
      <c r="R175" s="154" t="s">
        <v>83</v>
      </c>
      <c r="S175" s="154" t="s">
        <v>83</v>
      </c>
      <c r="T175" s="154" t="s">
        <v>83</v>
      </c>
      <c r="U175" s="154" t="s">
        <v>83</v>
      </c>
      <c r="V175" s="27"/>
      <c r="W175" s="27" t="s">
        <v>88</v>
      </c>
      <c r="X175" s="27">
        <v>0</v>
      </c>
      <c r="Y175" s="154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54" t="s">
        <v>83</v>
      </c>
      <c r="AF175" s="154" t="s">
        <v>83</v>
      </c>
      <c r="AG175" s="154" t="s">
        <v>83</v>
      </c>
      <c r="AH175" s="154" t="s">
        <v>83</v>
      </c>
      <c r="AI175" s="27">
        <v>1</v>
      </c>
      <c r="AJ175" s="27"/>
      <c r="AK175" s="27">
        <v>1</v>
      </c>
      <c r="AL175" s="27">
        <v>1</v>
      </c>
      <c r="AM175" s="154" t="s">
        <v>83</v>
      </c>
      <c r="AN175" s="27">
        <v>1</v>
      </c>
      <c r="AO175" s="27">
        <v>1</v>
      </c>
      <c r="AP175" s="27">
        <v>1</v>
      </c>
    </row>
    <row r="176" spans="1:42">
      <c r="A176" s="133"/>
      <c r="B176" s="27" t="str">
        <f>物品!B176</f>
        <v>IT12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无量量劫</v>
      </c>
      <c r="I176" s="27" t="str">
        <f>VLOOKUP(B176,物品!B:CV,99,FALSE)</f>
        <v>境界挑战12</v>
      </c>
      <c r="J176" s="135" t="str">
        <f t="shared" si="64"/>
        <v>无量量劫</v>
      </c>
      <c r="K176" s="135" t="str">
        <f t="shared" si="65"/>
        <v>境界挑战12</v>
      </c>
      <c r="L176" s="27"/>
      <c r="M176" s="136" t="str">
        <f>VLOOKUP(LEFT(RIGHT(B176,5),4),物品!B:CU,20,FALSE)</f>
        <v>ReplaceableTextures\\CommandButtons\\BTNIT12.blp</v>
      </c>
      <c r="N176" s="154" t="s">
        <v>83</v>
      </c>
      <c r="O176" s="136" t="s">
        <v>95</v>
      </c>
      <c r="P176" s="27">
        <v>3</v>
      </c>
      <c r="Q176" s="27">
        <v>1</v>
      </c>
      <c r="R176" s="154" t="s">
        <v>83</v>
      </c>
      <c r="S176" s="154" t="s">
        <v>83</v>
      </c>
      <c r="T176" s="154" t="s">
        <v>83</v>
      </c>
      <c r="U176" s="154" t="s">
        <v>83</v>
      </c>
      <c r="V176" s="27"/>
      <c r="W176" s="27" t="s">
        <v>88</v>
      </c>
      <c r="X176" s="27">
        <v>0</v>
      </c>
      <c r="Y176" s="154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4" t="s">
        <v>83</v>
      </c>
      <c r="AF176" s="154" t="s">
        <v>83</v>
      </c>
      <c r="AG176" s="154" t="s">
        <v>83</v>
      </c>
      <c r="AH176" s="154" t="s">
        <v>83</v>
      </c>
      <c r="AI176" s="27">
        <v>1</v>
      </c>
      <c r="AJ176" s="27"/>
      <c r="AK176" s="27">
        <v>1</v>
      </c>
      <c r="AL176" s="27">
        <v>1</v>
      </c>
      <c r="AM176" s="154" t="s">
        <v>83</v>
      </c>
      <c r="AN176" s="27">
        <v>1</v>
      </c>
      <c r="AO176" s="27">
        <v>1</v>
      </c>
      <c r="AP176" s="27">
        <v>1</v>
      </c>
    </row>
    <row r="177" spans="1:42">
      <c r="A177" s="133"/>
      <c r="B177" s="27" t="str">
        <f>物品!B177</f>
        <v>IT13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鸿钧对练</v>
      </c>
      <c r="I177" s="27" t="str">
        <f>VLOOKUP(B177,物品!B:CV,99,FALSE)</f>
        <v>境界挑战13</v>
      </c>
      <c r="J177" s="135" t="str">
        <f t="shared" si="64"/>
        <v>鸿钧对练</v>
      </c>
      <c r="K177" s="135" t="str">
        <f t="shared" si="65"/>
        <v>境界挑战13</v>
      </c>
      <c r="L177" s="27"/>
      <c r="M177" s="136" t="str">
        <f>VLOOKUP(LEFT(RIGHT(B177,5),4),物品!B:CU,20,FALSE)</f>
        <v>ReplaceableTextures\\CommandButtons\\BTNIT13.blp</v>
      </c>
      <c r="N177" s="154" t="s">
        <v>83</v>
      </c>
      <c r="O177" s="136" t="s">
        <v>95</v>
      </c>
      <c r="P177" s="27">
        <v>0</v>
      </c>
      <c r="Q177" s="27">
        <v>2</v>
      </c>
      <c r="R177" s="154" t="s">
        <v>83</v>
      </c>
      <c r="S177" s="154" t="s">
        <v>83</v>
      </c>
      <c r="T177" s="154" t="s">
        <v>83</v>
      </c>
      <c r="U177" s="154" t="s">
        <v>83</v>
      </c>
      <c r="V177" s="27"/>
      <c r="W177" s="27" t="s">
        <v>88</v>
      </c>
      <c r="X177" s="27">
        <v>0</v>
      </c>
      <c r="Y177" s="154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4" t="s">
        <v>83</v>
      </c>
      <c r="AF177" s="154" t="s">
        <v>83</v>
      </c>
      <c r="AG177" s="154" t="s">
        <v>83</v>
      </c>
      <c r="AH177" s="154" t="s">
        <v>83</v>
      </c>
      <c r="AI177" s="27">
        <v>1</v>
      </c>
      <c r="AJ177" s="27"/>
      <c r="AK177" s="27">
        <v>1</v>
      </c>
      <c r="AL177" s="27">
        <v>1</v>
      </c>
      <c r="AM177" s="154" t="s">
        <v>83</v>
      </c>
      <c r="AN177" s="27">
        <v>1</v>
      </c>
      <c r="AO177" s="27">
        <v>1</v>
      </c>
      <c r="AP177" s="27">
        <v>1</v>
      </c>
    </row>
    <row r="178" spans="1:42">
      <c r="A178" s="133"/>
      <c r="B178" s="27" t="str">
        <f>物品!B178</f>
        <v>IT14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境界挑战14</v>
      </c>
      <c r="I178" s="27" t="str">
        <f>VLOOKUP(B178,物品!B:CV,99,FALSE)</f>
        <v>境界挑战14</v>
      </c>
      <c r="J178" s="135" t="str">
        <f t="shared" si="64"/>
        <v>境界挑战14</v>
      </c>
      <c r="K178" s="135" t="str">
        <f t="shared" si="65"/>
        <v>境界挑战14</v>
      </c>
      <c r="L178" s="27"/>
      <c r="M178" s="136" t="str">
        <f>VLOOKUP(LEFT(RIGHT(B178,5),4),物品!B:CU,20,FALSE)</f>
        <v>ReplaceableTextures\\CommandButtons\\BTNIT14.blp</v>
      </c>
      <c r="N178" s="154" t="s">
        <v>83</v>
      </c>
      <c r="O178" s="136" t="s">
        <v>95</v>
      </c>
      <c r="P178" s="27">
        <v>1</v>
      </c>
      <c r="Q178" s="27">
        <v>2</v>
      </c>
      <c r="R178" s="154" t="s">
        <v>83</v>
      </c>
      <c r="S178" s="154" t="s">
        <v>83</v>
      </c>
      <c r="T178" s="154" t="s">
        <v>83</v>
      </c>
      <c r="U178" s="154" t="s">
        <v>83</v>
      </c>
      <c r="V178" s="27"/>
      <c r="W178" s="27" t="s">
        <v>88</v>
      </c>
      <c r="X178" s="27">
        <v>0</v>
      </c>
      <c r="Y178" s="154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4" t="s">
        <v>83</v>
      </c>
      <c r="AF178" s="154" t="s">
        <v>83</v>
      </c>
      <c r="AG178" s="154" t="s">
        <v>83</v>
      </c>
      <c r="AH178" s="154" t="s">
        <v>83</v>
      </c>
      <c r="AI178" s="27">
        <v>1</v>
      </c>
      <c r="AJ178" s="27"/>
      <c r="AK178" s="27">
        <v>1</v>
      </c>
      <c r="AL178" s="27">
        <v>1</v>
      </c>
      <c r="AM178" s="154" t="s">
        <v>83</v>
      </c>
      <c r="AN178" s="27">
        <v>1</v>
      </c>
      <c r="AO178" s="27">
        <v>1</v>
      </c>
      <c r="AP178" s="27">
        <v>1</v>
      </c>
    </row>
    <row r="179" spans="1:42">
      <c r="A179" s="133"/>
      <c r="B179" s="27" t="str">
        <f>物品!B179</f>
        <v>IZ0A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暂停进攻</v>
      </c>
      <c r="I179" s="27" t="str">
        <f>VLOOKUP(B179,物品!B:CV,99,FALSE)</f>
        <v>延缓敌军2分钟进攻时间。|n|n|Cff999999狗策划一直不想做这个功能，你们就省着点用吧~（逃|r</v>
      </c>
      <c r="J179" s="135" t="str">
        <f t="shared" si="64"/>
        <v>暂停进攻</v>
      </c>
      <c r="K179" s="135" t="str">
        <f t="shared" si="65"/>
        <v>延缓敌军2分钟进攻时间。|n|n|Cff999999狗策划一直不想做这个功能，你们就省着点用吧~（逃|r</v>
      </c>
      <c r="L179" s="27"/>
      <c r="M179" s="137" t="s">
        <v>104</v>
      </c>
      <c r="N179" s="154" t="s">
        <v>83</v>
      </c>
      <c r="O179" s="136" t="s">
        <v>95</v>
      </c>
      <c r="P179" s="27">
        <v>0</v>
      </c>
      <c r="Q179" s="27">
        <v>0</v>
      </c>
      <c r="R179" s="154" t="s">
        <v>83</v>
      </c>
      <c r="S179" s="154" t="s">
        <v>83</v>
      </c>
      <c r="T179" s="154" t="s">
        <v>83</v>
      </c>
      <c r="U179" s="154" t="s">
        <v>83</v>
      </c>
      <c r="V179" s="27"/>
      <c r="W179" s="27" t="s">
        <v>88</v>
      </c>
      <c r="X179" s="27">
        <v>10000</v>
      </c>
      <c r="Y179" s="154" t="s">
        <v>83</v>
      </c>
      <c r="Z179" s="27">
        <v>120</v>
      </c>
      <c r="AA179" s="27">
        <v>300</v>
      </c>
      <c r="AB179" s="27">
        <v>0</v>
      </c>
      <c r="AC179" s="27">
        <v>1</v>
      </c>
      <c r="AD179" s="27">
        <v>1</v>
      </c>
      <c r="AE179" s="154" t="s">
        <v>83</v>
      </c>
      <c r="AF179" s="154" t="s">
        <v>83</v>
      </c>
      <c r="AG179" s="154" t="s">
        <v>83</v>
      </c>
      <c r="AH179" s="154" t="s">
        <v>83</v>
      </c>
      <c r="AI179" s="27">
        <v>1</v>
      </c>
      <c r="AJ179" s="27"/>
      <c r="AK179" s="27">
        <v>1</v>
      </c>
      <c r="AL179" s="27">
        <v>1</v>
      </c>
      <c r="AM179" s="154" t="s">
        <v>83</v>
      </c>
      <c r="AN179" s="27">
        <v>1</v>
      </c>
      <c r="AO179" s="27">
        <v>1</v>
      </c>
      <c r="AP179" s="27">
        <v>1</v>
      </c>
    </row>
    <row r="180" spans="1:42">
      <c r="A180" s="133"/>
      <c r="B180" s="27" t="str">
        <f>物品!B180</f>
        <v>IZ0B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奇经八脉</v>
      </c>
      <c r="I180" s="27" t="str">
        <f>VLOOKUP(B180,物品!B:CV,99,FALSE)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0" s="135" t="str">
        <f t="shared" ref="J180:J184" si="72">H180</f>
        <v>奇经八脉</v>
      </c>
      <c r="K180" s="135" t="str">
        <f t="shared" ref="K180:K184" si="73">I180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0" s="27"/>
      <c r="M180" s="136" t="str">
        <f>VLOOKUP(LEFT(RIGHT(B180,5),4),物品!B:CU,20,FALSE)</f>
        <v>ReplaceableTextures\\CommandButtons\\BTNIZ0B.blp</v>
      </c>
      <c r="N180" s="154" t="s">
        <v>83</v>
      </c>
      <c r="O180" s="136" t="s">
        <v>95</v>
      </c>
      <c r="P180" s="27">
        <v>2</v>
      </c>
      <c r="Q180" s="27">
        <v>2</v>
      </c>
      <c r="R180" s="154" t="s">
        <v>83</v>
      </c>
      <c r="S180" s="154" t="s">
        <v>83</v>
      </c>
      <c r="T180" s="154" t="s">
        <v>83</v>
      </c>
      <c r="U180" s="154" t="s">
        <v>83</v>
      </c>
      <c r="V180" s="27"/>
      <c r="W180" s="27" t="s">
        <v>88</v>
      </c>
      <c r="X180" s="27">
        <v>0</v>
      </c>
      <c r="Y180" s="154" t="s">
        <v>83</v>
      </c>
      <c r="Z180" s="27">
        <v>0</v>
      </c>
      <c r="AA180" s="27">
        <v>600</v>
      </c>
      <c r="AB180" s="27">
        <v>0</v>
      </c>
      <c r="AC180" s="27">
        <v>1</v>
      </c>
      <c r="AD180" s="27">
        <v>1</v>
      </c>
      <c r="AE180" s="154" t="s">
        <v>83</v>
      </c>
      <c r="AF180" s="154" t="s">
        <v>83</v>
      </c>
      <c r="AG180" s="154" t="s">
        <v>83</v>
      </c>
      <c r="AH180" s="154" t="s">
        <v>83</v>
      </c>
      <c r="AI180" s="27">
        <v>1</v>
      </c>
      <c r="AJ180" s="27"/>
      <c r="AK180" s="27">
        <v>1</v>
      </c>
      <c r="AL180" s="27">
        <v>1</v>
      </c>
      <c r="AM180" s="154" t="s">
        <v>83</v>
      </c>
      <c r="AN180" s="27">
        <v>1</v>
      </c>
      <c r="AO180" s="27">
        <v>1</v>
      </c>
      <c r="AP180" s="27">
        <v>1</v>
      </c>
    </row>
    <row r="181" spans="1:42">
      <c r="A181" s="133"/>
      <c r="B181" s="27" t="str">
        <f>物品!B181</f>
        <v>IZ0D</v>
      </c>
      <c r="C181" s="27" t="s">
        <v>41</v>
      </c>
      <c r="D181" s="27" t="s">
        <v>81</v>
      </c>
      <c r="E181" s="27"/>
      <c r="F181" s="27"/>
      <c r="G181" s="27"/>
      <c r="H181" s="27">
        <f>VLOOKUP(LEFT(RIGHT(B181,5),4),物品!B:CU,2,FALSE)</f>
        <v>0</v>
      </c>
      <c r="I181" s="27"/>
      <c r="J181" s="135">
        <f t="shared" si="72"/>
        <v>0</v>
      </c>
      <c r="K181" s="135">
        <f t="shared" si="73"/>
        <v>0</v>
      </c>
      <c r="L181" s="27"/>
      <c r="M181" s="136" t="str">
        <f>VLOOKUP(LEFT(RIGHT(B181,5),4),物品!B:CU,20,FALSE)</f>
        <v>ReplaceableTextures\\CommandButtons\\BTNIZ0D.blp</v>
      </c>
      <c r="N181" s="154" t="s">
        <v>83</v>
      </c>
      <c r="O181" s="136" t="s">
        <v>95</v>
      </c>
      <c r="P181" s="27">
        <v>0</v>
      </c>
      <c r="Q181" s="27">
        <v>0</v>
      </c>
      <c r="R181" s="154" t="s">
        <v>83</v>
      </c>
      <c r="S181" s="154" t="s">
        <v>83</v>
      </c>
      <c r="T181" s="154" t="s">
        <v>83</v>
      </c>
      <c r="U181" s="154" t="s">
        <v>83</v>
      </c>
      <c r="V181" s="27"/>
      <c r="W181" s="27" t="s">
        <v>88</v>
      </c>
      <c r="X181" s="27">
        <v>0</v>
      </c>
      <c r="Y181" s="154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4" t="s">
        <v>83</v>
      </c>
      <c r="AF181" s="154" t="s">
        <v>83</v>
      </c>
      <c r="AG181" s="154" t="s">
        <v>83</v>
      </c>
      <c r="AH181" s="154" t="s">
        <v>83</v>
      </c>
      <c r="AI181" s="27">
        <v>1</v>
      </c>
      <c r="AJ181" s="27"/>
      <c r="AK181" s="27">
        <v>1</v>
      </c>
      <c r="AL181" s="27">
        <v>1</v>
      </c>
      <c r="AM181" s="154" t="s">
        <v>83</v>
      </c>
      <c r="AN181" s="27">
        <v>1</v>
      </c>
      <c r="AO181" s="27">
        <v>1</v>
      </c>
      <c r="AP181" s="27">
        <v>1</v>
      </c>
    </row>
    <row r="182" spans="1:42">
      <c r="A182" s="133"/>
      <c r="B182" s="27" t="str">
        <f>物品!B182</f>
        <v>IZ0E</v>
      </c>
      <c r="C182" s="27" t="s">
        <v>41</v>
      </c>
      <c r="D182" s="27" t="s">
        <v>81</v>
      </c>
      <c r="E182" s="27"/>
      <c r="F182" s="27"/>
      <c r="G182" s="27"/>
      <c r="H182" s="27">
        <f>VLOOKUP(LEFT(RIGHT(B182,5),4),物品!B:CU,2,FALSE)</f>
        <v>0</v>
      </c>
      <c r="I182" s="27"/>
      <c r="J182" s="135">
        <f t="shared" si="72"/>
        <v>0</v>
      </c>
      <c r="K182" s="135">
        <f t="shared" si="73"/>
        <v>0</v>
      </c>
      <c r="L182" s="27"/>
      <c r="M182" s="136" t="str">
        <f>VLOOKUP(LEFT(RIGHT(B182,5),4),物品!B:CU,20,FALSE)</f>
        <v>ReplaceableTextures\\CommandButtons\\BTNIZ0E.blp</v>
      </c>
      <c r="N182" s="154" t="s">
        <v>83</v>
      </c>
      <c r="O182" s="136" t="s">
        <v>95</v>
      </c>
      <c r="P182" s="27">
        <v>0</v>
      </c>
      <c r="Q182" s="27">
        <v>0</v>
      </c>
      <c r="R182" s="154" t="s">
        <v>83</v>
      </c>
      <c r="S182" s="154" t="s">
        <v>83</v>
      </c>
      <c r="T182" s="154" t="s">
        <v>83</v>
      </c>
      <c r="U182" s="154" t="s">
        <v>83</v>
      </c>
      <c r="V182" s="27"/>
      <c r="W182" s="27" t="s">
        <v>88</v>
      </c>
      <c r="X182" s="27">
        <v>0</v>
      </c>
      <c r="Y182" s="15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4" t="s">
        <v>83</v>
      </c>
      <c r="AF182" s="154" t="s">
        <v>83</v>
      </c>
      <c r="AG182" s="154" t="s">
        <v>83</v>
      </c>
      <c r="AH182" s="154" t="s">
        <v>83</v>
      </c>
      <c r="AI182" s="27">
        <v>1</v>
      </c>
      <c r="AJ182" s="27"/>
      <c r="AK182" s="27">
        <v>1</v>
      </c>
      <c r="AL182" s="27">
        <v>1</v>
      </c>
      <c r="AM182" s="154" t="s">
        <v>83</v>
      </c>
      <c r="AN182" s="27">
        <v>1</v>
      </c>
      <c r="AO182" s="27">
        <v>1</v>
      </c>
      <c r="AP182" s="27">
        <v>1</v>
      </c>
    </row>
    <row r="183" spans="1:42">
      <c r="A183" s="133"/>
      <c r="B183" s="27" t="str">
        <f>物品!B183</f>
        <v>IZ0F</v>
      </c>
      <c r="C183" s="27" t="s">
        <v>41</v>
      </c>
      <c r="D183" s="27" t="s">
        <v>81</v>
      </c>
      <c r="E183" s="27"/>
      <c r="F183" s="27"/>
      <c r="G183" s="27"/>
      <c r="H183" s="27">
        <f>VLOOKUP(LEFT(RIGHT(B183,5),4),物品!B:CU,2,FALSE)</f>
        <v>0</v>
      </c>
      <c r="I183" s="27"/>
      <c r="J183" s="135">
        <f t="shared" si="72"/>
        <v>0</v>
      </c>
      <c r="K183" s="135">
        <f t="shared" si="73"/>
        <v>0</v>
      </c>
      <c r="L183" s="27"/>
      <c r="M183" s="136" t="str">
        <f>VLOOKUP(LEFT(RIGHT(B183,5),4),物品!B:CU,20,FALSE)</f>
        <v>ReplaceableTextures\\CommandButtons\\BTNIZ0F.blp</v>
      </c>
      <c r="N183" s="154" t="s">
        <v>83</v>
      </c>
      <c r="O183" s="136" t="s">
        <v>95</v>
      </c>
      <c r="P183" s="27">
        <v>0</v>
      </c>
      <c r="Q183" s="27">
        <v>0</v>
      </c>
      <c r="R183" s="154" t="s">
        <v>83</v>
      </c>
      <c r="S183" s="154" t="s">
        <v>83</v>
      </c>
      <c r="T183" s="154" t="s">
        <v>83</v>
      </c>
      <c r="U183" s="154" t="s">
        <v>83</v>
      </c>
      <c r="V183" s="27"/>
      <c r="W183" s="27" t="s">
        <v>88</v>
      </c>
      <c r="X183" s="27">
        <v>0</v>
      </c>
      <c r="Y183" s="15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4" t="s">
        <v>83</v>
      </c>
      <c r="AF183" s="154" t="s">
        <v>83</v>
      </c>
      <c r="AG183" s="154" t="s">
        <v>83</v>
      </c>
      <c r="AH183" s="154" t="s">
        <v>83</v>
      </c>
      <c r="AI183" s="27">
        <v>1</v>
      </c>
      <c r="AJ183" s="27"/>
      <c r="AK183" s="27">
        <v>1</v>
      </c>
      <c r="AL183" s="27">
        <v>1</v>
      </c>
      <c r="AM183" s="154" t="s">
        <v>83</v>
      </c>
      <c r="AN183" s="27">
        <v>1</v>
      </c>
      <c r="AO183" s="27">
        <v>1</v>
      </c>
      <c r="AP183" s="27">
        <v>1</v>
      </c>
    </row>
    <row r="184" spans="1:42">
      <c r="A184" s="133"/>
      <c r="B184" s="27" t="str">
        <f>物品!B184</f>
        <v>IZ0G</v>
      </c>
      <c r="C184" s="27" t="s">
        <v>41</v>
      </c>
      <c r="D184" s="27" t="s">
        <v>81</v>
      </c>
      <c r="E184" s="27"/>
      <c r="F184" s="27"/>
      <c r="G184" s="27"/>
      <c r="H184" s="27">
        <f>VLOOKUP(LEFT(RIGHT(B184,5),4),物品!B:CU,2,FALSE)</f>
        <v>0</v>
      </c>
      <c r="I184" s="27"/>
      <c r="J184" s="135">
        <f t="shared" si="72"/>
        <v>0</v>
      </c>
      <c r="K184" s="135">
        <f t="shared" si="73"/>
        <v>0</v>
      </c>
      <c r="L184" s="27"/>
      <c r="M184" s="136" t="str">
        <f>VLOOKUP(LEFT(RIGHT(B184,5),4),物品!B:CU,20,FALSE)</f>
        <v>ReplaceableTextures\\CommandButtons\\BTNIZ0G.blp</v>
      </c>
      <c r="N184" s="154" t="s">
        <v>83</v>
      </c>
      <c r="O184" s="136" t="s">
        <v>95</v>
      </c>
      <c r="P184" s="27">
        <v>0</v>
      </c>
      <c r="Q184" s="27">
        <v>0</v>
      </c>
      <c r="R184" s="154" t="s">
        <v>83</v>
      </c>
      <c r="S184" s="154" t="s">
        <v>83</v>
      </c>
      <c r="T184" s="154" t="s">
        <v>83</v>
      </c>
      <c r="U184" s="154" t="s">
        <v>83</v>
      </c>
      <c r="V184" s="27"/>
      <c r="W184" s="27" t="s">
        <v>88</v>
      </c>
      <c r="X184" s="27">
        <v>0</v>
      </c>
      <c r="Y184" s="15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4" t="s">
        <v>83</v>
      </c>
      <c r="AF184" s="154" t="s">
        <v>83</v>
      </c>
      <c r="AG184" s="154" t="s">
        <v>83</v>
      </c>
      <c r="AH184" s="154" t="s">
        <v>83</v>
      </c>
      <c r="AI184" s="27">
        <v>1</v>
      </c>
      <c r="AJ184" s="27"/>
      <c r="AK184" s="27">
        <v>1</v>
      </c>
      <c r="AL184" s="27">
        <v>1</v>
      </c>
      <c r="AM184" s="154" t="s">
        <v>83</v>
      </c>
      <c r="AN184" s="27">
        <v>1</v>
      </c>
      <c r="AO184" s="27">
        <v>1</v>
      </c>
      <c r="AP184" s="27">
        <v>1</v>
      </c>
    </row>
    <row r="185" spans="1:42">
      <c r="A185" s="133"/>
      <c r="B185" s="27" t="str">
        <f>物品!B185</f>
        <v>IZ01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|CffFF0000团队副本-万仙阵|r</v>
      </c>
      <c r="I185" s="27" t="str">
        <f>VLOOKUP(B185,物品!B:CV,99,FALSE)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5" s="135" t="str">
        <f t="shared" ref="J185:J186" si="74">H185</f>
        <v>|CffFF0000团队副本-万仙阵|r</v>
      </c>
      <c r="K185" s="135" t="str">
        <f t="shared" ref="K185:K186" si="75">I185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5" s="27"/>
      <c r="M185" s="136" t="str">
        <f>VLOOKUP(LEFT(RIGHT(B185,5),4),物品!B:CU,20,FALSE)</f>
        <v>ReplaceableTextures\\CommandButtons\\BTNIZ01.blp</v>
      </c>
      <c r="N185" s="154" t="s">
        <v>83</v>
      </c>
      <c r="O185" s="136" t="s">
        <v>95</v>
      </c>
      <c r="P185" s="27">
        <v>1</v>
      </c>
      <c r="Q185" s="27">
        <v>2</v>
      </c>
      <c r="R185" s="154" t="s">
        <v>83</v>
      </c>
      <c r="S185" s="154" t="s">
        <v>83</v>
      </c>
      <c r="T185" s="154" t="s">
        <v>83</v>
      </c>
      <c r="U185" s="154" t="s">
        <v>83</v>
      </c>
      <c r="V185" s="27"/>
      <c r="W185" s="27" t="s">
        <v>88</v>
      </c>
      <c r="X185" s="27">
        <v>0</v>
      </c>
      <c r="Y185" s="15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4" t="s">
        <v>83</v>
      </c>
      <c r="AF185" s="154" t="s">
        <v>83</v>
      </c>
      <c r="AG185" s="154" t="s">
        <v>83</v>
      </c>
      <c r="AH185" s="154" t="s">
        <v>83</v>
      </c>
      <c r="AI185" s="27">
        <v>1</v>
      </c>
      <c r="AJ185" s="27"/>
      <c r="AK185" s="27">
        <v>1</v>
      </c>
      <c r="AL185" s="27">
        <v>1</v>
      </c>
      <c r="AM185" s="154" t="s">
        <v>83</v>
      </c>
      <c r="AN185" s="27">
        <v>1</v>
      </c>
      <c r="AO185" s="27">
        <v>1</v>
      </c>
      <c r="AP185" s="27">
        <v>1</v>
      </c>
    </row>
    <row r="186" spans="1:42">
      <c r="A186" s="133"/>
      <c r="B186" s="27" t="str">
        <f>物品!B186</f>
        <v>IS01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学习Q技能</v>
      </c>
      <c r="I186" s="27" t="str">
        <f>VLOOKUP(B186,物品!B:CV,99,FALSE)</f>
        <v>学习Q技能</v>
      </c>
      <c r="J186" s="135" t="str">
        <f t="shared" si="74"/>
        <v>学习Q技能</v>
      </c>
      <c r="K186" s="135" t="str">
        <f t="shared" si="75"/>
        <v>学习Q技能</v>
      </c>
      <c r="L186" s="27"/>
      <c r="M186" s="136" t="str">
        <f>VLOOKUP(LEFT(RIGHT(B186,5),4),物品!B:CU,20,FALSE)</f>
        <v>ReplaceableTextures\\CommandButtons\\BTN001.blp</v>
      </c>
      <c r="N186" s="154" t="s">
        <v>83</v>
      </c>
      <c r="O186" s="136" t="s">
        <v>95</v>
      </c>
      <c r="P186" s="27">
        <v>0</v>
      </c>
      <c r="Q186" s="27">
        <v>0</v>
      </c>
      <c r="R186" s="154" t="s">
        <v>83</v>
      </c>
      <c r="S186" s="154" t="s">
        <v>83</v>
      </c>
      <c r="T186" s="154" t="s">
        <v>83</v>
      </c>
      <c r="U186" s="154" t="s">
        <v>83</v>
      </c>
      <c r="V186" s="27"/>
      <c r="W186" s="27" t="s">
        <v>88</v>
      </c>
      <c r="X186" s="27">
        <v>0</v>
      </c>
      <c r="Y186" s="154" t="s">
        <v>83</v>
      </c>
      <c r="Z186" s="27">
        <v>0</v>
      </c>
      <c r="AA186" s="27">
        <v>0</v>
      </c>
      <c r="AB186" s="27">
        <v>3</v>
      </c>
      <c r="AC186" s="27">
        <v>1</v>
      </c>
      <c r="AD186" s="27">
        <v>1</v>
      </c>
      <c r="AE186" s="154" t="s">
        <v>83</v>
      </c>
      <c r="AF186" s="154" t="s">
        <v>83</v>
      </c>
      <c r="AG186" s="154" t="s">
        <v>83</v>
      </c>
      <c r="AH186" s="154" t="s">
        <v>83</v>
      </c>
      <c r="AI186" s="27">
        <v>1</v>
      </c>
      <c r="AJ186" s="27"/>
      <c r="AK186" s="27">
        <v>1</v>
      </c>
      <c r="AL186" s="27">
        <v>1</v>
      </c>
      <c r="AM186" s="154" t="s">
        <v>83</v>
      </c>
      <c r="AN186" s="27">
        <v>1</v>
      </c>
      <c r="AO186" s="27">
        <v>1</v>
      </c>
      <c r="AP186" s="27">
        <v>1</v>
      </c>
    </row>
    <row r="187" spans="1:42">
      <c r="A187" s="133"/>
      <c r="B187" s="27" t="str">
        <f>物品!B187</f>
        <v>IS02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学习Q技能</v>
      </c>
      <c r="I187" s="27" t="str">
        <f>VLOOKUP(B187,物品!B:CV,99,FALSE)</f>
        <v>学习Q技能</v>
      </c>
      <c r="J187" s="135" t="str">
        <f t="shared" ref="J187:J203" si="76">H187</f>
        <v>学习Q技能</v>
      </c>
      <c r="K187" s="135" t="str">
        <f t="shared" ref="K187:K203" si="77">I187</f>
        <v>学习Q技能</v>
      </c>
      <c r="L187" s="27"/>
      <c r="M187" s="136" t="str">
        <f>VLOOKUP(LEFT(RIGHT(B187,5),4),物品!B:CU,20,FALSE)</f>
        <v>ReplaceableTextures\\CommandButtons\\BTN001.blp</v>
      </c>
      <c r="N187" s="154" t="s">
        <v>83</v>
      </c>
      <c r="O187" s="136" t="s">
        <v>95</v>
      </c>
      <c r="P187" s="27">
        <v>1</v>
      </c>
      <c r="Q187" s="27">
        <v>0</v>
      </c>
      <c r="R187" s="154" t="s">
        <v>83</v>
      </c>
      <c r="S187" s="154" t="s">
        <v>83</v>
      </c>
      <c r="T187" s="154" t="s">
        <v>83</v>
      </c>
      <c r="U187" s="154" t="s">
        <v>83</v>
      </c>
      <c r="V187" s="27"/>
      <c r="W187" s="27" t="s">
        <v>88</v>
      </c>
      <c r="X187" s="27">
        <v>0</v>
      </c>
      <c r="Y187" s="154" t="s">
        <v>83</v>
      </c>
      <c r="Z187" s="27">
        <v>720</v>
      </c>
      <c r="AA187" s="27">
        <v>0</v>
      </c>
      <c r="AB187" s="27">
        <v>5</v>
      </c>
      <c r="AC187" s="27">
        <v>1</v>
      </c>
      <c r="AD187" s="27">
        <v>1</v>
      </c>
      <c r="AE187" s="154" t="s">
        <v>83</v>
      </c>
      <c r="AF187" s="154" t="s">
        <v>83</v>
      </c>
      <c r="AG187" s="154" t="s">
        <v>83</v>
      </c>
      <c r="AH187" s="154" t="s">
        <v>83</v>
      </c>
      <c r="AI187" s="27">
        <v>1</v>
      </c>
      <c r="AJ187" s="27"/>
      <c r="AK187" s="27">
        <v>1</v>
      </c>
      <c r="AL187" s="27">
        <v>1</v>
      </c>
      <c r="AM187" s="154" t="s">
        <v>83</v>
      </c>
      <c r="AN187" s="27">
        <v>1</v>
      </c>
      <c r="AO187" s="27">
        <v>1</v>
      </c>
      <c r="AP187" s="27">
        <v>1</v>
      </c>
    </row>
    <row r="188" spans="1:42">
      <c r="A188" s="133"/>
      <c r="B188" s="27" t="str">
        <f>物品!B188</f>
        <v>IS03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学习Q技能</v>
      </c>
      <c r="I188" s="27" t="str">
        <f>VLOOKUP(B188,物品!B:CV,99,FALSE)</f>
        <v>学习Q技能</v>
      </c>
      <c r="J188" s="135" t="str">
        <f t="shared" si="76"/>
        <v>学习Q技能</v>
      </c>
      <c r="K188" s="135" t="str">
        <f t="shared" si="77"/>
        <v>学习Q技能</v>
      </c>
      <c r="L188" s="27"/>
      <c r="M188" s="136" t="str">
        <f>VLOOKUP(LEFT(RIGHT(B188,5),4),物品!B:CU,20,FALSE)</f>
        <v>ReplaceableTextures\\CommandButtons\\BTN001.blp</v>
      </c>
      <c r="N188" s="154" t="s">
        <v>83</v>
      </c>
      <c r="O188" s="136" t="s">
        <v>95</v>
      </c>
      <c r="P188" s="27">
        <v>2</v>
      </c>
      <c r="Q188" s="27">
        <v>0</v>
      </c>
      <c r="R188" s="154" t="s">
        <v>83</v>
      </c>
      <c r="S188" s="154" t="s">
        <v>83</v>
      </c>
      <c r="T188" s="154" t="s">
        <v>83</v>
      </c>
      <c r="U188" s="154" t="s">
        <v>83</v>
      </c>
      <c r="V188" s="27"/>
      <c r="W188" s="27" t="s">
        <v>88</v>
      </c>
      <c r="X188" s="27">
        <v>0</v>
      </c>
      <c r="Y188" s="154" t="s">
        <v>83</v>
      </c>
      <c r="Z188" s="27">
        <v>1440</v>
      </c>
      <c r="AA188" s="27">
        <v>0</v>
      </c>
      <c r="AB188" s="27">
        <v>10</v>
      </c>
      <c r="AC188" s="27">
        <v>1</v>
      </c>
      <c r="AD188" s="27">
        <v>1</v>
      </c>
      <c r="AE188" s="154" t="s">
        <v>83</v>
      </c>
      <c r="AF188" s="154" t="s">
        <v>83</v>
      </c>
      <c r="AG188" s="154" t="s">
        <v>83</v>
      </c>
      <c r="AH188" s="154" t="s">
        <v>83</v>
      </c>
      <c r="AI188" s="27">
        <v>1</v>
      </c>
      <c r="AJ188" s="27"/>
      <c r="AK188" s="27">
        <v>1</v>
      </c>
      <c r="AL188" s="27">
        <v>1</v>
      </c>
      <c r="AM188" s="154" t="s">
        <v>83</v>
      </c>
      <c r="AN188" s="27">
        <v>1</v>
      </c>
      <c r="AO188" s="27">
        <v>1</v>
      </c>
      <c r="AP188" s="27">
        <v>1</v>
      </c>
    </row>
    <row r="189" spans="1:42">
      <c r="A189" s="133"/>
      <c r="B189" s="27" t="str">
        <f>物品!B189</f>
        <v>IS06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学习W技能</v>
      </c>
      <c r="I189" s="27" t="str">
        <f>VLOOKUP(B189,物品!B:CV,99,FALSE)</f>
        <v>学习W技能</v>
      </c>
      <c r="J189" s="135" t="str">
        <f t="shared" si="76"/>
        <v>学习W技能</v>
      </c>
      <c r="K189" s="135" t="str">
        <f t="shared" si="77"/>
        <v>学习W技能</v>
      </c>
      <c r="L189" s="27"/>
      <c r="M189" s="136" t="str">
        <f>VLOOKUP(LEFT(RIGHT(B189,5),4),物品!B:CU,20,FALSE)</f>
        <v>ReplaceableTextures\\CommandButtons\\BTN002.blp</v>
      </c>
      <c r="N189" s="154" t="s">
        <v>83</v>
      </c>
      <c r="O189" s="136" t="s">
        <v>95</v>
      </c>
      <c r="P189" s="27">
        <v>0</v>
      </c>
      <c r="Q189" s="27">
        <v>1</v>
      </c>
      <c r="R189" s="154" t="s">
        <v>83</v>
      </c>
      <c r="S189" s="154" t="s">
        <v>83</v>
      </c>
      <c r="T189" s="154" t="s">
        <v>83</v>
      </c>
      <c r="U189" s="154" t="s">
        <v>83</v>
      </c>
      <c r="V189" s="27"/>
      <c r="W189" s="27" t="s">
        <v>88</v>
      </c>
      <c r="X189" s="27">
        <v>0</v>
      </c>
      <c r="Y189" s="154" t="s">
        <v>83</v>
      </c>
      <c r="Z189" s="27">
        <v>0</v>
      </c>
      <c r="AA189" s="27">
        <v>0</v>
      </c>
      <c r="AB189" s="27">
        <v>3</v>
      </c>
      <c r="AC189" s="27">
        <v>1</v>
      </c>
      <c r="AD189" s="27">
        <v>1</v>
      </c>
      <c r="AE189" s="154" t="s">
        <v>83</v>
      </c>
      <c r="AF189" s="154" t="s">
        <v>83</v>
      </c>
      <c r="AG189" s="154" t="s">
        <v>83</v>
      </c>
      <c r="AH189" s="154" t="s">
        <v>83</v>
      </c>
      <c r="AI189" s="27">
        <v>1</v>
      </c>
      <c r="AJ189" s="27"/>
      <c r="AK189" s="27">
        <v>1</v>
      </c>
      <c r="AL189" s="27">
        <v>1</v>
      </c>
      <c r="AM189" s="154" t="s">
        <v>83</v>
      </c>
      <c r="AN189" s="27">
        <v>1</v>
      </c>
      <c r="AO189" s="27">
        <v>1</v>
      </c>
      <c r="AP189" s="27">
        <v>1</v>
      </c>
    </row>
    <row r="190" spans="1:42">
      <c r="A190" s="133"/>
      <c r="B190" s="27" t="str">
        <f>物品!B190</f>
        <v>IS07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学习W技能</v>
      </c>
      <c r="I190" s="27" t="str">
        <f>VLOOKUP(B190,物品!B:CV,99,FALSE)</f>
        <v>学习W技能</v>
      </c>
      <c r="J190" s="135" t="str">
        <f t="shared" ref="J190:J191" si="78">H190</f>
        <v>学习W技能</v>
      </c>
      <c r="K190" s="135" t="str">
        <f t="shared" ref="K190:K191" si="79">I190</f>
        <v>学习W技能</v>
      </c>
      <c r="L190" s="27"/>
      <c r="M190" s="136" t="str">
        <f>VLOOKUP(LEFT(RIGHT(B190,5),4),物品!B:CU,20,FALSE)</f>
        <v>ReplaceableTextures\\CommandButtons\\BTN002.blp</v>
      </c>
      <c r="N190" s="154" t="s">
        <v>83</v>
      </c>
      <c r="O190" s="136" t="s">
        <v>95</v>
      </c>
      <c r="P190" s="27">
        <v>1</v>
      </c>
      <c r="Q190" s="27">
        <v>1</v>
      </c>
      <c r="R190" s="154" t="s">
        <v>83</v>
      </c>
      <c r="S190" s="154" t="s">
        <v>83</v>
      </c>
      <c r="T190" s="154" t="s">
        <v>83</v>
      </c>
      <c r="U190" s="154" t="s">
        <v>83</v>
      </c>
      <c r="V190" s="27"/>
      <c r="W190" s="27" t="s">
        <v>88</v>
      </c>
      <c r="X190" s="27">
        <v>0</v>
      </c>
      <c r="Y190" s="154" t="s">
        <v>83</v>
      </c>
      <c r="Z190" s="27">
        <v>720</v>
      </c>
      <c r="AA190" s="27">
        <v>0</v>
      </c>
      <c r="AB190" s="27">
        <v>5</v>
      </c>
      <c r="AC190" s="27">
        <v>1</v>
      </c>
      <c r="AD190" s="27">
        <v>1</v>
      </c>
      <c r="AE190" s="154" t="s">
        <v>83</v>
      </c>
      <c r="AF190" s="154" t="s">
        <v>83</v>
      </c>
      <c r="AG190" s="154" t="s">
        <v>83</v>
      </c>
      <c r="AH190" s="154" t="s">
        <v>83</v>
      </c>
      <c r="AI190" s="27">
        <v>1</v>
      </c>
      <c r="AJ190" s="27"/>
      <c r="AK190" s="27">
        <v>1</v>
      </c>
      <c r="AL190" s="27">
        <v>1</v>
      </c>
      <c r="AM190" s="154" t="s">
        <v>83</v>
      </c>
      <c r="AN190" s="27">
        <v>1</v>
      </c>
      <c r="AO190" s="27">
        <v>1</v>
      </c>
      <c r="AP190" s="27">
        <v>1</v>
      </c>
    </row>
    <row r="191" spans="1:42">
      <c r="A191" s="133"/>
      <c r="B191" s="27" t="str">
        <f>物品!B191</f>
        <v>IS08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学习W技能</v>
      </c>
      <c r="I191" s="27" t="str">
        <f>VLOOKUP(B191,物品!B:CV,99,FALSE)</f>
        <v>学习W技能</v>
      </c>
      <c r="J191" s="135" t="str">
        <f t="shared" si="78"/>
        <v>学习W技能</v>
      </c>
      <c r="K191" s="135" t="str">
        <f t="shared" si="79"/>
        <v>学习W技能</v>
      </c>
      <c r="L191" s="27"/>
      <c r="M191" s="136" t="str">
        <f>VLOOKUP(LEFT(RIGHT(B191,5),4),物品!B:CU,20,FALSE)</f>
        <v>ReplaceableTextures\\CommandButtons\\BTN002.blp</v>
      </c>
      <c r="N191" s="154" t="s">
        <v>83</v>
      </c>
      <c r="O191" s="136" t="s">
        <v>95</v>
      </c>
      <c r="P191" s="27">
        <v>2</v>
      </c>
      <c r="Q191" s="27">
        <v>1</v>
      </c>
      <c r="R191" s="154" t="s">
        <v>83</v>
      </c>
      <c r="S191" s="154" t="s">
        <v>83</v>
      </c>
      <c r="T191" s="154" t="s">
        <v>83</v>
      </c>
      <c r="U191" s="154" t="s">
        <v>83</v>
      </c>
      <c r="V191" s="27"/>
      <c r="W191" s="27" t="s">
        <v>88</v>
      </c>
      <c r="X191" s="27">
        <v>0</v>
      </c>
      <c r="Y191" s="154" t="s">
        <v>83</v>
      </c>
      <c r="Z191" s="27">
        <v>1440</v>
      </c>
      <c r="AA191" s="27">
        <v>0</v>
      </c>
      <c r="AB191" s="27">
        <v>10</v>
      </c>
      <c r="AC191" s="27">
        <v>1</v>
      </c>
      <c r="AD191" s="27">
        <v>1</v>
      </c>
      <c r="AE191" s="154" t="s">
        <v>83</v>
      </c>
      <c r="AF191" s="154" t="s">
        <v>83</v>
      </c>
      <c r="AG191" s="154" t="s">
        <v>83</v>
      </c>
      <c r="AH191" s="154" t="s">
        <v>83</v>
      </c>
      <c r="AI191" s="27">
        <v>1</v>
      </c>
      <c r="AJ191" s="27"/>
      <c r="AK191" s="27">
        <v>1</v>
      </c>
      <c r="AL191" s="27">
        <v>1</v>
      </c>
      <c r="AM191" s="154" t="s">
        <v>83</v>
      </c>
      <c r="AN191" s="27">
        <v>1</v>
      </c>
      <c r="AO191" s="27">
        <v>1</v>
      </c>
      <c r="AP191" s="27">
        <v>1</v>
      </c>
    </row>
    <row r="192" spans="1:42">
      <c r="A192" s="133"/>
      <c r="B192" s="27" t="str">
        <f>物品!B192</f>
        <v>IS21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Q技能附魔石</v>
      </c>
      <c r="I192" s="27" t="str">
        <f>VLOOKUP(B192,物品!B:CV,99,FALSE)</f>
        <v>为|Cffffd24dQ技能|r附魔一条|Cffffd24d随机属性|r。</v>
      </c>
      <c r="J192" s="135" t="str">
        <f t="shared" si="76"/>
        <v>Q技能附魔石</v>
      </c>
      <c r="K192" s="135" t="str">
        <f t="shared" si="77"/>
        <v>为|Cffffd24dQ技能|r附魔一条|Cffffd24d随机属性|r。</v>
      </c>
      <c r="L192" s="27"/>
      <c r="M192" s="136" t="str">
        <f>VLOOKUP(LEFT(RIGHT(B192,5),4),物品!B:CU,20,FALSE)</f>
        <v>ReplaceableTextures\\CommandButtons\\BTNIN01.blp</v>
      </c>
      <c r="N192" s="154" t="s">
        <v>83</v>
      </c>
      <c r="O192" s="136" t="s">
        <v>95</v>
      </c>
      <c r="P192" s="27">
        <v>0</v>
      </c>
      <c r="Q192" s="27">
        <v>2</v>
      </c>
      <c r="R192" s="154" t="s">
        <v>83</v>
      </c>
      <c r="S192" s="154" t="s">
        <v>83</v>
      </c>
      <c r="T192" s="154" t="s">
        <v>83</v>
      </c>
      <c r="U192" s="154" t="s">
        <v>83</v>
      </c>
      <c r="V192" s="27"/>
      <c r="W192" s="27" t="s">
        <v>93</v>
      </c>
      <c r="X192" s="27">
        <v>0</v>
      </c>
      <c r="Y192" s="15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4" t="s">
        <v>83</v>
      </c>
      <c r="AF192" s="154" t="s">
        <v>83</v>
      </c>
      <c r="AG192" s="154" t="s">
        <v>83</v>
      </c>
      <c r="AH192" s="154" t="s">
        <v>83</v>
      </c>
      <c r="AI192" s="27">
        <v>0</v>
      </c>
      <c r="AJ192" s="27"/>
      <c r="AK192" s="27">
        <v>1</v>
      </c>
      <c r="AL192" s="27">
        <v>1</v>
      </c>
      <c r="AM192" s="154" t="s">
        <v>83</v>
      </c>
      <c r="AN192" s="27">
        <v>1</v>
      </c>
      <c r="AO192" s="27">
        <v>1</v>
      </c>
      <c r="AP192" s="27">
        <v>1</v>
      </c>
    </row>
    <row r="193" spans="1:42">
      <c r="A193" s="133"/>
      <c r="B193" s="27" t="str">
        <f>物品!B193</f>
        <v>IS22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W技能附魔石</v>
      </c>
      <c r="I193" s="27" t="str">
        <f>VLOOKUP(B193,物品!B:CV,99,FALSE)</f>
        <v>为|Cffffd24dW技能|r附魔一条|Cffffd24d随机属性|r。</v>
      </c>
      <c r="J193" s="135" t="str">
        <f t="shared" ref="J193:J195" si="80">H193</f>
        <v>W技能附魔石</v>
      </c>
      <c r="K193" s="135" t="str">
        <f t="shared" ref="K193:K195" si="81">I193</f>
        <v>为|Cffffd24dW技能|r附魔一条|Cffffd24d随机属性|r。</v>
      </c>
      <c r="L193" s="27"/>
      <c r="M193" s="136" t="str">
        <f>VLOOKUP(LEFT(RIGHT(B193,5),4),物品!B:CU,20,FALSE)</f>
        <v>ReplaceableTextures\\CommandButtons\\BTNIN02.blp</v>
      </c>
      <c r="N193" s="154" t="s">
        <v>83</v>
      </c>
      <c r="O193" s="136" t="s">
        <v>95</v>
      </c>
      <c r="P193" s="27">
        <v>1</v>
      </c>
      <c r="Q193" s="27">
        <v>2</v>
      </c>
      <c r="R193" s="154" t="s">
        <v>83</v>
      </c>
      <c r="S193" s="154" t="s">
        <v>83</v>
      </c>
      <c r="T193" s="154" t="s">
        <v>83</v>
      </c>
      <c r="U193" s="154" t="s">
        <v>83</v>
      </c>
      <c r="V193" s="27"/>
      <c r="W193" s="27" t="s">
        <v>93</v>
      </c>
      <c r="X193" s="27">
        <v>0</v>
      </c>
      <c r="Y193" s="15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4" t="s">
        <v>83</v>
      </c>
      <c r="AF193" s="154" t="s">
        <v>83</v>
      </c>
      <c r="AG193" s="154" t="s">
        <v>83</v>
      </c>
      <c r="AH193" s="154" t="s">
        <v>83</v>
      </c>
      <c r="AI193" s="27">
        <v>0</v>
      </c>
      <c r="AJ193" s="27"/>
      <c r="AK193" s="27">
        <v>1</v>
      </c>
      <c r="AL193" s="27">
        <v>1</v>
      </c>
      <c r="AM193" s="154" t="s">
        <v>83</v>
      </c>
      <c r="AN193" s="27">
        <v>1</v>
      </c>
      <c r="AO193" s="27">
        <v>1</v>
      </c>
      <c r="AP193" s="27">
        <v>1</v>
      </c>
    </row>
    <row r="194" spans="1:42">
      <c r="A194" s="133"/>
      <c r="B194" s="27" t="str">
        <f>物品!B194</f>
        <v>IS23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E技能附魔石</v>
      </c>
      <c r="I194" s="27" t="str">
        <f>VLOOKUP(B194,物品!B:CV,99,FALSE)</f>
        <v>为|Cffffd24dE技能|r附魔一条|Cffffd24d随机属性|r。</v>
      </c>
      <c r="J194" s="135" t="str">
        <f t="shared" si="80"/>
        <v>E技能附魔石</v>
      </c>
      <c r="K194" s="135" t="str">
        <f t="shared" si="81"/>
        <v>为|Cffffd24dE技能|r附魔一条|Cffffd24d随机属性|r。</v>
      </c>
      <c r="L194" s="27"/>
      <c r="M194" s="136" t="str">
        <f>VLOOKUP(LEFT(RIGHT(B194,5),4),物品!B:CU,20,FALSE)</f>
        <v>ReplaceableTextures\\CommandButtons\\BTNIN03.blp</v>
      </c>
      <c r="N194" s="154" t="s">
        <v>83</v>
      </c>
      <c r="O194" s="136" t="s">
        <v>95</v>
      </c>
      <c r="P194" s="27">
        <v>2</v>
      </c>
      <c r="Q194" s="27">
        <v>2</v>
      </c>
      <c r="R194" s="154" t="s">
        <v>83</v>
      </c>
      <c r="S194" s="154" t="s">
        <v>83</v>
      </c>
      <c r="T194" s="154" t="s">
        <v>83</v>
      </c>
      <c r="U194" s="154" t="s">
        <v>83</v>
      </c>
      <c r="V194" s="27"/>
      <c r="W194" s="27" t="s">
        <v>93</v>
      </c>
      <c r="X194" s="27">
        <v>0</v>
      </c>
      <c r="Y194" s="15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4" t="s">
        <v>83</v>
      </c>
      <c r="AF194" s="154" t="s">
        <v>83</v>
      </c>
      <c r="AG194" s="154" t="s">
        <v>83</v>
      </c>
      <c r="AH194" s="154" t="s">
        <v>83</v>
      </c>
      <c r="AI194" s="27">
        <v>0</v>
      </c>
      <c r="AJ194" s="27"/>
      <c r="AK194" s="27">
        <v>1</v>
      </c>
      <c r="AL194" s="27">
        <v>1</v>
      </c>
      <c r="AM194" s="154" t="s">
        <v>83</v>
      </c>
      <c r="AN194" s="27">
        <v>1</v>
      </c>
      <c r="AO194" s="27">
        <v>1</v>
      </c>
      <c r="AP194" s="27">
        <v>1</v>
      </c>
    </row>
    <row r="195" spans="1:42">
      <c r="A195" s="133"/>
      <c r="B195" s="27" t="str">
        <f>物品!B195</f>
        <v>IS24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|CffFFD24DQ强力附魔石|r</v>
      </c>
      <c r="I195" s="27" t="str">
        <f>VLOOKUP(B195,物品!B:CV,99,FALSE)</f>
        <v>为|Cffffd24dQ技能|r附魔一条|Cffffd24d随机属性|r。</v>
      </c>
      <c r="J195" s="135" t="str">
        <f t="shared" si="80"/>
        <v>|CffFFD24DQ强力附魔石|r</v>
      </c>
      <c r="K195" s="135" t="str">
        <f t="shared" si="81"/>
        <v>为|Cffffd24dQ技能|r附魔一条|Cffffd24d随机属性|r。</v>
      </c>
      <c r="L195" s="27"/>
      <c r="M195" s="136" t="str">
        <f>VLOOKUP(LEFT(RIGHT(B195,5),4),物品!B:CU,20,FALSE)</f>
        <v>ReplaceableTextures\\CommandButtons\\BTN009.blp</v>
      </c>
      <c r="N195" s="154" t="s">
        <v>83</v>
      </c>
      <c r="O195" s="136" t="s">
        <v>95</v>
      </c>
      <c r="P195" s="27">
        <v>0</v>
      </c>
      <c r="Q195" s="27">
        <v>2</v>
      </c>
      <c r="R195" s="154" t="s">
        <v>83</v>
      </c>
      <c r="S195" s="154" t="s">
        <v>83</v>
      </c>
      <c r="T195" s="154" t="s">
        <v>83</v>
      </c>
      <c r="U195" s="154" t="s">
        <v>83</v>
      </c>
      <c r="V195" s="27"/>
      <c r="W195" s="27" t="s">
        <v>93</v>
      </c>
      <c r="X195" s="27">
        <v>0</v>
      </c>
      <c r="Y195" s="154" t="s">
        <v>83</v>
      </c>
      <c r="Z195" s="27">
        <v>0</v>
      </c>
      <c r="AA195" s="27">
        <v>0</v>
      </c>
      <c r="AB195" s="27">
        <v>30</v>
      </c>
      <c r="AC195" s="27">
        <v>1</v>
      </c>
      <c r="AD195" s="27">
        <v>1</v>
      </c>
      <c r="AE195" s="154" t="s">
        <v>83</v>
      </c>
      <c r="AF195" s="154" t="s">
        <v>83</v>
      </c>
      <c r="AG195" s="154" t="s">
        <v>83</v>
      </c>
      <c r="AH195" s="154" t="s">
        <v>83</v>
      </c>
      <c r="AI195" s="27">
        <v>0</v>
      </c>
      <c r="AJ195" s="27"/>
      <c r="AK195" s="27">
        <v>1</v>
      </c>
      <c r="AL195" s="27">
        <v>1</v>
      </c>
      <c r="AM195" s="154" t="s">
        <v>83</v>
      </c>
      <c r="AN195" s="27">
        <v>1</v>
      </c>
      <c r="AO195" s="27">
        <v>1</v>
      </c>
      <c r="AP195" s="27">
        <v>1</v>
      </c>
    </row>
    <row r="196" spans="1:42">
      <c r="A196" s="133"/>
      <c r="B196" s="27" t="str">
        <f>物品!B196</f>
        <v>IS25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|CffFFD24DW强力附魔石|r</v>
      </c>
      <c r="I196" s="27" t="str">
        <f>VLOOKUP(B196,物品!B:CV,99,FALSE)</f>
        <v>为|Cffffd24dW技能|r附魔一条|Cffffd24d随机属性|r。</v>
      </c>
      <c r="J196" s="135" t="str">
        <f t="shared" ref="J196:J197" si="82">H196</f>
        <v>|CffFFD24DW强力附魔石|r</v>
      </c>
      <c r="K196" s="135" t="str">
        <f t="shared" ref="K196:K197" si="83">I196</f>
        <v>为|Cffffd24dW技能|r附魔一条|Cffffd24d随机属性|r。</v>
      </c>
      <c r="L196" s="27"/>
      <c r="M196" s="136" t="str">
        <f>VLOOKUP(LEFT(RIGHT(B196,5),4),物品!B:CU,20,FALSE)</f>
        <v>ReplaceableTextures\\CommandButtons\\BTN010.blp</v>
      </c>
      <c r="N196" s="154" t="s">
        <v>83</v>
      </c>
      <c r="O196" s="136" t="s">
        <v>95</v>
      </c>
      <c r="P196" s="27">
        <v>1</v>
      </c>
      <c r="Q196" s="27">
        <v>2</v>
      </c>
      <c r="R196" s="154" t="s">
        <v>83</v>
      </c>
      <c r="S196" s="154" t="s">
        <v>83</v>
      </c>
      <c r="T196" s="154" t="s">
        <v>83</v>
      </c>
      <c r="U196" s="154" t="s">
        <v>83</v>
      </c>
      <c r="V196" s="27"/>
      <c r="W196" s="27" t="s">
        <v>93</v>
      </c>
      <c r="X196" s="27">
        <v>0</v>
      </c>
      <c r="Y196" s="154" t="s">
        <v>83</v>
      </c>
      <c r="Z196" s="27">
        <v>0</v>
      </c>
      <c r="AA196" s="27">
        <v>0</v>
      </c>
      <c r="AB196" s="27">
        <v>30</v>
      </c>
      <c r="AC196" s="27">
        <v>1</v>
      </c>
      <c r="AD196" s="27">
        <v>1</v>
      </c>
      <c r="AE196" s="154" t="s">
        <v>83</v>
      </c>
      <c r="AF196" s="154" t="s">
        <v>83</v>
      </c>
      <c r="AG196" s="154" t="s">
        <v>83</v>
      </c>
      <c r="AH196" s="154" t="s">
        <v>83</v>
      </c>
      <c r="AI196" s="27">
        <v>0</v>
      </c>
      <c r="AJ196" s="27"/>
      <c r="AK196" s="27">
        <v>1</v>
      </c>
      <c r="AL196" s="27">
        <v>1</v>
      </c>
      <c r="AM196" s="154" t="s">
        <v>83</v>
      </c>
      <c r="AN196" s="27">
        <v>1</v>
      </c>
      <c r="AO196" s="27">
        <v>1</v>
      </c>
      <c r="AP196" s="27">
        <v>1</v>
      </c>
    </row>
    <row r="197" spans="1:42">
      <c r="A197" s="133"/>
      <c r="B197" s="27" t="str">
        <f>物品!B197</f>
        <v>IS26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|CffFFD24DE强力附魔石|r</v>
      </c>
      <c r="I197" s="27" t="str">
        <f>VLOOKUP(B197,物品!B:CV,99,FALSE)</f>
        <v>为|Cffffd24dE技能|r附魔一条|Cffffd24d随机属性|r。</v>
      </c>
      <c r="J197" s="135" t="str">
        <f t="shared" si="82"/>
        <v>|CffFFD24DE强力附魔石|r</v>
      </c>
      <c r="K197" s="135" t="str">
        <f t="shared" si="83"/>
        <v>为|Cffffd24dE技能|r附魔一条|Cffffd24d随机属性|r。</v>
      </c>
      <c r="L197" s="27"/>
      <c r="M197" s="136" t="str">
        <f>VLOOKUP(LEFT(RIGHT(B197,5),4),物品!B:CU,20,FALSE)</f>
        <v>ReplaceableTextures\\CommandButtons\\BTN011.blp</v>
      </c>
      <c r="N197" s="154" t="s">
        <v>83</v>
      </c>
      <c r="O197" s="136" t="s">
        <v>95</v>
      </c>
      <c r="P197" s="27">
        <v>2</v>
      </c>
      <c r="Q197" s="27">
        <v>2</v>
      </c>
      <c r="R197" s="154" t="s">
        <v>83</v>
      </c>
      <c r="S197" s="154" t="s">
        <v>83</v>
      </c>
      <c r="T197" s="154" t="s">
        <v>83</v>
      </c>
      <c r="U197" s="154" t="s">
        <v>83</v>
      </c>
      <c r="V197" s="27"/>
      <c r="W197" s="27" t="s">
        <v>93</v>
      </c>
      <c r="X197" s="27">
        <v>0</v>
      </c>
      <c r="Y197" s="154" t="s">
        <v>83</v>
      </c>
      <c r="Z197" s="27">
        <v>0</v>
      </c>
      <c r="AA197" s="27">
        <v>0</v>
      </c>
      <c r="AB197" s="27">
        <v>30</v>
      </c>
      <c r="AC197" s="27">
        <v>1</v>
      </c>
      <c r="AD197" s="27">
        <v>1</v>
      </c>
      <c r="AE197" s="154" t="s">
        <v>83</v>
      </c>
      <c r="AF197" s="154" t="s">
        <v>83</v>
      </c>
      <c r="AG197" s="154" t="s">
        <v>83</v>
      </c>
      <c r="AH197" s="154" t="s">
        <v>83</v>
      </c>
      <c r="AI197" s="27">
        <v>0</v>
      </c>
      <c r="AJ197" s="27"/>
      <c r="AK197" s="27">
        <v>1</v>
      </c>
      <c r="AL197" s="27">
        <v>1</v>
      </c>
      <c r="AM197" s="154" t="s">
        <v>83</v>
      </c>
      <c r="AN197" s="27">
        <v>1</v>
      </c>
      <c r="AO197" s="27">
        <v>1</v>
      </c>
      <c r="AP197" s="27">
        <v>1</v>
      </c>
    </row>
    <row r="198" spans="1:42">
      <c r="A198" s="133"/>
      <c r="B198" s="27" t="str">
        <f>物品!B198</f>
        <v>IS11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|CffFF0000占星|r</v>
      </c>
      <c r="I198" s="27" t="str">
        <f>VLOOKUP(B198,物品!B:CV,99,FALSE)</f>
        <v>|CffFF0000占星|r</v>
      </c>
      <c r="J198" s="135" t="str">
        <f t="shared" ref="J198" si="84">H198</f>
        <v>|CffFF0000占星|r</v>
      </c>
      <c r="K198" s="135" t="str">
        <f t="shared" ref="K198" si="85">I198</f>
        <v>|CffFF0000占星|r</v>
      </c>
      <c r="L198" s="27"/>
      <c r="M198" s="136" t="str">
        <f>VLOOKUP(LEFT(RIGHT(B198,5),4),物品!B:CU,20,FALSE)</f>
        <v>ReplaceableTextures\\CommandButtons\\BTNIS11.blp</v>
      </c>
      <c r="N198" s="154" t="s">
        <v>83</v>
      </c>
      <c r="O198" s="136" t="s">
        <v>95</v>
      </c>
      <c r="P198" s="27">
        <v>0</v>
      </c>
      <c r="Q198" s="27">
        <v>0</v>
      </c>
      <c r="R198" s="154" t="s">
        <v>83</v>
      </c>
      <c r="S198" s="154" t="s">
        <v>83</v>
      </c>
      <c r="T198" s="154" t="s">
        <v>83</v>
      </c>
      <c r="U198" s="154" t="s">
        <v>83</v>
      </c>
      <c r="V198" s="27"/>
      <c r="W198" s="27" t="s">
        <v>88</v>
      </c>
      <c r="X198" s="27">
        <v>0</v>
      </c>
      <c r="Y198" s="154" t="s">
        <v>83</v>
      </c>
      <c r="Z198" s="27">
        <v>0</v>
      </c>
      <c r="AA198" s="27">
        <v>240</v>
      </c>
      <c r="AB198" s="27">
        <v>0</v>
      </c>
      <c r="AC198" s="27">
        <v>1</v>
      </c>
      <c r="AD198" s="27">
        <v>1</v>
      </c>
      <c r="AE198" s="154" t="s">
        <v>83</v>
      </c>
      <c r="AF198" s="154" t="s">
        <v>83</v>
      </c>
      <c r="AG198" s="154" t="s">
        <v>83</v>
      </c>
      <c r="AH198" s="154" t="s">
        <v>83</v>
      </c>
      <c r="AI198" s="27">
        <v>1</v>
      </c>
      <c r="AJ198" s="27"/>
      <c r="AK198" s="27">
        <v>1</v>
      </c>
      <c r="AL198" s="27">
        <v>1</v>
      </c>
      <c r="AM198" s="154" t="s">
        <v>83</v>
      </c>
      <c r="AN198" s="27">
        <v>1</v>
      </c>
      <c r="AO198" s="27">
        <v>1</v>
      </c>
      <c r="AP198" s="27">
        <v>1</v>
      </c>
    </row>
    <row r="199" spans="1:42">
      <c r="A199" s="133"/>
      <c r="B199" s="27" t="str">
        <f>物品!B199</f>
        <v>IS12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|CffFFD24D兽魂抽奖|r</v>
      </c>
      <c r="I199" s="27" t="str">
        <f>VLOOKUP(B199,物品!B:CV,99,FALSE)</f>
        <v>|CffFFD24D兽魂抽奖|r</v>
      </c>
      <c r="J199" s="135" t="str">
        <f t="shared" si="76"/>
        <v>|CffFFD24D兽魂抽奖|r</v>
      </c>
      <c r="K199" s="135" t="str">
        <f t="shared" si="77"/>
        <v>|CffFFD24D兽魂抽奖|r</v>
      </c>
      <c r="L199" s="27"/>
      <c r="M199" s="136" t="str">
        <f>VLOOKUP(LEFT(RIGHT(B199,5),4),物品!B:CU,20,FALSE)</f>
        <v>ReplaceableTextures\\CommandButtons\\BTNIH00.blp</v>
      </c>
      <c r="N199" s="154" t="s">
        <v>83</v>
      </c>
      <c r="O199" s="136" t="s">
        <v>95</v>
      </c>
      <c r="P199" s="27">
        <v>0</v>
      </c>
      <c r="Q199" s="27">
        <v>0</v>
      </c>
      <c r="R199" s="154" t="s">
        <v>83</v>
      </c>
      <c r="S199" s="154" t="s">
        <v>83</v>
      </c>
      <c r="T199" s="154" t="s">
        <v>83</v>
      </c>
      <c r="U199" s="154" t="s">
        <v>83</v>
      </c>
      <c r="V199" s="27"/>
      <c r="W199" s="27" t="s">
        <v>88</v>
      </c>
      <c r="X199" s="27">
        <v>0</v>
      </c>
      <c r="Y199" s="154" t="s">
        <v>83</v>
      </c>
      <c r="Z199" s="27">
        <v>0</v>
      </c>
      <c r="AA199" s="27">
        <v>3</v>
      </c>
      <c r="AB199" s="27">
        <v>0</v>
      </c>
      <c r="AC199" s="27">
        <v>1</v>
      </c>
      <c r="AD199" s="27">
        <v>1</v>
      </c>
      <c r="AE199" s="154" t="s">
        <v>83</v>
      </c>
      <c r="AF199" s="154" t="s">
        <v>83</v>
      </c>
      <c r="AG199" s="154" t="s">
        <v>83</v>
      </c>
      <c r="AH199" s="154" t="s">
        <v>83</v>
      </c>
      <c r="AI199" s="27">
        <v>1</v>
      </c>
      <c r="AJ199" s="27"/>
      <c r="AK199" s="27">
        <v>1</v>
      </c>
      <c r="AL199" s="27">
        <v>1</v>
      </c>
      <c r="AM199" s="154" t="s">
        <v>83</v>
      </c>
      <c r="AN199" s="27">
        <v>1</v>
      </c>
      <c r="AO199" s="27">
        <v>1</v>
      </c>
      <c r="AP199" s="27">
        <v>1</v>
      </c>
    </row>
    <row r="200" spans="1:42">
      <c r="A200" s="133"/>
      <c r="B200" s="27" t="str">
        <f>物品!B200</f>
        <v>IZ0C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|CffFFD24D兽魂抽奖|r</v>
      </c>
      <c r="I200" s="27" t="str">
        <f>VLOOKUP(B200,物品!B:CV,99,FALSE)</f>
        <v>|CffFFD24D兽魂抽奖|r</v>
      </c>
      <c r="J200" s="135" t="str">
        <f t="shared" si="76"/>
        <v>|CffFFD24D兽魂抽奖|r</v>
      </c>
      <c r="K200" s="135" t="str">
        <f t="shared" si="77"/>
        <v>|CffFFD24D兽魂抽奖|r</v>
      </c>
      <c r="L200" s="27"/>
      <c r="M200" s="136" t="str">
        <f>VLOOKUP(LEFT(RIGHT(B200,5),4),物品!B:CU,20,FALSE)</f>
        <v>ReplaceableTextures\\CommandButtons\\BTNIH00.blp</v>
      </c>
      <c r="N200" s="154" t="s">
        <v>83</v>
      </c>
      <c r="O200" s="136" t="s">
        <v>95</v>
      </c>
      <c r="P200" s="27">
        <v>0</v>
      </c>
      <c r="Q200" s="27">
        <v>0</v>
      </c>
      <c r="R200" s="154" t="s">
        <v>83</v>
      </c>
      <c r="S200" s="154" t="s">
        <v>83</v>
      </c>
      <c r="T200" s="154" t="s">
        <v>83</v>
      </c>
      <c r="U200" s="154" t="s">
        <v>83</v>
      </c>
      <c r="V200" s="27"/>
      <c r="W200" s="27" t="s">
        <v>88</v>
      </c>
      <c r="X200" s="27">
        <v>0</v>
      </c>
      <c r="Y200" s="154" t="s">
        <v>83</v>
      </c>
      <c r="Z200" s="27">
        <v>0</v>
      </c>
      <c r="AA200" s="27">
        <v>9999999</v>
      </c>
      <c r="AB200" s="27">
        <v>0</v>
      </c>
      <c r="AC200" s="27">
        <v>1</v>
      </c>
      <c r="AD200" s="27">
        <v>1</v>
      </c>
      <c r="AE200" s="154" t="s">
        <v>83</v>
      </c>
      <c r="AF200" s="154" t="s">
        <v>83</v>
      </c>
      <c r="AG200" s="154" t="s">
        <v>83</v>
      </c>
      <c r="AH200" s="154" t="s">
        <v>83</v>
      </c>
      <c r="AI200" s="27">
        <v>1</v>
      </c>
      <c r="AJ200" s="27"/>
      <c r="AK200" s="27">
        <v>1</v>
      </c>
      <c r="AL200" s="27">
        <v>1</v>
      </c>
      <c r="AM200" s="154" t="s">
        <v>83</v>
      </c>
      <c r="AN200" s="27">
        <v>1</v>
      </c>
      <c r="AO200" s="27">
        <v>1</v>
      </c>
      <c r="AP200" s="27">
        <v>1</v>
      </c>
    </row>
    <row r="201" spans="1:42">
      <c r="A201" s="133"/>
      <c r="B201" s="27" t="str">
        <f>物品!B201</f>
        <v>IZ10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|CffFFD24D占星卜卦|r</v>
      </c>
      <c r="I201" s="27" t="str">
        <f>VLOOKUP(B201,物品!B:CV,99,FALSE)</f>
        <v>|CffF0F0F0有几率获得|r|Cffffd24d好东西|r|Cfff0f0f0，也有可能|r|Cffcccccc打水漂|r|Cfff0f0f0。|n|n|r|Cff00ff7f观今夜星象，抽就完事了...|r</v>
      </c>
      <c r="J201" s="135" t="str">
        <f t="shared" si="76"/>
        <v>|CffFFD24D占星卜卦|r</v>
      </c>
      <c r="K201" s="135" t="str">
        <f t="shared" si="77"/>
        <v>|CffF0F0F0有几率获得|r|Cffffd24d好东西|r|Cfff0f0f0，也有可能|r|Cffcccccc打水漂|r|Cfff0f0f0。|n|n|r|Cff00ff7f观今夜星象，抽就完事了...|r</v>
      </c>
      <c r="L201" s="27"/>
      <c r="M201" s="136" t="str">
        <f>VLOOKUP(LEFT(RIGHT(B201,5),4),物品!B:CU,20,FALSE)</f>
        <v>ReplaceableTextures\\CommandButtons\\BTNIH00.blp</v>
      </c>
      <c r="N201" s="154" t="s">
        <v>83</v>
      </c>
      <c r="O201" s="136" t="s">
        <v>95</v>
      </c>
      <c r="P201" s="27">
        <v>0</v>
      </c>
      <c r="Q201" s="27">
        <v>0</v>
      </c>
      <c r="R201" s="154" t="s">
        <v>83</v>
      </c>
      <c r="S201" s="154" t="s">
        <v>83</v>
      </c>
      <c r="T201" s="154" t="s">
        <v>83</v>
      </c>
      <c r="U201" s="154" t="s">
        <v>83</v>
      </c>
      <c r="V201" s="27"/>
      <c r="W201" s="27" t="s">
        <v>88</v>
      </c>
      <c r="X201" s="27">
        <v>3888</v>
      </c>
      <c r="Y201" s="154" t="s">
        <v>83</v>
      </c>
      <c r="Z201" s="27">
        <v>0</v>
      </c>
      <c r="AA201" s="27">
        <v>1</v>
      </c>
      <c r="AB201" s="27">
        <v>0</v>
      </c>
      <c r="AC201" s="27">
        <v>1</v>
      </c>
      <c r="AD201" s="27">
        <v>1</v>
      </c>
      <c r="AE201" s="154" t="s">
        <v>83</v>
      </c>
      <c r="AF201" s="154" t="s">
        <v>83</v>
      </c>
      <c r="AG201" s="154" t="s">
        <v>83</v>
      </c>
      <c r="AH201" s="154" t="s">
        <v>83</v>
      </c>
      <c r="AI201" s="27">
        <v>1</v>
      </c>
      <c r="AJ201" s="27"/>
      <c r="AK201" s="27">
        <v>1</v>
      </c>
      <c r="AL201" s="27">
        <v>1</v>
      </c>
      <c r="AM201" s="154" t="s">
        <v>83</v>
      </c>
      <c r="AN201" s="27">
        <v>1</v>
      </c>
      <c r="AO201" s="27">
        <v>1</v>
      </c>
      <c r="AP201" s="27">
        <v>1</v>
      </c>
    </row>
    <row r="202" spans="1:42">
      <c r="A202" s="133"/>
      <c r="B202" s="27" t="str">
        <f>物品!B202</f>
        <v>IZ11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|CffFFD24D占星卜卦|r - [|cffffcc0010连|r]</v>
      </c>
      <c r="I202" s="27" t="str">
        <f>VLOOKUP(B202,物品!B:CV,99,FALSE)</f>
        <v>|CffF0F0F0有几率获得|r|Cffffd24d很多好东西|r|Cfff0f0f0，也有可能|r|Cffcccccc打很多水漂|r|Cfff0f0f0。|n|n|r|Cff00ff7f观今夜星象，使劲抽就完事了...|r</v>
      </c>
      <c r="J202" s="135" t="str">
        <f t="shared" si="76"/>
        <v>|CffFFD24D占星卜卦|r - [|cffffcc0010连|r]</v>
      </c>
      <c r="K202" s="135" t="str">
        <f t="shared" si="77"/>
        <v>|CffF0F0F0有几率获得|r|Cffffd24d很多好东西|r|Cfff0f0f0，也有可能|r|Cffcccccc打很多水漂|r|Cfff0f0f0。|n|n|r|Cff00ff7f观今夜星象，使劲抽就完事了...|r</v>
      </c>
      <c r="L202" s="27"/>
      <c r="M202" s="136" t="str">
        <f>VLOOKUP(LEFT(RIGHT(B202,5),4),物品!B:CU,20,FALSE)</f>
        <v>ReplaceableTextures\\CommandButtons\\BTNIH00.blp</v>
      </c>
      <c r="N202" s="154" t="s">
        <v>83</v>
      </c>
      <c r="O202" s="136" t="s">
        <v>95</v>
      </c>
      <c r="P202" s="27">
        <v>0</v>
      </c>
      <c r="Q202" s="27">
        <v>0</v>
      </c>
      <c r="R202" s="154" t="s">
        <v>83</v>
      </c>
      <c r="S202" s="154" t="s">
        <v>83</v>
      </c>
      <c r="T202" s="154" t="s">
        <v>83</v>
      </c>
      <c r="U202" s="154" t="s">
        <v>83</v>
      </c>
      <c r="V202" s="27"/>
      <c r="W202" s="27" t="s">
        <v>88</v>
      </c>
      <c r="X202" s="27">
        <v>39999</v>
      </c>
      <c r="Y202" s="15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54" t="s">
        <v>83</v>
      </c>
      <c r="AF202" s="154" t="s">
        <v>83</v>
      </c>
      <c r="AG202" s="154" t="s">
        <v>83</v>
      </c>
      <c r="AH202" s="154" t="s">
        <v>83</v>
      </c>
      <c r="AI202" s="27">
        <v>1</v>
      </c>
      <c r="AJ202" s="27"/>
      <c r="AK202" s="27">
        <v>1</v>
      </c>
      <c r="AL202" s="27">
        <v>1</v>
      </c>
      <c r="AM202" s="154" t="s">
        <v>83</v>
      </c>
      <c r="AN202" s="27">
        <v>1</v>
      </c>
      <c r="AO202" s="27">
        <v>1</v>
      </c>
      <c r="AP202" s="27">
        <v>1</v>
      </c>
    </row>
    <row r="203" spans="1:42">
      <c r="A203" s="133"/>
      <c r="B203" s="27" t="str">
        <f>物品!B203</f>
        <v>IS13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|cffffd24d强化饰品等级|n|r</v>
      </c>
      <c r="I203" s="27" t="str">
        <f>VLOOKUP(B203,物品!B:CV,99,FALSE)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03" s="135" t="str">
        <f t="shared" si="76"/>
        <v>|cffffd24d强化饰品等级|n|r</v>
      </c>
      <c r="K203" s="135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03" s="27"/>
      <c r="M203" s="136" t="str">
        <f>VLOOKUP(LEFT(RIGHT(B203,5),4),物品!B:CU,20,FALSE)</f>
        <v>ReplaceableTextures\\CommandButtons\\BTNZ10.blp</v>
      </c>
      <c r="N203" s="154" t="s">
        <v>83</v>
      </c>
      <c r="O203" s="136" t="s">
        <v>95</v>
      </c>
      <c r="P203" s="27">
        <v>1</v>
      </c>
      <c r="Q203" s="27">
        <v>0</v>
      </c>
      <c r="R203" s="154" t="s">
        <v>83</v>
      </c>
      <c r="S203" s="154" t="s">
        <v>83</v>
      </c>
      <c r="T203" s="154" t="s">
        <v>83</v>
      </c>
      <c r="U203" s="154" t="s">
        <v>83</v>
      </c>
      <c r="V203" s="27"/>
      <c r="W203" s="27" t="s">
        <v>88</v>
      </c>
      <c r="X203" s="27">
        <v>0</v>
      </c>
      <c r="Y203" s="15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54" t="s">
        <v>83</v>
      </c>
      <c r="AF203" s="154" t="s">
        <v>83</v>
      </c>
      <c r="AG203" s="154" t="s">
        <v>83</v>
      </c>
      <c r="AH203" s="154" t="s">
        <v>83</v>
      </c>
      <c r="AI203" s="27">
        <v>1</v>
      </c>
      <c r="AJ203" s="27"/>
      <c r="AK203" s="27">
        <v>1</v>
      </c>
      <c r="AL203" s="27">
        <v>1</v>
      </c>
      <c r="AM203" s="154" t="s">
        <v>83</v>
      </c>
      <c r="AN203" s="27">
        <v>1</v>
      </c>
      <c r="AO203" s="27">
        <v>1</v>
      </c>
      <c r="AP203" s="27">
        <v>1</v>
      </c>
    </row>
    <row r="204" spans="1:42">
      <c r="A204" s="133"/>
      <c r="B204" s="27" t="str">
        <f>物品!B204</f>
        <v>IS14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|CffFFD24D强化药品等级|r</v>
      </c>
      <c r="I204" s="27" t="str">
        <f>VLOOKUP(B204,物品!B:CV,99,FALSE)</f>
        <v>|cffffcc00升级消耗：|r150+等级*150杀敌数|n|n|cff00ff7f最高升至10级|r</v>
      </c>
      <c r="J204" s="135" t="str">
        <f t="shared" ref="J204" si="86">H204</f>
        <v>|CffFFD24D强化药品等级|r</v>
      </c>
      <c r="K204" s="135" t="str">
        <f t="shared" ref="K204" si="87">I204</f>
        <v>|cffffcc00升级消耗：|r150+等级*150杀敌数|n|n|cff00ff7f最高升至10级|r</v>
      </c>
      <c r="L204" s="27"/>
      <c r="M204" s="136" t="str">
        <f>VLOOKUP(LEFT(RIGHT(B204,5),4),物品!B:CU,20,FALSE)</f>
        <v>ReplaceableTextures\\CommandButtons\\BTNAG06.blp</v>
      </c>
      <c r="N204" s="154" t="s">
        <v>83</v>
      </c>
      <c r="O204" s="136" t="s">
        <v>95</v>
      </c>
      <c r="P204" s="27">
        <v>0</v>
      </c>
      <c r="Q204" s="27">
        <v>1</v>
      </c>
      <c r="R204" s="154" t="s">
        <v>83</v>
      </c>
      <c r="S204" s="154" t="s">
        <v>83</v>
      </c>
      <c r="T204" s="154" t="s">
        <v>83</v>
      </c>
      <c r="U204" s="154" t="s">
        <v>83</v>
      </c>
      <c r="V204" s="27"/>
      <c r="W204" s="27" t="s">
        <v>88</v>
      </c>
      <c r="X204" s="27">
        <v>0</v>
      </c>
      <c r="Y204" s="15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54" t="s">
        <v>83</v>
      </c>
      <c r="AF204" s="154" t="s">
        <v>83</v>
      </c>
      <c r="AG204" s="154" t="s">
        <v>83</v>
      </c>
      <c r="AH204" s="154" t="s">
        <v>83</v>
      </c>
      <c r="AI204" s="27">
        <v>1</v>
      </c>
      <c r="AJ204" s="27"/>
      <c r="AK204" s="27">
        <v>1</v>
      </c>
      <c r="AL204" s="27">
        <v>1</v>
      </c>
      <c r="AM204" s="154" t="s">
        <v>83</v>
      </c>
      <c r="AN204" s="27">
        <v>1</v>
      </c>
      <c r="AO204" s="27">
        <v>1</v>
      </c>
      <c r="AP204" s="27">
        <v>1</v>
      </c>
    </row>
    <row r="205" spans="1:42">
      <c r="A205" s="133"/>
      <c r="B205" s="27" t="str">
        <f>物品!B205</f>
        <v>IB01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公众号礼包</v>
      </c>
      <c r="I205" s="27" t="str">
        <f>VLOOKUP(B205,物品!B:CV,99,FALSE)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5" s="135" t="str">
        <f t="shared" ref="J205:K209" si="88">H205</f>
        <v>公众号礼包</v>
      </c>
      <c r="K205" s="135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5" s="27"/>
      <c r="M205" s="136" t="str">
        <f>VLOOKUP(LEFT(RIGHT(B205,5),4),物品!B:CU,20,FALSE)</f>
        <v>ReplaceableTextures\\CommandButtons\\BTNIB01.blp</v>
      </c>
      <c r="N205" s="154" t="s">
        <v>83</v>
      </c>
      <c r="O205" s="136" t="s">
        <v>95</v>
      </c>
      <c r="P205" s="27">
        <v>0</v>
      </c>
      <c r="Q205" s="27">
        <v>0</v>
      </c>
      <c r="R205" s="154" t="s">
        <v>83</v>
      </c>
      <c r="S205" s="154" t="s">
        <v>83</v>
      </c>
      <c r="T205" s="154" t="s">
        <v>83</v>
      </c>
      <c r="U205" s="154" t="s">
        <v>83</v>
      </c>
      <c r="V205" s="27"/>
      <c r="W205" s="27" t="s">
        <v>88</v>
      </c>
      <c r="X205" s="27">
        <v>0</v>
      </c>
      <c r="Y205" s="15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54" t="s">
        <v>83</v>
      </c>
      <c r="AF205" s="154" t="s">
        <v>83</v>
      </c>
      <c r="AG205" s="154" t="s">
        <v>83</v>
      </c>
      <c r="AH205" s="154" t="s">
        <v>83</v>
      </c>
      <c r="AI205" s="27">
        <v>1</v>
      </c>
      <c r="AJ205" s="27"/>
      <c r="AK205" s="27">
        <v>1</v>
      </c>
      <c r="AL205" s="27">
        <v>1</v>
      </c>
      <c r="AM205" s="154" t="s">
        <v>83</v>
      </c>
      <c r="AN205" s="27">
        <v>1</v>
      </c>
      <c r="AO205" s="27">
        <v>1</v>
      </c>
      <c r="AP205" s="27">
        <v>1</v>
      </c>
    </row>
    <row r="206" spans="1:42">
      <c r="A206" s="133"/>
      <c r="B206" s="27" t="str">
        <f>物品!B206</f>
        <v>IB02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入群礼包</v>
      </c>
      <c r="I206" s="27" t="str">
        <f>VLOOKUP(B206,物品!B:CV,99,FALSE)</f>
        <v>加入《|cff00ffcc全民封神|r》官方QQ群，即可获得入群礼包码！|n|n输入礼包码即可获得：|n|cff00ff7f招魂幡Lv2|r</v>
      </c>
      <c r="J206" s="135" t="str">
        <f t="shared" si="88"/>
        <v>入群礼包</v>
      </c>
      <c r="K206" s="135" t="str">
        <f t="shared" si="88"/>
        <v>加入《|cff00ffcc全民封神|r》官方QQ群，即可获得入群礼包码！|n|n输入礼包码即可获得：|n|cff00ff7f招魂幡Lv2|r</v>
      </c>
      <c r="L206" s="27"/>
      <c r="M206" s="136" t="str">
        <f>VLOOKUP(LEFT(RIGHT(B206,5),4),物品!B:CU,20,FALSE)</f>
        <v>ReplaceableTextures\\CommandButtons\\BTNIB02.blp</v>
      </c>
      <c r="N206" s="154" t="s">
        <v>83</v>
      </c>
      <c r="O206" s="136" t="s">
        <v>95</v>
      </c>
      <c r="P206" s="27">
        <v>1</v>
      </c>
      <c r="Q206" s="27">
        <v>0</v>
      </c>
      <c r="R206" s="154" t="s">
        <v>83</v>
      </c>
      <c r="S206" s="154" t="s">
        <v>83</v>
      </c>
      <c r="T206" s="154" t="s">
        <v>83</v>
      </c>
      <c r="U206" s="154" t="s">
        <v>83</v>
      </c>
      <c r="V206" s="27"/>
      <c r="W206" s="27" t="s">
        <v>88</v>
      </c>
      <c r="X206" s="27">
        <v>0</v>
      </c>
      <c r="Y206" s="15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54" t="s">
        <v>83</v>
      </c>
      <c r="AF206" s="154" t="s">
        <v>83</v>
      </c>
      <c r="AG206" s="154" t="s">
        <v>83</v>
      </c>
      <c r="AH206" s="154" t="s">
        <v>83</v>
      </c>
      <c r="AI206" s="27">
        <v>1</v>
      </c>
      <c r="AJ206" s="27"/>
      <c r="AK206" s="27">
        <v>1</v>
      </c>
      <c r="AL206" s="27">
        <v>1</v>
      </c>
      <c r="AM206" s="154" t="s">
        <v>83</v>
      </c>
      <c r="AN206" s="27">
        <v>1</v>
      </c>
      <c r="AO206" s="27">
        <v>1</v>
      </c>
      <c r="AP206" s="27">
        <v>1</v>
      </c>
    </row>
    <row r="207" spans="1:42">
      <c r="A207" s="133"/>
      <c r="B207" s="27" t="str">
        <f>物品!B207</f>
        <v>IB03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拜年礼包</v>
      </c>
      <c r="I207" s="27" t="str">
        <f>VLOOKUP(B207,物品!B:CV,99,FALSE)</f>
        <v>|cff99ccff给与地图有效评论建议|r即可领取：|n|cffffff00杀敌生命+5+3*通行证等级|n杀敌业力+1|n|n|r|cff808080地图等级达到3级可领取|r</v>
      </c>
      <c r="J207" s="135" t="str">
        <f t="shared" si="88"/>
        <v>拜年礼包</v>
      </c>
      <c r="K207" s="135" t="str">
        <f t="shared" si="88"/>
        <v>|cff99ccff给与地图有效评论建议|r即可领取：|n|cffffff00杀敌生命+5+3*通行证等级|n杀敌业力+1|n|n|r|cff808080地图等级达到3级可领取|r</v>
      </c>
      <c r="L207" s="27"/>
      <c r="M207" s="136" t="str">
        <f>VLOOKUP(LEFT(RIGHT(B207,5),4),物品!B:CU,20,FALSE)</f>
        <v>ReplaceableTextures\\CommandButtons\\BTNIB03.blp</v>
      </c>
      <c r="N207" s="154" t="s">
        <v>83</v>
      </c>
      <c r="O207" s="136" t="s">
        <v>95</v>
      </c>
      <c r="P207" s="27">
        <v>2</v>
      </c>
      <c r="Q207" s="27">
        <v>0</v>
      </c>
      <c r="R207" s="154" t="s">
        <v>83</v>
      </c>
      <c r="S207" s="154" t="s">
        <v>83</v>
      </c>
      <c r="T207" s="154" t="s">
        <v>83</v>
      </c>
      <c r="U207" s="154" t="s">
        <v>83</v>
      </c>
      <c r="V207" s="27"/>
      <c r="W207" s="27" t="s">
        <v>88</v>
      </c>
      <c r="X207" s="27">
        <v>0</v>
      </c>
      <c r="Y207" s="15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54" t="s">
        <v>83</v>
      </c>
      <c r="AF207" s="154" t="s">
        <v>83</v>
      </c>
      <c r="AG207" s="154" t="s">
        <v>83</v>
      </c>
      <c r="AH207" s="154" t="s">
        <v>83</v>
      </c>
      <c r="AI207" s="27">
        <v>1</v>
      </c>
      <c r="AJ207" s="27"/>
      <c r="AK207" s="27">
        <v>1</v>
      </c>
      <c r="AL207" s="27">
        <v>1</v>
      </c>
      <c r="AM207" s="154" t="s">
        <v>83</v>
      </c>
      <c r="AN207" s="27">
        <v>1</v>
      </c>
      <c r="AO207" s="27">
        <v>1</v>
      </c>
      <c r="AP207" s="27">
        <v>1</v>
      </c>
    </row>
    <row r="208" spans="1:42">
      <c r="A208" s="133"/>
      <c r="B208" s="27" t="str">
        <f>物品!B208</f>
        <v>IB04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收藏礼包</v>
      </c>
      <c r="I208" s="27" t="str">
        <f>VLOOKUP(B208,物品!B:CV,99,FALSE)</f>
        <v>|cff99ccff房间大厅界面点击右上角《|r|cffcc99ff收藏|r|cff99ccff》后可领取该礼包。|n|n|r属性：|n|cffffcc33物理伤害+5%|n法术伤害+5%|r</v>
      </c>
      <c r="J208" s="135" t="str">
        <f t="shared" si="88"/>
        <v>收藏礼包</v>
      </c>
      <c r="K208" s="135" t="str">
        <f t="shared" si="88"/>
        <v>|cff99ccff房间大厅界面点击右上角《|r|cffcc99ff收藏|r|cff99ccff》后可领取该礼包。|n|n|r属性：|n|cffffcc33物理伤害+5%|n法术伤害+5%|r</v>
      </c>
      <c r="L208" s="27"/>
      <c r="M208" s="136" t="str">
        <f>VLOOKUP(LEFT(RIGHT(B208,5),4),物品!B:CU,20,FALSE)</f>
        <v>ReplaceableTextures\\CommandButtons\\BTNIB04.blp</v>
      </c>
      <c r="N208" s="154" t="s">
        <v>83</v>
      </c>
      <c r="O208" s="136" t="s">
        <v>95</v>
      </c>
      <c r="P208" s="27">
        <v>3</v>
      </c>
      <c r="Q208" s="27">
        <v>0</v>
      </c>
      <c r="R208" s="154" t="s">
        <v>83</v>
      </c>
      <c r="S208" s="154" t="s">
        <v>83</v>
      </c>
      <c r="T208" s="154" t="s">
        <v>83</v>
      </c>
      <c r="U208" s="154" t="s">
        <v>83</v>
      </c>
      <c r="V208" s="27"/>
      <c r="W208" s="27" t="s">
        <v>88</v>
      </c>
      <c r="X208" s="27">
        <v>0</v>
      </c>
      <c r="Y208" s="15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54" t="s">
        <v>83</v>
      </c>
      <c r="AF208" s="154" t="s">
        <v>83</v>
      </c>
      <c r="AG208" s="154" t="s">
        <v>83</v>
      </c>
      <c r="AH208" s="154" t="s">
        <v>83</v>
      </c>
      <c r="AI208" s="27">
        <v>1</v>
      </c>
      <c r="AJ208" s="27"/>
      <c r="AK208" s="27">
        <v>1</v>
      </c>
      <c r="AL208" s="27">
        <v>1</v>
      </c>
      <c r="AM208" s="154" t="s">
        <v>83</v>
      </c>
      <c r="AN208" s="27">
        <v>1</v>
      </c>
      <c r="AO208" s="27">
        <v>1</v>
      </c>
      <c r="AP208" s="27">
        <v>1</v>
      </c>
    </row>
    <row r="209" spans="1:42">
      <c r="A209" s="133"/>
      <c r="B209" s="27" t="str">
        <f>物品!B209</f>
        <v>IB05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重置版礼包</v>
      </c>
      <c r="I209" s="27" t="str">
        <f>VLOOKUP(B209,物品!B:CV,99,FALSE)</f>
        <v>|cff33ff00购买魔兽重制版可领取该礼包！|n|n|r属性：|n|cffffcc33金币+1000|n每秒攻击+2|n每秒业力+1|r</v>
      </c>
      <c r="J209" s="135" t="str">
        <f t="shared" si="88"/>
        <v>重置版礼包</v>
      </c>
      <c r="K209" s="135" t="str">
        <f t="shared" si="88"/>
        <v>|cff33ff00购买魔兽重制版可领取该礼包！|n|n|r属性：|n|cffffcc33金币+1000|n每秒攻击+2|n每秒业力+1|r</v>
      </c>
      <c r="L209" s="27"/>
      <c r="M209" s="136" t="str">
        <f>VLOOKUP(LEFT(RIGHT(B209,5),4),物品!B:CU,20,FALSE)</f>
        <v>ReplaceableTextures\\CommandButtons\\BTNIB05.blp</v>
      </c>
      <c r="N209" s="154" t="s">
        <v>83</v>
      </c>
      <c r="O209" s="136" t="s">
        <v>95</v>
      </c>
      <c r="P209" s="27">
        <v>0</v>
      </c>
      <c r="Q209" s="27">
        <v>1</v>
      </c>
      <c r="R209" s="154" t="s">
        <v>83</v>
      </c>
      <c r="S209" s="154" t="s">
        <v>83</v>
      </c>
      <c r="T209" s="154" t="s">
        <v>83</v>
      </c>
      <c r="U209" s="154" t="s">
        <v>83</v>
      </c>
      <c r="V209" s="27"/>
      <c r="W209" s="27" t="s">
        <v>88</v>
      </c>
      <c r="X209" s="27">
        <v>0</v>
      </c>
      <c r="Y209" s="15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54" t="s">
        <v>83</v>
      </c>
      <c r="AF209" s="154" t="s">
        <v>83</v>
      </c>
      <c r="AG209" s="154" t="s">
        <v>83</v>
      </c>
      <c r="AH209" s="154" t="s">
        <v>83</v>
      </c>
      <c r="AI209" s="27">
        <v>1</v>
      </c>
      <c r="AJ209" s="27"/>
      <c r="AK209" s="27">
        <v>1</v>
      </c>
      <c r="AL209" s="27">
        <v>1</v>
      </c>
      <c r="AM209" s="154" t="s">
        <v>83</v>
      </c>
      <c r="AN209" s="27">
        <v>1</v>
      </c>
      <c r="AO209" s="27">
        <v>1</v>
      </c>
      <c r="AP209" s="27">
        <v>1</v>
      </c>
    </row>
    <row r="210" spans="1:42">
      <c r="A210" s="133"/>
      <c r="B210" s="27" t="str">
        <f>物品!B210</f>
        <v>IB06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公会福利</v>
      </c>
      <c r="I210" s="27" t="str">
        <f>VLOOKUP(B210,物品!B:CV,99,FALSE)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0" s="135" t="str">
        <f t="shared" ref="J210:J214" si="89">H210</f>
        <v>公会福利</v>
      </c>
      <c r="K210" s="135" t="str">
        <f t="shared" ref="K210:K214" si="90">I210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0" s="27"/>
      <c r="M210" s="136" t="str">
        <f>VLOOKUP(LEFT(RIGHT(B210,5),4),物品!B:CU,20,FALSE)</f>
        <v>ReplaceableTextures\\CommandButtons\\BTNIB06.blp</v>
      </c>
      <c r="N210" s="154" t="s">
        <v>83</v>
      </c>
      <c r="O210" s="136" t="s">
        <v>95</v>
      </c>
      <c r="P210" s="27">
        <v>1</v>
      </c>
      <c r="Q210" s="27">
        <v>1</v>
      </c>
      <c r="R210" s="154" t="s">
        <v>83</v>
      </c>
      <c r="S210" s="154" t="s">
        <v>83</v>
      </c>
      <c r="T210" s="154" t="s">
        <v>83</v>
      </c>
      <c r="U210" s="154" t="s">
        <v>83</v>
      </c>
      <c r="V210" s="27"/>
      <c r="W210" s="27" t="s">
        <v>88</v>
      </c>
      <c r="X210" s="27">
        <v>0</v>
      </c>
      <c r="Y210" s="15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54" t="s">
        <v>83</v>
      </c>
      <c r="AF210" s="154" t="s">
        <v>83</v>
      </c>
      <c r="AG210" s="154" t="s">
        <v>83</v>
      </c>
      <c r="AH210" s="154" t="s">
        <v>83</v>
      </c>
      <c r="AI210" s="27">
        <v>1</v>
      </c>
      <c r="AJ210" s="27"/>
      <c r="AK210" s="27">
        <v>1</v>
      </c>
      <c r="AL210" s="27">
        <v>1</v>
      </c>
      <c r="AM210" s="154" t="s">
        <v>83</v>
      </c>
      <c r="AN210" s="27">
        <v>1</v>
      </c>
      <c r="AO210" s="27">
        <v>1</v>
      </c>
      <c r="AP210" s="27">
        <v>1</v>
      </c>
    </row>
    <row r="211" spans="1:42">
      <c r="A211" s="133"/>
      <c r="B211" s="27" t="str">
        <f>物品!B211</f>
        <v>IB07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星耀礼包</v>
      </c>
      <c r="I211" s="27" t="str">
        <f>VLOOKUP(B211,物品!B:CV,99,FALSE)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1" s="135" t="str">
        <f t="shared" si="89"/>
        <v>星耀礼包</v>
      </c>
      <c r="K211" s="135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1" s="27"/>
      <c r="M211" s="136" t="str">
        <f>VLOOKUP(LEFT(RIGHT(B211,5),4),物品!B:CU,20,FALSE)</f>
        <v>ReplaceableTextures\\CommandButtons\\BTNIB07.blp</v>
      </c>
      <c r="N211" s="154" t="s">
        <v>83</v>
      </c>
      <c r="O211" s="136" t="s">
        <v>95</v>
      </c>
      <c r="P211" s="27">
        <v>2</v>
      </c>
      <c r="Q211" s="27">
        <v>1</v>
      </c>
      <c r="R211" s="154" t="s">
        <v>83</v>
      </c>
      <c r="S211" s="154" t="s">
        <v>83</v>
      </c>
      <c r="T211" s="154" t="s">
        <v>83</v>
      </c>
      <c r="U211" s="154" t="s">
        <v>83</v>
      </c>
      <c r="V211" s="27"/>
      <c r="W211" s="27" t="s">
        <v>88</v>
      </c>
      <c r="X211" s="27">
        <v>0</v>
      </c>
      <c r="Y211" s="15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4" t="s">
        <v>83</v>
      </c>
      <c r="AF211" s="154" t="s">
        <v>83</v>
      </c>
      <c r="AG211" s="154" t="s">
        <v>83</v>
      </c>
      <c r="AH211" s="154" t="s">
        <v>83</v>
      </c>
      <c r="AI211" s="27">
        <v>1</v>
      </c>
      <c r="AJ211" s="27"/>
      <c r="AK211" s="27">
        <v>1</v>
      </c>
      <c r="AL211" s="27">
        <v>1</v>
      </c>
      <c r="AM211" s="154" t="s">
        <v>83</v>
      </c>
      <c r="AN211" s="27">
        <v>1</v>
      </c>
      <c r="AO211" s="27">
        <v>1</v>
      </c>
      <c r="AP211" s="27">
        <v>1</v>
      </c>
    </row>
    <row r="212" spans="1:42">
      <c r="A212" s="133"/>
      <c r="B212" s="27" t="str">
        <f>物品!B212</f>
        <v>IB08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魔芝RPG礼包</v>
      </c>
      <c r="I212" s="27" t="str">
        <f>VLOOKUP(B212,物品!B:CV,99,FALSE)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2" s="135" t="str">
        <f t="shared" si="89"/>
        <v>魔芝RPG礼包</v>
      </c>
      <c r="K212" s="135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2" s="27"/>
      <c r="M212" s="136" t="str">
        <f>VLOOKUP(LEFT(RIGHT(B212,5),4),物品!B:CU,20,FALSE)</f>
        <v>ReplaceableTextures\\CommandButtons\\BTNIB08.blp</v>
      </c>
      <c r="N212" s="154" t="s">
        <v>83</v>
      </c>
      <c r="O212" s="136" t="s">
        <v>95</v>
      </c>
      <c r="P212" s="27">
        <v>2</v>
      </c>
      <c r="Q212" s="27">
        <v>0</v>
      </c>
      <c r="R212" s="154" t="s">
        <v>83</v>
      </c>
      <c r="S212" s="154" t="s">
        <v>83</v>
      </c>
      <c r="T212" s="154" t="s">
        <v>83</v>
      </c>
      <c r="U212" s="154" t="s">
        <v>83</v>
      </c>
      <c r="V212" s="27"/>
      <c r="W212" s="27" t="s">
        <v>88</v>
      </c>
      <c r="X212" s="27">
        <v>0</v>
      </c>
      <c r="Y212" s="15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4" t="s">
        <v>83</v>
      </c>
      <c r="AF212" s="154" t="s">
        <v>83</v>
      </c>
      <c r="AG212" s="154" t="s">
        <v>83</v>
      </c>
      <c r="AH212" s="154" t="s">
        <v>83</v>
      </c>
      <c r="AI212" s="27">
        <v>1</v>
      </c>
      <c r="AJ212" s="27"/>
      <c r="AK212" s="27">
        <v>1</v>
      </c>
      <c r="AL212" s="27">
        <v>1</v>
      </c>
      <c r="AM212" s="154" t="s">
        <v>83</v>
      </c>
      <c r="AN212" s="27">
        <v>1</v>
      </c>
      <c r="AO212" s="27">
        <v>1</v>
      </c>
      <c r="AP212" s="27">
        <v>1</v>
      </c>
    </row>
    <row r="213" spans="1:42">
      <c r="A213" s="133"/>
      <c r="B213" s="27" t="str">
        <f>物品!B213</f>
        <v>IB09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老铁礼包</v>
      </c>
      <c r="I213" s="27">
        <f>VLOOKUP(B213,物品!B:CV,99,FALSE)</f>
        <v>0</v>
      </c>
      <c r="J213" s="135" t="str">
        <f t="shared" si="89"/>
        <v>老铁礼包</v>
      </c>
      <c r="K213" s="135">
        <f t="shared" si="90"/>
        <v>0</v>
      </c>
      <c r="L213" s="27"/>
      <c r="M213" s="136" t="str">
        <f>VLOOKUP(LEFT(RIGHT(B213,5),4),物品!B:CU,20,FALSE)</f>
        <v>ReplaceableTextures\\CommandButtons\\BTNIB09.blp</v>
      </c>
      <c r="N213" s="154" t="s">
        <v>83</v>
      </c>
      <c r="O213" s="136" t="s">
        <v>95</v>
      </c>
      <c r="P213" s="27">
        <v>0</v>
      </c>
      <c r="Q213" s="27">
        <v>0</v>
      </c>
      <c r="R213" s="154" t="s">
        <v>83</v>
      </c>
      <c r="S213" s="154" t="s">
        <v>83</v>
      </c>
      <c r="T213" s="154" t="s">
        <v>83</v>
      </c>
      <c r="U213" s="154" t="s">
        <v>83</v>
      </c>
      <c r="V213" s="27"/>
      <c r="W213" s="27" t="s">
        <v>88</v>
      </c>
      <c r="X213" s="27">
        <v>0</v>
      </c>
      <c r="Y213" s="154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4" t="s">
        <v>83</v>
      </c>
      <c r="AF213" s="154" t="s">
        <v>83</v>
      </c>
      <c r="AG213" s="154" t="s">
        <v>83</v>
      </c>
      <c r="AH213" s="154" t="s">
        <v>83</v>
      </c>
      <c r="AI213" s="27">
        <v>1</v>
      </c>
      <c r="AJ213" s="27"/>
      <c r="AK213" s="27">
        <v>1</v>
      </c>
      <c r="AL213" s="27">
        <v>1</v>
      </c>
      <c r="AM213" s="154" t="s">
        <v>83</v>
      </c>
      <c r="AN213" s="27">
        <v>1</v>
      </c>
      <c r="AO213" s="27">
        <v>1</v>
      </c>
      <c r="AP213" s="27">
        <v>1</v>
      </c>
    </row>
    <row r="214" spans="1:42">
      <c r="A214" s="133"/>
      <c r="B214" s="27" t="str">
        <f>物品!B214</f>
        <v>IB51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已领取公众号礼包</v>
      </c>
      <c r="I214" s="27" t="str">
        <f>VLOOKUP(B214,物品!B:CV,99,FALSE)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4" s="135" t="str">
        <f t="shared" si="89"/>
        <v>已领取公众号礼包</v>
      </c>
      <c r="K214" s="135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4" s="27"/>
      <c r="M214" s="136" t="str">
        <f>VLOOKUP(LEFT(RIGHT(B214,5),4),物品!B:CU,20,FALSE)</f>
        <v>ReplaceableTextures\\commandButtons\\BTNLBUI01.blp</v>
      </c>
      <c r="N214" s="154" t="s">
        <v>83</v>
      </c>
      <c r="O214" s="136" t="s">
        <v>95</v>
      </c>
      <c r="P214" s="27">
        <v>0</v>
      </c>
      <c r="Q214" s="27">
        <v>0</v>
      </c>
      <c r="R214" s="154" t="s">
        <v>83</v>
      </c>
      <c r="S214" s="154" t="s">
        <v>83</v>
      </c>
      <c r="T214" s="154" t="s">
        <v>83</v>
      </c>
      <c r="U214" s="154" t="s">
        <v>83</v>
      </c>
      <c r="V214" s="27"/>
      <c r="W214" s="27" t="s">
        <v>88</v>
      </c>
      <c r="X214" s="27">
        <v>0</v>
      </c>
      <c r="Y214" s="154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54" t="s">
        <v>83</v>
      </c>
      <c r="AF214" s="154" t="s">
        <v>83</v>
      </c>
      <c r="AG214" s="154" t="s">
        <v>83</v>
      </c>
      <c r="AH214" s="154" t="s">
        <v>83</v>
      </c>
      <c r="AI214" s="27">
        <v>1</v>
      </c>
      <c r="AJ214" s="27"/>
      <c r="AK214" s="27">
        <v>1</v>
      </c>
      <c r="AL214" s="27">
        <v>1</v>
      </c>
      <c r="AM214" s="154" t="s">
        <v>83</v>
      </c>
      <c r="AN214" s="27">
        <v>1</v>
      </c>
      <c r="AO214" s="27">
        <v>1</v>
      </c>
      <c r="AP214" s="27">
        <v>1</v>
      </c>
    </row>
    <row r="215" spans="1:42">
      <c r="A215" s="133"/>
      <c r="B215" s="27" t="str">
        <f>物品!B215</f>
        <v>IB52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已领取入群礼包</v>
      </c>
      <c r="I215" s="27" t="str">
        <f>VLOOKUP(B215,物品!B:CV,99,FALSE)</f>
        <v>加入《|cff00ffcc全民封神|r》官方QQ群，即可获得入群礼包码！|n|n输入礼包码即可获得：|n|cff00ff7f招魂幡Lv2|r</v>
      </c>
      <c r="J215" s="135" t="str">
        <f t="shared" ref="J215:J226" si="91">H215</f>
        <v>已领取入群礼包</v>
      </c>
      <c r="K215" s="135" t="str">
        <f t="shared" ref="K215:K226" si="92">I215</f>
        <v>加入《|cff00ffcc全民封神|r》官方QQ群，即可获得入群礼包码！|n|n输入礼包码即可获得：|n|cff00ff7f招魂幡Lv2|r</v>
      </c>
      <c r="L215" s="27"/>
      <c r="M215" s="136" t="str">
        <f>VLOOKUP(LEFT(RIGHT(B215,5),4),物品!B:CU,20,FALSE)</f>
        <v>ReplaceableTextures\\commandButtons\\BTNLBUI01.blp</v>
      </c>
      <c r="N215" s="154" t="s">
        <v>83</v>
      </c>
      <c r="O215" s="136" t="s">
        <v>95</v>
      </c>
      <c r="P215" s="27">
        <v>1</v>
      </c>
      <c r="Q215" s="27">
        <v>0</v>
      </c>
      <c r="R215" s="154" t="s">
        <v>83</v>
      </c>
      <c r="S215" s="154" t="s">
        <v>83</v>
      </c>
      <c r="T215" s="154" t="s">
        <v>83</v>
      </c>
      <c r="U215" s="154" t="s">
        <v>83</v>
      </c>
      <c r="V215" s="27"/>
      <c r="W215" s="27" t="s">
        <v>88</v>
      </c>
      <c r="X215" s="27">
        <v>0</v>
      </c>
      <c r="Y215" s="154" t="s">
        <v>83</v>
      </c>
      <c r="Z215" s="27">
        <v>0</v>
      </c>
      <c r="AA215" s="27">
        <v>0</v>
      </c>
      <c r="AB215" s="27">
        <v>0</v>
      </c>
      <c r="AC215" s="27">
        <v>0</v>
      </c>
      <c r="AD215" s="27">
        <v>1</v>
      </c>
      <c r="AE215" s="154" t="s">
        <v>83</v>
      </c>
      <c r="AF215" s="154" t="s">
        <v>83</v>
      </c>
      <c r="AG215" s="154" t="s">
        <v>83</v>
      </c>
      <c r="AH215" s="154" t="s">
        <v>83</v>
      </c>
      <c r="AI215" s="27">
        <v>1</v>
      </c>
      <c r="AJ215" s="27"/>
      <c r="AK215" s="27">
        <v>1</v>
      </c>
      <c r="AL215" s="27">
        <v>1</v>
      </c>
      <c r="AM215" s="154" t="s">
        <v>83</v>
      </c>
      <c r="AN215" s="27">
        <v>1</v>
      </c>
      <c r="AO215" s="27">
        <v>1</v>
      </c>
      <c r="AP215" s="27">
        <v>1</v>
      </c>
    </row>
    <row r="216" spans="1:42">
      <c r="A216" s="133"/>
      <c r="B216" s="27" t="str">
        <f>物品!B216</f>
        <v>IB53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已领取拜年礼包</v>
      </c>
      <c r="I216" s="27" t="str">
        <f>VLOOKUP(B216,物品!B:CV,99,FALSE)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16" s="135" t="str">
        <f t="shared" si="91"/>
        <v>已领取拜年礼包</v>
      </c>
      <c r="K216" s="135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16" s="27"/>
      <c r="M216" s="136" t="str">
        <f>VLOOKUP(LEFT(RIGHT(B216,5),4),物品!B:CU,20,FALSE)</f>
        <v>ReplaceableTextures\\commandButtons\\BTNLBUI01.blp</v>
      </c>
      <c r="N216" s="154" t="s">
        <v>83</v>
      </c>
      <c r="O216" s="136" t="s">
        <v>95</v>
      </c>
      <c r="P216" s="27">
        <v>2</v>
      </c>
      <c r="Q216" s="27">
        <v>0</v>
      </c>
      <c r="R216" s="154" t="s">
        <v>83</v>
      </c>
      <c r="S216" s="154" t="s">
        <v>83</v>
      </c>
      <c r="T216" s="154" t="s">
        <v>83</v>
      </c>
      <c r="U216" s="154" t="s">
        <v>83</v>
      </c>
      <c r="V216" s="27"/>
      <c r="W216" s="27" t="s">
        <v>88</v>
      </c>
      <c r="X216" s="27">
        <v>0</v>
      </c>
      <c r="Y216" s="154" t="s">
        <v>83</v>
      </c>
      <c r="Z216" s="27">
        <v>0</v>
      </c>
      <c r="AA216" s="27">
        <v>0</v>
      </c>
      <c r="AB216" s="27">
        <v>0</v>
      </c>
      <c r="AC216" s="27">
        <v>0</v>
      </c>
      <c r="AD216" s="27">
        <v>1</v>
      </c>
      <c r="AE216" s="154" t="s">
        <v>83</v>
      </c>
      <c r="AF216" s="154" t="s">
        <v>83</v>
      </c>
      <c r="AG216" s="154" t="s">
        <v>83</v>
      </c>
      <c r="AH216" s="154" t="s">
        <v>83</v>
      </c>
      <c r="AI216" s="27">
        <v>1</v>
      </c>
      <c r="AJ216" s="27"/>
      <c r="AK216" s="27">
        <v>1</v>
      </c>
      <c r="AL216" s="27">
        <v>1</v>
      </c>
      <c r="AM216" s="154" t="s">
        <v>83</v>
      </c>
      <c r="AN216" s="27">
        <v>1</v>
      </c>
      <c r="AO216" s="27">
        <v>1</v>
      </c>
      <c r="AP216" s="27">
        <v>1</v>
      </c>
    </row>
    <row r="217" spans="1:42">
      <c r="A217" s="133"/>
      <c r="B217" s="27" t="str">
        <f>物品!B217</f>
        <v>IB54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已领取收藏礼包</v>
      </c>
      <c r="I217" s="27" t="str">
        <f>VLOOKUP(B217,物品!B:CV,99,FALSE)</f>
        <v>|cff99ccff房间大厅界面点击右上角《|r|cffcc99ff收藏|r|cff99ccff》后可领取该礼包。|n|n|r属性：|n|cffffcc33物理伤害+5%|n法术伤害+5%|r</v>
      </c>
      <c r="J217" s="135" t="str">
        <f t="shared" si="91"/>
        <v>已领取收藏礼包</v>
      </c>
      <c r="K217" s="135" t="str">
        <f t="shared" si="92"/>
        <v>|cff99ccff房间大厅界面点击右上角《|r|cffcc99ff收藏|r|cff99ccff》后可领取该礼包。|n|n|r属性：|n|cffffcc33物理伤害+5%|n法术伤害+5%|r</v>
      </c>
      <c r="L217" s="27"/>
      <c r="M217" s="136" t="str">
        <f>VLOOKUP(LEFT(RIGHT(B217,5),4),物品!B:CU,20,FALSE)</f>
        <v>ReplaceableTextures\\commandButtons\\BTNLBUI01.blp</v>
      </c>
      <c r="N217" s="154" t="s">
        <v>83</v>
      </c>
      <c r="O217" s="136" t="s">
        <v>95</v>
      </c>
      <c r="P217" s="27">
        <v>3</v>
      </c>
      <c r="Q217" s="27">
        <v>0</v>
      </c>
      <c r="R217" s="154" t="s">
        <v>83</v>
      </c>
      <c r="S217" s="154" t="s">
        <v>83</v>
      </c>
      <c r="T217" s="154" t="s">
        <v>83</v>
      </c>
      <c r="U217" s="154" t="s">
        <v>83</v>
      </c>
      <c r="V217" s="27"/>
      <c r="W217" s="27" t="s">
        <v>88</v>
      </c>
      <c r="X217" s="27">
        <v>0</v>
      </c>
      <c r="Y217" s="154" t="s">
        <v>83</v>
      </c>
      <c r="Z217" s="27">
        <v>0</v>
      </c>
      <c r="AA217" s="27">
        <v>0</v>
      </c>
      <c r="AB217" s="27">
        <v>0</v>
      </c>
      <c r="AC217" s="27">
        <v>0</v>
      </c>
      <c r="AD217" s="27">
        <v>1</v>
      </c>
      <c r="AE217" s="154" t="s">
        <v>83</v>
      </c>
      <c r="AF217" s="154" t="s">
        <v>83</v>
      </c>
      <c r="AG217" s="154" t="s">
        <v>83</v>
      </c>
      <c r="AH217" s="154" t="s">
        <v>83</v>
      </c>
      <c r="AI217" s="27">
        <v>1</v>
      </c>
      <c r="AJ217" s="27"/>
      <c r="AK217" s="27">
        <v>1</v>
      </c>
      <c r="AL217" s="27">
        <v>1</v>
      </c>
      <c r="AM217" s="154" t="s">
        <v>83</v>
      </c>
      <c r="AN217" s="27">
        <v>1</v>
      </c>
      <c r="AO217" s="27">
        <v>1</v>
      </c>
      <c r="AP217" s="27">
        <v>1</v>
      </c>
    </row>
    <row r="218" spans="1:42">
      <c r="A218" s="133"/>
      <c r="B218" s="27" t="str">
        <f>物品!B218</f>
        <v>IB55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已领取重置版礼包</v>
      </c>
      <c r="I218" s="27" t="str">
        <f>VLOOKUP(B218,物品!B:CV,99,FALSE)</f>
        <v>|cff33ff00购买魔兽重制版可领取该礼包！|n|n|r属性：|n|cffffcc33金币+1000|n每秒攻击+2|n每秒业力+1|r</v>
      </c>
      <c r="J218" s="135" t="str">
        <f t="shared" si="91"/>
        <v>已领取重置版礼包</v>
      </c>
      <c r="K218" s="135" t="str">
        <f t="shared" si="92"/>
        <v>|cff33ff00购买魔兽重制版可领取该礼包！|n|n|r属性：|n|cffffcc33金币+1000|n每秒攻击+2|n每秒业力+1|r</v>
      </c>
      <c r="L218" s="27"/>
      <c r="M218" s="136" t="str">
        <f>VLOOKUP(LEFT(RIGHT(B218,5),4),物品!B:CU,20,FALSE)</f>
        <v>ReplaceableTextures\\commandButtons\\BTNLBUI01.blp</v>
      </c>
      <c r="N218" s="154" t="s">
        <v>83</v>
      </c>
      <c r="O218" s="136" t="s">
        <v>95</v>
      </c>
      <c r="P218" s="27">
        <v>0</v>
      </c>
      <c r="Q218" s="27">
        <v>1</v>
      </c>
      <c r="R218" s="154" t="s">
        <v>83</v>
      </c>
      <c r="S218" s="154" t="s">
        <v>83</v>
      </c>
      <c r="T218" s="154" t="s">
        <v>83</v>
      </c>
      <c r="U218" s="154" t="s">
        <v>83</v>
      </c>
      <c r="V218" s="27"/>
      <c r="W218" s="27" t="s">
        <v>88</v>
      </c>
      <c r="X218" s="27">
        <v>0</v>
      </c>
      <c r="Y218" s="154" t="s">
        <v>83</v>
      </c>
      <c r="Z218" s="27">
        <v>0</v>
      </c>
      <c r="AA218" s="27">
        <v>0</v>
      </c>
      <c r="AB218" s="27">
        <v>0</v>
      </c>
      <c r="AC218" s="27">
        <v>0</v>
      </c>
      <c r="AD218" s="27">
        <v>1</v>
      </c>
      <c r="AE218" s="154" t="s">
        <v>83</v>
      </c>
      <c r="AF218" s="154" t="s">
        <v>83</v>
      </c>
      <c r="AG218" s="154" t="s">
        <v>83</v>
      </c>
      <c r="AH218" s="154" t="s">
        <v>83</v>
      </c>
      <c r="AI218" s="27">
        <v>1</v>
      </c>
      <c r="AJ218" s="27"/>
      <c r="AK218" s="27">
        <v>1</v>
      </c>
      <c r="AL218" s="27">
        <v>1</v>
      </c>
      <c r="AM218" s="154" t="s">
        <v>83</v>
      </c>
      <c r="AN218" s="27">
        <v>1</v>
      </c>
      <c r="AO218" s="27">
        <v>1</v>
      </c>
      <c r="AP218" s="27">
        <v>1</v>
      </c>
    </row>
    <row r="219" spans="1:42">
      <c r="A219" s="133"/>
      <c r="B219" s="27" t="str">
        <f>物品!B219</f>
        <v>IB56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已领取公会福利</v>
      </c>
      <c r="I219" s="27" t="str">
        <f>VLOOKUP(B219,物品!B:CV,99,FALSE)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9" s="135" t="str">
        <f t="shared" si="91"/>
        <v>已领取公会福利</v>
      </c>
      <c r="K219" s="135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9" s="27"/>
      <c r="M219" s="136" t="str">
        <f>VLOOKUP(LEFT(RIGHT(B219,5),4),物品!B:CU,20,FALSE)</f>
        <v>ReplaceableTextures\\commandButtons\\BTNLBUI01.blp</v>
      </c>
      <c r="N219" s="154" t="s">
        <v>83</v>
      </c>
      <c r="O219" s="136" t="s">
        <v>95</v>
      </c>
      <c r="P219" s="27">
        <v>1</v>
      </c>
      <c r="Q219" s="27">
        <v>1</v>
      </c>
      <c r="R219" s="154" t="s">
        <v>83</v>
      </c>
      <c r="S219" s="154" t="s">
        <v>83</v>
      </c>
      <c r="T219" s="154" t="s">
        <v>83</v>
      </c>
      <c r="U219" s="154" t="s">
        <v>83</v>
      </c>
      <c r="V219" s="27"/>
      <c r="W219" s="27" t="s">
        <v>88</v>
      </c>
      <c r="X219" s="27">
        <v>0</v>
      </c>
      <c r="Y219" s="154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54" t="s">
        <v>83</v>
      </c>
      <c r="AF219" s="154" t="s">
        <v>83</v>
      </c>
      <c r="AG219" s="154" t="s">
        <v>83</v>
      </c>
      <c r="AH219" s="154" t="s">
        <v>83</v>
      </c>
      <c r="AI219" s="27">
        <v>1</v>
      </c>
      <c r="AJ219" s="27"/>
      <c r="AK219" s="27">
        <v>1</v>
      </c>
      <c r="AL219" s="27">
        <v>1</v>
      </c>
      <c r="AM219" s="154" t="s">
        <v>83</v>
      </c>
      <c r="AN219" s="27">
        <v>1</v>
      </c>
      <c r="AO219" s="27">
        <v>1</v>
      </c>
      <c r="AP219" s="27">
        <v>1</v>
      </c>
    </row>
    <row r="220" spans="1:42">
      <c r="A220" s="133"/>
      <c r="B220" s="27" t="str">
        <f>物品!B220</f>
        <v>IB57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已领取星耀礼包</v>
      </c>
      <c r="I220" s="27" t="str">
        <f>VLOOKUP(B220,物品!B:CV,99,FALSE)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0" s="135" t="str">
        <f t="shared" si="91"/>
        <v>已领取星耀礼包</v>
      </c>
      <c r="K220" s="135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0" s="27"/>
      <c r="M220" s="136" t="str">
        <f>VLOOKUP(LEFT(RIGHT(B220,5),4),物品!B:CU,20,FALSE)</f>
        <v>ReplaceableTextures\\commandButtons\\BTNLBUI01.blp</v>
      </c>
      <c r="N220" s="154" t="s">
        <v>83</v>
      </c>
      <c r="O220" s="136" t="s">
        <v>95</v>
      </c>
      <c r="P220" s="27">
        <v>2</v>
      </c>
      <c r="Q220" s="27">
        <v>1</v>
      </c>
      <c r="R220" s="154" t="s">
        <v>83</v>
      </c>
      <c r="S220" s="154" t="s">
        <v>83</v>
      </c>
      <c r="T220" s="154" t="s">
        <v>83</v>
      </c>
      <c r="U220" s="154" t="s">
        <v>83</v>
      </c>
      <c r="V220" s="27"/>
      <c r="W220" s="27" t="s">
        <v>88</v>
      </c>
      <c r="X220" s="27">
        <v>0</v>
      </c>
      <c r="Y220" s="154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54" t="s">
        <v>83</v>
      </c>
      <c r="AF220" s="154" t="s">
        <v>83</v>
      </c>
      <c r="AG220" s="154" t="s">
        <v>83</v>
      </c>
      <c r="AH220" s="154" t="s">
        <v>83</v>
      </c>
      <c r="AI220" s="27">
        <v>1</v>
      </c>
      <c r="AJ220" s="27"/>
      <c r="AK220" s="27">
        <v>1</v>
      </c>
      <c r="AL220" s="27">
        <v>1</v>
      </c>
      <c r="AM220" s="154" t="s">
        <v>83</v>
      </c>
      <c r="AN220" s="27">
        <v>1</v>
      </c>
      <c r="AO220" s="27">
        <v>1</v>
      </c>
      <c r="AP220" s="27">
        <v>1</v>
      </c>
    </row>
    <row r="221" spans="1:42">
      <c r="A221" s="133"/>
      <c r="B221" s="27" t="str">
        <f>物品!B221</f>
        <v>IB58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已领取魔芝RPG礼包</v>
      </c>
      <c r="I221" s="27" t="str">
        <f>VLOOKUP(B221,物品!B:CV,99,FALSE)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1" s="135" t="str">
        <f t="shared" si="91"/>
        <v>已领取魔芝RPG礼包</v>
      </c>
      <c r="K221" s="135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1" s="27"/>
      <c r="M221" s="136" t="str">
        <f>VLOOKUP(LEFT(RIGHT(B221,5),4),物品!B:CU,20,FALSE)</f>
        <v>ReplaceableTextures\\commandButtons\\BTNLBUI01.blp</v>
      </c>
      <c r="N221" s="154" t="s">
        <v>83</v>
      </c>
      <c r="O221" s="136" t="s">
        <v>95</v>
      </c>
      <c r="P221" s="27">
        <v>2</v>
      </c>
      <c r="Q221" s="27">
        <v>0</v>
      </c>
      <c r="R221" s="154" t="s">
        <v>83</v>
      </c>
      <c r="S221" s="154" t="s">
        <v>83</v>
      </c>
      <c r="T221" s="154" t="s">
        <v>83</v>
      </c>
      <c r="U221" s="154" t="s">
        <v>83</v>
      </c>
      <c r="V221" s="27"/>
      <c r="W221" s="27" t="s">
        <v>88</v>
      </c>
      <c r="X221" s="27">
        <v>0</v>
      </c>
      <c r="Y221" s="154" t="s">
        <v>83</v>
      </c>
      <c r="Z221" s="27">
        <v>0</v>
      </c>
      <c r="AA221" s="27">
        <v>0</v>
      </c>
      <c r="AB221" s="27">
        <v>0</v>
      </c>
      <c r="AC221" s="27">
        <v>0</v>
      </c>
      <c r="AD221" s="27">
        <v>1</v>
      </c>
      <c r="AE221" s="154" t="s">
        <v>83</v>
      </c>
      <c r="AF221" s="154" t="s">
        <v>83</v>
      </c>
      <c r="AG221" s="154" t="s">
        <v>83</v>
      </c>
      <c r="AH221" s="154" t="s">
        <v>83</v>
      </c>
      <c r="AI221" s="27">
        <v>1</v>
      </c>
      <c r="AJ221" s="27"/>
      <c r="AK221" s="27">
        <v>1</v>
      </c>
      <c r="AL221" s="27">
        <v>1</v>
      </c>
      <c r="AM221" s="154" t="s">
        <v>83</v>
      </c>
      <c r="AN221" s="27">
        <v>1</v>
      </c>
      <c r="AO221" s="27">
        <v>1</v>
      </c>
      <c r="AP221" s="27">
        <v>1</v>
      </c>
    </row>
    <row r="222" spans="1:42">
      <c r="A222" s="133"/>
      <c r="B222" s="27" t="str">
        <f>物品!B222</f>
        <v>IB59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已领取老铁礼包</v>
      </c>
      <c r="I222" s="27" t="str">
        <f>VLOOKUP(B222,物品!B:CV,99,FALSE)</f>
        <v>已领取老铁礼包</v>
      </c>
      <c r="J222" s="135" t="str">
        <f t="shared" si="91"/>
        <v>已领取老铁礼包</v>
      </c>
      <c r="K222" s="135" t="str">
        <f t="shared" si="92"/>
        <v>已领取老铁礼包</v>
      </c>
      <c r="L222" s="27"/>
      <c r="M222" s="136" t="str">
        <f>VLOOKUP(LEFT(RIGHT(B222,5),4),物品!B:CU,20,FALSE)</f>
        <v>ReplaceableTextures\\commandButtons\\BTNLBUI01.blp</v>
      </c>
      <c r="N222" s="154" t="s">
        <v>83</v>
      </c>
      <c r="O222" s="136" t="s">
        <v>95</v>
      </c>
      <c r="P222" s="27">
        <v>0</v>
      </c>
      <c r="Q222" s="27">
        <v>0</v>
      </c>
      <c r="R222" s="154" t="s">
        <v>83</v>
      </c>
      <c r="S222" s="154" t="s">
        <v>83</v>
      </c>
      <c r="T222" s="154" t="s">
        <v>83</v>
      </c>
      <c r="U222" s="154" t="s">
        <v>83</v>
      </c>
      <c r="V222" s="27"/>
      <c r="W222" s="27" t="s">
        <v>88</v>
      </c>
      <c r="X222" s="27">
        <v>0</v>
      </c>
      <c r="Y222" s="154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54" t="s">
        <v>83</v>
      </c>
      <c r="AF222" s="154" t="s">
        <v>83</v>
      </c>
      <c r="AG222" s="154" t="s">
        <v>83</v>
      </c>
      <c r="AH222" s="154" t="s">
        <v>83</v>
      </c>
      <c r="AI222" s="27">
        <v>1</v>
      </c>
      <c r="AJ222" s="27"/>
      <c r="AK222" s="27">
        <v>1</v>
      </c>
      <c r="AL222" s="27">
        <v>1</v>
      </c>
      <c r="AM222" s="154" t="s">
        <v>83</v>
      </c>
      <c r="AN222" s="27">
        <v>1</v>
      </c>
      <c r="AO222" s="27">
        <v>1</v>
      </c>
      <c r="AP222" s="27">
        <v>1</v>
      </c>
    </row>
    <row r="223" spans="1:42">
      <c r="A223" s="133"/>
      <c r="B223" s="27" t="str">
        <f>物品!B223</f>
        <v>IY1C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天乾地坤</v>
      </c>
      <c r="I223" s="27" t="str">
        <f>VLOOKUP(B223,物品!B:CV,99,FALSE)</f>
        <v>代码生成</v>
      </c>
      <c r="J223" s="135" t="str">
        <f t="shared" si="91"/>
        <v>天乾地坤</v>
      </c>
      <c r="K223" s="135" t="str">
        <f t="shared" si="92"/>
        <v>代码生成</v>
      </c>
      <c r="L223" s="27"/>
      <c r="M223" s="136" t="str">
        <f>VLOOKUP(LEFT(RIGHT(B223,5),4),物品!B:CU,20,FALSE)</f>
        <v>ReplaceableTextures\\CommandButtons\\BTNRY1C.blp</v>
      </c>
      <c r="N223" s="154" t="s">
        <v>83</v>
      </c>
      <c r="O223" s="136" t="s">
        <v>95</v>
      </c>
      <c r="P223" s="27">
        <v>0</v>
      </c>
      <c r="Q223" s="27">
        <v>0</v>
      </c>
      <c r="R223" s="154" t="s">
        <v>83</v>
      </c>
      <c r="S223" s="154" t="s">
        <v>83</v>
      </c>
      <c r="T223" s="154" t="s">
        <v>83</v>
      </c>
      <c r="U223" s="154" t="s">
        <v>83</v>
      </c>
      <c r="V223" s="27"/>
      <c r="W223" s="27" t="s">
        <v>88</v>
      </c>
      <c r="X223" s="27">
        <v>0</v>
      </c>
      <c r="Y223" s="154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4" t="s">
        <v>83</v>
      </c>
      <c r="AF223" s="154" t="s">
        <v>83</v>
      </c>
      <c r="AG223" s="154" t="s">
        <v>83</v>
      </c>
      <c r="AH223" s="154" t="s">
        <v>83</v>
      </c>
      <c r="AI223" s="27">
        <v>1</v>
      </c>
      <c r="AJ223" s="27"/>
      <c r="AK223" s="27">
        <v>1</v>
      </c>
      <c r="AL223" s="27">
        <v>1</v>
      </c>
      <c r="AM223" s="154" t="s">
        <v>83</v>
      </c>
      <c r="AN223" s="27">
        <v>1</v>
      </c>
      <c r="AO223" s="27">
        <v>1</v>
      </c>
      <c r="AP223" s="27">
        <v>1</v>
      </c>
    </row>
    <row r="224" spans="1:42">
      <c r="A224" s="133"/>
      <c r="B224" s="27" t="str">
        <f>物品!B224</f>
        <v>IY2C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五彩凰翼</v>
      </c>
      <c r="I224" s="27" t="str">
        <f>VLOOKUP(B224,物品!B:CV,99,FALSE)</f>
        <v>代码生成</v>
      </c>
      <c r="J224" s="135" t="str">
        <f t="shared" si="91"/>
        <v>五彩凰翼</v>
      </c>
      <c r="K224" s="135" t="str">
        <f t="shared" si="92"/>
        <v>代码生成</v>
      </c>
      <c r="L224" s="27"/>
      <c r="M224" s="136" t="str">
        <f>VLOOKUP(LEFT(RIGHT(B224,5),4),物品!B:CU,20,FALSE)</f>
        <v>ReplaceableTextures\\CommandButtons\\BTNRY2C.blp</v>
      </c>
      <c r="N224" s="154" t="s">
        <v>83</v>
      </c>
      <c r="O224" s="136" t="s">
        <v>95</v>
      </c>
      <c r="P224" s="27">
        <v>0</v>
      </c>
      <c r="Q224" s="27">
        <v>0</v>
      </c>
      <c r="R224" s="154" t="s">
        <v>83</v>
      </c>
      <c r="S224" s="154" t="s">
        <v>83</v>
      </c>
      <c r="T224" s="154" t="s">
        <v>83</v>
      </c>
      <c r="U224" s="154" t="s">
        <v>83</v>
      </c>
      <c r="V224" s="27"/>
      <c r="W224" s="27" t="s">
        <v>88</v>
      </c>
      <c r="X224" s="27">
        <v>0</v>
      </c>
      <c r="Y224" s="154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4" t="s">
        <v>83</v>
      </c>
      <c r="AF224" s="154" t="s">
        <v>83</v>
      </c>
      <c r="AG224" s="154" t="s">
        <v>83</v>
      </c>
      <c r="AH224" s="154" t="s">
        <v>83</v>
      </c>
      <c r="AI224" s="27">
        <v>1</v>
      </c>
      <c r="AJ224" s="27"/>
      <c r="AK224" s="27">
        <v>1</v>
      </c>
      <c r="AL224" s="27">
        <v>1</v>
      </c>
      <c r="AM224" s="154" t="s">
        <v>83</v>
      </c>
      <c r="AN224" s="27">
        <v>1</v>
      </c>
      <c r="AO224" s="27">
        <v>1</v>
      </c>
      <c r="AP224" s="27">
        <v>1</v>
      </c>
    </row>
    <row r="225" spans="1:42">
      <c r="A225" s="133"/>
      <c r="B225" s="27" t="str">
        <f>物品!B225</f>
        <v>IY3C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崩鸣刃</v>
      </c>
      <c r="I225" s="27" t="str">
        <f>VLOOKUP(B225,物品!B:CV,99,FALSE)</f>
        <v>代码生成</v>
      </c>
      <c r="J225" s="135" t="str">
        <f t="shared" si="91"/>
        <v>崩鸣刃</v>
      </c>
      <c r="K225" s="135" t="str">
        <f t="shared" si="92"/>
        <v>代码生成</v>
      </c>
      <c r="L225" s="27"/>
      <c r="M225" s="136" t="str">
        <f>VLOOKUP(LEFT(RIGHT(B225,5),4),物品!B:CU,20,FALSE)</f>
        <v>ReplaceableTextures\\CommandButtons\\BTNRY3C.blp</v>
      </c>
      <c r="N225" s="154" t="s">
        <v>83</v>
      </c>
      <c r="O225" s="136" t="s">
        <v>95</v>
      </c>
      <c r="P225" s="27">
        <v>0</v>
      </c>
      <c r="Q225" s="27">
        <v>0</v>
      </c>
      <c r="R225" s="154" t="s">
        <v>83</v>
      </c>
      <c r="S225" s="154" t="s">
        <v>83</v>
      </c>
      <c r="T225" s="154" t="s">
        <v>83</v>
      </c>
      <c r="U225" s="154" t="s">
        <v>83</v>
      </c>
      <c r="V225" s="27"/>
      <c r="W225" s="27" t="s">
        <v>88</v>
      </c>
      <c r="X225" s="27">
        <v>0</v>
      </c>
      <c r="Y225" s="154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4" t="s">
        <v>83</v>
      </c>
      <c r="AF225" s="154" t="s">
        <v>83</v>
      </c>
      <c r="AG225" s="154" t="s">
        <v>83</v>
      </c>
      <c r="AH225" s="154" t="s">
        <v>83</v>
      </c>
      <c r="AI225" s="27">
        <v>1</v>
      </c>
      <c r="AJ225" s="27"/>
      <c r="AK225" s="27">
        <v>1</v>
      </c>
      <c r="AL225" s="27">
        <v>1</v>
      </c>
      <c r="AM225" s="154" t="s">
        <v>83</v>
      </c>
      <c r="AN225" s="27">
        <v>1</v>
      </c>
      <c r="AO225" s="27">
        <v>1</v>
      </c>
      <c r="AP225" s="27">
        <v>1</v>
      </c>
    </row>
    <row r="226" spans="1:42">
      <c r="A226" s="133"/>
      <c r="B226" s="27" t="str">
        <f>物品!B226</f>
        <v>IY4C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俯瞰寰宇</v>
      </c>
      <c r="I226" s="27" t="str">
        <f>VLOOKUP(B226,物品!B:CV,99,FALSE)</f>
        <v>代码生成</v>
      </c>
      <c r="J226" s="135" t="str">
        <f t="shared" si="91"/>
        <v>俯瞰寰宇</v>
      </c>
      <c r="K226" s="135" t="str">
        <f t="shared" si="92"/>
        <v>代码生成</v>
      </c>
      <c r="L226" s="27"/>
      <c r="M226" s="136" t="str">
        <f>VLOOKUP(LEFT(RIGHT(B226,5),4),物品!B:CU,20,FALSE)</f>
        <v>ReplaceableTextures\\CommandButtons\\BTNRY4C.blp</v>
      </c>
      <c r="N226" s="154" t="s">
        <v>83</v>
      </c>
      <c r="O226" s="136" t="s">
        <v>95</v>
      </c>
      <c r="P226" s="27">
        <v>0</v>
      </c>
      <c r="Q226" s="27">
        <v>0</v>
      </c>
      <c r="R226" s="154" t="s">
        <v>83</v>
      </c>
      <c r="S226" s="154" t="s">
        <v>83</v>
      </c>
      <c r="T226" s="154" t="s">
        <v>83</v>
      </c>
      <c r="U226" s="154" t="s">
        <v>83</v>
      </c>
      <c r="V226" s="27"/>
      <c r="W226" s="27" t="s">
        <v>88</v>
      </c>
      <c r="X226" s="27">
        <v>0</v>
      </c>
      <c r="Y226" s="154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4" t="s">
        <v>83</v>
      </c>
      <c r="AF226" s="154" t="s">
        <v>83</v>
      </c>
      <c r="AG226" s="154" t="s">
        <v>83</v>
      </c>
      <c r="AH226" s="154" t="s">
        <v>83</v>
      </c>
      <c r="AI226" s="27">
        <v>1</v>
      </c>
      <c r="AJ226" s="27"/>
      <c r="AK226" s="27">
        <v>1</v>
      </c>
      <c r="AL226" s="27">
        <v>1</v>
      </c>
      <c r="AM226" s="154" t="s">
        <v>83</v>
      </c>
      <c r="AN226" s="27">
        <v>1</v>
      </c>
      <c r="AO226" s="27">
        <v>1</v>
      </c>
      <c r="AP226" s="27">
        <v>1</v>
      </c>
    </row>
    <row r="227" spans="1:42">
      <c r="A227" s="133"/>
      <c r="B227" s="27" t="str">
        <f>物品!B227</f>
        <v>IF01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5" t="str">
        <f t="shared" ref="J227" si="93">H227</f>
        <v>附魔</v>
      </c>
      <c r="K227" s="135">
        <f t="shared" ref="K227" si="94">I227</f>
        <v>0</v>
      </c>
      <c r="L227" s="27"/>
      <c r="M227" s="136">
        <f>VLOOKUP(LEFT(RIGHT(B227,5),4),物品!B:CU,20,FALSE)</f>
        <v>0</v>
      </c>
      <c r="N227" s="154" t="s">
        <v>83</v>
      </c>
      <c r="O227" s="136" t="s">
        <v>95</v>
      </c>
      <c r="P227" s="27">
        <v>0</v>
      </c>
      <c r="Q227" s="27">
        <v>0</v>
      </c>
      <c r="R227" s="154" t="s">
        <v>83</v>
      </c>
      <c r="S227" s="154" t="s">
        <v>83</v>
      </c>
      <c r="T227" s="154" t="s">
        <v>83</v>
      </c>
      <c r="U227" s="154" t="s">
        <v>83</v>
      </c>
      <c r="V227" s="27"/>
      <c r="W227" s="27" t="s">
        <v>88</v>
      </c>
      <c r="X227" s="27">
        <v>0</v>
      </c>
      <c r="Y227" s="154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4" t="s">
        <v>83</v>
      </c>
      <c r="AF227" s="154" t="s">
        <v>83</v>
      </c>
      <c r="AG227" s="154" t="s">
        <v>83</v>
      </c>
      <c r="AH227" s="154" t="s">
        <v>83</v>
      </c>
      <c r="AI227" s="27">
        <v>1</v>
      </c>
      <c r="AJ227" s="27"/>
      <c r="AK227" s="27">
        <v>1</v>
      </c>
      <c r="AL227" s="27">
        <v>1</v>
      </c>
      <c r="AM227" s="154" t="s">
        <v>83</v>
      </c>
      <c r="AN227" s="27">
        <v>1</v>
      </c>
      <c r="AO227" s="27">
        <v>1</v>
      </c>
      <c r="AP227" s="27">
        <v>1</v>
      </c>
    </row>
    <row r="228" spans="1:42">
      <c r="A228" s="133"/>
      <c r="B228" s="27" t="str">
        <f>物品!B228</f>
        <v>IF02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5" t="str">
        <f t="shared" ref="J228:J253" si="95">H228</f>
        <v>附魔</v>
      </c>
      <c r="K228" s="135">
        <f t="shared" ref="K228:K253" si="96">I228</f>
        <v>0</v>
      </c>
      <c r="L228" s="27"/>
      <c r="M228" s="136">
        <f>VLOOKUP(LEFT(RIGHT(B228,5),4),物品!B:CU,20,FALSE)</f>
        <v>0</v>
      </c>
      <c r="N228" s="154" t="s">
        <v>83</v>
      </c>
      <c r="O228" s="136" t="s">
        <v>95</v>
      </c>
      <c r="P228" s="27">
        <v>0</v>
      </c>
      <c r="Q228" s="27">
        <v>0</v>
      </c>
      <c r="R228" s="154" t="s">
        <v>83</v>
      </c>
      <c r="S228" s="154" t="s">
        <v>83</v>
      </c>
      <c r="T228" s="154" t="s">
        <v>83</v>
      </c>
      <c r="U228" s="154" t="s">
        <v>83</v>
      </c>
      <c r="V228" s="27"/>
      <c r="W228" s="27" t="s">
        <v>88</v>
      </c>
      <c r="X228" s="27">
        <v>0</v>
      </c>
      <c r="Y228" s="154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4" t="s">
        <v>83</v>
      </c>
      <c r="AF228" s="154" t="s">
        <v>83</v>
      </c>
      <c r="AG228" s="154" t="s">
        <v>83</v>
      </c>
      <c r="AH228" s="154" t="s">
        <v>83</v>
      </c>
      <c r="AI228" s="27">
        <v>1</v>
      </c>
      <c r="AJ228" s="27"/>
      <c r="AK228" s="27">
        <v>1</v>
      </c>
      <c r="AL228" s="27">
        <v>1</v>
      </c>
      <c r="AM228" s="154" t="s">
        <v>83</v>
      </c>
      <c r="AN228" s="27">
        <v>1</v>
      </c>
      <c r="AO228" s="27">
        <v>1</v>
      </c>
      <c r="AP228" s="27">
        <v>1</v>
      </c>
    </row>
    <row r="229" spans="1:42">
      <c r="A229" s="133"/>
      <c r="B229" s="27" t="str">
        <f>物品!B229</f>
        <v>IF03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5" t="str">
        <f t="shared" si="95"/>
        <v>附魔</v>
      </c>
      <c r="K229" s="135">
        <f t="shared" si="96"/>
        <v>0</v>
      </c>
      <c r="L229" s="27"/>
      <c r="M229" s="136">
        <f>VLOOKUP(LEFT(RIGHT(B229,5),4),物品!B:CU,20,FALSE)</f>
        <v>0</v>
      </c>
      <c r="N229" s="154" t="s">
        <v>83</v>
      </c>
      <c r="O229" s="136" t="s">
        <v>95</v>
      </c>
      <c r="P229" s="27">
        <v>0</v>
      </c>
      <c r="Q229" s="27">
        <v>0</v>
      </c>
      <c r="R229" s="154" t="s">
        <v>83</v>
      </c>
      <c r="S229" s="154" t="s">
        <v>83</v>
      </c>
      <c r="T229" s="154" t="s">
        <v>83</v>
      </c>
      <c r="U229" s="154" t="s">
        <v>83</v>
      </c>
      <c r="V229" s="27"/>
      <c r="W229" s="27" t="s">
        <v>88</v>
      </c>
      <c r="X229" s="27">
        <v>0</v>
      </c>
      <c r="Y229" s="154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4" t="s">
        <v>83</v>
      </c>
      <c r="AF229" s="154" t="s">
        <v>83</v>
      </c>
      <c r="AG229" s="154" t="s">
        <v>83</v>
      </c>
      <c r="AH229" s="154" t="s">
        <v>83</v>
      </c>
      <c r="AI229" s="27">
        <v>1</v>
      </c>
      <c r="AJ229" s="27"/>
      <c r="AK229" s="27">
        <v>1</v>
      </c>
      <c r="AL229" s="27">
        <v>1</v>
      </c>
      <c r="AM229" s="154" t="s">
        <v>83</v>
      </c>
      <c r="AN229" s="27">
        <v>1</v>
      </c>
      <c r="AO229" s="27">
        <v>1</v>
      </c>
      <c r="AP229" s="27">
        <v>1</v>
      </c>
    </row>
    <row r="230" spans="1:42">
      <c r="A230" s="133"/>
      <c r="B230" s="27" t="str">
        <f>物品!B230</f>
        <v>IF04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5" t="str">
        <f t="shared" si="95"/>
        <v>附魔</v>
      </c>
      <c r="K230" s="135">
        <f t="shared" si="96"/>
        <v>0</v>
      </c>
      <c r="L230" s="27"/>
      <c r="M230" s="136">
        <f>VLOOKUP(LEFT(RIGHT(B230,5),4),物品!B:CU,20,FALSE)</f>
        <v>0</v>
      </c>
      <c r="N230" s="154" t="s">
        <v>83</v>
      </c>
      <c r="O230" s="136" t="s">
        <v>95</v>
      </c>
      <c r="P230" s="27">
        <v>0</v>
      </c>
      <c r="Q230" s="27">
        <v>0</v>
      </c>
      <c r="R230" s="154" t="s">
        <v>83</v>
      </c>
      <c r="S230" s="154" t="s">
        <v>83</v>
      </c>
      <c r="T230" s="154" t="s">
        <v>83</v>
      </c>
      <c r="U230" s="154" t="s">
        <v>83</v>
      </c>
      <c r="V230" s="27"/>
      <c r="W230" s="27" t="s">
        <v>88</v>
      </c>
      <c r="X230" s="27">
        <v>0</v>
      </c>
      <c r="Y230" s="154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4" t="s">
        <v>83</v>
      </c>
      <c r="AF230" s="154" t="s">
        <v>83</v>
      </c>
      <c r="AG230" s="154" t="s">
        <v>83</v>
      </c>
      <c r="AH230" s="154" t="s">
        <v>83</v>
      </c>
      <c r="AI230" s="27">
        <v>1</v>
      </c>
      <c r="AJ230" s="27"/>
      <c r="AK230" s="27">
        <v>1</v>
      </c>
      <c r="AL230" s="27">
        <v>1</v>
      </c>
      <c r="AM230" s="154" t="s">
        <v>83</v>
      </c>
      <c r="AN230" s="27">
        <v>1</v>
      </c>
      <c r="AO230" s="27">
        <v>1</v>
      </c>
      <c r="AP230" s="27">
        <v>1</v>
      </c>
    </row>
    <row r="231" spans="1:42">
      <c r="A231" s="133"/>
      <c r="B231" s="27" t="str">
        <f>物品!B231</f>
        <v>IF05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5" t="str">
        <f t="shared" si="95"/>
        <v>附魔</v>
      </c>
      <c r="K231" s="135">
        <f t="shared" si="96"/>
        <v>0</v>
      </c>
      <c r="L231" s="27"/>
      <c r="M231" s="136">
        <f>VLOOKUP(LEFT(RIGHT(B231,5),4),物品!B:CU,20,FALSE)</f>
        <v>0</v>
      </c>
      <c r="N231" s="154" t="s">
        <v>83</v>
      </c>
      <c r="O231" s="136" t="s">
        <v>95</v>
      </c>
      <c r="P231" s="27">
        <v>0</v>
      </c>
      <c r="Q231" s="27">
        <v>0</v>
      </c>
      <c r="R231" s="154" t="s">
        <v>83</v>
      </c>
      <c r="S231" s="154" t="s">
        <v>83</v>
      </c>
      <c r="T231" s="154" t="s">
        <v>83</v>
      </c>
      <c r="U231" s="154" t="s">
        <v>83</v>
      </c>
      <c r="V231" s="27"/>
      <c r="W231" s="27" t="s">
        <v>88</v>
      </c>
      <c r="X231" s="27">
        <v>0</v>
      </c>
      <c r="Y231" s="154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4" t="s">
        <v>83</v>
      </c>
      <c r="AF231" s="154" t="s">
        <v>83</v>
      </c>
      <c r="AG231" s="154" t="s">
        <v>83</v>
      </c>
      <c r="AH231" s="154" t="s">
        <v>83</v>
      </c>
      <c r="AI231" s="27">
        <v>1</v>
      </c>
      <c r="AJ231" s="27"/>
      <c r="AK231" s="27">
        <v>1</v>
      </c>
      <c r="AL231" s="27">
        <v>1</v>
      </c>
      <c r="AM231" s="154" t="s">
        <v>83</v>
      </c>
      <c r="AN231" s="27">
        <v>1</v>
      </c>
      <c r="AO231" s="27">
        <v>1</v>
      </c>
      <c r="AP231" s="27">
        <v>1</v>
      </c>
    </row>
    <row r="232" spans="1:42">
      <c r="A232" s="133"/>
      <c r="B232" s="27" t="str">
        <f>物品!B232</f>
        <v>IF06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5" t="str">
        <f t="shared" si="95"/>
        <v>附魔</v>
      </c>
      <c r="K232" s="135">
        <f t="shared" si="96"/>
        <v>0</v>
      </c>
      <c r="L232" s="27"/>
      <c r="M232" s="136">
        <f>VLOOKUP(LEFT(RIGHT(B232,5),4),物品!B:CU,20,FALSE)</f>
        <v>0</v>
      </c>
      <c r="N232" s="154" t="s">
        <v>83</v>
      </c>
      <c r="O232" s="136" t="s">
        <v>95</v>
      </c>
      <c r="P232" s="27">
        <v>0</v>
      </c>
      <c r="Q232" s="27">
        <v>0</v>
      </c>
      <c r="R232" s="154" t="s">
        <v>83</v>
      </c>
      <c r="S232" s="154" t="s">
        <v>83</v>
      </c>
      <c r="T232" s="154" t="s">
        <v>83</v>
      </c>
      <c r="U232" s="154" t="s">
        <v>83</v>
      </c>
      <c r="V232" s="27"/>
      <c r="W232" s="27" t="s">
        <v>88</v>
      </c>
      <c r="X232" s="27">
        <v>0</v>
      </c>
      <c r="Y232" s="154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4" t="s">
        <v>83</v>
      </c>
      <c r="AF232" s="154" t="s">
        <v>83</v>
      </c>
      <c r="AG232" s="154" t="s">
        <v>83</v>
      </c>
      <c r="AH232" s="154" t="s">
        <v>83</v>
      </c>
      <c r="AI232" s="27">
        <v>1</v>
      </c>
      <c r="AJ232" s="27"/>
      <c r="AK232" s="27">
        <v>1</v>
      </c>
      <c r="AL232" s="27">
        <v>1</v>
      </c>
      <c r="AM232" s="154" t="s">
        <v>83</v>
      </c>
      <c r="AN232" s="27">
        <v>1</v>
      </c>
      <c r="AO232" s="27">
        <v>1</v>
      </c>
      <c r="AP232" s="27">
        <v>1</v>
      </c>
    </row>
    <row r="233" spans="1:42">
      <c r="A233" s="133"/>
      <c r="B233" s="27" t="str">
        <f>物品!B233</f>
        <v>IF07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5" t="str">
        <f t="shared" si="95"/>
        <v>附魔</v>
      </c>
      <c r="K233" s="135">
        <f t="shared" si="96"/>
        <v>0</v>
      </c>
      <c r="L233" s="27"/>
      <c r="M233" s="136">
        <f>VLOOKUP(LEFT(RIGHT(B233,5),4),物品!B:CU,20,FALSE)</f>
        <v>0</v>
      </c>
      <c r="N233" s="154" t="s">
        <v>83</v>
      </c>
      <c r="O233" s="136" t="s">
        <v>95</v>
      </c>
      <c r="P233" s="27">
        <v>0</v>
      </c>
      <c r="Q233" s="27">
        <v>0</v>
      </c>
      <c r="R233" s="154" t="s">
        <v>83</v>
      </c>
      <c r="S233" s="154" t="s">
        <v>83</v>
      </c>
      <c r="T233" s="154" t="s">
        <v>83</v>
      </c>
      <c r="U233" s="154" t="s">
        <v>83</v>
      </c>
      <c r="V233" s="27"/>
      <c r="W233" s="27" t="s">
        <v>88</v>
      </c>
      <c r="X233" s="27">
        <v>0</v>
      </c>
      <c r="Y233" s="154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4" t="s">
        <v>83</v>
      </c>
      <c r="AF233" s="154" t="s">
        <v>83</v>
      </c>
      <c r="AG233" s="154" t="s">
        <v>83</v>
      </c>
      <c r="AH233" s="154" t="s">
        <v>83</v>
      </c>
      <c r="AI233" s="27">
        <v>1</v>
      </c>
      <c r="AJ233" s="27"/>
      <c r="AK233" s="27">
        <v>1</v>
      </c>
      <c r="AL233" s="27">
        <v>1</v>
      </c>
      <c r="AM233" s="154" t="s">
        <v>83</v>
      </c>
      <c r="AN233" s="27">
        <v>1</v>
      </c>
      <c r="AO233" s="27">
        <v>1</v>
      </c>
      <c r="AP233" s="27">
        <v>1</v>
      </c>
    </row>
    <row r="234" spans="1:42">
      <c r="A234" s="133"/>
      <c r="B234" s="27" t="str">
        <f>物品!B234</f>
        <v>IF08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5" t="str">
        <f t="shared" si="95"/>
        <v>附魔</v>
      </c>
      <c r="K234" s="135">
        <f t="shared" si="96"/>
        <v>0</v>
      </c>
      <c r="L234" s="27"/>
      <c r="M234" s="136">
        <f>VLOOKUP(LEFT(RIGHT(B234,5),4),物品!B:CU,20,FALSE)</f>
        <v>0</v>
      </c>
      <c r="N234" s="154" t="s">
        <v>83</v>
      </c>
      <c r="O234" s="136" t="s">
        <v>95</v>
      </c>
      <c r="P234" s="27">
        <v>0</v>
      </c>
      <c r="Q234" s="27">
        <v>0</v>
      </c>
      <c r="R234" s="154" t="s">
        <v>83</v>
      </c>
      <c r="S234" s="154" t="s">
        <v>83</v>
      </c>
      <c r="T234" s="154" t="s">
        <v>83</v>
      </c>
      <c r="U234" s="154" t="s">
        <v>83</v>
      </c>
      <c r="V234" s="27"/>
      <c r="W234" s="27" t="s">
        <v>88</v>
      </c>
      <c r="X234" s="27">
        <v>0</v>
      </c>
      <c r="Y234" s="15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4" t="s">
        <v>83</v>
      </c>
      <c r="AF234" s="154" t="s">
        <v>83</v>
      </c>
      <c r="AG234" s="154" t="s">
        <v>83</v>
      </c>
      <c r="AH234" s="154" t="s">
        <v>83</v>
      </c>
      <c r="AI234" s="27">
        <v>1</v>
      </c>
      <c r="AJ234" s="27"/>
      <c r="AK234" s="27">
        <v>1</v>
      </c>
      <c r="AL234" s="27">
        <v>1</v>
      </c>
      <c r="AM234" s="154" t="s">
        <v>83</v>
      </c>
      <c r="AN234" s="27">
        <v>1</v>
      </c>
      <c r="AO234" s="27">
        <v>1</v>
      </c>
      <c r="AP234" s="27">
        <v>1</v>
      </c>
    </row>
    <row r="235" spans="1:42">
      <c r="A235" s="133"/>
      <c r="B235" s="27" t="str">
        <f>物品!B235</f>
        <v>IF09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5" t="str">
        <f t="shared" si="95"/>
        <v>附魔</v>
      </c>
      <c r="K235" s="135">
        <f t="shared" si="96"/>
        <v>0</v>
      </c>
      <c r="L235" s="27"/>
      <c r="M235" s="136">
        <f>VLOOKUP(LEFT(RIGHT(B235,5),4),物品!B:CU,20,FALSE)</f>
        <v>0</v>
      </c>
      <c r="N235" s="154" t="s">
        <v>83</v>
      </c>
      <c r="O235" s="136" t="s">
        <v>95</v>
      </c>
      <c r="P235" s="27">
        <v>0</v>
      </c>
      <c r="Q235" s="27">
        <v>0</v>
      </c>
      <c r="R235" s="154" t="s">
        <v>83</v>
      </c>
      <c r="S235" s="154" t="s">
        <v>83</v>
      </c>
      <c r="T235" s="154" t="s">
        <v>83</v>
      </c>
      <c r="U235" s="154" t="s">
        <v>83</v>
      </c>
      <c r="V235" s="27"/>
      <c r="W235" s="27" t="s">
        <v>88</v>
      </c>
      <c r="X235" s="27">
        <v>0</v>
      </c>
      <c r="Y235" s="15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4" t="s">
        <v>83</v>
      </c>
      <c r="AF235" s="154" t="s">
        <v>83</v>
      </c>
      <c r="AG235" s="154" t="s">
        <v>83</v>
      </c>
      <c r="AH235" s="154" t="s">
        <v>83</v>
      </c>
      <c r="AI235" s="27">
        <v>1</v>
      </c>
      <c r="AJ235" s="27"/>
      <c r="AK235" s="27">
        <v>1</v>
      </c>
      <c r="AL235" s="27">
        <v>1</v>
      </c>
      <c r="AM235" s="154" t="s">
        <v>83</v>
      </c>
      <c r="AN235" s="27">
        <v>1</v>
      </c>
      <c r="AO235" s="27">
        <v>1</v>
      </c>
      <c r="AP235" s="27">
        <v>1</v>
      </c>
    </row>
    <row r="236" spans="1:42">
      <c r="A236" s="133"/>
      <c r="B236" s="27" t="str">
        <f>物品!B236</f>
        <v>IF10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5" t="str">
        <f t="shared" si="95"/>
        <v>附魔</v>
      </c>
      <c r="K236" s="135">
        <f t="shared" si="96"/>
        <v>0</v>
      </c>
      <c r="L236" s="27"/>
      <c r="M236" s="136">
        <f>VLOOKUP(LEFT(RIGHT(B236,5),4),物品!B:CU,20,FALSE)</f>
        <v>0</v>
      </c>
      <c r="N236" s="154" t="s">
        <v>83</v>
      </c>
      <c r="O236" s="136" t="s">
        <v>95</v>
      </c>
      <c r="P236" s="27">
        <v>0</v>
      </c>
      <c r="Q236" s="27">
        <v>0</v>
      </c>
      <c r="R236" s="154" t="s">
        <v>83</v>
      </c>
      <c r="S236" s="154" t="s">
        <v>83</v>
      </c>
      <c r="T236" s="154" t="s">
        <v>83</v>
      </c>
      <c r="U236" s="154" t="s">
        <v>83</v>
      </c>
      <c r="V236" s="27"/>
      <c r="W236" s="27" t="s">
        <v>88</v>
      </c>
      <c r="X236" s="27">
        <v>0</v>
      </c>
      <c r="Y236" s="15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4" t="s">
        <v>83</v>
      </c>
      <c r="AF236" s="154" t="s">
        <v>83</v>
      </c>
      <c r="AG236" s="154" t="s">
        <v>83</v>
      </c>
      <c r="AH236" s="154" t="s">
        <v>83</v>
      </c>
      <c r="AI236" s="27">
        <v>1</v>
      </c>
      <c r="AJ236" s="27"/>
      <c r="AK236" s="27">
        <v>1</v>
      </c>
      <c r="AL236" s="27">
        <v>1</v>
      </c>
      <c r="AM236" s="154" t="s">
        <v>83</v>
      </c>
      <c r="AN236" s="27">
        <v>1</v>
      </c>
      <c r="AO236" s="27">
        <v>1</v>
      </c>
      <c r="AP236" s="27">
        <v>1</v>
      </c>
    </row>
    <row r="237" spans="1:42">
      <c r="A237" s="133"/>
      <c r="B237" s="27" t="str">
        <f>物品!B237</f>
        <v>IF11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5" t="str">
        <f t="shared" si="95"/>
        <v>附魔</v>
      </c>
      <c r="K237" s="135">
        <f t="shared" si="96"/>
        <v>0</v>
      </c>
      <c r="L237" s="27"/>
      <c r="M237" s="136">
        <f>VLOOKUP(LEFT(RIGHT(B237,5),4),物品!B:CU,20,FALSE)</f>
        <v>0</v>
      </c>
      <c r="N237" s="154" t="s">
        <v>83</v>
      </c>
      <c r="O237" s="136" t="s">
        <v>95</v>
      </c>
      <c r="P237" s="27">
        <v>0</v>
      </c>
      <c r="Q237" s="27">
        <v>0</v>
      </c>
      <c r="R237" s="154" t="s">
        <v>83</v>
      </c>
      <c r="S237" s="154" t="s">
        <v>83</v>
      </c>
      <c r="T237" s="154" t="s">
        <v>83</v>
      </c>
      <c r="U237" s="154" t="s">
        <v>83</v>
      </c>
      <c r="V237" s="27"/>
      <c r="W237" s="27" t="s">
        <v>88</v>
      </c>
      <c r="X237" s="27">
        <v>0</v>
      </c>
      <c r="Y237" s="154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4" t="s">
        <v>83</v>
      </c>
      <c r="AF237" s="154" t="s">
        <v>83</v>
      </c>
      <c r="AG237" s="154" t="s">
        <v>83</v>
      </c>
      <c r="AH237" s="154" t="s">
        <v>83</v>
      </c>
      <c r="AI237" s="27">
        <v>1</v>
      </c>
      <c r="AJ237" s="27"/>
      <c r="AK237" s="27">
        <v>1</v>
      </c>
      <c r="AL237" s="27">
        <v>1</v>
      </c>
      <c r="AM237" s="154" t="s">
        <v>83</v>
      </c>
      <c r="AN237" s="27">
        <v>1</v>
      </c>
      <c r="AO237" s="27">
        <v>1</v>
      </c>
      <c r="AP237" s="27">
        <v>1</v>
      </c>
    </row>
    <row r="238" spans="1:42">
      <c r="A238" s="133"/>
      <c r="B238" s="27" t="str">
        <f>物品!B238</f>
        <v>IF12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5" t="str">
        <f t="shared" si="95"/>
        <v>附魔</v>
      </c>
      <c r="K238" s="135">
        <f t="shared" si="96"/>
        <v>0</v>
      </c>
      <c r="L238" s="27"/>
      <c r="M238" s="136">
        <f>VLOOKUP(LEFT(RIGHT(B238,5),4),物品!B:CU,20,FALSE)</f>
        <v>0</v>
      </c>
      <c r="N238" s="154" t="s">
        <v>83</v>
      </c>
      <c r="O238" s="136" t="s">
        <v>95</v>
      </c>
      <c r="P238" s="27">
        <v>0</v>
      </c>
      <c r="Q238" s="27">
        <v>0</v>
      </c>
      <c r="R238" s="154" t="s">
        <v>83</v>
      </c>
      <c r="S238" s="154" t="s">
        <v>83</v>
      </c>
      <c r="T238" s="154" t="s">
        <v>83</v>
      </c>
      <c r="U238" s="154" t="s">
        <v>83</v>
      </c>
      <c r="V238" s="27"/>
      <c r="W238" s="27" t="s">
        <v>88</v>
      </c>
      <c r="X238" s="27">
        <v>0</v>
      </c>
      <c r="Y238" s="154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4" t="s">
        <v>83</v>
      </c>
      <c r="AF238" s="154" t="s">
        <v>83</v>
      </c>
      <c r="AG238" s="154" t="s">
        <v>83</v>
      </c>
      <c r="AH238" s="154" t="s">
        <v>83</v>
      </c>
      <c r="AI238" s="27">
        <v>1</v>
      </c>
      <c r="AJ238" s="27"/>
      <c r="AK238" s="27">
        <v>1</v>
      </c>
      <c r="AL238" s="27">
        <v>1</v>
      </c>
      <c r="AM238" s="154" t="s">
        <v>83</v>
      </c>
      <c r="AN238" s="27">
        <v>1</v>
      </c>
      <c r="AO238" s="27">
        <v>1</v>
      </c>
      <c r="AP238" s="27">
        <v>1</v>
      </c>
    </row>
    <row r="239" spans="1:42">
      <c r="A239" s="133"/>
      <c r="B239" s="27" t="str">
        <f>物品!B239</f>
        <v>IF13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5" t="str">
        <f t="shared" si="95"/>
        <v>附魔</v>
      </c>
      <c r="K239" s="135">
        <f t="shared" si="96"/>
        <v>0</v>
      </c>
      <c r="L239" s="27"/>
      <c r="M239" s="136">
        <f>VLOOKUP(LEFT(RIGHT(B239,5),4),物品!B:CU,20,FALSE)</f>
        <v>0</v>
      </c>
      <c r="N239" s="154" t="s">
        <v>83</v>
      </c>
      <c r="O239" s="136" t="s">
        <v>95</v>
      </c>
      <c r="P239" s="27">
        <v>0</v>
      </c>
      <c r="Q239" s="27">
        <v>0</v>
      </c>
      <c r="R239" s="154" t="s">
        <v>83</v>
      </c>
      <c r="S239" s="154" t="s">
        <v>83</v>
      </c>
      <c r="T239" s="154" t="s">
        <v>83</v>
      </c>
      <c r="U239" s="154" t="s">
        <v>83</v>
      </c>
      <c r="V239" s="27"/>
      <c r="W239" s="27" t="s">
        <v>88</v>
      </c>
      <c r="X239" s="27">
        <v>0</v>
      </c>
      <c r="Y239" s="15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4" t="s">
        <v>83</v>
      </c>
      <c r="AF239" s="154" t="s">
        <v>83</v>
      </c>
      <c r="AG239" s="154" t="s">
        <v>83</v>
      </c>
      <c r="AH239" s="154" t="s">
        <v>83</v>
      </c>
      <c r="AI239" s="27">
        <v>1</v>
      </c>
      <c r="AJ239" s="27"/>
      <c r="AK239" s="27">
        <v>1</v>
      </c>
      <c r="AL239" s="27">
        <v>1</v>
      </c>
      <c r="AM239" s="154" t="s">
        <v>83</v>
      </c>
      <c r="AN239" s="27">
        <v>1</v>
      </c>
      <c r="AO239" s="27">
        <v>1</v>
      </c>
      <c r="AP239" s="27">
        <v>1</v>
      </c>
    </row>
    <row r="240" spans="1:42">
      <c r="A240" s="133"/>
      <c r="B240" s="27" t="str">
        <f>物品!B240</f>
        <v>IF14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5" t="str">
        <f t="shared" si="95"/>
        <v>附魔</v>
      </c>
      <c r="K240" s="135">
        <f t="shared" si="96"/>
        <v>0</v>
      </c>
      <c r="L240" s="27"/>
      <c r="M240" s="136">
        <f>VLOOKUP(LEFT(RIGHT(B240,5),4),物品!B:CU,20,FALSE)</f>
        <v>0</v>
      </c>
      <c r="N240" s="154" t="s">
        <v>83</v>
      </c>
      <c r="O240" s="136" t="s">
        <v>95</v>
      </c>
      <c r="P240" s="27">
        <v>0</v>
      </c>
      <c r="Q240" s="27">
        <v>0</v>
      </c>
      <c r="R240" s="154" t="s">
        <v>83</v>
      </c>
      <c r="S240" s="154" t="s">
        <v>83</v>
      </c>
      <c r="T240" s="154" t="s">
        <v>83</v>
      </c>
      <c r="U240" s="154" t="s">
        <v>83</v>
      </c>
      <c r="V240" s="27"/>
      <c r="W240" s="27" t="s">
        <v>88</v>
      </c>
      <c r="X240" s="27">
        <v>0</v>
      </c>
      <c r="Y240" s="15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4" t="s">
        <v>83</v>
      </c>
      <c r="AF240" s="154" t="s">
        <v>83</v>
      </c>
      <c r="AG240" s="154" t="s">
        <v>83</v>
      </c>
      <c r="AH240" s="154" t="s">
        <v>83</v>
      </c>
      <c r="AI240" s="27">
        <v>1</v>
      </c>
      <c r="AJ240" s="27"/>
      <c r="AK240" s="27">
        <v>1</v>
      </c>
      <c r="AL240" s="27">
        <v>1</v>
      </c>
      <c r="AM240" s="154" t="s">
        <v>83</v>
      </c>
      <c r="AN240" s="27">
        <v>1</v>
      </c>
      <c r="AO240" s="27">
        <v>1</v>
      </c>
      <c r="AP240" s="27">
        <v>1</v>
      </c>
    </row>
    <row r="241" spans="1:42">
      <c r="A241" s="133"/>
      <c r="B241" s="27" t="str">
        <f>物品!B241</f>
        <v>IF15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5" t="str">
        <f t="shared" si="95"/>
        <v>附魔</v>
      </c>
      <c r="K241" s="135">
        <f t="shared" si="96"/>
        <v>0</v>
      </c>
      <c r="L241" s="27"/>
      <c r="M241" s="136">
        <f>VLOOKUP(LEFT(RIGHT(B241,5),4),物品!B:CU,20,FALSE)</f>
        <v>0</v>
      </c>
      <c r="N241" s="154" t="s">
        <v>83</v>
      </c>
      <c r="O241" s="136" t="s">
        <v>95</v>
      </c>
      <c r="P241" s="27">
        <v>0</v>
      </c>
      <c r="Q241" s="27">
        <v>0</v>
      </c>
      <c r="R241" s="154" t="s">
        <v>83</v>
      </c>
      <c r="S241" s="154" t="s">
        <v>83</v>
      </c>
      <c r="T241" s="154" t="s">
        <v>83</v>
      </c>
      <c r="U241" s="154" t="s">
        <v>83</v>
      </c>
      <c r="V241" s="27"/>
      <c r="W241" s="27" t="s">
        <v>88</v>
      </c>
      <c r="X241" s="27">
        <v>0</v>
      </c>
      <c r="Y241" s="15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4" t="s">
        <v>83</v>
      </c>
      <c r="AF241" s="154" t="s">
        <v>83</v>
      </c>
      <c r="AG241" s="154" t="s">
        <v>83</v>
      </c>
      <c r="AH241" s="154" t="s">
        <v>83</v>
      </c>
      <c r="AI241" s="27">
        <v>1</v>
      </c>
      <c r="AJ241" s="27"/>
      <c r="AK241" s="27">
        <v>1</v>
      </c>
      <c r="AL241" s="27">
        <v>1</v>
      </c>
      <c r="AM241" s="154" t="s">
        <v>83</v>
      </c>
      <c r="AN241" s="27">
        <v>1</v>
      </c>
      <c r="AO241" s="27">
        <v>1</v>
      </c>
      <c r="AP241" s="27">
        <v>1</v>
      </c>
    </row>
    <row r="242" spans="1:42">
      <c r="A242" s="133"/>
      <c r="B242" s="27" t="str">
        <f>物品!B242</f>
        <v>IF16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5" t="str">
        <f t="shared" si="95"/>
        <v>附魔</v>
      </c>
      <c r="K242" s="135">
        <f t="shared" si="96"/>
        <v>0</v>
      </c>
      <c r="L242" s="27"/>
      <c r="M242" s="136">
        <f>VLOOKUP(LEFT(RIGHT(B242,5),4),物品!B:CU,20,FALSE)</f>
        <v>0</v>
      </c>
      <c r="N242" s="154" t="s">
        <v>83</v>
      </c>
      <c r="O242" s="136" t="s">
        <v>95</v>
      </c>
      <c r="P242" s="27">
        <v>0</v>
      </c>
      <c r="Q242" s="27">
        <v>0</v>
      </c>
      <c r="R242" s="154" t="s">
        <v>83</v>
      </c>
      <c r="S242" s="154" t="s">
        <v>83</v>
      </c>
      <c r="T242" s="154" t="s">
        <v>83</v>
      </c>
      <c r="U242" s="154" t="s">
        <v>83</v>
      </c>
      <c r="V242" s="27"/>
      <c r="W242" s="27" t="s">
        <v>88</v>
      </c>
      <c r="X242" s="27">
        <v>0</v>
      </c>
      <c r="Y242" s="15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4" t="s">
        <v>83</v>
      </c>
      <c r="AF242" s="154" t="s">
        <v>83</v>
      </c>
      <c r="AG242" s="154" t="s">
        <v>83</v>
      </c>
      <c r="AH242" s="154" t="s">
        <v>83</v>
      </c>
      <c r="AI242" s="27">
        <v>1</v>
      </c>
      <c r="AJ242" s="27"/>
      <c r="AK242" s="27">
        <v>1</v>
      </c>
      <c r="AL242" s="27">
        <v>1</v>
      </c>
      <c r="AM242" s="154" t="s">
        <v>83</v>
      </c>
      <c r="AN242" s="27">
        <v>1</v>
      </c>
      <c r="AO242" s="27">
        <v>1</v>
      </c>
      <c r="AP242" s="27">
        <v>1</v>
      </c>
    </row>
    <row r="243" spans="1:42">
      <c r="A243" s="133"/>
      <c r="B243" s="27" t="str">
        <f>物品!B243</f>
        <v>IF17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5" t="str">
        <f t="shared" si="95"/>
        <v>附魔</v>
      </c>
      <c r="K243" s="135">
        <f t="shared" si="96"/>
        <v>0</v>
      </c>
      <c r="L243" s="27"/>
      <c r="M243" s="136">
        <f>VLOOKUP(LEFT(RIGHT(B243,5),4),物品!B:CU,20,FALSE)</f>
        <v>0</v>
      </c>
      <c r="N243" s="154" t="s">
        <v>83</v>
      </c>
      <c r="O243" s="136" t="s">
        <v>95</v>
      </c>
      <c r="P243" s="27">
        <v>0</v>
      </c>
      <c r="Q243" s="27">
        <v>0</v>
      </c>
      <c r="R243" s="154" t="s">
        <v>83</v>
      </c>
      <c r="S243" s="154" t="s">
        <v>83</v>
      </c>
      <c r="T243" s="154" t="s">
        <v>83</v>
      </c>
      <c r="U243" s="154" t="s">
        <v>83</v>
      </c>
      <c r="V243" s="27"/>
      <c r="W243" s="27" t="s">
        <v>88</v>
      </c>
      <c r="X243" s="27">
        <v>0</v>
      </c>
      <c r="Y243" s="154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4" t="s">
        <v>83</v>
      </c>
      <c r="AF243" s="154" t="s">
        <v>83</v>
      </c>
      <c r="AG243" s="154" t="s">
        <v>83</v>
      </c>
      <c r="AH243" s="154" t="s">
        <v>83</v>
      </c>
      <c r="AI243" s="27">
        <v>1</v>
      </c>
      <c r="AJ243" s="27"/>
      <c r="AK243" s="27">
        <v>1</v>
      </c>
      <c r="AL243" s="27">
        <v>1</v>
      </c>
      <c r="AM243" s="154" t="s">
        <v>83</v>
      </c>
      <c r="AN243" s="27">
        <v>1</v>
      </c>
      <c r="AO243" s="27">
        <v>1</v>
      </c>
      <c r="AP243" s="27">
        <v>1</v>
      </c>
    </row>
    <row r="244" spans="1:42">
      <c r="A244" s="133"/>
      <c r="B244" s="27" t="str">
        <f>物品!B244</f>
        <v>IF18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5" t="str">
        <f t="shared" si="95"/>
        <v>附魔</v>
      </c>
      <c r="K244" s="135">
        <f t="shared" si="96"/>
        <v>0</v>
      </c>
      <c r="L244" s="27"/>
      <c r="M244" s="136">
        <f>VLOOKUP(LEFT(RIGHT(B244,5),4),物品!B:CU,20,FALSE)</f>
        <v>0</v>
      </c>
      <c r="N244" s="154" t="s">
        <v>83</v>
      </c>
      <c r="O244" s="136" t="s">
        <v>95</v>
      </c>
      <c r="P244" s="27">
        <v>0</v>
      </c>
      <c r="Q244" s="27">
        <v>0</v>
      </c>
      <c r="R244" s="154" t="s">
        <v>83</v>
      </c>
      <c r="S244" s="154" t="s">
        <v>83</v>
      </c>
      <c r="T244" s="154" t="s">
        <v>83</v>
      </c>
      <c r="U244" s="154" t="s">
        <v>83</v>
      </c>
      <c r="V244" s="27"/>
      <c r="W244" s="27" t="s">
        <v>88</v>
      </c>
      <c r="X244" s="27">
        <v>0</v>
      </c>
      <c r="Y244" s="154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4" t="s">
        <v>83</v>
      </c>
      <c r="AF244" s="154" t="s">
        <v>83</v>
      </c>
      <c r="AG244" s="154" t="s">
        <v>83</v>
      </c>
      <c r="AH244" s="154" t="s">
        <v>83</v>
      </c>
      <c r="AI244" s="27">
        <v>1</v>
      </c>
      <c r="AJ244" s="27"/>
      <c r="AK244" s="27">
        <v>1</v>
      </c>
      <c r="AL244" s="27">
        <v>1</v>
      </c>
      <c r="AM244" s="154" t="s">
        <v>83</v>
      </c>
      <c r="AN244" s="27">
        <v>1</v>
      </c>
      <c r="AO244" s="27">
        <v>1</v>
      </c>
      <c r="AP244" s="27">
        <v>1</v>
      </c>
    </row>
    <row r="245" spans="1:42">
      <c r="A245" s="133"/>
      <c r="B245" s="27" t="str">
        <f>物品!B245</f>
        <v>IF19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5" t="str">
        <f t="shared" si="95"/>
        <v>附魔</v>
      </c>
      <c r="K245" s="135">
        <f t="shared" si="96"/>
        <v>0</v>
      </c>
      <c r="L245" s="27"/>
      <c r="M245" s="136">
        <f>VLOOKUP(LEFT(RIGHT(B245,5),4),物品!B:CU,20,FALSE)</f>
        <v>0</v>
      </c>
      <c r="N245" s="154" t="s">
        <v>83</v>
      </c>
      <c r="O245" s="136" t="s">
        <v>95</v>
      </c>
      <c r="P245" s="27">
        <v>0</v>
      </c>
      <c r="Q245" s="27">
        <v>0</v>
      </c>
      <c r="R245" s="154" t="s">
        <v>83</v>
      </c>
      <c r="S245" s="154" t="s">
        <v>83</v>
      </c>
      <c r="T245" s="154" t="s">
        <v>83</v>
      </c>
      <c r="U245" s="154" t="s">
        <v>83</v>
      </c>
      <c r="V245" s="27"/>
      <c r="W245" s="27" t="s">
        <v>88</v>
      </c>
      <c r="X245" s="27">
        <v>0</v>
      </c>
      <c r="Y245" s="154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4" t="s">
        <v>83</v>
      </c>
      <c r="AF245" s="154" t="s">
        <v>83</v>
      </c>
      <c r="AG245" s="154" t="s">
        <v>83</v>
      </c>
      <c r="AH245" s="154" t="s">
        <v>83</v>
      </c>
      <c r="AI245" s="27">
        <v>1</v>
      </c>
      <c r="AJ245" s="27"/>
      <c r="AK245" s="27">
        <v>1</v>
      </c>
      <c r="AL245" s="27">
        <v>1</v>
      </c>
      <c r="AM245" s="154" t="s">
        <v>83</v>
      </c>
      <c r="AN245" s="27">
        <v>1</v>
      </c>
      <c r="AO245" s="27">
        <v>1</v>
      </c>
      <c r="AP245" s="27">
        <v>1</v>
      </c>
    </row>
    <row r="246" spans="1:42">
      <c r="A246" s="133"/>
      <c r="B246" s="27" t="str">
        <f>物品!B246</f>
        <v>IF20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5" t="str">
        <f t="shared" si="95"/>
        <v>附魔</v>
      </c>
      <c r="K246" s="135">
        <f t="shared" si="96"/>
        <v>0</v>
      </c>
      <c r="L246" s="27"/>
      <c r="M246" s="136">
        <f>VLOOKUP(LEFT(RIGHT(B246,5),4),物品!B:CU,20,FALSE)</f>
        <v>0</v>
      </c>
      <c r="N246" s="154" t="s">
        <v>83</v>
      </c>
      <c r="O246" s="136" t="s">
        <v>95</v>
      </c>
      <c r="P246" s="27">
        <v>0</v>
      </c>
      <c r="Q246" s="27">
        <v>0</v>
      </c>
      <c r="R246" s="154" t="s">
        <v>83</v>
      </c>
      <c r="S246" s="154" t="s">
        <v>83</v>
      </c>
      <c r="T246" s="154" t="s">
        <v>83</v>
      </c>
      <c r="U246" s="154" t="s">
        <v>83</v>
      </c>
      <c r="V246" s="27"/>
      <c r="W246" s="27" t="s">
        <v>88</v>
      </c>
      <c r="X246" s="27">
        <v>0</v>
      </c>
      <c r="Y246" s="154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4" t="s">
        <v>83</v>
      </c>
      <c r="AF246" s="154" t="s">
        <v>83</v>
      </c>
      <c r="AG246" s="154" t="s">
        <v>83</v>
      </c>
      <c r="AH246" s="154" t="s">
        <v>83</v>
      </c>
      <c r="AI246" s="27">
        <v>1</v>
      </c>
      <c r="AJ246" s="27"/>
      <c r="AK246" s="27">
        <v>1</v>
      </c>
      <c r="AL246" s="27">
        <v>1</v>
      </c>
      <c r="AM246" s="154" t="s">
        <v>83</v>
      </c>
      <c r="AN246" s="27">
        <v>1</v>
      </c>
      <c r="AO246" s="27">
        <v>1</v>
      </c>
      <c r="AP246" s="27">
        <v>1</v>
      </c>
    </row>
    <row r="247" spans="1:42">
      <c r="A247" s="133"/>
      <c r="B247" s="27" t="str">
        <f>物品!B247</f>
        <v>IF21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5" t="str">
        <f t="shared" si="95"/>
        <v>附魔</v>
      </c>
      <c r="K247" s="135">
        <f t="shared" si="96"/>
        <v>0</v>
      </c>
      <c r="L247" s="27"/>
      <c r="M247" s="136">
        <f>VLOOKUP(LEFT(RIGHT(B247,5),4),物品!B:CU,20,FALSE)</f>
        <v>0</v>
      </c>
      <c r="N247" s="154" t="s">
        <v>83</v>
      </c>
      <c r="O247" s="136" t="s">
        <v>95</v>
      </c>
      <c r="P247" s="27">
        <v>0</v>
      </c>
      <c r="Q247" s="27">
        <v>0</v>
      </c>
      <c r="R247" s="154" t="s">
        <v>83</v>
      </c>
      <c r="S247" s="154" t="s">
        <v>83</v>
      </c>
      <c r="T247" s="154" t="s">
        <v>83</v>
      </c>
      <c r="U247" s="154" t="s">
        <v>83</v>
      </c>
      <c r="V247" s="27"/>
      <c r="W247" s="27" t="s">
        <v>88</v>
      </c>
      <c r="X247" s="27">
        <v>0</v>
      </c>
      <c r="Y247" s="154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4" t="s">
        <v>83</v>
      </c>
      <c r="AF247" s="154" t="s">
        <v>83</v>
      </c>
      <c r="AG247" s="154" t="s">
        <v>83</v>
      </c>
      <c r="AH247" s="154" t="s">
        <v>83</v>
      </c>
      <c r="AI247" s="27">
        <v>1</v>
      </c>
      <c r="AJ247" s="27"/>
      <c r="AK247" s="27">
        <v>1</v>
      </c>
      <c r="AL247" s="27">
        <v>1</v>
      </c>
      <c r="AM247" s="154" t="s">
        <v>83</v>
      </c>
      <c r="AN247" s="27">
        <v>1</v>
      </c>
      <c r="AO247" s="27">
        <v>1</v>
      </c>
      <c r="AP247" s="27">
        <v>1</v>
      </c>
    </row>
    <row r="248" spans="1:42">
      <c r="A248" s="133"/>
      <c r="B248" s="27" t="str">
        <f>物品!B248</f>
        <v>IF22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5" t="str">
        <f t="shared" si="95"/>
        <v>附魔</v>
      </c>
      <c r="K248" s="135">
        <f t="shared" si="96"/>
        <v>0</v>
      </c>
      <c r="L248" s="27"/>
      <c r="M248" s="136">
        <f>VLOOKUP(LEFT(RIGHT(B248,5),4),物品!B:CU,20,FALSE)</f>
        <v>0</v>
      </c>
      <c r="N248" s="154" t="s">
        <v>83</v>
      </c>
      <c r="O248" s="136" t="s">
        <v>95</v>
      </c>
      <c r="P248" s="27">
        <v>0</v>
      </c>
      <c r="Q248" s="27">
        <v>0</v>
      </c>
      <c r="R248" s="154" t="s">
        <v>83</v>
      </c>
      <c r="S248" s="154" t="s">
        <v>83</v>
      </c>
      <c r="T248" s="154" t="s">
        <v>83</v>
      </c>
      <c r="U248" s="154" t="s">
        <v>83</v>
      </c>
      <c r="V248" s="27"/>
      <c r="W248" s="27" t="s">
        <v>88</v>
      </c>
      <c r="X248" s="27">
        <v>0</v>
      </c>
      <c r="Y248" s="154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4" t="s">
        <v>83</v>
      </c>
      <c r="AF248" s="154" t="s">
        <v>83</v>
      </c>
      <c r="AG248" s="154" t="s">
        <v>83</v>
      </c>
      <c r="AH248" s="154" t="s">
        <v>83</v>
      </c>
      <c r="AI248" s="27">
        <v>1</v>
      </c>
      <c r="AJ248" s="27"/>
      <c r="AK248" s="27">
        <v>1</v>
      </c>
      <c r="AL248" s="27">
        <v>1</v>
      </c>
      <c r="AM248" s="154" t="s">
        <v>83</v>
      </c>
      <c r="AN248" s="27">
        <v>1</v>
      </c>
      <c r="AO248" s="27">
        <v>1</v>
      </c>
      <c r="AP248" s="27">
        <v>1</v>
      </c>
    </row>
    <row r="249" spans="1:42">
      <c r="A249" s="133"/>
      <c r="B249" s="27" t="str">
        <f>物品!B249</f>
        <v>IF23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5" t="str">
        <f t="shared" si="95"/>
        <v>附魔</v>
      </c>
      <c r="K249" s="135">
        <f t="shared" si="96"/>
        <v>0</v>
      </c>
      <c r="L249" s="27"/>
      <c r="M249" s="136">
        <f>VLOOKUP(LEFT(RIGHT(B249,5),4),物品!B:CU,20,FALSE)</f>
        <v>0</v>
      </c>
      <c r="N249" s="154" t="s">
        <v>83</v>
      </c>
      <c r="O249" s="136" t="s">
        <v>95</v>
      </c>
      <c r="P249" s="27">
        <v>0</v>
      </c>
      <c r="Q249" s="27">
        <v>0</v>
      </c>
      <c r="R249" s="154" t="s">
        <v>83</v>
      </c>
      <c r="S249" s="154" t="s">
        <v>83</v>
      </c>
      <c r="T249" s="154" t="s">
        <v>83</v>
      </c>
      <c r="U249" s="154" t="s">
        <v>83</v>
      </c>
      <c r="V249" s="27"/>
      <c r="W249" s="27" t="s">
        <v>88</v>
      </c>
      <c r="X249" s="27">
        <v>0</v>
      </c>
      <c r="Y249" s="154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4" t="s">
        <v>83</v>
      </c>
      <c r="AF249" s="154" t="s">
        <v>83</v>
      </c>
      <c r="AG249" s="154" t="s">
        <v>83</v>
      </c>
      <c r="AH249" s="154" t="s">
        <v>83</v>
      </c>
      <c r="AI249" s="27">
        <v>1</v>
      </c>
      <c r="AJ249" s="27"/>
      <c r="AK249" s="27">
        <v>1</v>
      </c>
      <c r="AL249" s="27">
        <v>1</v>
      </c>
      <c r="AM249" s="154" t="s">
        <v>83</v>
      </c>
      <c r="AN249" s="27">
        <v>1</v>
      </c>
      <c r="AO249" s="27">
        <v>1</v>
      </c>
      <c r="AP249" s="27">
        <v>1</v>
      </c>
    </row>
    <row r="250" spans="1:42">
      <c r="A250" s="133"/>
      <c r="B250" s="27" t="str">
        <f>物品!B250</f>
        <v>IF24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5" t="str">
        <f t="shared" si="95"/>
        <v>附魔</v>
      </c>
      <c r="K250" s="135">
        <f t="shared" si="96"/>
        <v>0</v>
      </c>
      <c r="L250" s="27"/>
      <c r="M250" s="136">
        <f>VLOOKUP(LEFT(RIGHT(B250,5),4),物品!B:CU,20,FALSE)</f>
        <v>0</v>
      </c>
      <c r="N250" s="154" t="s">
        <v>83</v>
      </c>
      <c r="O250" s="136" t="s">
        <v>95</v>
      </c>
      <c r="P250" s="27">
        <v>0</v>
      </c>
      <c r="Q250" s="27">
        <v>0</v>
      </c>
      <c r="R250" s="154" t="s">
        <v>83</v>
      </c>
      <c r="S250" s="154" t="s">
        <v>83</v>
      </c>
      <c r="T250" s="154" t="s">
        <v>83</v>
      </c>
      <c r="U250" s="154" t="s">
        <v>83</v>
      </c>
      <c r="V250" s="27"/>
      <c r="W250" s="27" t="s">
        <v>88</v>
      </c>
      <c r="X250" s="27">
        <v>0</v>
      </c>
      <c r="Y250" s="154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4" t="s">
        <v>83</v>
      </c>
      <c r="AF250" s="154" t="s">
        <v>83</v>
      </c>
      <c r="AG250" s="154" t="s">
        <v>83</v>
      </c>
      <c r="AH250" s="154" t="s">
        <v>83</v>
      </c>
      <c r="AI250" s="27">
        <v>1</v>
      </c>
      <c r="AJ250" s="27"/>
      <c r="AK250" s="27">
        <v>1</v>
      </c>
      <c r="AL250" s="27">
        <v>1</v>
      </c>
      <c r="AM250" s="154" t="s">
        <v>83</v>
      </c>
      <c r="AN250" s="27">
        <v>1</v>
      </c>
      <c r="AO250" s="27">
        <v>1</v>
      </c>
      <c r="AP250" s="27">
        <v>1</v>
      </c>
    </row>
    <row r="251" spans="1:42">
      <c r="A251" s="133"/>
      <c r="B251" s="27" t="str">
        <f>物品!B251</f>
        <v>IF25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35" t="str">
        <f t="shared" si="95"/>
        <v>附魔</v>
      </c>
      <c r="K251" s="135">
        <f t="shared" si="96"/>
        <v>0</v>
      </c>
      <c r="L251" s="27"/>
      <c r="M251" s="136">
        <f>VLOOKUP(LEFT(RIGHT(B251,5),4),物品!B:CU,20,FALSE)</f>
        <v>0</v>
      </c>
      <c r="N251" s="154" t="s">
        <v>83</v>
      </c>
      <c r="O251" s="136" t="s">
        <v>95</v>
      </c>
      <c r="P251" s="27">
        <v>0</v>
      </c>
      <c r="Q251" s="27">
        <v>0</v>
      </c>
      <c r="R251" s="154" t="s">
        <v>83</v>
      </c>
      <c r="S251" s="154" t="s">
        <v>83</v>
      </c>
      <c r="T251" s="154" t="s">
        <v>83</v>
      </c>
      <c r="U251" s="154" t="s">
        <v>83</v>
      </c>
      <c r="V251" s="27"/>
      <c r="W251" s="27" t="s">
        <v>88</v>
      </c>
      <c r="X251" s="27">
        <v>0</v>
      </c>
      <c r="Y251" s="154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4" t="s">
        <v>83</v>
      </c>
      <c r="AF251" s="154" t="s">
        <v>83</v>
      </c>
      <c r="AG251" s="154" t="s">
        <v>83</v>
      </c>
      <c r="AH251" s="154" t="s">
        <v>83</v>
      </c>
      <c r="AI251" s="27">
        <v>1</v>
      </c>
      <c r="AJ251" s="27"/>
      <c r="AK251" s="27">
        <v>1</v>
      </c>
      <c r="AL251" s="27">
        <v>1</v>
      </c>
      <c r="AM251" s="154" t="s">
        <v>83</v>
      </c>
      <c r="AN251" s="27">
        <v>1</v>
      </c>
      <c r="AO251" s="27">
        <v>1</v>
      </c>
      <c r="AP251" s="27">
        <v>1</v>
      </c>
    </row>
    <row r="252" spans="1:42">
      <c r="A252" s="133"/>
      <c r="B252" s="27" t="str">
        <f>物品!B252</f>
        <v>IF26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35" t="str">
        <f t="shared" si="95"/>
        <v>附魔</v>
      </c>
      <c r="K252" s="135">
        <f t="shared" si="96"/>
        <v>0</v>
      </c>
      <c r="L252" s="27"/>
      <c r="M252" s="136">
        <f>VLOOKUP(LEFT(RIGHT(B252,5),4),物品!B:CU,20,FALSE)</f>
        <v>0</v>
      </c>
      <c r="N252" s="154" t="s">
        <v>83</v>
      </c>
      <c r="O252" s="136" t="s">
        <v>95</v>
      </c>
      <c r="P252" s="27">
        <v>0</v>
      </c>
      <c r="Q252" s="27">
        <v>0</v>
      </c>
      <c r="R252" s="154" t="s">
        <v>83</v>
      </c>
      <c r="S252" s="154" t="s">
        <v>83</v>
      </c>
      <c r="T252" s="154" t="s">
        <v>83</v>
      </c>
      <c r="U252" s="154" t="s">
        <v>83</v>
      </c>
      <c r="V252" s="27"/>
      <c r="W252" s="27" t="s">
        <v>88</v>
      </c>
      <c r="X252" s="27">
        <v>0</v>
      </c>
      <c r="Y252" s="154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4" t="s">
        <v>83</v>
      </c>
      <c r="AF252" s="154" t="s">
        <v>83</v>
      </c>
      <c r="AG252" s="154" t="s">
        <v>83</v>
      </c>
      <c r="AH252" s="154" t="s">
        <v>83</v>
      </c>
      <c r="AI252" s="27">
        <v>1</v>
      </c>
      <c r="AJ252" s="27"/>
      <c r="AK252" s="27">
        <v>1</v>
      </c>
      <c r="AL252" s="27">
        <v>1</v>
      </c>
      <c r="AM252" s="154" t="s">
        <v>83</v>
      </c>
      <c r="AN252" s="27">
        <v>1</v>
      </c>
      <c r="AO252" s="27">
        <v>1</v>
      </c>
      <c r="AP252" s="27">
        <v>1</v>
      </c>
    </row>
    <row r="253" spans="1:42">
      <c r="A253" s="133"/>
      <c r="B253" s="27" t="str">
        <f>物品!B253</f>
        <v>IF27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35" t="str">
        <f t="shared" si="95"/>
        <v>附魔</v>
      </c>
      <c r="K253" s="135">
        <f t="shared" si="96"/>
        <v>0</v>
      </c>
      <c r="L253" s="27"/>
      <c r="M253" s="136">
        <f>VLOOKUP(LEFT(RIGHT(B253,5),4),物品!B:CU,20,FALSE)</f>
        <v>0</v>
      </c>
      <c r="N253" s="154" t="s">
        <v>83</v>
      </c>
      <c r="O253" s="136" t="s">
        <v>95</v>
      </c>
      <c r="P253" s="27">
        <v>0</v>
      </c>
      <c r="Q253" s="27">
        <v>0</v>
      </c>
      <c r="R253" s="154" t="s">
        <v>83</v>
      </c>
      <c r="S253" s="154" t="s">
        <v>83</v>
      </c>
      <c r="T253" s="154" t="s">
        <v>83</v>
      </c>
      <c r="U253" s="154" t="s">
        <v>83</v>
      </c>
      <c r="V253" s="27"/>
      <c r="W253" s="27" t="s">
        <v>88</v>
      </c>
      <c r="X253" s="27">
        <v>0</v>
      </c>
      <c r="Y253" s="154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4" t="s">
        <v>83</v>
      </c>
      <c r="AF253" s="154" t="s">
        <v>83</v>
      </c>
      <c r="AG253" s="154" t="s">
        <v>83</v>
      </c>
      <c r="AH253" s="154" t="s">
        <v>83</v>
      </c>
      <c r="AI253" s="27">
        <v>1</v>
      </c>
      <c r="AJ253" s="27"/>
      <c r="AK253" s="27">
        <v>1</v>
      </c>
      <c r="AL253" s="27">
        <v>1</v>
      </c>
      <c r="AM253" s="154" t="s">
        <v>83</v>
      </c>
      <c r="AN253" s="27">
        <v>1</v>
      </c>
      <c r="AO253" s="27">
        <v>1</v>
      </c>
      <c r="AP253" s="27">
        <v>1</v>
      </c>
    </row>
    <row r="254" spans="1:42">
      <c r="A254" s="133"/>
      <c r="B254" s="27" t="str">
        <f>物品!B254</f>
        <v>IF28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35" t="str">
        <f t="shared" ref="J254:J256" si="97">H254</f>
        <v>附魔</v>
      </c>
      <c r="K254" s="135">
        <f t="shared" ref="K254:K256" si="98">I254</f>
        <v>0</v>
      </c>
      <c r="L254" s="27"/>
      <c r="M254" s="136">
        <f>VLOOKUP(LEFT(RIGHT(B254,5),4),物品!B:CU,20,FALSE)</f>
        <v>0</v>
      </c>
      <c r="N254" s="154" t="s">
        <v>83</v>
      </c>
      <c r="O254" s="136" t="s">
        <v>95</v>
      </c>
      <c r="P254" s="27">
        <v>0</v>
      </c>
      <c r="Q254" s="27">
        <v>0</v>
      </c>
      <c r="R254" s="154" t="s">
        <v>83</v>
      </c>
      <c r="S254" s="154" t="s">
        <v>83</v>
      </c>
      <c r="T254" s="154" t="s">
        <v>83</v>
      </c>
      <c r="U254" s="154" t="s">
        <v>83</v>
      </c>
      <c r="V254" s="27"/>
      <c r="W254" s="27" t="s">
        <v>88</v>
      </c>
      <c r="X254" s="27">
        <v>0</v>
      </c>
      <c r="Y254" s="154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4" t="s">
        <v>83</v>
      </c>
      <c r="AF254" s="154" t="s">
        <v>83</v>
      </c>
      <c r="AG254" s="154" t="s">
        <v>83</v>
      </c>
      <c r="AH254" s="154" t="s">
        <v>83</v>
      </c>
      <c r="AI254" s="27">
        <v>1</v>
      </c>
      <c r="AJ254" s="27"/>
      <c r="AK254" s="27">
        <v>1</v>
      </c>
      <c r="AL254" s="27">
        <v>1</v>
      </c>
      <c r="AM254" s="154" t="s">
        <v>83</v>
      </c>
      <c r="AN254" s="27">
        <v>1</v>
      </c>
      <c r="AO254" s="27">
        <v>1</v>
      </c>
      <c r="AP254" s="27">
        <v>1</v>
      </c>
    </row>
    <row r="255" spans="1:42">
      <c r="A255" s="133"/>
      <c r="B255" s="27" t="str">
        <f>物品!B255</f>
        <v>IF29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35" t="str">
        <f t="shared" si="97"/>
        <v>附魔</v>
      </c>
      <c r="K255" s="135">
        <f t="shared" si="98"/>
        <v>0</v>
      </c>
      <c r="L255" s="27"/>
      <c r="M255" s="136">
        <f>VLOOKUP(LEFT(RIGHT(B255,5),4),物品!B:CU,20,FALSE)</f>
        <v>0</v>
      </c>
      <c r="N255" s="154" t="s">
        <v>83</v>
      </c>
      <c r="O255" s="136" t="s">
        <v>95</v>
      </c>
      <c r="P255" s="27">
        <v>0</v>
      </c>
      <c r="Q255" s="27">
        <v>0</v>
      </c>
      <c r="R255" s="154" t="s">
        <v>83</v>
      </c>
      <c r="S255" s="154" t="s">
        <v>83</v>
      </c>
      <c r="T255" s="154" t="s">
        <v>83</v>
      </c>
      <c r="U255" s="154" t="s">
        <v>83</v>
      </c>
      <c r="V255" s="27"/>
      <c r="W255" s="27" t="s">
        <v>88</v>
      </c>
      <c r="X255" s="27">
        <v>0</v>
      </c>
      <c r="Y255" s="154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54" t="s">
        <v>83</v>
      </c>
      <c r="AF255" s="154" t="s">
        <v>83</v>
      </c>
      <c r="AG255" s="154" t="s">
        <v>83</v>
      </c>
      <c r="AH255" s="154" t="s">
        <v>83</v>
      </c>
      <c r="AI255" s="27">
        <v>1</v>
      </c>
      <c r="AJ255" s="27"/>
      <c r="AK255" s="27">
        <v>1</v>
      </c>
      <c r="AL255" s="27">
        <v>1</v>
      </c>
      <c r="AM255" s="154" t="s">
        <v>83</v>
      </c>
      <c r="AN255" s="27">
        <v>1</v>
      </c>
      <c r="AO255" s="27">
        <v>1</v>
      </c>
      <c r="AP255" s="27">
        <v>1</v>
      </c>
    </row>
    <row r="256" spans="1:42">
      <c r="A256" s="133"/>
      <c r="B256" s="27" t="str">
        <f>物品!B256</f>
        <v>IF30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35" t="str">
        <f t="shared" si="97"/>
        <v>附魔</v>
      </c>
      <c r="K256" s="135">
        <f t="shared" si="98"/>
        <v>0</v>
      </c>
      <c r="L256" s="27"/>
      <c r="M256" s="136">
        <f>VLOOKUP(LEFT(RIGHT(B256,5),4),物品!B:CU,20,FALSE)</f>
        <v>0</v>
      </c>
      <c r="N256" s="154" t="s">
        <v>83</v>
      </c>
      <c r="O256" s="136" t="s">
        <v>95</v>
      </c>
      <c r="P256" s="27">
        <v>0</v>
      </c>
      <c r="Q256" s="27">
        <v>0</v>
      </c>
      <c r="R256" s="154" t="s">
        <v>83</v>
      </c>
      <c r="S256" s="154" t="s">
        <v>83</v>
      </c>
      <c r="T256" s="154" t="s">
        <v>83</v>
      </c>
      <c r="U256" s="154" t="s">
        <v>83</v>
      </c>
      <c r="V256" s="27"/>
      <c r="W256" s="27" t="s">
        <v>88</v>
      </c>
      <c r="X256" s="27">
        <v>0</v>
      </c>
      <c r="Y256" s="154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54" t="s">
        <v>83</v>
      </c>
      <c r="AF256" s="154" t="s">
        <v>83</v>
      </c>
      <c r="AG256" s="154" t="s">
        <v>83</v>
      </c>
      <c r="AH256" s="154" t="s">
        <v>83</v>
      </c>
      <c r="AI256" s="27">
        <v>1</v>
      </c>
      <c r="AJ256" s="27"/>
      <c r="AK256" s="27">
        <v>1</v>
      </c>
      <c r="AL256" s="27">
        <v>1</v>
      </c>
      <c r="AM256" s="154" t="s">
        <v>83</v>
      </c>
      <c r="AN256" s="27">
        <v>1</v>
      </c>
      <c r="AO256" s="27">
        <v>1</v>
      </c>
      <c r="AP256" s="27">
        <v>1</v>
      </c>
    </row>
    <row r="257" spans="1:42">
      <c r="A257" s="133"/>
      <c r="B257" s="27" t="str">
        <f>物品!B257</f>
        <v>IF31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35" t="str">
        <f t="shared" ref="J257:J270" si="99">H257</f>
        <v>附魔</v>
      </c>
      <c r="K257" s="135">
        <f t="shared" ref="K257:K270" si="100">I257</f>
        <v>0</v>
      </c>
      <c r="L257" s="27"/>
      <c r="M257" s="136">
        <f>VLOOKUP(LEFT(RIGHT(B257,5),4),物品!B:CU,20,FALSE)</f>
        <v>0</v>
      </c>
      <c r="N257" s="154" t="s">
        <v>83</v>
      </c>
      <c r="O257" s="136" t="s">
        <v>95</v>
      </c>
      <c r="P257" s="27">
        <v>0</v>
      </c>
      <c r="Q257" s="27">
        <v>0</v>
      </c>
      <c r="R257" s="154" t="s">
        <v>83</v>
      </c>
      <c r="S257" s="154" t="s">
        <v>83</v>
      </c>
      <c r="T257" s="154" t="s">
        <v>83</v>
      </c>
      <c r="U257" s="154" t="s">
        <v>83</v>
      </c>
      <c r="V257" s="27"/>
      <c r="W257" s="27" t="s">
        <v>88</v>
      </c>
      <c r="X257" s="27">
        <v>0</v>
      </c>
      <c r="Y257" s="154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54" t="s">
        <v>83</v>
      </c>
      <c r="AF257" s="154" t="s">
        <v>83</v>
      </c>
      <c r="AG257" s="154" t="s">
        <v>83</v>
      </c>
      <c r="AH257" s="154" t="s">
        <v>83</v>
      </c>
      <c r="AI257" s="27">
        <v>1</v>
      </c>
      <c r="AJ257" s="27"/>
      <c r="AK257" s="27">
        <v>1</v>
      </c>
      <c r="AL257" s="27">
        <v>1</v>
      </c>
      <c r="AM257" s="154" t="s">
        <v>83</v>
      </c>
      <c r="AN257" s="27">
        <v>1</v>
      </c>
      <c r="AO257" s="27">
        <v>1</v>
      </c>
      <c r="AP257" s="27">
        <v>1</v>
      </c>
    </row>
    <row r="258" spans="1:42">
      <c r="A258" s="133"/>
      <c r="B258" s="27" t="str">
        <f>物品!B258</f>
        <v>IF32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35" t="str">
        <f t="shared" ref="J258" si="101">H258</f>
        <v>附魔</v>
      </c>
      <c r="K258" s="135">
        <f t="shared" ref="K258" si="102">I258</f>
        <v>0</v>
      </c>
      <c r="L258" s="27"/>
      <c r="M258" s="136">
        <f>VLOOKUP(LEFT(RIGHT(B258,5),4),物品!B:CU,20,FALSE)</f>
        <v>0</v>
      </c>
      <c r="N258" s="154" t="s">
        <v>83</v>
      </c>
      <c r="O258" s="136" t="s">
        <v>95</v>
      </c>
      <c r="P258" s="27">
        <v>0</v>
      </c>
      <c r="Q258" s="27">
        <v>0</v>
      </c>
      <c r="R258" s="154" t="s">
        <v>83</v>
      </c>
      <c r="S258" s="154" t="s">
        <v>83</v>
      </c>
      <c r="T258" s="154" t="s">
        <v>83</v>
      </c>
      <c r="U258" s="154" t="s">
        <v>83</v>
      </c>
      <c r="V258" s="27"/>
      <c r="W258" s="27" t="s">
        <v>88</v>
      </c>
      <c r="X258" s="27">
        <v>0</v>
      </c>
      <c r="Y258" s="154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54" t="s">
        <v>83</v>
      </c>
      <c r="AF258" s="154" t="s">
        <v>83</v>
      </c>
      <c r="AG258" s="154" t="s">
        <v>83</v>
      </c>
      <c r="AH258" s="154" t="s">
        <v>83</v>
      </c>
      <c r="AI258" s="27">
        <v>1</v>
      </c>
      <c r="AJ258" s="27"/>
      <c r="AK258" s="27">
        <v>1</v>
      </c>
      <c r="AL258" s="27">
        <v>1</v>
      </c>
      <c r="AM258" s="154" t="s">
        <v>83</v>
      </c>
      <c r="AN258" s="27">
        <v>1</v>
      </c>
      <c r="AO258" s="27">
        <v>1</v>
      </c>
      <c r="AP258" s="27">
        <v>1</v>
      </c>
    </row>
    <row r="259" spans="1:42">
      <c r="A259" s="133"/>
      <c r="B259" s="27" t="str">
        <f>物品!B259</f>
        <v>IC00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没抽到任何东西</v>
      </c>
      <c r="I259" s="27">
        <f>VLOOKUP(B259,物品!B:CV,99,FALSE)</f>
        <v>0</v>
      </c>
      <c r="J259" s="135" t="str">
        <f t="shared" ref="J259" si="103">H259</f>
        <v>没抽到任何东西</v>
      </c>
      <c r="K259" s="135">
        <f t="shared" ref="K259" si="104">I259</f>
        <v>0</v>
      </c>
      <c r="L259" s="27"/>
      <c r="M259" s="136">
        <f>VLOOKUP(LEFT(RIGHT(B259,5),4),物品!B:CU,20,FALSE)</f>
        <v>0</v>
      </c>
      <c r="N259" s="154" t="s">
        <v>83</v>
      </c>
      <c r="O259" s="136" t="s">
        <v>95</v>
      </c>
      <c r="P259" s="27">
        <v>0</v>
      </c>
      <c r="Q259" s="27">
        <v>0</v>
      </c>
      <c r="R259" s="154" t="s">
        <v>83</v>
      </c>
      <c r="S259" s="154" t="s">
        <v>83</v>
      </c>
      <c r="T259" s="154" t="s">
        <v>83</v>
      </c>
      <c r="U259" s="154" t="s">
        <v>83</v>
      </c>
      <c r="V259" s="27"/>
      <c r="W259" s="27" t="s">
        <v>88</v>
      </c>
      <c r="X259" s="27">
        <v>0</v>
      </c>
      <c r="Y259" s="154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54" t="s">
        <v>83</v>
      </c>
      <c r="AF259" s="154" t="s">
        <v>83</v>
      </c>
      <c r="AG259" s="154" t="s">
        <v>83</v>
      </c>
      <c r="AH259" s="154" t="s">
        <v>83</v>
      </c>
      <c r="AI259" s="27">
        <v>1</v>
      </c>
      <c r="AJ259" s="27"/>
      <c r="AK259" s="27">
        <v>1</v>
      </c>
      <c r="AL259" s="27">
        <v>1</v>
      </c>
      <c r="AM259" s="154" t="s">
        <v>83</v>
      </c>
      <c r="AN259" s="27">
        <v>1</v>
      </c>
      <c r="AO259" s="27">
        <v>1</v>
      </c>
      <c r="AP259" s="27">
        <v>1</v>
      </c>
    </row>
    <row r="260" spans="1:42">
      <c r="A260" s="133"/>
      <c r="B260" s="27" t="str">
        <f>物品!B260</f>
        <v>IC01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玄铁</v>
      </c>
      <c r="I260" s="27">
        <f>VLOOKUP(B260,物品!B:CV,99,FALSE)</f>
        <v>0</v>
      </c>
      <c r="J260" s="135" t="str">
        <f t="shared" si="99"/>
        <v>玄铁</v>
      </c>
      <c r="K260" s="135">
        <f t="shared" si="100"/>
        <v>0</v>
      </c>
      <c r="L260" s="27"/>
      <c r="M260" s="136">
        <f>VLOOKUP(LEFT(RIGHT(B260,5),4),物品!B:CU,20,FALSE)</f>
        <v>0</v>
      </c>
      <c r="N260" s="154" t="s">
        <v>83</v>
      </c>
      <c r="O260" s="136" t="s">
        <v>95</v>
      </c>
      <c r="P260" s="27">
        <v>0</v>
      </c>
      <c r="Q260" s="27">
        <v>0</v>
      </c>
      <c r="R260" s="154" t="s">
        <v>83</v>
      </c>
      <c r="S260" s="154" t="s">
        <v>83</v>
      </c>
      <c r="T260" s="154" t="s">
        <v>83</v>
      </c>
      <c r="U260" s="154" t="s">
        <v>83</v>
      </c>
      <c r="V260" s="27"/>
      <c r="W260" s="27" t="s">
        <v>88</v>
      </c>
      <c r="X260" s="27">
        <v>0</v>
      </c>
      <c r="Y260" s="154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54" t="s">
        <v>83</v>
      </c>
      <c r="AF260" s="154" t="s">
        <v>83</v>
      </c>
      <c r="AG260" s="154" t="s">
        <v>83</v>
      </c>
      <c r="AH260" s="154" t="s">
        <v>83</v>
      </c>
      <c r="AI260" s="27">
        <v>1</v>
      </c>
      <c r="AJ260" s="27"/>
      <c r="AK260" s="27">
        <v>1</v>
      </c>
      <c r="AL260" s="27">
        <v>1</v>
      </c>
      <c r="AM260" s="154" t="s">
        <v>83</v>
      </c>
      <c r="AN260" s="27">
        <v>1</v>
      </c>
      <c r="AO260" s="27">
        <v>1</v>
      </c>
      <c r="AP260" s="27">
        <v>1</v>
      </c>
    </row>
    <row r="261" spans="1:42">
      <c r="A261" s="133"/>
      <c r="B261" s="27" t="str">
        <f>物品!B261</f>
        <v>IC02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杀敌数</v>
      </c>
      <c r="I261" s="27">
        <f>VLOOKUP(B261,物品!B:CV,99,FALSE)</f>
        <v>0</v>
      </c>
      <c r="J261" s="135" t="str">
        <f t="shared" si="99"/>
        <v>杀敌数</v>
      </c>
      <c r="K261" s="135">
        <f t="shared" si="100"/>
        <v>0</v>
      </c>
      <c r="L261" s="27"/>
      <c r="M261" s="136">
        <f>VLOOKUP(LEFT(RIGHT(B261,5),4),物品!B:CU,20,FALSE)</f>
        <v>0</v>
      </c>
      <c r="N261" s="154" t="s">
        <v>83</v>
      </c>
      <c r="O261" s="136" t="s">
        <v>95</v>
      </c>
      <c r="P261" s="27">
        <v>0</v>
      </c>
      <c r="Q261" s="27">
        <v>0</v>
      </c>
      <c r="R261" s="154" t="s">
        <v>83</v>
      </c>
      <c r="S261" s="154" t="s">
        <v>83</v>
      </c>
      <c r="T261" s="154" t="s">
        <v>83</v>
      </c>
      <c r="U261" s="154" t="s">
        <v>83</v>
      </c>
      <c r="V261" s="27"/>
      <c r="W261" s="27" t="s">
        <v>88</v>
      </c>
      <c r="X261" s="27">
        <v>0</v>
      </c>
      <c r="Y261" s="154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54" t="s">
        <v>83</v>
      </c>
      <c r="AF261" s="154" t="s">
        <v>83</v>
      </c>
      <c r="AG261" s="154" t="s">
        <v>83</v>
      </c>
      <c r="AH261" s="154" t="s">
        <v>83</v>
      </c>
      <c r="AI261" s="27">
        <v>1</v>
      </c>
      <c r="AJ261" s="27"/>
      <c r="AK261" s="27">
        <v>1</v>
      </c>
      <c r="AL261" s="27">
        <v>1</v>
      </c>
      <c r="AM261" s="154" t="s">
        <v>83</v>
      </c>
      <c r="AN261" s="27">
        <v>1</v>
      </c>
      <c r="AO261" s="27">
        <v>1</v>
      </c>
      <c r="AP261" s="27">
        <v>1</v>
      </c>
    </row>
    <row r="262" spans="1:42">
      <c r="A262" s="133"/>
      <c r="B262" s="27" t="str">
        <f>物品!B262</f>
        <v>IC03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攻击力低</v>
      </c>
      <c r="I262" s="27">
        <f>VLOOKUP(B262,物品!B:CV,99,FALSE)</f>
        <v>0</v>
      </c>
      <c r="J262" s="135" t="str">
        <f t="shared" si="99"/>
        <v>攻击力低</v>
      </c>
      <c r="K262" s="135">
        <f t="shared" si="100"/>
        <v>0</v>
      </c>
      <c r="L262" s="27"/>
      <c r="M262" s="136">
        <f>VLOOKUP(LEFT(RIGHT(B262,5),4),物品!B:CU,20,FALSE)</f>
        <v>0</v>
      </c>
      <c r="N262" s="154" t="s">
        <v>83</v>
      </c>
      <c r="O262" s="136" t="s">
        <v>95</v>
      </c>
      <c r="P262" s="27">
        <v>0</v>
      </c>
      <c r="Q262" s="27">
        <v>0</v>
      </c>
      <c r="R262" s="154" t="s">
        <v>83</v>
      </c>
      <c r="S262" s="154" t="s">
        <v>83</v>
      </c>
      <c r="T262" s="154" t="s">
        <v>83</v>
      </c>
      <c r="U262" s="154" t="s">
        <v>83</v>
      </c>
      <c r="V262" s="27"/>
      <c r="W262" s="27" t="s">
        <v>88</v>
      </c>
      <c r="X262" s="27">
        <v>0</v>
      </c>
      <c r="Y262" s="154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54" t="s">
        <v>83</v>
      </c>
      <c r="AF262" s="154" t="s">
        <v>83</v>
      </c>
      <c r="AG262" s="154" t="s">
        <v>83</v>
      </c>
      <c r="AH262" s="154" t="s">
        <v>83</v>
      </c>
      <c r="AI262" s="27">
        <v>1</v>
      </c>
      <c r="AJ262" s="27"/>
      <c r="AK262" s="27">
        <v>1</v>
      </c>
      <c r="AL262" s="27">
        <v>1</v>
      </c>
      <c r="AM262" s="154" t="s">
        <v>83</v>
      </c>
      <c r="AN262" s="27">
        <v>1</v>
      </c>
      <c r="AO262" s="27">
        <v>1</v>
      </c>
      <c r="AP262" s="27">
        <v>1</v>
      </c>
    </row>
    <row r="263" spans="1:42">
      <c r="A263" s="133"/>
      <c r="B263" s="27" t="str">
        <f>物品!B263</f>
        <v>IC04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攻击力中</v>
      </c>
      <c r="I263" s="27">
        <f>VLOOKUP(B263,物品!B:CV,99,FALSE)</f>
        <v>0</v>
      </c>
      <c r="J263" s="135" t="str">
        <f t="shared" si="99"/>
        <v>攻击力中</v>
      </c>
      <c r="K263" s="135">
        <f t="shared" si="100"/>
        <v>0</v>
      </c>
      <c r="L263" s="27"/>
      <c r="M263" s="136">
        <f>VLOOKUP(LEFT(RIGHT(B263,5),4),物品!B:CU,20,FALSE)</f>
        <v>0</v>
      </c>
      <c r="N263" s="154" t="s">
        <v>83</v>
      </c>
      <c r="O263" s="136" t="s">
        <v>95</v>
      </c>
      <c r="P263" s="27">
        <v>0</v>
      </c>
      <c r="Q263" s="27">
        <v>0</v>
      </c>
      <c r="R263" s="154" t="s">
        <v>83</v>
      </c>
      <c r="S263" s="154" t="s">
        <v>83</v>
      </c>
      <c r="T263" s="154" t="s">
        <v>83</v>
      </c>
      <c r="U263" s="154" t="s">
        <v>83</v>
      </c>
      <c r="V263" s="27"/>
      <c r="W263" s="27" t="s">
        <v>88</v>
      </c>
      <c r="X263" s="27">
        <v>0</v>
      </c>
      <c r="Y263" s="154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54" t="s">
        <v>83</v>
      </c>
      <c r="AF263" s="154" t="s">
        <v>83</v>
      </c>
      <c r="AG263" s="154" t="s">
        <v>83</v>
      </c>
      <c r="AH263" s="154" t="s">
        <v>83</v>
      </c>
      <c r="AI263" s="27">
        <v>1</v>
      </c>
      <c r="AJ263" s="27"/>
      <c r="AK263" s="27">
        <v>1</v>
      </c>
      <c r="AL263" s="27">
        <v>1</v>
      </c>
      <c r="AM263" s="154" t="s">
        <v>83</v>
      </c>
      <c r="AN263" s="27">
        <v>1</v>
      </c>
      <c r="AO263" s="27">
        <v>1</v>
      </c>
      <c r="AP263" s="27">
        <v>1</v>
      </c>
    </row>
    <row r="264" spans="1:42">
      <c r="A264" s="133"/>
      <c r="B264" s="27" t="str">
        <f>物品!B264</f>
        <v>IC05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攻击力高</v>
      </c>
      <c r="I264" s="27">
        <f>VLOOKUP(B264,物品!B:CV,99,FALSE)</f>
        <v>0</v>
      </c>
      <c r="J264" s="135" t="str">
        <f t="shared" si="99"/>
        <v>攻击力高</v>
      </c>
      <c r="K264" s="135">
        <f t="shared" si="100"/>
        <v>0</v>
      </c>
      <c r="L264" s="27"/>
      <c r="M264" s="136">
        <f>VLOOKUP(LEFT(RIGHT(B264,5),4),物品!B:CU,20,FALSE)</f>
        <v>0</v>
      </c>
      <c r="N264" s="154" t="s">
        <v>83</v>
      </c>
      <c r="O264" s="136" t="s">
        <v>95</v>
      </c>
      <c r="P264" s="27">
        <v>0</v>
      </c>
      <c r="Q264" s="27">
        <v>0</v>
      </c>
      <c r="R264" s="154" t="s">
        <v>83</v>
      </c>
      <c r="S264" s="154" t="s">
        <v>83</v>
      </c>
      <c r="T264" s="154" t="s">
        <v>83</v>
      </c>
      <c r="U264" s="154" t="s">
        <v>83</v>
      </c>
      <c r="V264" s="27"/>
      <c r="W264" s="27" t="s">
        <v>88</v>
      </c>
      <c r="X264" s="27">
        <v>0</v>
      </c>
      <c r="Y264" s="154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54" t="s">
        <v>83</v>
      </c>
      <c r="AF264" s="154" t="s">
        <v>83</v>
      </c>
      <c r="AG264" s="154" t="s">
        <v>83</v>
      </c>
      <c r="AH264" s="154" t="s">
        <v>83</v>
      </c>
      <c r="AI264" s="27">
        <v>1</v>
      </c>
      <c r="AJ264" s="27"/>
      <c r="AK264" s="27">
        <v>1</v>
      </c>
      <c r="AL264" s="27">
        <v>1</v>
      </c>
      <c r="AM264" s="154" t="s">
        <v>83</v>
      </c>
      <c r="AN264" s="27">
        <v>1</v>
      </c>
      <c r="AO264" s="27">
        <v>1</v>
      </c>
      <c r="AP264" s="27">
        <v>1</v>
      </c>
    </row>
    <row r="265" spans="1:42">
      <c r="A265" s="133"/>
      <c r="B265" s="27" t="str">
        <f>物品!B265</f>
        <v>IC06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生命值低</v>
      </c>
      <c r="I265" s="27">
        <f>VLOOKUP(B265,物品!B:CV,99,FALSE)</f>
        <v>0</v>
      </c>
      <c r="J265" s="135" t="str">
        <f t="shared" si="99"/>
        <v>生命值低</v>
      </c>
      <c r="K265" s="135">
        <f t="shared" si="100"/>
        <v>0</v>
      </c>
      <c r="L265" s="27"/>
      <c r="M265" s="136">
        <f>VLOOKUP(LEFT(RIGHT(B265,5),4),物品!B:CU,20,FALSE)</f>
        <v>0</v>
      </c>
      <c r="N265" s="154" t="s">
        <v>83</v>
      </c>
      <c r="O265" s="136" t="s">
        <v>95</v>
      </c>
      <c r="P265" s="27">
        <v>0</v>
      </c>
      <c r="Q265" s="27">
        <v>0</v>
      </c>
      <c r="R265" s="154" t="s">
        <v>83</v>
      </c>
      <c r="S265" s="154" t="s">
        <v>83</v>
      </c>
      <c r="T265" s="154" t="s">
        <v>83</v>
      </c>
      <c r="U265" s="154" t="s">
        <v>83</v>
      </c>
      <c r="V265" s="27"/>
      <c r="W265" s="27" t="s">
        <v>88</v>
      </c>
      <c r="X265" s="27">
        <v>0</v>
      </c>
      <c r="Y265" s="154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54" t="s">
        <v>83</v>
      </c>
      <c r="AF265" s="154" t="s">
        <v>83</v>
      </c>
      <c r="AG265" s="154" t="s">
        <v>83</v>
      </c>
      <c r="AH265" s="154" t="s">
        <v>83</v>
      </c>
      <c r="AI265" s="27">
        <v>1</v>
      </c>
      <c r="AJ265" s="27"/>
      <c r="AK265" s="27">
        <v>1</v>
      </c>
      <c r="AL265" s="27">
        <v>1</v>
      </c>
      <c r="AM265" s="154" t="s">
        <v>83</v>
      </c>
      <c r="AN265" s="27">
        <v>1</v>
      </c>
      <c r="AO265" s="27">
        <v>1</v>
      </c>
      <c r="AP265" s="27">
        <v>1</v>
      </c>
    </row>
    <row r="266" spans="1:42">
      <c r="A266" s="133"/>
      <c r="B266" s="27" t="str">
        <f>物品!B266</f>
        <v>IC07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生命值中</v>
      </c>
      <c r="I266" s="27">
        <f>VLOOKUP(B266,物品!B:CV,99,FALSE)</f>
        <v>0</v>
      </c>
      <c r="J266" s="135" t="str">
        <f t="shared" si="99"/>
        <v>生命值中</v>
      </c>
      <c r="K266" s="135">
        <f t="shared" si="100"/>
        <v>0</v>
      </c>
      <c r="L266" s="27"/>
      <c r="M266" s="136">
        <f>VLOOKUP(LEFT(RIGHT(B266,5),4),物品!B:CU,20,FALSE)</f>
        <v>0</v>
      </c>
      <c r="N266" s="154" t="s">
        <v>83</v>
      </c>
      <c r="O266" s="136" t="s">
        <v>95</v>
      </c>
      <c r="P266" s="27">
        <v>0</v>
      </c>
      <c r="Q266" s="27">
        <v>0</v>
      </c>
      <c r="R266" s="154" t="s">
        <v>83</v>
      </c>
      <c r="S266" s="154" t="s">
        <v>83</v>
      </c>
      <c r="T266" s="154" t="s">
        <v>83</v>
      </c>
      <c r="U266" s="154" t="s">
        <v>83</v>
      </c>
      <c r="V266" s="27"/>
      <c r="W266" s="27" t="s">
        <v>88</v>
      </c>
      <c r="X266" s="27">
        <v>0</v>
      </c>
      <c r="Y266" s="154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54" t="s">
        <v>83</v>
      </c>
      <c r="AF266" s="154" t="s">
        <v>83</v>
      </c>
      <c r="AG266" s="154" t="s">
        <v>83</v>
      </c>
      <c r="AH266" s="154" t="s">
        <v>83</v>
      </c>
      <c r="AI266" s="27">
        <v>1</v>
      </c>
      <c r="AJ266" s="27"/>
      <c r="AK266" s="27">
        <v>1</v>
      </c>
      <c r="AL266" s="27">
        <v>1</v>
      </c>
      <c r="AM266" s="154" t="s">
        <v>83</v>
      </c>
      <c r="AN266" s="27">
        <v>1</v>
      </c>
      <c r="AO266" s="27">
        <v>1</v>
      </c>
      <c r="AP266" s="27">
        <v>1</v>
      </c>
    </row>
    <row r="267" spans="1:42">
      <c r="A267" s="133"/>
      <c r="B267" s="27" t="str">
        <f>物品!B267</f>
        <v>IC08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生命值高</v>
      </c>
      <c r="I267" s="27">
        <f>VLOOKUP(B267,物品!B:CV,99,FALSE)</f>
        <v>0</v>
      </c>
      <c r="J267" s="135" t="str">
        <f t="shared" si="99"/>
        <v>生命值高</v>
      </c>
      <c r="K267" s="135">
        <f t="shared" si="100"/>
        <v>0</v>
      </c>
      <c r="L267" s="27"/>
      <c r="M267" s="136">
        <f>VLOOKUP(LEFT(RIGHT(B267,5),4),物品!B:CU,20,FALSE)</f>
        <v>0</v>
      </c>
      <c r="N267" s="154" t="s">
        <v>83</v>
      </c>
      <c r="O267" s="136" t="s">
        <v>95</v>
      </c>
      <c r="P267" s="27">
        <v>0</v>
      </c>
      <c r="Q267" s="27">
        <v>0</v>
      </c>
      <c r="R267" s="154" t="s">
        <v>83</v>
      </c>
      <c r="S267" s="154" t="s">
        <v>83</v>
      </c>
      <c r="T267" s="154" t="s">
        <v>83</v>
      </c>
      <c r="U267" s="154" t="s">
        <v>83</v>
      </c>
      <c r="V267" s="27"/>
      <c r="W267" s="27" t="s">
        <v>88</v>
      </c>
      <c r="X267" s="27">
        <v>0</v>
      </c>
      <c r="Y267" s="154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54" t="s">
        <v>83</v>
      </c>
      <c r="AF267" s="154" t="s">
        <v>83</v>
      </c>
      <c r="AG267" s="154" t="s">
        <v>83</v>
      </c>
      <c r="AH267" s="154" t="s">
        <v>83</v>
      </c>
      <c r="AI267" s="27">
        <v>1</v>
      </c>
      <c r="AJ267" s="27"/>
      <c r="AK267" s="27">
        <v>1</v>
      </c>
      <c r="AL267" s="27">
        <v>1</v>
      </c>
      <c r="AM267" s="154" t="s">
        <v>83</v>
      </c>
      <c r="AN267" s="27">
        <v>1</v>
      </c>
      <c r="AO267" s="27">
        <v>1</v>
      </c>
      <c r="AP267" s="27">
        <v>1</v>
      </c>
    </row>
    <row r="268" spans="1:42">
      <c r="A268" s="133"/>
      <c r="B268" s="27" t="str">
        <f>物品!B268</f>
        <v>IC09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业力低</v>
      </c>
      <c r="I268" s="27">
        <f>VLOOKUP(B268,物品!B:CV,99,FALSE)</f>
        <v>0</v>
      </c>
      <c r="J268" s="135" t="str">
        <f t="shared" si="99"/>
        <v>业力低</v>
      </c>
      <c r="K268" s="135">
        <f t="shared" si="100"/>
        <v>0</v>
      </c>
      <c r="L268" s="27"/>
      <c r="M268" s="136">
        <f>VLOOKUP(LEFT(RIGHT(B268,5),4),物品!B:CU,20,FALSE)</f>
        <v>0</v>
      </c>
      <c r="N268" s="154" t="s">
        <v>83</v>
      </c>
      <c r="O268" s="136" t="s">
        <v>95</v>
      </c>
      <c r="P268" s="27">
        <v>0</v>
      </c>
      <c r="Q268" s="27">
        <v>0</v>
      </c>
      <c r="R268" s="154" t="s">
        <v>83</v>
      </c>
      <c r="S268" s="154" t="s">
        <v>83</v>
      </c>
      <c r="T268" s="154" t="s">
        <v>83</v>
      </c>
      <c r="U268" s="154" t="s">
        <v>83</v>
      </c>
      <c r="V268" s="27"/>
      <c r="W268" s="27" t="s">
        <v>88</v>
      </c>
      <c r="X268" s="27">
        <v>0</v>
      </c>
      <c r="Y268" s="154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54" t="s">
        <v>83</v>
      </c>
      <c r="AF268" s="154" t="s">
        <v>83</v>
      </c>
      <c r="AG268" s="154" t="s">
        <v>83</v>
      </c>
      <c r="AH268" s="154" t="s">
        <v>83</v>
      </c>
      <c r="AI268" s="27">
        <v>1</v>
      </c>
      <c r="AJ268" s="27"/>
      <c r="AK268" s="27">
        <v>1</v>
      </c>
      <c r="AL268" s="27">
        <v>1</v>
      </c>
      <c r="AM268" s="154" t="s">
        <v>83</v>
      </c>
      <c r="AN268" s="27">
        <v>1</v>
      </c>
      <c r="AO268" s="27">
        <v>1</v>
      </c>
      <c r="AP268" s="27">
        <v>1</v>
      </c>
    </row>
    <row r="269" spans="1:42">
      <c r="A269" s="133"/>
      <c r="B269" s="27" t="str">
        <f>物品!B269</f>
        <v>IC10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业力中</v>
      </c>
      <c r="I269" s="27">
        <f>VLOOKUP(B269,物品!B:CV,99,FALSE)</f>
        <v>0</v>
      </c>
      <c r="J269" s="135" t="str">
        <f t="shared" si="99"/>
        <v>业力中</v>
      </c>
      <c r="K269" s="135">
        <f t="shared" si="100"/>
        <v>0</v>
      </c>
      <c r="L269" s="27"/>
      <c r="M269" s="136">
        <f>VLOOKUP(LEFT(RIGHT(B269,5),4),物品!B:CU,20,FALSE)</f>
        <v>0</v>
      </c>
      <c r="N269" s="154" t="s">
        <v>83</v>
      </c>
      <c r="O269" s="136" t="s">
        <v>95</v>
      </c>
      <c r="P269" s="27">
        <v>0</v>
      </c>
      <c r="Q269" s="27">
        <v>0</v>
      </c>
      <c r="R269" s="154" t="s">
        <v>83</v>
      </c>
      <c r="S269" s="154" t="s">
        <v>83</v>
      </c>
      <c r="T269" s="154" t="s">
        <v>83</v>
      </c>
      <c r="U269" s="154" t="s">
        <v>83</v>
      </c>
      <c r="V269" s="27"/>
      <c r="W269" s="27" t="s">
        <v>88</v>
      </c>
      <c r="X269" s="27">
        <v>0</v>
      </c>
      <c r="Y269" s="154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54" t="s">
        <v>83</v>
      </c>
      <c r="AF269" s="154" t="s">
        <v>83</v>
      </c>
      <c r="AG269" s="154" t="s">
        <v>83</v>
      </c>
      <c r="AH269" s="154" t="s">
        <v>83</v>
      </c>
      <c r="AI269" s="27">
        <v>1</v>
      </c>
      <c r="AJ269" s="27"/>
      <c r="AK269" s="27">
        <v>1</v>
      </c>
      <c r="AL269" s="27">
        <v>1</v>
      </c>
      <c r="AM269" s="154" t="s">
        <v>83</v>
      </c>
      <c r="AN269" s="27">
        <v>1</v>
      </c>
      <c r="AO269" s="27">
        <v>1</v>
      </c>
      <c r="AP269" s="27">
        <v>1</v>
      </c>
    </row>
    <row r="270" spans="1:42">
      <c r="A270" s="133"/>
      <c r="B270" s="27" t="str">
        <f>物品!B270</f>
        <v>IC11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业力高</v>
      </c>
      <c r="I270" s="27">
        <f>VLOOKUP(B270,物品!B:CV,99,FALSE)</f>
        <v>0</v>
      </c>
      <c r="J270" s="135" t="str">
        <f t="shared" si="99"/>
        <v>业力高</v>
      </c>
      <c r="K270" s="135">
        <f t="shared" si="100"/>
        <v>0</v>
      </c>
      <c r="L270" s="27"/>
      <c r="M270" s="136">
        <f>VLOOKUP(LEFT(RIGHT(B270,5),4),物品!B:CU,20,FALSE)</f>
        <v>0</v>
      </c>
      <c r="N270" s="154" t="s">
        <v>83</v>
      </c>
      <c r="O270" s="136" t="s">
        <v>95</v>
      </c>
      <c r="P270" s="27">
        <v>0</v>
      </c>
      <c r="Q270" s="27">
        <v>0</v>
      </c>
      <c r="R270" s="154" t="s">
        <v>83</v>
      </c>
      <c r="S270" s="154" t="s">
        <v>83</v>
      </c>
      <c r="T270" s="154" t="s">
        <v>83</v>
      </c>
      <c r="U270" s="154" t="s">
        <v>83</v>
      </c>
      <c r="V270" s="27"/>
      <c r="W270" s="27" t="s">
        <v>88</v>
      </c>
      <c r="X270" s="27">
        <v>0</v>
      </c>
      <c r="Y270" s="154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54" t="s">
        <v>83</v>
      </c>
      <c r="AF270" s="154" t="s">
        <v>83</v>
      </c>
      <c r="AG270" s="154" t="s">
        <v>83</v>
      </c>
      <c r="AH270" s="154" t="s">
        <v>83</v>
      </c>
      <c r="AI270" s="27">
        <v>1</v>
      </c>
      <c r="AJ270" s="27"/>
      <c r="AK270" s="27">
        <v>1</v>
      </c>
      <c r="AL270" s="27">
        <v>1</v>
      </c>
      <c r="AM270" s="154" t="s">
        <v>83</v>
      </c>
      <c r="AN270" s="27">
        <v>1</v>
      </c>
      <c r="AO270" s="27">
        <v>1</v>
      </c>
      <c r="AP270" s="27">
        <v>1</v>
      </c>
    </row>
    <row r="271" spans="1:42">
      <c r="A271" s="133"/>
      <c r="B271" s="27"/>
      <c r="C271" s="27"/>
      <c r="D271" s="27"/>
      <c r="E271" s="27"/>
      <c r="F271" s="27"/>
      <c r="G271" s="27"/>
      <c r="H271" s="27"/>
      <c r="I271" s="27"/>
      <c r="J271" s="135"/>
      <c r="K271" s="135"/>
      <c r="L271" s="27"/>
      <c r="M271" s="136"/>
      <c r="N271" s="27"/>
      <c r="O271" s="136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3"/>
      <c r="B272" s="27"/>
      <c r="C272" s="27"/>
      <c r="D272" s="27"/>
      <c r="E272" s="27"/>
      <c r="F272" s="27"/>
      <c r="G272" s="27"/>
      <c r="H272" s="27"/>
      <c r="I272" s="27"/>
      <c r="J272" s="135"/>
      <c r="K272" s="135"/>
      <c r="L272" s="27"/>
      <c r="M272" s="136"/>
      <c r="N272" s="27"/>
      <c r="O272" s="136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3"/>
      <c r="B273" s="27"/>
      <c r="C273" s="27"/>
      <c r="D273" s="27"/>
      <c r="E273" s="27"/>
      <c r="F273" s="27"/>
      <c r="G273" s="27"/>
      <c r="H273" s="27"/>
      <c r="I273" s="27"/>
      <c r="J273" s="135"/>
      <c r="K273" s="135"/>
      <c r="L273" s="27"/>
      <c r="M273" s="136"/>
      <c r="N273" s="27"/>
      <c r="O273" s="136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3"/>
      <c r="B274" s="27"/>
      <c r="C274" s="27"/>
      <c r="D274" s="27"/>
      <c r="E274" s="27"/>
      <c r="F274" s="27"/>
      <c r="G274" s="27"/>
      <c r="H274" s="27"/>
      <c r="I274" s="27"/>
      <c r="J274" s="135"/>
      <c r="K274" s="135"/>
      <c r="L274" s="27"/>
      <c r="M274" s="136"/>
      <c r="N274" s="27"/>
      <c r="O274" s="136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3"/>
      <c r="B275" s="27"/>
      <c r="C275" s="27"/>
      <c r="D275" s="27"/>
      <c r="E275" s="27"/>
      <c r="F275" s="27"/>
      <c r="G275" s="27"/>
      <c r="H275" s="27"/>
      <c r="I275" s="27"/>
      <c r="J275" s="135"/>
      <c r="K275" s="135"/>
      <c r="L275" s="27"/>
      <c r="M275" s="136"/>
      <c r="N275" s="27"/>
      <c r="O275" s="136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3"/>
      <c r="B276" s="27"/>
      <c r="C276" s="27"/>
      <c r="D276" s="27"/>
      <c r="E276" s="27"/>
      <c r="F276" s="27"/>
      <c r="G276" s="27"/>
      <c r="H276" s="27"/>
      <c r="I276" s="27"/>
      <c r="J276" s="135"/>
      <c r="K276" s="135"/>
      <c r="L276" s="27"/>
      <c r="M276" s="136"/>
      <c r="N276" s="27"/>
      <c r="O276" s="136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3"/>
      <c r="B277" s="27"/>
      <c r="C277" s="27"/>
      <c r="D277" s="27"/>
      <c r="E277" s="27"/>
      <c r="F277" s="27"/>
      <c r="G277" s="27"/>
      <c r="H277" s="27"/>
      <c r="I277" s="27"/>
      <c r="J277" s="135"/>
      <c r="K277" s="135"/>
      <c r="L277" s="27"/>
      <c r="M277" s="136"/>
      <c r="N277" s="27"/>
      <c r="O277" s="136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3"/>
      <c r="B278" s="27"/>
      <c r="C278" s="27"/>
      <c r="D278" s="27"/>
      <c r="E278" s="27"/>
      <c r="F278" s="27"/>
      <c r="G278" s="27"/>
      <c r="H278" s="27"/>
      <c r="I278" s="27"/>
      <c r="J278" s="135"/>
      <c r="K278" s="135"/>
      <c r="L278" s="27"/>
      <c r="M278" s="136"/>
      <c r="N278" s="27"/>
      <c r="O278" s="136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3"/>
      <c r="B279" s="27"/>
      <c r="C279" s="27"/>
      <c r="D279" s="27"/>
      <c r="E279" s="27"/>
      <c r="F279" s="27"/>
      <c r="G279" s="27"/>
      <c r="H279" s="27"/>
      <c r="I279" s="27"/>
      <c r="J279" s="135"/>
      <c r="K279" s="135"/>
      <c r="L279" s="27"/>
      <c r="M279" s="136"/>
      <c r="N279" s="27"/>
      <c r="O279" s="136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3"/>
      <c r="B280" s="27"/>
      <c r="C280" s="27"/>
      <c r="D280" s="27"/>
      <c r="E280" s="27"/>
      <c r="F280" s="27"/>
      <c r="G280" s="27"/>
      <c r="H280" s="27"/>
      <c r="I280" s="27"/>
      <c r="J280" s="135"/>
      <c r="K280" s="135"/>
      <c r="L280" s="27"/>
      <c r="M280" s="136"/>
      <c r="N280" s="27"/>
      <c r="O280" s="136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3"/>
      <c r="B281" s="27"/>
      <c r="C281" s="27"/>
      <c r="D281" s="27"/>
      <c r="E281" s="27"/>
      <c r="F281" s="27"/>
      <c r="G281" s="27"/>
      <c r="H281" s="27"/>
      <c r="I281" s="27"/>
      <c r="J281" s="135"/>
      <c r="K281" s="135"/>
      <c r="L281" s="27"/>
      <c r="M281" s="136"/>
      <c r="N281" s="27"/>
      <c r="O281" s="136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3"/>
      <c r="B282" s="27"/>
      <c r="C282" s="27"/>
      <c r="D282" s="27"/>
      <c r="E282" s="27"/>
      <c r="F282" s="27"/>
      <c r="G282" s="27"/>
      <c r="H282" s="27"/>
      <c r="I282" s="27"/>
      <c r="J282" s="135"/>
      <c r="K282" s="135"/>
      <c r="L282" s="27"/>
      <c r="M282" s="136"/>
      <c r="N282" s="27"/>
      <c r="O282" s="136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3"/>
      <c r="B283" s="27"/>
      <c r="C283" s="27"/>
      <c r="D283" s="27"/>
      <c r="E283" s="27"/>
      <c r="F283" s="27"/>
      <c r="G283" s="27"/>
      <c r="H283" s="27"/>
      <c r="I283" s="27"/>
      <c r="J283" s="135"/>
      <c r="K283" s="135"/>
      <c r="L283" s="27"/>
      <c r="M283" s="136"/>
      <c r="N283" s="27"/>
      <c r="O283" s="136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3"/>
      <c r="B284" s="27"/>
      <c r="C284" s="27"/>
      <c r="D284" s="27"/>
      <c r="E284" s="27"/>
      <c r="F284" s="27"/>
      <c r="G284" s="27"/>
      <c r="H284" s="27"/>
      <c r="I284" s="27"/>
      <c r="J284" s="135"/>
      <c r="K284" s="135"/>
      <c r="L284" s="27"/>
      <c r="M284" s="136"/>
      <c r="N284" s="27"/>
      <c r="O284" s="136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3"/>
      <c r="B285" s="27"/>
      <c r="C285" s="27"/>
      <c r="D285" s="27"/>
      <c r="E285" s="27"/>
      <c r="F285" s="27"/>
      <c r="G285" s="27"/>
      <c r="H285" s="27"/>
      <c r="I285" s="27"/>
      <c r="J285" s="135"/>
      <c r="K285" s="135"/>
      <c r="L285" s="27"/>
      <c r="M285" s="136"/>
      <c r="N285" s="27"/>
      <c r="O285" s="136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3"/>
      <c r="B286" s="27"/>
      <c r="C286" s="27"/>
      <c r="D286" s="27"/>
      <c r="E286" s="27"/>
      <c r="F286" s="27"/>
      <c r="G286" s="27"/>
      <c r="H286" s="27"/>
      <c r="I286" s="27"/>
      <c r="J286" s="135"/>
      <c r="K286" s="135"/>
      <c r="L286" s="27"/>
      <c r="M286" s="136"/>
      <c r="N286" s="27"/>
      <c r="O286" s="136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3"/>
      <c r="B287" s="27"/>
      <c r="C287" s="27"/>
      <c r="D287" s="27"/>
      <c r="E287" s="27"/>
      <c r="F287" s="27"/>
      <c r="G287" s="27"/>
      <c r="H287" s="27"/>
      <c r="I287" s="27"/>
      <c r="J287" s="135"/>
      <c r="K287" s="135"/>
      <c r="L287" s="27"/>
      <c r="M287" s="136"/>
      <c r="N287" s="27"/>
      <c r="O287" s="136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3"/>
      <c r="B288" s="27"/>
      <c r="C288" s="27"/>
      <c r="D288" s="27"/>
      <c r="E288" s="27"/>
      <c r="F288" s="27"/>
      <c r="G288" s="27"/>
      <c r="H288" s="27"/>
      <c r="I288" s="27"/>
      <c r="J288" s="135"/>
      <c r="K288" s="135"/>
      <c r="L288" s="27"/>
      <c r="M288" s="136"/>
      <c r="N288" s="27"/>
      <c r="O288" s="136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3"/>
      <c r="B289" s="27"/>
      <c r="C289" s="27"/>
      <c r="D289" s="27"/>
      <c r="E289" s="27"/>
      <c r="F289" s="27"/>
      <c r="G289" s="27"/>
      <c r="H289" s="27"/>
      <c r="I289" s="27"/>
      <c r="J289" s="135"/>
      <c r="K289" s="135"/>
      <c r="L289" s="27"/>
      <c r="M289" s="136"/>
      <c r="N289" s="27"/>
      <c r="O289" s="136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3"/>
      <c r="B290" s="27"/>
      <c r="C290" s="27"/>
      <c r="D290" s="27"/>
      <c r="E290" s="27"/>
      <c r="F290" s="27"/>
      <c r="G290" s="27"/>
      <c r="H290" s="27"/>
      <c r="I290" s="27"/>
      <c r="J290" s="135"/>
      <c r="K290" s="135"/>
      <c r="L290" s="27"/>
      <c r="M290" s="136"/>
      <c r="N290" s="27"/>
      <c r="O290" s="136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3"/>
      <c r="B291" s="27"/>
      <c r="C291" s="27"/>
      <c r="D291" s="27"/>
      <c r="E291" s="27"/>
      <c r="F291" s="27"/>
      <c r="G291" s="27"/>
      <c r="H291" s="27"/>
      <c r="I291" s="27"/>
      <c r="J291" s="135"/>
      <c r="K291" s="135"/>
      <c r="L291" s="27"/>
      <c r="M291" s="136"/>
      <c r="N291" s="27"/>
      <c r="O291" s="136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3"/>
      <c r="B292" s="27"/>
      <c r="C292" s="27"/>
      <c r="D292" s="27"/>
      <c r="E292" s="27"/>
      <c r="F292" s="27"/>
      <c r="G292" s="27"/>
      <c r="H292" s="27"/>
      <c r="I292" s="27"/>
      <c r="J292" s="135"/>
      <c r="K292" s="135"/>
      <c r="L292" s="27"/>
      <c r="M292" s="136"/>
      <c r="N292" s="27"/>
      <c r="O292" s="136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3"/>
      <c r="B293" s="27"/>
      <c r="C293" s="27"/>
      <c r="D293" s="27"/>
      <c r="E293" s="27"/>
      <c r="F293" s="27"/>
      <c r="G293" s="27"/>
      <c r="H293" s="27"/>
      <c r="I293" s="27"/>
      <c r="J293" s="135"/>
      <c r="K293" s="135"/>
      <c r="L293" s="27"/>
      <c r="M293" s="136"/>
      <c r="N293" s="27"/>
      <c r="O293" s="136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3"/>
      <c r="B294" s="27"/>
      <c r="C294" s="27"/>
      <c r="D294" s="27"/>
      <c r="E294" s="27"/>
      <c r="F294" s="27"/>
      <c r="G294" s="27"/>
      <c r="H294" s="27"/>
      <c r="I294" s="27"/>
      <c r="J294" s="135"/>
      <c r="K294" s="135"/>
      <c r="L294" s="27"/>
      <c r="M294" s="136"/>
      <c r="N294" s="27"/>
      <c r="O294" s="136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3"/>
      <c r="B295" s="27"/>
      <c r="C295" s="27"/>
      <c r="D295" s="27"/>
      <c r="E295" s="27"/>
      <c r="F295" s="27"/>
      <c r="G295" s="27"/>
      <c r="H295" s="27"/>
      <c r="I295" s="27"/>
      <c r="J295" s="135"/>
      <c r="K295" s="135"/>
      <c r="L295" s="27"/>
      <c r="M295" s="136"/>
      <c r="N295" s="27"/>
      <c r="O295" s="136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3"/>
      <c r="B296" s="27"/>
      <c r="C296" s="27"/>
      <c r="D296" s="27"/>
      <c r="E296" s="27"/>
      <c r="F296" s="27"/>
      <c r="G296" s="27"/>
      <c r="H296" s="27"/>
      <c r="I296" s="27"/>
      <c r="J296" s="135"/>
      <c r="K296" s="135"/>
      <c r="L296" s="27"/>
      <c r="M296" s="136"/>
      <c r="N296" s="27"/>
      <c r="O296" s="136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3"/>
      <c r="B297" s="27"/>
      <c r="C297" s="27"/>
      <c r="D297" s="27"/>
      <c r="E297" s="27"/>
      <c r="F297" s="27"/>
      <c r="G297" s="27"/>
      <c r="H297" s="27"/>
      <c r="I297" s="27"/>
      <c r="J297" s="135"/>
      <c r="K297" s="135"/>
      <c r="L297" s="27"/>
      <c r="M297" s="136"/>
      <c r="N297" s="27"/>
      <c r="O297" s="136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3"/>
      <c r="B298" s="27"/>
      <c r="C298" s="27"/>
      <c r="D298" s="27"/>
      <c r="E298" s="27"/>
      <c r="F298" s="27"/>
      <c r="G298" s="27"/>
      <c r="H298" s="27"/>
      <c r="I298" s="27"/>
      <c r="J298" s="135"/>
      <c r="K298" s="135"/>
      <c r="L298" s="27"/>
      <c r="M298" s="136"/>
      <c r="N298" s="27"/>
      <c r="O298" s="136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3"/>
      <c r="B299" s="27"/>
      <c r="C299" s="27"/>
      <c r="D299" s="27"/>
      <c r="E299" s="27"/>
      <c r="F299" s="27"/>
      <c r="G299" s="27"/>
      <c r="H299" s="27"/>
      <c r="I299" s="27"/>
      <c r="J299" s="135"/>
      <c r="K299" s="135"/>
      <c r="L299" s="27"/>
      <c r="M299" s="136"/>
      <c r="N299" s="27"/>
      <c r="O299" s="136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3"/>
      <c r="B300" s="27"/>
      <c r="C300" s="27"/>
      <c r="D300" s="27"/>
      <c r="E300" s="27"/>
      <c r="F300" s="27"/>
      <c r="G300" s="27"/>
      <c r="H300" s="27"/>
      <c r="I300" s="27"/>
      <c r="J300" s="135"/>
      <c r="K300" s="135"/>
      <c r="L300" s="27"/>
      <c r="M300" s="136"/>
      <c r="N300" s="27"/>
      <c r="O300" s="136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3"/>
      <c r="B301" s="27"/>
      <c r="C301" s="27"/>
      <c r="D301" s="27"/>
      <c r="E301" s="27"/>
      <c r="F301" s="27"/>
      <c r="G301" s="27"/>
      <c r="H301" s="27"/>
      <c r="I301" s="27"/>
      <c r="J301" s="135"/>
      <c r="K301" s="135"/>
      <c r="L301" s="27"/>
      <c r="M301" s="136"/>
      <c r="N301" s="27"/>
      <c r="O301" s="136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3"/>
      <c r="B302" s="27"/>
      <c r="C302" s="27"/>
      <c r="D302" s="27"/>
      <c r="E302" s="27"/>
      <c r="F302" s="27"/>
      <c r="G302" s="27"/>
      <c r="H302" s="27"/>
      <c r="I302" s="27"/>
      <c r="J302" s="135"/>
      <c r="K302" s="135"/>
      <c r="L302" s="27"/>
      <c r="M302" s="136"/>
      <c r="N302" s="27"/>
      <c r="O302" s="136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3"/>
      <c r="B303" s="27"/>
      <c r="C303" s="27"/>
      <c r="D303" s="27"/>
      <c r="E303" s="27"/>
      <c r="F303" s="27"/>
      <c r="G303" s="27"/>
      <c r="H303" s="27"/>
      <c r="I303" s="27"/>
      <c r="J303" s="135"/>
      <c r="K303" s="135"/>
      <c r="L303" s="27"/>
      <c r="M303" s="136"/>
      <c r="N303" s="27"/>
      <c r="O303" s="136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3"/>
      <c r="B304" s="27"/>
      <c r="C304" s="27"/>
      <c r="D304" s="27"/>
      <c r="E304" s="27"/>
      <c r="F304" s="27"/>
      <c r="G304" s="27"/>
      <c r="H304" s="27"/>
      <c r="I304" s="27"/>
      <c r="J304" s="135"/>
      <c r="K304" s="135"/>
      <c r="L304" s="27"/>
      <c r="M304" s="136"/>
      <c r="N304" s="27"/>
      <c r="O304" s="136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3"/>
      <c r="B305" s="27"/>
      <c r="C305" s="27"/>
      <c r="D305" s="27"/>
      <c r="E305" s="27"/>
      <c r="F305" s="27"/>
      <c r="G305" s="27"/>
      <c r="H305" s="27"/>
      <c r="I305" s="27"/>
      <c r="J305" s="135"/>
      <c r="K305" s="135"/>
      <c r="L305" s="27"/>
      <c r="M305" s="136"/>
      <c r="N305" s="27"/>
      <c r="O305" s="136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3"/>
      <c r="B306" s="27"/>
      <c r="C306" s="27"/>
      <c r="D306" s="27"/>
      <c r="E306" s="27"/>
      <c r="F306" s="27"/>
      <c r="G306" s="27"/>
      <c r="H306" s="27"/>
      <c r="I306" s="27"/>
      <c r="J306" s="135"/>
      <c r="K306" s="135"/>
      <c r="L306" s="27"/>
      <c r="M306" s="136"/>
      <c r="N306" s="27"/>
      <c r="O306" s="136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3"/>
      <c r="B307" s="27"/>
      <c r="C307" s="27"/>
      <c r="D307" s="27"/>
      <c r="E307" s="27"/>
      <c r="F307" s="27"/>
      <c r="G307" s="27"/>
      <c r="H307" s="27"/>
      <c r="I307" s="27"/>
      <c r="J307" s="135"/>
      <c r="K307" s="135"/>
      <c r="L307" s="27"/>
      <c r="M307" s="136"/>
      <c r="N307" s="27"/>
      <c r="O307" s="136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3"/>
      <c r="B308" s="27"/>
      <c r="C308" s="27"/>
      <c r="D308" s="27"/>
      <c r="E308" s="27"/>
      <c r="F308" s="27"/>
      <c r="G308" s="27"/>
      <c r="H308" s="27"/>
      <c r="I308" s="27"/>
      <c r="J308" s="135"/>
      <c r="K308" s="135"/>
      <c r="L308" s="27"/>
      <c r="M308" s="136"/>
      <c r="N308" s="27"/>
      <c r="O308" s="136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3"/>
      <c r="B309" s="27"/>
      <c r="C309" s="27"/>
      <c r="D309" s="27"/>
      <c r="E309" s="27"/>
      <c r="F309" s="27"/>
      <c r="G309" s="27"/>
      <c r="H309" s="27"/>
      <c r="I309" s="27"/>
      <c r="J309" s="135"/>
      <c r="K309" s="135"/>
      <c r="L309" s="27"/>
      <c r="M309" s="136"/>
      <c r="N309" s="27"/>
      <c r="O309" s="136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3"/>
      <c r="B310" s="27"/>
      <c r="C310" s="27"/>
      <c r="D310" s="27"/>
      <c r="E310" s="27"/>
      <c r="F310" s="27"/>
      <c r="G310" s="27"/>
      <c r="H310" s="27"/>
      <c r="I310" s="27"/>
      <c r="J310" s="135"/>
      <c r="K310" s="135"/>
      <c r="L310" s="27"/>
      <c r="M310" s="136"/>
      <c r="N310" s="27"/>
      <c r="O310" s="136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3"/>
      <c r="B311" s="27"/>
      <c r="C311" s="27"/>
      <c r="D311" s="27"/>
      <c r="E311" s="27"/>
      <c r="F311" s="27"/>
      <c r="G311" s="27"/>
      <c r="H311" s="27"/>
      <c r="I311" s="27"/>
      <c r="J311" s="135"/>
      <c r="K311" s="135"/>
      <c r="L311" s="27"/>
      <c r="M311" s="136"/>
      <c r="N311" s="27"/>
      <c r="O311" s="136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3"/>
      <c r="B312" s="27"/>
      <c r="C312" s="27"/>
      <c r="D312" s="27"/>
      <c r="E312" s="27"/>
      <c r="F312" s="27"/>
      <c r="G312" s="27"/>
      <c r="H312" s="27"/>
      <c r="I312" s="27"/>
      <c r="J312" s="135"/>
      <c r="K312" s="135"/>
      <c r="L312" s="27"/>
      <c r="M312" s="136"/>
      <c r="N312" s="27"/>
      <c r="O312" s="136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3"/>
      <c r="B313" s="27"/>
      <c r="C313" s="27"/>
      <c r="D313" s="27"/>
      <c r="E313" s="27"/>
      <c r="F313" s="27"/>
      <c r="G313" s="27"/>
      <c r="H313" s="27"/>
      <c r="I313" s="27"/>
      <c r="J313" s="135"/>
      <c r="K313" s="135"/>
      <c r="L313" s="27"/>
      <c r="M313" s="136"/>
      <c r="N313" s="27"/>
      <c r="O313" s="136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3"/>
      <c r="B314" s="27"/>
      <c r="C314" s="27"/>
      <c r="D314" s="27"/>
      <c r="E314" s="27"/>
      <c r="F314" s="27"/>
      <c r="G314" s="27"/>
      <c r="H314" s="27"/>
      <c r="I314" s="27"/>
      <c r="J314" s="135"/>
      <c r="K314" s="135"/>
      <c r="L314" s="27"/>
      <c r="M314" s="136"/>
      <c r="N314" s="27"/>
      <c r="O314" s="136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3"/>
      <c r="B315" s="27"/>
      <c r="C315" s="27"/>
      <c r="D315" s="27"/>
      <c r="E315" s="27"/>
      <c r="F315" s="27"/>
      <c r="G315" s="27"/>
      <c r="H315" s="27"/>
      <c r="I315" s="27"/>
      <c r="J315" s="135"/>
      <c r="K315" s="135"/>
      <c r="L315" s="27"/>
      <c r="M315" s="136"/>
      <c r="N315" s="27"/>
      <c r="O315" s="136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3"/>
      <c r="B316" s="27"/>
      <c r="C316" s="27"/>
      <c r="D316" s="27"/>
      <c r="E316" s="27"/>
      <c r="F316" s="27"/>
      <c r="G316" s="27"/>
      <c r="H316" s="27"/>
      <c r="I316" s="27"/>
      <c r="J316" s="135"/>
      <c r="K316" s="135"/>
      <c r="L316" s="27"/>
      <c r="M316" s="136"/>
      <c r="N316" s="27"/>
      <c r="O316" s="136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3"/>
      <c r="B317" s="27"/>
      <c r="C317" s="27"/>
      <c r="D317" s="27"/>
      <c r="E317" s="27"/>
      <c r="F317" s="27"/>
      <c r="G317" s="27"/>
      <c r="H317" s="27"/>
      <c r="I317" s="27"/>
      <c r="J317" s="135"/>
      <c r="K317" s="135"/>
      <c r="L317" s="27"/>
      <c r="M317" s="136"/>
      <c r="N317" s="27"/>
      <c r="O317" s="136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3"/>
      <c r="B318" s="27"/>
      <c r="C318" s="27"/>
      <c r="D318" s="27"/>
      <c r="E318" s="27"/>
      <c r="F318" s="27"/>
      <c r="G318" s="27"/>
      <c r="H318" s="27"/>
      <c r="I318" s="27"/>
      <c r="J318" s="135"/>
      <c r="K318" s="135"/>
      <c r="L318" s="27"/>
      <c r="M318" s="136"/>
      <c r="N318" s="27"/>
      <c r="O318" s="136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B319" s="138"/>
      <c r="C319" s="27"/>
      <c r="D319" s="27"/>
      <c r="E319" s="27"/>
      <c r="H319" s="27"/>
      <c r="J319" s="135"/>
      <c r="K319" s="27"/>
      <c r="L319" s="27"/>
      <c r="O319" s="136"/>
      <c r="P319" s="27"/>
      <c r="Q319" s="27"/>
      <c r="W319" s="129"/>
      <c r="X319" s="129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1:42">
      <c r="B320" s="138"/>
      <c r="C320" s="27"/>
      <c r="D320" s="27"/>
      <c r="E320" s="27"/>
      <c r="H320" s="27"/>
      <c r="J320" s="135"/>
      <c r="K320" s="27"/>
      <c r="L320" s="27"/>
      <c r="O320" s="136"/>
      <c r="P320" s="27"/>
      <c r="Q320" s="27"/>
      <c r="W320" s="129"/>
      <c r="X320" s="129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8"/>
      <c r="C321" s="27"/>
      <c r="D321" s="27"/>
      <c r="E321" s="27"/>
      <c r="H321" s="27"/>
      <c r="J321" s="135"/>
      <c r="K321" s="27"/>
      <c r="L321" s="27"/>
      <c r="O321" s="136"/>
      <c r="P321" s="27"/>
      <c r="Q321" s="27"/>
      <c r="W321" s="129"/>
      <c r="X321" s="129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8"/>
      <c r="C322" s="27"/>
      <c r="D322" s="27"/>
      <c r="E322" s="27"/>
      <c r="H322" s="27"/>
      <c r="J322" s="135"/>
      <c r="K322" s="27"/>
      <c r="L322" s="27"/>
      <c r="O322" s="136"/>
      <c r="P322" s="27"/>
      <c r="Q322" s="27"/>
      <c r="W322" s="129"/>
      <c r="X322" s="129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8"/>
      <c r="C323" s="27"/>
      <c r="D323" s="27"/>
      <c r="E323" s="27"/>
      <c r="H323" s="27"/>
      <c r="J323" s="135"/>
      <c r="K323" s="27"/>
      <c r="L323" s="27"/>
      <c r="O323" s="136"/>
      <c r="P323" s="27"/>
      <c r="Q323" s="27"/>
      <c r="W323" s="129"/>
      <c r="X323" s="129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8"/>
      <c r="C324" s="27"/>
      <c r="D324" s="27"/>
      <c r="E324" s="27"/>
      <c r="H324" s="27"/>
      <c r="J324" s="135"/>
      <c r="K324" s="27"/>
      <c r="L324" s="27"/>
      <c r="O324" s="136"/>
      <c r="P324" s="27"/>
      <c r="Q324" s="27"/>
      <c r="W324" s="129"/>
      <c r="X324" s="129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8"/>
      <c r="C325" s="27"/>
      <c r="D325" s="27"/>
      <c r="E325" s="27"/>
      <c r="H325" s="27"/>
      <c r="J325" s="135"/>
      <c r="K325" s="27"/>
      <c r="L325" s="27"/>
      <c r="O325" s="136"/>
      <c r="P325" s="27"/>
      <c r="Q325" s="27"/>
      <c r="W325" s="129"/>
      <c r="X325" s="129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8"/>
      <c r="C326" s="27"/>
      <c r="D326" s="27"/>
      <c r="E326" s="27"/>
      <c r="H326" s="27"/>
      <c r="J326" s="135"/>
      <c r="K326" s="27"/>
      <c r="L326" s="27"/>
      <c r="O326" s="136"/>
      <c r="P326" s="27"/>
      <c r="Q326" s="27"/>
      <c r="W326" s="129"/>
      <c r="X326" s="129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8"/>
      <c r="C327" s="27"/>
      <c r="D327" s="27"/>
      <c r="E327" s="27"/>
      <c r="H327" s="27"/>
      <c r="J327" s="135"/>
      <c r="K327" s="27"/>
      <c r="L327" s="27"/>
      <c r="O327" s="136"/>
      <c r="P327" s="27"/>
      <c r="Q327" s="27"/>
      <c r="W327" s="129"/>
      <c r="X327" s="129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8"/>
      <c r="C328" s="27"/>
      <c r="D328" s="27"/>
      <c r="E328" s="27"/>
      <c r="H328" s="27"/>
      <c r="J328" s="135"/>
      <c r="K328" s="27"/>
      <c r="L328" s="27"/>
      <c r="O328" s="136"/>
      <c r="P328" s="27"/>
      <c r="Q328" s="27"/>
      <c r="W328" s="129"/>
      <c r="X328" s="129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8"/>
      <c r="C329" s="27"/>
      <c r="D329" s="27"/>
      <c r="E329" s="27"/>
      <c r="H329" s="27"/>
      <c r="J329" s="135"/>
      <c r="K329" s="27"/>
      <c r="L329" s="27"/>
      <c r="O329" s="136"/>
      <c r="P329" s="27"/>
      <c r="Q329" s="27"/>
      <c r="W329" s="129"/>
      <c r="X329" s="129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8"/>
      <c r="C330" s="27"/>
      <c r="D330" s="27"/>
      <c r="E330" s="27"/>
      <c r="H330" s="27"/>
      <c r="J330" s="135"/>
      <c r="K330" s="27"/>
      <c r="L330" s="27"/>
      <c r="O330" s="136"/>
      <c r="P330" s="27"/>
      <c r="Q330" s="27"/>
      <c r="W330" s="129"/>
      <c r="X330" s="129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8"/>
      <c r="C331" s="27"/>
      <c r="D331" s="27"/>
      <c r="E331" s="27"/>
      <c r="H331" s="27"/>
      <c r="J331" s="135"/>
      <c r="K331" s="27"/>
      <c r="L331" s="27"/>
      <c r="O331" s="136"/>
      <c r="P331" s="27"/>
      <c r="Q331" s="27"/>
      <c r="W331" s="129"/>
      <c r="X331" s="129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8"/>
      <c r="C332" s="27"/>
      <c r="D332" s="27"/>
      <c r="E332" s="27"/>
      <c r="H332" s="27"/>
      <c r="J332" s="135"/>
      <c r="K332" s="27"/>
      <c r="L332" s="27"/>
      <c r="O332" s="136"/>
      <c r="P332" s="27"/>
      <c r="Q332" s="27"/>
      <c r="W332" s="129"/>
      <c r="X332" s="129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8"/>
      <c r="C333" s="27"/>
      <c r="D333" s="27"/>
      <c r="E333" s="27"/>
      <c r="H333" s="27"/>
      <c r="J333" s="135"/>
      <c r="K333" s="27"/>
      <c r="L333" s="27"/>
      <c r="O333" s="136"/>
      <c r="P333" s="27"/>
      <c r="Q333" s="27"/>
      <c r="W333" s="129"/>
      <c r="X333" s="129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8"/>
      <c r="C334" s="27"/>
      <c r="D334" s="27"/>
      <c r="E334" s="27"/>
      <c r="H334" s="27"/>
      <c r="J334" s="135"/>
      <c r="K334" s="27"/>
      <c r="L334" s="27"/>
      <c r="O334" s="136"/>
      <c r="P334" s="27"/>
      <c r="Q334" s="27"/>
      <c r="W334" s="129"/>
      <c r="X334" s="129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8"/>
      <c r="C335" s="27"/>
      <c r="D335" s="27"/>
      <c r="E335" s="27"/>
      <c r="H335" s="27"/>
      <c r="J335" s="135"/>
      <c r="K335" s="27"/>
      <c r="L335" s="27"/>
      <c r="O335" s="136"/>
      <c r="P335" s="27"/>
      <c r="Q335" s="27"/>
      <c r="W335" s="129"/>
      <c r="X335" s="129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8"/>
      <c r="C336" s="27"/>
      <c r="D336" s="27"/>
      <c r="E336" s="27"/>
      <c r="H336" s="27"/>
      <c r="J336" s="135"/>
      <c r="K336" s="27"/>
      <c r="L336" s="27"/>
      <c r="O336" s="136"/>
      <c r="P336" s="27"/>
      <c r="Q336" s="27"/>
      <c r="W336" s="129"/>
      <c r="X336" s="129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8"/>
      <c r="C337" s="27"/>
      <c r="D337" s="27"/>
      <c r="E337" s="27"/>
      <c r="H337" s="27"/>
      <c r="J337" s="135"/>
      <c r="K337" s="27"/>
      <c r="L337" s="27"/>
      <c r="O337" s="136"/>
      <c r="P337" s="27"/>
      <c r="Q337" s="27"/>
      <c r="W337" s="129"/>
      <c r="X337" s="129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8"/>
      <c r="C338" s="27"/>
      <c r="D338" s="27"/>
      <c r="E338" s="27"/>
      <c r="H338" s="27"/>
      <c r="J338" s="135"/>
      <c r="K338" s="27"/>
      <c r="L338" s="27"/>
      <c r="O338" s="136"/>
      <c r="P338" s="27"/>
      <c r="Q338" s="27"/>
      <c r="W338" s="129"/>
      <c r="X338" s="129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8"/>
      <c r="C339" s="27"/>
      <c r="D339" s="27"/>
      <c r="E339" s="27"/>
      <c r="H339" s="27"/>
      <c r="J339" s="135"/>
      <c r="K339" s="27"/>
      <c r="L339" s="27"/>
      <c r="O339" s="136"/>
      <c r="P339" s="27"/>
      <c r="Q339" s="27"/>
      <c r="W339" s="129"/>
      <c r="X339" s="129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8"/>
      <c r="C340" s="27"/>
      <c r="D340" s="27"/>
      <c r="E340" s="27"/>
      <c r="H340" s="27"/>
      <c r="J340" s="135"/>
      <c r="K340" s="27"/>
      <c r="L340" s="27"/>
      <c r="O340" s="136"/>
      <c r="P340" s="27"/>
      <c r="Q340" s="27"/>
      <c r="W340" s="129"/>
      <c r="X340" s="129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8"/>
      <c r="C341" s="27"/>
      <c r="D341" s="27"/>
      <c r="E341" s="27"/>
      <c r="H341" s="27"/>
      <c r="J341" s="135"/>
      <c r="K341" s="27"/>
      <c r="L341" s="27"/>
      <c r="O341" s="136"/>
      <c r="P341" s="27"/>
      <c r="Q341" s="27"/>
      <c r="W341" s="129"/>
      <c r="X341" s="129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8"/>
      <c r="C342" s="27"/>
      <c r="D342" s="27"/>
      <c r="E342" s="27"/>
      <c r="H342" s="27"/>
      <c r="J342" s="135"/>
      <c r="K342" s="27"/>
      <c r="L342" s="27"/>
      <c r="O342" s="136"/>
      <c r="P342" s="27"/>
      <c r="Q342" s="27"/>
      <c r="W342" s="129"/>
      <c r="X342" s="129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8"/>
      <c r="C343" s="27"/>
      <c r="D343" s="27"/>
      <c r="E343" s="27"/>
      <c r="H343" s="27"/>
      <c r="J343" s="135"/>
      <c r="K343" s="27"/>
      <c r="L343" s="27"/>
      <c r="O343" s="136"/>
      <c r="P343" s="27"/>
      <c r="Q343" s="27"/>
      <c r="W343" s="129"/>
      <c r="X343" s="129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8"/>
      <c r="C344" s="27"/>
      <c r="D344" s="27"/>
      <c r="E344" s="27"/>
      <c r="H344" s="27"/>
      <c r="J344" s="135"/>
      <c r="K344" s="27"/>
      <c r="L344" s="27"/>
      <c r="O344" s="136"/>
      <c r="P344" s="27"/>
      <c r="Q344" s="27"/>
      <c r="W344" s="129"/>
      <c r="X344" s="129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8"/>
      <c r="C345" s="27"/>
      <c r="D345" s="27"/>
      <c r="E345" s="27"/>
      <c r="H345" s="27"/>
      <c r="J345" s="135"/>
      <c r="K345" s="27"/>
      <c r="L345" s="27"/>
      <c r="O345" s="136"/>
      <c r="P345" s="27"/>
      <c r="Q345" s="27"/>
      <c r="W345" s="129"/>
      <c r="X345" s="129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8"/>
      <c r="C346" s="27"/>
      <c r="D346" s="27"/>
      <c r="E346" s="27"/>
      <c r="H346" s="27"/>
      <c r="J346" s="135"/>
      <c r="K346" s="27"/>
      <c r="L346" s="27"/>
      <c r="O346" s="136"/>
      <c r="P346" s="27"/>
      <c r="Q346" s="27"/>
      <c r="W346" s="129"/>
      <c r="X346" s="129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8"/>
      <c r="C347" s="27"/>
      <c r="D347" s="27"/>
      <c r="E347" s="27"/>
      <c r="H347" s="27"/>
      <c r="J347" s="135"/>
      <c r="K347" s="27"/>
      <c r="L347" s="27"/>
      <c r="O347" s="136"/>
      <c r="P347" s="27"/>
      <c r="Q347" s="27"/>
      <c r="W347" s="129"/>
      <c r="X347" s="129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8"/>
      <c r="C348" s="27"/>
      <c r="D348" s="27"/>
      <c r="E348" s="27"/>
      <c r="H348" s="27"/>
      <c r="J348" s="135"/>
      <c r="K348" s="27"/>
      <c r="L348" s="27"/>
      <c r="O348" s="136"/>
      <c r="P348" s="27"/>
      <c r="Q348" s="27"/>
      <c r="W348" s="129"/>
      <c r="X348" s="129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8"/>
      <c r="C349" s="27"/>
      <c r="D349" s="27"/>
      <c r="E349" s="27"/>
      <c r="H349" s="27"/>
      <c r="J349" s="135"/>
      <c r="K349" s="27"/>
      <c r="L349" s="27"/>
      <c r="O349" s="136"/>
      <c r="P349" s="27"/>
      <c r="Q349" s="27"/>
      <c r="W349" s="129"/>
      <c r="X349" s="129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8"/>
      <c r="C350" s="27"/>
      <c r="D350" s="27"/>
      <c r="E350" s="27"/>
      <c r="H350" s="27"/>
      <c r="J350" s="135"/>
      <c r="K350" s="27"/>
      <c r="L350" s="27"/>
      <c r="O350" s="136"/>
      <c r="P350" s="27"/>
      <c r="Q350" s="27"/>
      <c r="W350" s="129"/>
      <c r="X350" s="129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8"/>
      <c r="C351" s="27"/>
      <c r="D351" s="27"/>
      <c r="E351" s="27"/>
      <c r="H351" s="27"/>
      <c r="J351" s="135"/>
      <c r="K351" s="27"/>
      <c r="L351" s="27"/>
      <c r="O351" s="136"/>
      <c r="P351" s="27"/>
      <c r="Q351" s="27"/>
      <c r="W351" s="129"/>
      <c r="X351" s="129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8"/>
      <c r="C352" s="27"/>
      <c r="D352" s="27"/>
      <c r="E352" s="27"/>
      <c r="H352" s="27"/>
      <c r="J352" s="135"/>
      <c r="K352" s="27"/>
      <c r="L352" s="27"/>
      <c r="O352" s="136"/>
      <c r="P352" s="27"/>
      <c r="Q352" s="27"/>
      <c r="W352" s="129"/>
      <c r="X352" s="129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8"/>
      <c r="C353" s="27"/>
      <c r="D353" s="27"/>
      <c r="E353" s="27"/>
      <c r="H353" s="27"/>
      <c r="J353" s="135"/>
      <c r="K353" s="27"/>
      <c r="L353" s="27"/>
      <c r="O353" s="136"/>
      <c r="P353" s="27"/>
      <c r="Q353" s="27"/>
      <c r="W353" s="129"/>
      <c r="X353" s="129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8"/>
      <c r="C354" s="27"/>
      <c r="D354" s="27"/>
      <c r="E354" s="27"/>
      <c r="H354" s="27"/>
      <c r="J354" s="135"/>
      <c r="K354" s="27"/>
      <c r="L354" s="27"/>
      <c r="O354" s="136"/>
      <c r="P354" s="27"/>
      <c r="Q354" s="27"/>
      <c r="W354" s="129"/>
      <c r="X354" s="129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8"/>
      <c r="C355" s="27"/>
      <c r="D355" s="27"/>
      <c r="E355" s="27"/>
      <c r="H355" s="27"/>
      <c r="J355" s="135"/>
      <c r="K355" s="27"/>
      <c r="L355" s="27"/>
      <c r="O355" s="136"/>
      <c r="P355" s="27"/>
      <c r="Q355" s="27"/>
      <c r="W355" s="129"/>
      <c r="X355" s="129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8"/>
      <c r="C356" s="27"/>
      <c r="D356" s="27"/>
      <c r="E356" s="27"/>
      <c r="H356" s="27"/>
      <c r="J356" s="135"/>
      <c r="K356" s="27"/>
      <c r="L356" s="27"/>
      <c r="O356" s="136"/>
      <c r="P356" s="27"/>
      <c r="Q356" s="27"/>
      <c r="W356" s="129"/>
      <c r="X356" s="129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38"/>
      <c r="C357" s="27"/>
      <c r="D357" s="27"/>
      <c r="E357" s="27"/>
      <c r="H357" s="27"/>
      <c r="J357" s="135"/>
      <c r="K357" s="27"/>
      <c r="L357" s="27"/>
      <c r="O357" s="136"/>
      <c r="P357" s="27"/>
      <c r="Q357" s="27"/>
      <c r="W357" s="129"/>
      <c r="X357" s="129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38"/>
      <c r="C358" s="27"/>
      <c r="D358" s="27"/>
      <c r="E358" s="27"/>
      <c r="H358" s="27"/>
      <c r="J358" s="135"/>
      <c r="K358" s="27"/>
      <c r="L358" s="27"/>
      <c r="O358" s="136"/>
      <c r="P358" s="27"/>
      <c r="Q358" s="27"/>
      <c r="W358" s="129"/>
      <c r="X358" s="129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38"/>
      <c r="C359" s="27"/>
      <c r="D359" s="27"/>
      <c r="E359" s="27"/>
      <c r="H359" s="27"/>
      <c r="J359" s="135"/>
      <c r="K359" s="27"/>
      <c r="L359" s="27"/>
      <c r="O359" s="136"/>
      <c r="P359" s="27"/>
      <c r="Q359" s="27"/>
      <c r="W359" s="129"/>
      <c r="X359" s="129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38"/>
      <c r="C360" s="27"/>
      <c r="D360" s="27"/>
      <c r="E360" s="27"/>
      <c r="H360" s="27"/>
      <c r="J360" s="135"/>
      <c r="K360" s="27"/>
      <c r="L360" s="27"/>
      <c r="O360" s="136"/>
      <c r="P360" s="27"/>
      <c r="Q360" s="27"/>
      <c r="W360" s="129"/>
      <c r="X360" s="129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38"/>
      <c r="C361" s="27"/>
      <c r="D361" s="27"/>
      <c r="E361" s="27"/>
      <c r="H361" s="27"/>
      <c r="J361" s="135"/>
      <c r="K361" s="27"/>
      <c r="L361" s="27"/>
      <c r="O361" s="136"/>
      <c r="P361" s="27"/>
      <c r="Q361" s="27"/>
      <c r="W361" s="129"/>
      <c r="X361" s="129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38"/>
      <c r="C362" s="27"/>
      <c r="D362" s="27"/>
      <c r="E362" s="27"/>
      <c r="H362" s="27"/>
      <c r="J362" s="135"/>
      <c r="K362" s="27"/>
      <c r="L362" s="27"/>
      <c r="O362" s="136"/>
      <c r="P362" s="27"/>
      <c r="Q362" s="27"/>
      <c r="W362" s="129"/>
      <c r="X362" s="129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38"/>
      <c r="C363" s="27"/>
      <c r="D363" s="27"/>
      <c r="E363" s="27"/>
      <c r="H363" s="27"/>
      <c r="J363" s="135"/>
      <c r="K363" s="27"/>
      <c r="L363" s="27"/>
      <c r="O363" s="136"/>
      <c r="P363" s="27"/>
      <c r="Q363" s="27"/>
      <c r="W363" s="129"/>
      <c r="X363" s="129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38"/>
      <c r="C364" s="27"/>
      <c r="D364" s="27"/>
      <c r="E364" s="27"/>
      <c r="H364" s="27"/>
      <c r="J364" s="135"/>
      <c r="K364" s="27"/>
      <c r="L364" s="27"/>
      <c r="O364" s="136"/>
      <c r="P364" s="27"/>
      <c r="Q364" s="27"/>
      <c r="W364" s="129"/>
      <c r="X364" s="129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38"/>
      <c r="C365" s="27"/>
      <c r="D365" s="27"/>
      <c r="E365" s="27"/>
      <c r="H365" s="27"/>
      <c r="J365" s="135"/>
      <c r="K365" s="27"/>
      <c r="L365" s="27"/>
      <c r="O365" s="136"/>
      <c r="P365" s="27"/>
      <c r="Q365" s="27"/>
      <c r="W365" s="129"/>
      <c r="X365" s="129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38"/>
      <c r="C366" s="27"/>
      <c r="D366" s="27"/>
      <c r="E366" s="27"/>
      <c r="H366" s="27"/>
      <c r="J366" s="135"/>
      <c r="K366" s="27"/>
      <c r="L366" s="27"/>
      <c r="O366" s="136"/>
      <c r="P366" s="27"/>
      <c r="Q366" s="27"/>
      <c r="W366" s="129"/>
      <c r="X366" s="129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38"/>
      <c r="C367" s="27"/>
      <c r="D367" s="27"/>
      <c r="E367" s="27"/>
      <c r="H367" s="27"/>
      <c r="J367" s="135"/>
      <c r="K367" s="27"/>
      <c r="L367" s="27"/>
      <c r="O367" s="136"/>
      <c r="P367" s="27"/>
      <c r="Q367" s="27"/>
      <c r="W367" s="129"/>
      <c r="X367" s="129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38"/>
      <c r="C368" s="27"/>
      <c r="D368" s="27"/>
      <c r="E368" s="27"/>
      <c r="H368" s="27"/>
      <c r="J368" s="135"/>
      <c r="K368" s="27"/>
      <c r="L368" s="27"/>
      <c r="O368" s="136"/>
      <c r="P368" s="27"/>
      <c r="Q368" s="27"/>
      <c r="W368" s="129"/>
      <c r="X368" s="129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38"/>
      <c r="C369" s="27"/>
      <c r="D369" s="27"/>
      <c r="E369" s="27"/>
      <c r="H369" s="27"/>
      <c r="J369" s="135"/>
      <c r="K369" s="27"/>
      <c r="L369" s="27"/>
      <c r="O369" s="136"/>
      <c r="P369" s="27"/>
      <c r="Q369" s="27"/>
      <c r="W369" s="129"/>
      <c r="X369" s="129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38"/>
      <c r="C370" s="27"/>
      <c r="D370" s="27"/>
      <c r="E370" s="27"/>
      <c r="H370" s="27"/>
      <c r="J370" s="135"/>
      <c r="K370" s="27"/>
      <c r="L370" s="27"/>
      <c r="O370" s="136"/>
      <c r="P370" s="27"/>
      <c r="Q370" s="27"/>
      <c r="W370" s="129"/>
      <c r="X370" s="129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38"/>
      <c r="C371" s="27"/>
      <c r="D371" s="27"/>
      <c r="E371" s="27"/>
      <c r="H371" s="27"/>
      <c r="J371" s="135"/>
      <c r="K371" s="27"/>
      <c r="L371" s="27"/>
      <c r="O371" s="136"/>
      <c r="P371" s="27"/>
      <c r="Q371" s="27"/>
      <c r="W371" s="129"/>
      <c r="X371" s="129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29"/>
      <c r="C372" s="27"/>
      <c r="D372" s="27"/>
      <c r="E372" s="27"/>
      <c r="H372" s="27"/>
      <c r="J372" s="135"/>
      <c r="K372" s="27"/>
      <c r="L372" s="27"/>
      <c r="M372" s="139"/>
      <c r="O372" s="136"/>
      <c r="P372" s="27"/>
      <c r="Q372" s="27"/>
      <c r="W372" s="27"/>
      <c r="X372" s="27"/>
      <c r="Z372" s="27"/>
      <c r="AA372" s="27"/>
      <c r="AC372" s="27"/>
      <c r="AD372" s="27"/>
      <c r="AJ372" s="27"/>
      <c r="AK372" s="27"/>
      <c r="AO372" s="27"/>
      <c r="AP372" s="27"/>
    </row>
    <row r="373" spans="2:42">
      <c r="B373" s="129"/>
      <c r="C373" s="27"/>
      <c r="D373" s="27"/>
      <c r="E373" s="27"/>
      <c r="H373" s="27"/>
      <c r="J373" s="135"/>
      <c r="K373" s="27"/>
      <c r="L373" s="27"/>
      <c r="M373" s="139"/>
      <c r="O373" s="136"/>
      <c r="P373" s="27"/>
      <c r="Q373" s="27"/>
      <c r="W373" s="27"/>
      <c r="X373" s="27"/>
      <c r="Z373" s="27"/>
      <c r="AA373" s="27"/>
      <c r="AC373" s="27"/>
      <c r="AD373" s="27"/>
      <c r="AJ373" s="27"/>
      <c r="AK373" s="27"/>
      <c r="AO373" s="27"/>
      <c r="AP373" s="27"/>
    </row>
    <row r="374" spans="2:42">
      <c r="B374" s="129"/>
      <c r="C374" s="27"/>
      <c r="D374" s="27"/>
      <c r="E374" s="27"/>
      <c r="H374" s="27"/>
      <c r="J374" s="135"/>
      <c r="K374" s="27"/>
      <c r="L374" s="27"/>
      <c r="M374" s="139"/>
      <c r="O374" s="136"/>
      <c r="P374" s="27"/>
      <c r="Q374" s="27"/>
      <c r="W374" s="27"/>
      <c r="X374" s="27"/>
      <c r="Z374" s="27"/>
      <c r="AA374" s="27"/>
      <c r="AC374" s="27"/>
      <c r="AD374" s="27"/>
      <c r="AJ374" s="27"/>
      <c r="AK374" s="27"/>
      <c r="AO374" s="27"/>
      <c r="AP374" s="27"/>
    </row>
    <row r="375" spans="2:42">
      <c r="B375" s="129"/>
      <c r="C375" s="27"/>
      <c r="D375" s="27"/>
      <c r="E375" s="27"/>
      <c r="H375" s="27"/>
      <c r="J375" s="135"/>
      <c r="K375" s="27"/>
      <c r="L375" s="27"/>
      <c r="M375" s="139"/>
      <c r="O375" s="136"/>
      <c r="P375" s="27"/>
      <c r="Q375" s="27"/>
      <c r="W375" s="27"/>
      <c r="X375" s="27"/>
      <c r="Z375" s="27"/>
      <c r="AA375" s="27"/>
      <c r="AC375" s="27"/>
      <c r="AD375" s="27"/>
      <c r="AJ375" s="27"/>
      <c r="AK375" s="27"/>
      <c r="AO375" s="27"/>
      <c r="AP375" s="27"/>
    </row>
    <row r="376" spans="2:42">
      <c r="B376" s="129"/>
      <c r="C376" s="27"/>
      <c r="D376" s="27"/>
      <c r="E376" s="27"/>
      <c r="H376" s="27"/>
      <c r="J376" s="135"/>
      <c r="K376" s="27"/>
      <c r="L376" s="27"/>
      <c r="M376" s="139"/>
      <c r="O376" s="136"/>
      <c r="P376" s="27"/>
      <c r="Q376" s="27"/>
      <c r="W376" s="27"/>
      <c r="X376" s="27"/>
      <c r="Z376" s="27"/>
      <c r="AA376" s="27"/>
      <c r="AC376" s="27"/>
      <c r="AD376" s="27"/>
      <c r="AJ376" s="27"/>
      <c r="AK376" s="27"/>
      <c r="AO376" s="27"/>
      <c r="AP376" s="27"/>
    </row>
    <row r="377" spans="2:42">
      <c r="B377" s="129"/>
      <c r="C377" s="27"/>
      <c r="D377" s="27"/>
      <c r="E377" s="27"/>
      <c r="H377" s="27"/>
      <c r="J377" s="135"/>
      <c r="K377" s="27"/>
      <c r="L377" s="27"/>
      <c r="M377" s="139"/>
      <c r="O377" s="136"/>
      <c r="P377" s="27"/>
      <c r="Q377" s="27"/>
      <c r="W377" s="27"/>
      <c r="X377" s="27"/>
      <c r="Z377" s="27"/>
      <c r="AA377" s="27"/>
      <c r="AC377" s="27"/>
      <c r="AD377" s="27"/>
      <c r="AJ377" s="27"/>
      <c r="AK377" s="27"/>
      <c r="AO377" s="27"/>
      <c r="AP377" s="27"/>
    </row>
    <row r="378" spans="2:42">
      <c r="B378" s="129"/>
      <c r="C378" s="27"/>
      <c r="D378" s="27"/>
      <c r="E378" s="27"/>
      <c r="H378" s="27"/>
      <c r="J378" s="135"/>
      <c r="K378" s="27"/>
      <c r="L378" s="27"/>
      <c r="M378" s="139"/>
      <c r="P378" s="27"/>
      <c r="Q378" s="27"/>
      <c r="W378" s="27"/>
      <c r="X378" s="2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29"/>
      <c r="C379" s="27"/>
      <c r="D379" s="27"/>
      <c r="E379" s="27"/>
      <c r="H379" s="27"/>
      <c r="J379" s="135"/>
      <c r="K379" s="27"/>
      <c r="L379" s="27"/>
      <c r="M379" s="139"/>
      <c r="P379" s="27"/>
      <c r="Q379" s="27"/>
      <c r="W379" s="27"/>
      <c r="X379" s="2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29"/>
      <c r="C380" s="27"/>
      <c r="D380" s="27"/>
      <c r="E380" s="27"/>
      <c r="H380" s="27"/>
      <c r="J380" s="135"/>
      <c r="K380" s="27"/>
      <c r="L380" s="27"/>
      <c r="M380" s="139"/>
      <c r="P380" s="27"/>
      <c r="Q380" s="27"/>
      <c r="W380" s="27"/>
      <c r="X380" s="2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29"/>
      <c r="C381" s="27"/>
      <c r="D381" s="27"/>
      <c r="E381" s="27"/>
      <c r="H381" s="27"/>
      <c r="J381" s="135"/>
      <c r="K381" s="27"/>
      <c r="L381" s="27"/>
      <c r="M381" s="139"/>
      <c r="P381" s="27"/>
      <c r="Q381" s="27"/>
      <c r="W381" s="27"/>
      <c r="X381" s="2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29"/>
      <c r="C382" s="27"/>
      <c r="D382" s="27"/>
      <c r="E382" s="27"/>
      <c r="H382" s="27"/>
      <c r="J382" s="135"/>
      <c r="K382" s="27"/>
      <c r="L382" s="27"/>
      <c r="M382" s="139"/>
      <c r="P382" s="27"/>
      <c r="Q382" s="27"/>
      <c r="W382" s="27"/>
      <c r="X382" s="27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spans="2:42">
      <c r="B383" s="129"/>
      <c r="C383" s="27"/>
      <c r="D383" s="27"/>
      <c r="E383" s="27"/>
      <c r="H383" s="27"/>
      <c r="J383" s="140"/>
      <c r="K383" s="129"/>
      <c r="L383" s="27"/>
      <c r="M383" s="139"/>
      <c r="O383" s="136"/>
      <c r="P383" s="27"/>
      <c r="Q383" s="27"/>
      <c r="W383" s="129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9"/>
      <c r="C384" s="27"/>
      <c r="D384" s="27"/>
      <c r="E384" s="27"/>
      <c r="H384" s="27"/>
      <c r="J384" s="140"/>
      <c r="K384" s="129"/>
      <c r="L384" s="27"/>
      <c r="M384" s="139"/>
      <c r="O384" s="136"/>
      <c r="P384" s="27"/>
      <c r="Q384" s="27"/>
      <c r="W384" s="129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9"/>
      <c r="C385" s="27"/>
      <c r="D385" s="27"/>
      <c r="E385" s="27"/>
      <c r="H385" s="27"/>
      <c r="J385" s="140"/>
      <c r="K385" s="129"/>
      <c r="L385" s="27"/>
      <c r="M385" s="139"/>
      <c r="O385" s="136"/>
      <c r="P385" s="27"/>
      <c r="Q385" s="27"/>
      <c r="W385" s="129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29"/>
      <c r="C386" s="27"/>
      <c r="D386" s="27"/>
      <c r="E386" s="27"/>
      <c r="H386" s="27"/>
      <c r="J386" s="140"/>
      <c r="K386" s="129"/>
      <c r="L386" s="27"/>
      <c r="M386" s="139"/>
      <c r="O386" s="136"/>
      <c r="P386" s="27"/>
      <c r="Q386" s="27"/>
      <c r="W386" s="129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29"/>
      <c r="C387" s="27"/>
      <c r="D387" s="27"/>
      <c r="E387" s="27"/>
      <c r="H387" s="27"/>
      <c r="J387" s="140"/>
      <c r="K387" s="129"/>
      <c r="L387" s="27"/>
      <c r="M387" s="139"/>
      <c r="O387" s="136"/>
      <c r="P387" s="27"/>
      <c r="Q387" s="27"/>
      <c r="R387" s="129"/>
      <c r="S387" s="129"/>
      <c r="T387" s="129"/>
      <c r="W387" s="129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29"/>
      <c r="C388" s="27"/>
      <c r="D388" s="27"/>
      <c r="E388" s="27"/>
      <c r="H388" s="27"/>
      <c r="J388" s="140"/>
      <c r="K388" s="129"/>
      <c r="L388" s="27"/>
      <c r="M388" s="139"/>
      <c r="O388" s="136"/>
      <c r="P388" s="27"/>
      <c r="Q388" s="27"/>
      <c r="R388" s="129"/>
      <c r="S388" s="129"/>
      <c r="T388" s="129"/>
      <c r="W388" s="129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29"/>
      <c r="C389" s="27"/>
      <c r="D389" s="27"/>
      <c r="E389" s="27"/>
      <c r="H389" s="27"/>
      <c r="J389" s="140"/>
      <c r="K389" s="129"/>
      <c r="L389" s="27"/>
      <c r="M389" s="139"/>
      <c r="O389" s="136"/>
      <c r="P389" s="27"/>
      <c r="Q389" s="27"/>
      <c r="R389" s="129"/>
      <c r="S389" s="129"/>
      <c r="T389" s="129"/>
      <c r="W389" s="129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29"/>
      <c r="C390" s="27"/>
      <c r="D390" s="27"/>
      <c r="E390" s="27"/>
      <c r="H390" s="27"/>
      <c r="J390" s="140"/>
      <c r="K390" s="129"/>
      <c r="L390" s="27"/>
      <c r="M390" s="139"/>
      <c r="O390" s="136"/>
      <c r="P390" s="27"/>
      <c r="Q390" s="27"/>
      <c r="R390" s="129"/>
      <c r="S390" s="129"/>
      <c r="T390" s="129"/>
      <c r="W390" s="129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29"/>
      <c r="C391" s="27"/>
      <c r="D391" s="27"/>
      <c r="E391" s="27"/>
      <c r="H391" s="27"/>
      <c r="J391" s="140"/>
      <c r="K391" s="129"/>
      <c r="L391" s="27"/>
      <c r="M391" s="139"/>
      <c r="O391" s="136"/>
      <c r="P391" s="27"/>
      <c r="Q391" s="27"/>
      <c r="R391" s="129"/>
      <c r="S391" s="129"/>
      <c r="T391" s="129"/>
      <c r="W391" s="129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29"/>
      <c r="C392" s="27"/>
      <c r="D392" s="27"/>
      <c r="E392" s="27"/>
      <c r="H392" s="27"/>
      <c r="J392" s="140"/>
      <c r="K392" s="129"/>
      <c r="L392" s="27"/>
      <c r="M392" s="139"/>
      <c r="O392" s="136"/>
      <c r="P392" s="27"/>
      <c r="Q392" s="27"/>
      <c r="R392" s="129"/>
      <c r="S392" s="129"/>
      <c r="T392" s="129"/>
      <c r="W392" s="129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29"/>
      <c r="C393" s="27"/>
      <c r="D393" s="27"/>
      <c r="E393" s="27"/>
      <c r="H393" s="27"/>
      <c r="J393" s="140"/>
      <c r="K393" s="129"/>
      <c r="L393" s="27"/>
      <c r="M393" s="139"/>
      <c r="O393" s="136"/>
      <c r="P393" s="27"/>
      <c r="Q393" s="27"/>
      <c r="R393" s="129"/>
      <c r="S393" s="129"/>
      <c r="T393" s="129"/>
      <c r="W393" s="129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29"/>
      <c r="C394" s="27"/>
      <c r="D394" s="27"/>
      <c r="E394" s="27"/>
      <c r="H394" s="27"/>
      <c r="J394" s="140"/>
      <c r="K394" s="129"/>
      <c r="L394" s="27"/>
      <c r="M394" s="139"/>
      <c r="O394" s="136"/>
      <c r="P394" s="27"/>
      <c r="Q394" s="27"/>
      <c r="R394" s="129"/>
      <c r="S394" s="129"/>
      <c r="T394" s="129"/>
      <c r="W394" s="129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29"/>
      <c r="C395" s="27"/>
      <c r="D395" s="27"/>
      <c r="E395" s="27"/>
      <c r="H395" s="27"/>
      <c r="J395" s="140"/>
      <c r="K395" s="129"/>
      <c r="L395" s="27"/>
      <c r="M395" s="139"/>
      <c r="O395" s="136"/>
      <c r="P395" s="27"/>
      <c r="Q395" s="27"/>
      <c r="R395" s="129"/>
      <c r="S395" s="129"/>
      <c r="T395" s="129"/>
      <c r="W395" s="129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29"/>
      <c r="C396" s="27"/>
      <c r="D396" s="27"/>
      <c r="E396" s="27"/>
      <c r="H396" s="27"/>
      <c r="J396" s="140"/>
      <c r="K396" s="129"/>
      <c r="L396" s="27"/>
      <c r="M396" s="139"/>
      <c r="O396" s="136"/>
      <c r="P396" s="27"/>
      <c r="Q396" s="27"/>
      <c r="R396" s="129"/>
      <c r="S396" s="129"/>
      <c r="T396" s="129"/>
      <c r="W396" s="129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29"/>
      <c r="C397" s="27"/>
      <c r="D397" s="27"/>
      <c r="E397" s="27"/>
      <c r="H397" s="27"/>
      <c r="J397" s="140"/>
      <c r="K397" s="129"/>
      <c r="L397" s="27"/>
      <c r="M397" s="139"/>
      <c r="O397" s="136"/>
      <c r="P397" s="27"/>
      <c r="Q397" s="27"/>
      <c r="R397" s="129"/>
      <c r="S397" s="129"/>
      <c r="T397" s="129"/>
      <c r="W397" s="129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29"/>
      <c r="C398" s="27"/>
      <c r="D398" s="27"/>
      <c r="E398" s="27"/>
      <c r="H398" s="27"/>
      <c r="J398" s="140"/>
      <c r="K398" s="129"/>
      <c r="L398" s="27"/>
      <c r="M398" s="139"/>
      <c r="O398" s="136"/>
      <c r="P398" s="27"/>
      <c r="Q398" s="27"/>
      <c r="R398" s="129"/>
      <c r="S398" s="129"/>
      <c r="T398" s="129"/>
      <c r="W398" s="129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29"/>
      <c r="C399" s="27"/>
      <c r="D399" s="27"/>
      <c r="E399" s="27"/>
      <c r="H399" s="27"/>
      <c r="J399" s="140"/>
      <c r="K399" s="129"/>
      <c r="L399" s="27"/>
      <c r="M399" s="139"/>
      <c r="O399" s="136"/>
      <c r="P399" s="27"/>
      <c r="Q399" s="27"/>
      <c r="R399" s="27"/>
      <c r="S399" s="27"/>
      <c r="T399" s="27"/>
      <c r="W399" s="129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29"/>
      <c r="C400" s="27"/>
      <c r="D400" s="27"/>
      <c r="E400" s="27"/>
      <c r="H400" s="27"/>
      <c r="J400" s="140"/>
      <c r="K400" s="129"/>
      <c r="L400" s="27"/>
      <c r="M400" s="139"/>
      <c r="O400" s="136"/>
      <c r="P400" s="27"/>
      <c r="Q400" s="27"/>
      <c r="R400" s="27"/>
      <c r="S400" s="27"/>
      <c r="T400" s="27"/>
      <c r="W400" s="129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5:28" s="130" customFormat="1">
      <c r="E401" s="27"/>
      <c r="H401" s="27"/>
      <c r="J401" s="135"/>
      <c r="AB401" s="27"/>
    </row>
    <row r="402" spans="5:28" s="130" customFormat="1">
      <c r="E402" s="27"/>
      <c r="H402" s="27"/>
      <c r="J402" s="135"/>
      <c r="AB402" s="27"/>
    </row>
    <row r="403" spans="5:28" s="130" customFormat="1">
      <c r="E403" s="27"/>
      <c r="H403" s="27"/>
      <c r="J403" s="135"/>
      <c r="AB403" s="27"/>
    </row>
    <row r="404" spans="5:28" s="130" customFormat="1">
      <c r="E404" s="27"/>
      <c r="H404" s="27"/>
      <c r="J404" s="135"/>
      <c r="AB404" s="27"/>
    </row>
    <row r="405" spans="5:28" s="130" customFormat="1">
      <c r="E405" s="27"/>
      <c r="H405" s="27"/>
      <c r="J405" s="135"/>
      <c r="AB405" s="27"/>
    </row>
    <row r="406" spans="5:28" s="130" customFormat="1">
      <c r="E406" s="27"/>
      <c r="H406" s="27"/>
      <c r="J406" s="135"/>
      <c r="AB406" s="27"/>
    </row>
    <row r="407" spans="5:28" s="130" customFormat="1">
      <c r="E407" s="27"/>
      <c r="H407" s="27"/>
      <c r="J407" s="135"/>
      <c r="AB407" s="27"/>
    </row>
    <row r="408" spans="5:28" s="130" customFormat="1">
      <c r="E408" s="27"/>
      <c r="H408" s="27"/>
      <c r="J408" s="135"/>
      <c r="AB408" s="27"/>
    </row>
    <row r="409" spans="5:28" s="130" customFormat="1">
      <c r="E409" s="27"/>
      <c r="H409" s="27"/>
      <c r="J409" s="135"/>
      <c r="AB409" s="27"/>
    </row>
    <row r="410" spans="5:28" s="130" customFormat="1">
      <c r="E410" s="27"/>
      <c r="H410" s="27"/>
      <c r="J410" s="135"/>
      <c r="AB410" s="27"/>
    </row>
    <row r="411" spans="5:28" s="130" customFormat="1">
      <c r="E411" s="27"/>
      <c r="H411" s="27"/>
      <c r="J411" s="135"/>
      <c r="AB411" s="27"/>
    </row>
    <row r="412" spans="5:28" s="130" customFormat="1">
      <c r="E412" s="27"/>
      <c r="H412" s="27"/>
      <c r="J412" s="135"/>
      <c r="AB412" s="27"/>
    </row>
    <row r="413" spans="5:28" s="130" customFormat="1">
      <c r="E413" s="27"/>
      <c r="H413" s="27"/>
      <c r="J413" s="135"/>
      <c r="AB413" s="27"/>
    </row>
    <row r="414" spans="5:28" s="130" customFormat="1">
      <c r="E414" s="27"/>
      <c r="H414" s="27"/>
      <c r="J414" s="135"/>
      <c r="AB414" s="27"/>
    </row>
    <row r="415" spans="5:28" s="130" customFormat="1">
      <c r="E415" s="27"/>
      <c r="H415" s="27"/>
      <c r="J415" s="135"/>
      <c r="AB415" s="27"/>
    </row>
    <row r="416" spans="5:28" s="130" customFormat="1">
      <c r="E416" s="27"/>
      <c r="H416" s="27"/>
      <c r="J416" s="135"/>
      <c r="AB416" s="27"/>
    </row>
    <row r="417" spans="2:42" s="130" customFormat="1">
      <c r="E417" s="27"/>
      <c r="H417" s="27"/>
      <c r="J417" s="135"/>
      <c r="AB417" s="27"/>
    </row>
    <row r="418" spans="2:42" s="130" customFormat="1">
      <c r="E418" s="27"/>
      <c r="H418" s="27"/>
      <c r="J418" s="135"/>
      <c r="AB418" s="27"/>
    </row>
    <row r="419" spans="2:42">
      <c r="B419" s="129"/>
      <c r="C419" s="27"/>
      <c r="D419" s="27"/>
      <c r="E419" s="27"/>
      <c r="H419" s="27"/>
      <c r="J419" s="135"/>
      <c r="K419" s="27"/>
      <c r="L419" s="27"/>
      <c r="O419" s="136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9"/>
      <c r="C420" s="27"/>
      <c r="D420" s="27"/>
      <c r="E420" s="27"/>
      <c r="H420" s="27"/>
      <c r="I420" s="130"/>
      <c r="J420" s="135"/>
      <c r="K420" s="27"/>
      <c r="L420" s="27"/>
      <c r="M420" s="130"/>
      <c r="O420" s="136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9"/>
      <c r="C421" s="27"/>
      <c r="D421" s="27"/>
      <c r="E421" s="27"/>
      <c r="H421" s="27"/>
      <c r="I421" s="130"/>
      <c r="J421" s="135"/>
      <c r="K421" s="27"/>
      <c r="L421" s="27"/>
      <c r="M421" s="130"/>
      <c r="O421" s="136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9"/>
      <c r="C422" s="27"/>
      <c r="D422" s="27"/>
      <c r="E422" s="27"/>
      <c r="H422" s="27"/>
      <c r="I422" s="130"/>
      <c r="J422" s="135"/>
      <c r="K422" s="27"/>
      <c r="L422" s="27"/>
      <c r="M422" s="130"/>
      <c r="O422" s="136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9"/>
      <c r="C423" s="27"/>
      <c r="D423" s="27"/>
      <c r="E423" s="27"/>
      <c r="H423" s="27"/>
      <c r="I423" s="130"/>
      <c r="J423" s="130"/>
      <c r="K423" s="27"/>
      <c r="L423" s="27"/>
      <c r="M423" s="130"/>
      <c r="O423" s="136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9"/>
      <c r="C424" s="27"/>
      <c r="D424" s="27"/>
      <c r="E424" s="27"/>
      <c r="H424" s="27"/>
      <c r="I424" s="130"/>
      <c r="J424" s="130"/>
      <c r="K424" s="27"/>
      <c r="L424" s="27"/>
      <c r="M424" s="130"/>
      <c r="O424" s="136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9"/>
      <c r="C425" s="27"/>
      <c r="D425" s="27"/>
      <c r="E425" s="27"/>
      <c r="H425" s="27"/>
      <c r="I425" s="130"/>
      <c r="J425" s="130"/>
      <c r="K425" s="27"/>
      <c r="L425" s="27"/>
      <c r="M425" s="130"/>
      <c r="O425" s="136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9"/>
      <c r="C426" s="27"/>
      <c r="D426" s="27"/>
      <c r="E426" s="27"/>
      <c r="H426" s="27"/>
      <c r="I426" s="130"/>
      <c r="J426" s="129"/>
      <c r="K426" s="27"/>
      <c r="L426" s="27"/>
      <c r="M426" s="130"/>
      <c r="O426" s="136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9"/>
      <c r="C427" s="27"/>
      <c r="D427" s="27"/>
      <c r="E427" s="27"/>
      <c r="H427" s="27"/>
      <c r="I427" s="130"/>
      <c r="J427" s="129"/>
      <c r="K427" s="27"/>
      <c r="L427" s="27"/>
      <c r="M427" s="130"/>
      <c r="O427" s="136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9"/>
      <c r="C428" s="27"/>
      <c r="D428" s="27"/>
      <c r="E428" s="27"/>
      <c r="H428" s="27"/>
      <c r="J428" s="135"/>
      <c r="K428" s="27"/>
      <c r="L428" s="27"/>
      <c r="M428" s="139"/>
      <c r="O428" s="136"/>
      <c r="P428" s="27"/>
      <c r="Q428" s="27"/>
      <c r="W428" s="129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29"/>
      <c r="C429" s="27"/>
      <c r="D429" s="27"/>
      <c r="E429" s="27"/>
      <c r="H429" s="27"/>
      <c r="J429" s="135"/>
      <c r="K429" s="27"/>
      <c r="L429" s="27"/>
      <c r="M429" s="139"/>
      <c r="O429" s="136"/>
      <c r="P429" s="27"/>
      <c r="Q429" s="27"/>
      <c r="W429" s="129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29"/>
      <c r="C430" s="27"/>
      <c r="D430" s="27"/>
      <c r="E430" s="27"/>
      <c r="H430" s="27"/>
      <c r="J430" s="135"/>
      <c r="K430" s="27"/>
      <c r="L430" s="27"/>
      <c r="M430" s="139"/>
      <c r="O430" s="136"/>
      <c r="P430" s="27"/>
      <c r="Q430" s="27"/>
      <c r="W430" s="129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9"/>
      <c r="C431" s="27"/>
      <c r="D431" s="27"/>
      <c r="E431" s="27"/>
      <c r="H431" s="27"/>
      <c r="J431" s="135"/>
      <c r="K431" s="27"/>
      <c r="L431" s="27"/>
      <c r="M431" s="139"/>
      <c r="O431" s="136"/>
      <c r="P431" s="27"/>
      <c r="Q431" s="27"/>
      <c r="W431" s="129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9"/>
      <c r="C432" s="27"/>
      <c r="D432" s="27"/>
      <c r="E432" s="27"/>
      <c r="H432" s="27"/>
      <c r="J432" s="135"/>
      <c r="K432" s="27"/>
      <c r="L432" s="27"/>
      <c r="M432" s="141"/>
      <c r="O432" s="136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9"/>
      <c r="C433" s="27"/>
      <c r="D433" s="27"/>
      <c r="E433" s="27"/>
      <c r="H433" s="27"/>
      <c r="J433" s="135"/>
      <c r="K433" s="27"/>
      <c r="L433" s="27"/>
      <c r="M433" s="141"/>
      <c r="O433" s="136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9"/>
      <c r="C434" s="27"/>
      <c r="D434" s="27"/>
      <c r="E434" s="27"/>
      <c r="H434" s="27"/>
      <c r="J434" s="135"/>
      <c r="K434" s="27"/>
      <c r="L434" s="27"/>
      <c r="M434" s="141"/>
      <c r="O434" s="136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9"/>
      <c r="C435" s="27"/>
      <c r="D435" s="27"/>
      <c r="E435" s="27"/>
      <c r="H435" s="27"/>
      <c r="J435" s="135"/>
      <c r="K435" s="27"/>
      <c r="L435" s="27"/>
      <c r="M435" s="141"/>
      <c r="O435" s="136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9"/>
      <c r="C436" s="27"/>
      <c r="D436" s="27"/>
      <c r="E436" s="27"/>
      <c r="H436" s="27"/>
      <c r="J436" s="135"/>
      <c r="K436" s="27"/>
      <c r="L436" s="27"/>
      <c r="M436" s="141"/>
      <c r="O436" s="136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9"/>
      <c r="C437" s="27"/>
      <c r="D437" s="27"/>
      <c r="E437" s="27"/>
      <c r="H437" s="27"/>
      <c r="J437" s="135"/>
      <c r="K437" s="27"/>
      <c r="L437" s="27"/>
      <c r="M437" s="141"/>
      <c r="O437" s="136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9"/>
      <c r="C438" s="27"/>
      <c r="D438" s="27"/>
      <c r="E438" s="27"/>
      <c r="H438" s="27"/>
      <c r="J438" s="135"/>
      <c r="K438" s="27"/>
      <c r="L438" s="27"/>
      <c r="M438" s="141"/>
      <c r="O438" s="136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9"/>
      <c r="C439" s="27"/>
      <c r="D439" s="27"/>
      <c r="E439" s="27"/>
      <c r="H439" s="27"/>
      <c r="J439" s="135"/>
      <c r="K439" s="27"/>
      <c r="L439" s="27"/>
      <c r="M439" s="141"/>
      <c r="O439" s="136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0"/>
      <c r="C440" s="27"/>
      <c r="D440" s="27"/>
      <c r="E440" s="27"/>
      <c r="H440" s="27"/>
      <c r="J440" s="135"/>
      <c r="K440" s="27"/>
      <c r="L440" s="27"/>
      <c r="M440" s="141"/>
      <c r="O440" s="136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0"/>
      <c r="C441" s="27"/>
      <c r="D441" s="27"/>
      <c r="E441" s="27"/>
      <c r="H441" s="27"/>
      <c r="J441" s="135"/>
      <c r="K441" s="27"/>
      <c r="L441" s="27"/>
      <c r="M441" s="141"/>
      <c r="O441" s="136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0"/>
      <c r="C442" s="27"/>
      <c r="D442" s="27"/>
      <c r="E442" s="27"/>
      <c r="H442" s="27"/>
      <c r="J442" s="135"/>
      <c r="K442" s="27"/>
      <c r="L442" s="27"/>
      <c r="M442" s="141"/>
      <c r="O442" s="136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9"/>
      <c r="C443" s="27"/>
      <c r="D443" s="27"/>
      <c r="E443" s="27"/>
      <c r="H443" s="27"/>
      <c r="I443" s="130"/>
      <c r="J443" s="135"/>
      <c r="K443" s="27"/>
      <c r="L443" s="27"/>
      <c r="M443" s="139"/>
      <c r="O443" s="136"/>
      <c r="P443" s="27"/>
      <c r="Q443" s="27"/>
      <c r="W443" s="129"/>
      <c r="X443" s="27"/>
      <c r="Z443" s="27"/>
      <c r="AA443" s="27"/>
      <c r="AC443" s="27"/>
      <c r="AD443" s="27"/>
      <c r="AJ443" s="27"/>
      <c r="AK443" s="27"/>
    </row>
    <row r="444" spans="2:42">
      <c r="B444" s="129"/>
      <c r="C444" s="27"/>
      <c r="D444" s="27"/>
      <c r="E444" s="27"/>
      <c r="H444" s="27"/>
      <c r="J444" s="135"/>
      <c r="K444" s="27"/>
      <c r="L444" s="27"/>
      <c r="M444" s="139"/>
      <c r="O444" s="136"/>
      <c r="P444" s="27"/>
      <c r="Q444" s="27"/>
      <c r="W444" s="129"/>
      <c r="X444" s="27"/>
      <c r="Z444" s="27"/>
      <c r="AA444" s="27"/>
      <c r="AC444" s="27"/>
      <c r="AD444" s="27"/>
      <c r="AJ444" s="27"/>
      <c r="AK444" s="27"/>
    </row>
    <row r="445" spans="2:42">
      <c r="B445" s="129"/>
      <c r="C445" s="27"/>
      <c r="D445" s="27"/>
      <c r="E445" s="27"/>
      <c r="H445" s="27"/>
      <c r="J445" s="135"/>
      <c r="K445" s="27"/>
      <c r="L445" s="27"/>
      <c r="M445" s="139"/>
      <c r="O445" s="136"/>
      <c r="P445" s="27"/>
      <c r="Q445" s="27"/>
      <c r="W445" s="129"/>
      <c r="X445" s="27"/>
      <c r="Z445" s="27"/>
      <c r="AA445" s="27"/>
      <c r="AC445" s="27"/>
      <c r="AD445" s="27"/>
      <c r="AJ445" s="27"/>
      <c r="AK445" s="27"/>
    </row>
    <row r="446" spans="2:42">
      <c r="B446" s="129"/>
      <c r="C446" s="27"/>
      <c r="D446" s="27"/>
      <c r="E446" s="27"/>
      <c r="H446" s="27"/>
      <c r="J446" s="135"/>
      <c r="K446" s="27"/>
      <c r="L446" s="27"/>
      <c r="M446" s="139"/>
      <c r="O446" s="136"/>
      <c r="P446" s="27"/>
      <c r="Q446" s="27"/>
      <c r="W446" s="129"/>
      <c r="X446" s="27"/>
      <c r="Z446" s="27"/>
      <c r="AA446" s="27"/>
      <c r="AC446" s="27"/>
      <c r="AD446" s="27"/>
      <c r="AJ446" s="27"/>
      <c r="AK446" s="27"/>
    </row>
    <row r="447" spans="2:42">
      <c r="B447" s="129"/>
      <c r="C447" s="27"/>
      <c r="D447" s="27"/>
      <c r="E447" s="27"/>
      <c r="H447" s="27"/>
      <c r="J447" s="135"/>
      <c r="K447" s="27"/>
      <c r="L447" s="27"/>
      <c r="P447" s="27"/>
      <c r="Q447" s="27"/>
      <c r="W447" s="129"/>
      <c r="X447" s="27"/>
      <c r="Z447" s="27"/>
      <c r="AA447" s="27"/>
      <c r="AC447" s="27"/>
      <c r="AD447" s="27"/>
      <c r="AJ447" s="27"/>
      <c r="AK447" s="27"/>
      <c r="AO447" s="27"/>
      <c r="AP447" s="27"/>
    </row>
    <row r="448" spans="2:42">
      <c r="B448" s="129"/>
      <c r="C448" s="27"/>
      <c r="D448" s="27"/>
      <c r="E448" s="27"/>
      <c r="H448" s="27"/>
      <c r="J448" s="135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29"/>
      <c r="C449" s="27"/>
      <c r="D449" s="27"/>
      <c r="E449" s="27"/>
      <c r="H449" s="27"/>
      <c r="J449" s="135"/>
      <c r="K449" s="27"/>
      <c r="L449" s="2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29"/>
      <c r="C450" s="27"/>
      <c r="D450" s="27"/>
      <c r="E450" s="27"/>
      <c r="H450" s="27"/>
      <c r="J450" s="135"/>
      <c r="K450" s="27"/>
      <c r="L450" s="2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29"/>
      <c r="C451" s="27"/>
      <c r="D451" s="27"/>
      <c r="E451" s="27"/>
      <c r="H451" s="27"/>
      <c r="J451" s="135"/>
      <c r="K451" s="27"/>
      <c r="L451" s="2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29"/>
      <c r="C452" s="27"/>
      <c r="D452" s="27"/>
      <c r="E452" s="27"/>
      <c r="H452" s="27"/>
      <c r="J452" s="135"/>
      <c r="K452" s="27"/>
      <c r="L452" s="2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29"/>
      <c r="C453" s="27"/>
      <c r="D453" s="27"/>
      <c r="E453" s="27"/>
      <c r="H453" s="27"/>
      <c r="J453" s="135"/>
      <c r="K453" s="27"/>
      <c r="L453" s="2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29"/>
      <c r="C454" s="27"/>
      <c r="D454" s="27"/>
      <c r="E454" s="27"/>
      <c r="H454" s="27"/>
      <c r="J454" s="135"/>
      <c r="K454" s="27"/>
      <c r="L454" s="2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29"/>
      <c r="C455" s="27"/>
      <c r="D455" s="27"/>
      <c r="E455" s="27"/>
      <c r="H455" s="27"/>
      <c r="J455" s="135"/>
      <c r="K455" s="27"/>
      <c r="L455" s="2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29"/>
      <c r="C456" s="27"/>
      <c r="D456" s="27"/>
      <c r="E456" s="27"/>
      <c r="H456" s="27"/>
      <c r="J456" s="135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29"/>
      <c r="C457" s="27"/>
      <c r="D457" s="27"/>
      <c r="E457" s="27"/>
      <c r="H457" s="27"/>
      <c r="J457" s="135"/>
      <c r="K457" s="27"/>
      <c r="L457" s="27"/>
      <c r="O457" s="136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29"/>
      <c r="C458" s="27"/>
      <c r="D458" s="27"/>
      <c r="E458" s="27"/>
      <c r="H458" s="27"/>
      <c r="J458" s="135"/>
      <c r="K458" s="27"/>
      <c r="L458" s="27"/>
      <c r="O458" s="136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29"/>
      <c r="C459" s="27"/>
      <c r="D459" s="27"/>
      <c r="E459" s="27"/>
      <c r="H459" s="27"/>
      <c r="J459" s="135"/>
      <c r="K459" s="27"/>
      <c r="L459" s="27"/>
      <c r="O459" s="136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29"/>
      <c r="C460" s="27"/>
      <c r="D460" s="27"/>
      <c r="E460" s="27"/>
      <c r="H460" s="27"/>
      <c r="J460" s="135"/>
      <c r="K460" s="27"/>
      <c r="L460" s="27"/>
      <c r="M460"/>
      <c r="O460" s="136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9"/>
      <c r="C461" s="27"/>
      <c r="D461" s="27"/>
      <c r="E461" s="27"/>
      <c r="H461" s="27"/>
      <c r="J461" s="135"/>
      <c r="K461" s="27"/>
      <c r="L461" s="27"/>
      <c r="M461"/>
      <c r="O461" s="136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9"/>
      <c r="C462" s="27"/>
      <c r="D462" s="27"/>
      <c r="E462" s="27"/>
      <c r="H462" s="27"/>
      <c r="J462" s="135"/>
      <c r="K462" s="27"/>
      <c r="L462" s="27"/>
      <c r="M462"/>
      <c r="O462" s="136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9"/>
      <c r="C463" s="27"/>
      <c r="D463" s="27"/>
      <c r="E463" s="27"/>
      <c r="H463" s="27"/>
      <c r="J463" s="135"/>
      <c r="K463" s="27"/>
      <c r="L463" s="27"/>
      <c r="M463"/>
      <c r="O463" s="136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9"/>
      <c r="C464" s="27"/>
      <c r="D464" s="27"/>
      <c r="E464" s="27"/>
      <c r="H464" s="27"/>
      <c r="J464" s="135"/>
      <c r="K464" s="27"/>
      <c r="L464" s="27"/>
      <c r="M464"/>
      <c r="O464" s="136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9"/>
      <c r="C465" s="27"/>
      <c r="D465" s="27"/>
      <c r="E465" s="27"/>
      <c r="H465" s="27"/>
      <c r="J465" s="135"/>
      <c r="K465" s="27"/>
      <c r="L465" s="27"/>
      <c r="M465"/>
      <c r="O465" s="136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9"/>
      <c r="C466" s="27"/>
      <c r="D466" s="27"/>
      <c r="E466" s="27"/>
      <c r="H466" s="27"/>
      <c r="J466" s="135"/>
      <c r="K466" s="27"/>
      <c r="L466" s="27"/>
      <c r="M466"/>
      <c r="O466" s="136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9"/>
      <c r="C467" s="27"/>
      <c r="D467" s="27"/>
      <c r="E467" s="27"/>
      <c r="H467" s="27"/>
      <c r="J467" s="135"/>
      <c r="K467" s="27"/>
      <c r="L467" s="27"/>
      <c r="M467"/>
      <c r="O467" s="136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9"/>
      <c r="C468" s="27"/>
      <c r="D468" s="27"/>
      <c r="E468" s="27"/>
      <c r="H468" s="27"/>
      <c r="J468" s="135"/>
      <c r="K468" s="27"/>
      <c r="L468" s="27"/>
      <c r="M468"/>
      <c r="O468" s="136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9"/>
      <c r="C469" s="27"/>
      <c r="D469" s="27"/>
      <c r="E469" s="27"/>
      <c r="H469" s="27"/>
      <c r="J469" s="135"/>
      <c r="K469" s="27"/>
      <c r="L469" s="27"/>
      <c r="M469"/>
      <c r="O469" s="13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9"/>
      <c r="C470" s="27"/>
      <c r="D470" s="27"/>
      <c r="E470" s="27"/>
      <c r="H470" s="27"/>
      <c r="J470" s="135"/>
      <c r="K470" s="27"/>
      <c r="L470" s="27"/>
      <c r="M470"/>
      <c r="O470" s="13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9"/>
      <c r="C471" s="27"/>
      <c r="D471" s="27"/>
      <c r="E471" s="27"/>
      <c r="H471" s="27"/>
      <c r="J471" s="135"/>
      <c r="K471" s="27"/>
      <c r="L471" s="27"/>
      <c r="M471"/>
      <c r="O471" s="13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9"/>
      <c r="C472" s="27"/>
      <c r="D472" s="27"/>
      <c r="E472" s="27"/>
      <c r="H472" s="27"/>
      <c r="J472" s="135"/>
      <c r="K472" s="27"/>
      <c r="L472" s="27"/>
      <c r="M472"/>
      <c r="O472" s="13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9"/>
      <c r="C473" s="27"/>
      <c r="D473" s="27"/>
      <c r="E473" s="27"/>
      <c r="H473" s="27"/>
      <c r="J473" s="135"/>
      <c r="K473" s="27"/>
      <c r="L473" s="27"/>
      <c r="M473"/>
      <c r="O473" s="136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29"/>
      <c r="C474" s="27"/>
      <c r="D474" s="27"/>
      <c r="E474" s="27"/>
      <c r="H474" s="27"/>
      <c r="J474" s="135"/>
      <c r="K474" s="27"/>
      <c r="L474" s="27"/>
      <c r="M474"/>
      <c r="O474" s="136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29"/>
      <c r="C475" s="27"/>
      <c r="D475" s="27"/>
      <c r="E475" s="27"/>
      <c r="H475" s="27"/>
      <c r="J475" s="135"/>
      <c r="K475" s="27"/>
      <c r="L475" s="27"/>
      <c r="M475"/>
      <c r="O475" s="136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29"/>
      <c r="C476" s="27"/>
      <c r="D476" s="27"/>
      <c r="E476" s="27"/>
      <c r="H476" s="27"/>
      <c r="J476" s="135"/>
      <c r="K476" s="27"/>
      <c r="L476" s="27"/>
      <c r="M476"/>
      <c r="O476" s="136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29"/>
      <c r="C477" s="27"/>
      <c r="D477" s="27"/>
      <c r="E477" s="27"/>
      <c r="H477" s="27"/>
      <c r="J477" s="135"/>
      <c r="K477" s="27"/>
      <c r="L477" s="27"/>
      <c r="M477"/>
      <c r="O477" s="136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29"/>
      <c r="C478" s="27"/>
      <c r="D478" s="27"/>
      <c r="E478" s="27"/>
      <c r="H478" s="27"/>
      <c r="J478" s="135"/>
      <c r="K478" s="27"/>
      <c r="L478" s="27"/>
      <c r="M478"/>
      <c r="O478" s="136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29"/>
      <c r="C479" s="27"/>
      <c r="D479" s="27"/>
      <c r="E479" s="27"/>
      <c r="H479" s="27"/>
      <c r="J479" s="135"/>
      <c r="K479" s="27"/>
      <c r="L479" s="27"/>
      <c r="M479"/>
      <c r="O479" s="136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29"/>
      <c r="C480" s="27"/>
      <c r="D480" s="27"/>
      <c r="E480" s="27"/>
      <c r="H480" s="27"/>
      <c r="J480" s="135"/>
      <c r="K480" s="27"/>
      <c r="L480" s="27"/>
      <c r="M480"/>
      <c r="O480" s="136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29"/>
      <c r="C481" s="27"/>
      <c r="D481" s="27"/>
      <c r="E481" s="27"/>
      <c r="H481" s="27"/>
      <c r="J481" s="135"/>
      <c r="K481" s="27"/>
      <c r="L481" s="27"/>
      <c r="M481"/>
      <c r="O481" s="136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29"/>
      <c r="C482" s="27"/>
      <c r="D482" s="27"/>
      <c r="E482" s="27"/>
      <c r="H482" s="27"/>
      <c r="J482" s="135"/>
      <c r="K482" s="27"/>
      <c r="L482" s="27"/>
      <c r="M482"/>
      <c r="O482" s="136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29"/>
      <c r="C483" s="27"/>
      <c r="D483" s="27"/>
      <c r="E483" s="27"/>
      <c r="H483" s="27"/>
      <c r="J483" s="135"/>
      <c r="K483" s="27"/>
      <c r="L483" s="27"/>
      <c r="M483"/>
      <c r="O483" s="136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29"/>
      <c r="C484" s="27"/>
      <c r="D484" s="27"/>
      <c r="E484" s="27"/>
      <c r="H484" s="27"/>
      <c r="J484" s="135"/>
      <c r="K484" s="27"/>
      <c r="M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29"/>
      <c r="C485" s="27"/>
      <c r="D485" s="27"/>
      <c r="E485" s="27"/>
      <c r="H485" s="27"/>
      <c r="J485" s="135"/>
      <c r="K485" s="27"/>
      <c r="M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29"/>
      <c r="C486" s="27"/>
      <c r="D486" s="27"/>
      <c r="E486" s="27"/>
      <c r="H486" s="27"/>
      <c r="J486" s="135"/>
      <c r="K486" s="27"/>
      <c r="M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29"/>
      <c r="C487" s="27"/>
      <c r="D487" s="27"/>
      <c r="E487" s="27"/>
      <c r="H487" s="27"/>
      <c r="J487" s="135"/>
      <c r="K487" s="27"/>
      <c r="M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29"/>
      <c r="C488" s="27"/>
      <c r="D488" s="27"/>
      <c r="E488" s="27"/>
      <c r="H488" s="27"/>
      <c r="J488" s="135"/>
      <c r="K488" s="27"/>
      <c r="M488" s="142"/>
      <c r="P488" s="27"/>
      <c r="Q488" s="27"/>
      <c r="W488" s="129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9"/>
      <c r="C489" s="27"/>
      <c r="D489" s="27"/>
      <c r="E489" s="27"/>
      <c r="H489" s="27"/>
      <c r="J489" s="135"/>
      <c r="K489" s="27"/>
      <c r="M489" s="142"/>
      <c r="P489" s="27"/>
      <c r="Q489" s="27"/>
      <c r="W489" s="129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9"/>
      <c r="C490" s="27"/>
      <c r="D490" s="27"/>
      <c r="E490" s="27"/>
      <c r="H490" s="27"/>
      <c r="J490" s="135"/>
      <c r="K490" s="27"/>
      <c r="M490" s="142"/>
      <c r="P490" s="27"/>
      <c r="Q490" s="27"/>
      <c r="W490" s="129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9"/>
      <c r="C491" s="27"/>
      <c r="D491" s="27"/>
      <c r="E491" s="27"/>
      <c r="H491" s="27"/>
      <c r="J491" s="135"/>
      <c r="K491" s="27"/>
      <c r="M491" s="142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9"/>
      <c r="C492" s="27"/>
      <c r="D492" s="27"/>
      <c r="E492" s="27"/>
      <c r="H492" s="27"/>
      <c r="J492" s="135"/>
      <c r="K492" s="27"/>
      <c r="M492" s="142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9"/>
      <c r="C493" s="27"/>
      <c r="D493" s="27"/>
      <c r="E493" s="27"/>
      <c r="H493" s="27"/>
      <c r="J493" s="135"/>
      <c r="K493" s="27"/>
      <c r="M493" s="142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9"/>
      <c r="C494" s="27"/>
      <c r="D494" s="27"/>
      <c r="E494" s="27"/>
      <c r="H494" s="27"/>
      <c r="J494" s="135"/>
      <c r="K494" s="27"/>
      <c r="M494" s="142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9"/>
      <c r="C495" s="27"/>
      <c r="D495" s="27"/>
      <c r="E495" s="27"/>
      <c r="H495" s="27"/>
      <c r="J495" s="135"/>
      <c r="K495" s="27"/>
      <c r="M495" s="142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9"/>
      <c r="C496" s="27"/>
      <c r="D496" s="27"/>
      <c r="E496" s="27"/>
      <c r="H496" s="27"/>
      <c r="J496" s="135"/>
      <c r="K496" s="27"/>
      <c r="M496" s="142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9"/>
      <c r="C497" s="27"/>
      <c r="D497" s="27"/>
      <c r="E497" s="27"/>
      <c r="H497" s="27"/>
      <c r="J497" s="135"/>
      <c r="K497" s="27"/>
      <c r="M497" s="142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9"/>
      <c r="C498" s="27"/>
      <c r="D498" s="27"/>
      <c r="E498" s="27"/>
      <c r="H498" s="27"/>
      <c r="J498" s="135"/>
      <c r="K498" s="27"/>
      <c r="M498" s="142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9"/>
      <c r="C499" s="27"/>
      <c r="D499" s="27"/>
      <c r="E499" s="27"/>
      <c r="H499" s="27"/>
      <c r="J499" s="135"/>
      <c r="K499" s="27"/>
      <c r="M499" s="142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9"/>
      <c r="C500" s="27"/>
      <c r="D500" s="27"/>
      <c r="E500" s="27"/>
      <c r="H500" s="27"/>
      <c r="J500" s="135"/>
      <c r="K500" s="27"/>
      <c r="M500" s="142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9"/>
      <c r="C501" s="27"/>
      <c r="D501" s="27"/>
      <c r="E501" s="27"/>
      <c r="H501" s="27"/>
      <c r="J501" s="135"/>
      <c r="K501" s="27"/>
      <c r="M501" s="142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9"/>
      <c r="C502" s="27"/>
      <c r="D502" s="27"/>
      <c r="E502" s="27"/>
      <c r="H502" s="27"/>
      <c r="J502" s="135"/>
      <c r="K502" s="27"/>
      <c r="M502" s="142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9"/>
      <c r="C503" s="27"/>
      <c r="D503" s="27"/>
      <c r="E503" s="27"/>
      <c r="H503" s="27"/>
      <c r="J503" s="135"/>
      <c r="K503" s="27"/>
      <c r="M503" s="142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0"/>
      <c r="C504" s="27"/>
      <c r="D504" s="27"/>
      <c r="E504" s="27"/>
      <c r="H504" s="27"/>
      <c r="I504" s="130"/>
      <c r="J504" s="135"/>
      <c r="K504" s="27"/>
      <c r="L504" s="27"/>
      <c r="M504" s="142"/>
      <c r="O504" s="136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0"/>
      <c r="C505" s="27"/>
      <c r="D505" s="27"/>
      <c r="E505" s="27"/>
      <c r="H505" s="27"/>
      <c r="I505" s="130"/>
      <c r="J505" s="135"/>
      <c r="K505" s="27"/>
      <c r="L505" s="27"/>
      <c r="M505" s="142"/>
      <c r="O505" s="13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0"/>
      <c r="C506" s="27"/>
      <c r="D506" s="27"/>
      <c r="E506" s="27"/>
      <c r="H506" s="27"/>
      <c r="I506" s="130"/>
      <c r="J506" s="135"/>
      <c r="K506" s="27"/>
      <c r="L506" s="27"/>
      <c r="M506" s="142"/>
      <c r="O506" s="13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0"/>
      <c r="C507" s="27"/>
      <c r="D507" s="27"/>
      <c r="E507" s="27"/>
      <c r="H507" s="27"/>
      <c r="I507" s="130"/>
      <c r="J507" s="135"/>
      <c r="K507" s="27"/>
      <c r="L507" s="27"/>
      <c r="M507" s="142"/>
      <c r="O507" s="13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0"/>
      <c r="C508" s="27"/>
      <c r="D508" s="27"/>
      <c r="E508" s="27"/>
      <c r="H508" s="27"/>
      <c r="I508" s="130"/>
      <c r="J508" s="135"/>
      <c r="K508" s="27"/>
      <c r="L508" s="27"/>
      <c r="M508" s="142"/>
      <c r="O508" s="13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0"/>
      <c r="C509" s="27"/>
      <c r="D509" s="27"/>
      <c r="E509" s="27"/>
      <c r="H509" s="27"/>
      <c r="I509" s="130"/>
      <c r="J509" s="135"/>
      <c r="K509" s="27"/>
      <c r="L509" s="27"/>
      <c r="M509" s="142"/>
      <c r="O509" s="13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0"/>
      <c r="C510" s="27"/>
      <c r="D510" s="27"/>
      <c r="E510" s="27"/>
      <c r="H510" s="27"/>
      <c r="I510" s="130"/>
      <c r="J510" s="135"/>
      <c r="K510" s="27"/>
      <c r="L510" s="27"/>
      <c r="M510" s="142"/>
      <c r="O510" s="13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0"/>
      <c r="C511" s="27"/>
      <c r="D511" s="27"/>
      <c r="E511" s="27"/>
      <c r="H511" s="27"/>
      <c r="I511" s="130"/>
      <c r="J511" s="135"/>
      <c r="K511" s="27"/>
      <c r="L511" s="27"/>
      <c r="M511" s="142"/>
      <c r="O511" s="13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0"/>
      <c r="C512" s="27"/>
      <c r="D512" s="27"/>
      <c r="E512" s="27"/>
      <c r="H512" s="27"/>
      <c r="I512" s="130"/>
      <c r="J512" s="135"/>
      <c r="K512" s="27"/>
      <c r="L512" s="27"/>
      <c r="M512" s="142"/>
      <c r="O512" s="13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0"/>
      <c r="C513" s="27"/>
      <c r="D513" s="27"/>
      <c r="E513" s="27"/>
      <c r="H513" s="27"/>
      <c r="I513" s="130"/>
      <c r="J513" s="135"/>
      <c r="K513" s="27"/>
      <c r="L513" s="27"/>
      <c r="M513" s="142"/>
      <c r="O513" s="13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0"/>
      <c r="C514" s="27"/>
      <c r="D514" s="27"/>
      <c r="E514" s="27"/>
      <c r="H514" s="27"/>
      <c r="I514" s="130"/>
      <c r="J514" s="135"/>
      <c r="K514" s="27"/>
      <c r="L514" s="27"/>
      <c r="M514" s="142"/>
      <c r="O514" s="13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0"/>
      <c r="C515" s="27"/>
      <c r="D515" s="27"/>
      <c r="E515" s="27"/>
      <c r="H515" s="27"/>
      <c r="I515" s="130"/>
      <c r="J515" s="135"/>
      <c r="K515" s="27"/>
      <c r="L515" s="27"/>
      <c r="M515" s="142"/>
      <c r="O515" s="13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0"/>
      <c r="C516" s="27"/>
      <c r="D516" s="27"/>
      <c r="E516" s="27"/>
      <c r="H516" s="27"/>
      <c r="I516" s="130"/>
      <c r="J516" s="135"/>
      <c r="K516" s="27"/>
      <c r="L516" s="27"/>
      <c r="M516" s="142"/>
      <c r="O516" s="13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0"/>
      <c r="C517" s="27"/>
      <c r="D517" s="27"/>
      <c r="E517" s="27"/>
      <c r="H517" s="27"/>
      <c r="I517" s="130"/>
      <c r="J517" s="135"/>
      <c r="K517" s="27"/>
      <c r="L517" s="27"/>
      <c r="M517" s="142"/>
      <c r="O517" s="13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0"/>
      <c r="C518" s="27"/>
      <c r="D518" s="27"/>
      <c r="E518" s="27"/>
      <c r="H518" s="27"/>
      <c r="I518" s="130"/>
      <c r="J518" s="135"/>
      <c r="K518" s="27"/>
      <c r="L518" s="27"/>
      <c r="M518" s="142"/>
      <c r="O518" s="13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0"/>
      <c r="C519" s="27"/>
      <c r="D519" s="27"/>
      <c r="E519" s="27"/>
      <c r="H519" s="27"/>
      <c r="I519" s="130"/>
      <c r="J519" s="135"/>
      <c r="K519" s="27"/>
      <c r="L519" s="27"/>
      <c r="M519" s="142"/>
      <c r="O519" s="13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0"/>
      <c r="C520" s="27"/>
      <c r="D520" s="27"/>
      <c r="E520" s="27"/>
      <c r="H520" s="27"/>
      <c r="I520" s="130"/>
      <c r="J520" s="135"/>
      <c r="K520" s="27"/>
      <c r="L520" s="27"/>
      <c r="M520" s="142"/>
      <c r="O520" s="13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0"/>
      <c r="C521" s="27"/>
      <c r="D521" s="27"/>
      <c r="E521" s="27"/>
      <c r="H521" s="27"/>
      <c r="I521" s="130"/>
      <c r="J521" s="135"/>
      <c r="K521" s="27"/>
      <c r="L521" s="27"/>
      <c r="M521" s="142"/>
      <c r="O521" s="13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0"/>
      <c r="C522" s="27"/>
      <c r="D522" s="27"/>
      <c r="E522" s="27"/>
      <c r="H522" s="27"/>
      <c r="I522" s="130"/>
      <c r="J522" s="135"/>
      <c r="K522" s="27"/>
      <c r="L522" s="27"/>
      <c r="M522" s="142"/>
      <c r="O522" s="13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9"/>
      <c r="C523" s="27"/>
      <c r="D523" s="27"/>
      <c r="E523" s="27"/>
      <c r="H523" s="27"/>
      <c r="J523" s="135"/>
      <c r="K523" s="27"/>
      <c r="L523" s="27"/>
      <c r="O523" s="136"/>
      <c r="P523" s="27"/>
      <c r="Q523" s="27"/>
      <c r="W523" s="129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9"/>
      <c r="C524" s="27"/>
      <c r="D524" s="27"/>
      <c r="E524" s="27"/>
      <c r="H524" s="27"/>
      <c r="J524" s="135"/>
      <c r="K524" s="27"/>
      <c r="L524" s="27"/>
      <c r="O524" s="136"/>
      <c r="P524" s="27"/>
      <c r="Q524" s="27"/>
      <c r="W524" s="129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9"/>
      <c r="C525" s="27"/>
      <c r="D525" s="27"/>
      <c r="E525" s="27"/>
      <c r="H525" s="27"/>
      <c r="J525" s="135"/>
      <c r="K525" s="27"/>
      <c r="L525" s="27"/>
      <c r="O525" s="136"/>
      <c r="P525" s="27"/>
      <c r="Q525" s="27"/>
      <c r="W525" s="129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9"/>
      <c r="C526" s="27"/>
      <c r="D526" s="27"/>
      <c r="E526" s="27"/>
      <c r="H526" s="27"/>
      <c r="J526" s="135"/>
      <c r="K526" s="27"/>
      <c r="L526" s="27"/>
      <c r="O526" s="136"/>
      <c r="P526" s="27"/>
      <c r="Q526" s="27"/>
      <c r="W526" s="129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9"/>
      <c r="C527" s="27"/>
      <c r="D527" s="27"/>
      <c r="E527" s="27"/>
      <c r="H527" s="27"/>
      <c r="J527" s="135"/>
      <c r="K527" s="27"/>
      <c r="L527" s="27"/>
      <c r="O527" s="136"/>
      <c r="P527" s="27"/>
      <c r="Q527" s="27"/>
      <c r="W527" s="129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9"/>
      <c r="C528" s="27"/>
      <c r="D528" s="27"/>
      <c r="E528" s="27"/>
      <c r="H528" s="27"/>
      <c r="J528" s="135"/>
      <c r="K528" s="27"/>
      <c r="L528" s="27"/>
      <c r="O528" s="136"/>
      <c r="P528" s="27"/>
      <c r="Q528" s="27"/>
      <c r="W528" s="129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9"/>
      <c r="C529" s="27"/>
      <c r="D529" s="27"/>
      <c r="E529" s="27"/>
      <c r="H529" s="27"/>
      <c r="J529" s="135"/>
      <c r="K529" s="27"/>
      <c r="L529" s="27"/>
      <c r="O529" s="136"/>
      <c r="P529" s="27"/>
      <c r="Q529" s="27"/>
      <c r="W529" s="129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9"/>
      <c r="C530" s="27"/>
      <c r="D530" s="27"/>
      <c r="E530" s="27"/>
      <c r="H530" s="27"/>
      <c r="J530" s="135"/>
      <c r="K530" s="27"/>
      <c r="L530" s="27"/>
      <c r="O530" s="136"/>
      <c r="P530" s="27"/>
      <c r="Q530" s="27"/>
      <c r="W530" s="129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9"/>
      <c r="C531" s="27"/>
      <c r="D531" s="27"/>
      <c r="E531" s="27"/>
      <c r="H531" s="27"/>
      <c r="J531" s="135"/>
      <c r="K531" s="27"/>
      <c r="L531" s="27"/>
      <c r="O531" s="136"/>
      <c r="P531" s="27"/>
      <c r="Q531" s="27"/>
      <c r="W531" s="129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9"/>
      <c r="C532" s="27"/>
      <c r="D532" s="27"/>
      <c r="E532" s="27"/>
      <c r="H532" s="27"/>
      <c r="J532" s="135"/>
      <c r="K532" s="27"/>
      <c r="L532" s="27"/>
      <c r="O532" s="136"/>
      <c r="P532" s="27"/>
      <c r="Q532" s="27"/>
      <c r="W532" s="129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9"/>
      <c r="C533" s="27"/>
      <c r="D533" s="27"/>
      <c r="E533" s="27"/>
      <c r="H533" s="27"/>
      <c r="J533" s="135"/>
      <c r="K533" s="27"/>
      <c r="L533" s="27"/>
      <c r="O533" s="136"/>
      <c r="P533" s="27"/>
      <c r="Q533" s="27"/>
      <c r="W533" s="129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9"/>
      <c r="C534" s="27"/>
      <c r="D534" s="27"/>
      <c r="E534" s="27"/>
      <c r="H534" s="27"/>
      <c r="I534" s="27"/>
      <c r="J534" s="135"/>
      <c r="K534" s="27"/>
      <c r="L534" s="27"/>
      <c r="N534" s="129"/>
      <c r="O534" s="13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9"/>
      <c r="C535" s="27"/>
      <c r="D535" s="27"/>
      <c r="E535" s="27"/>
      <c r="H535" s="27"/>
      <c r="I535" s="27"/>
      <c r="J535" s="135"/>
      <c r="K535" s="27"/>
      <c r="L535" s="27"/>
      <c r="N535" s="129"/>
      <c r="O535" s="13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9"/>
      <c r="C536" s="27"/>
      <c r="D536" s="27"/>
      <c r="E536" s="27"/>
      <c r="H536" s="27"/>
      <c r="I536" s="27"/>
      <c r="J536" s="135"/>
      <c r="K536" s="27"/>
      <c r="L536" s="27"/>
      <c r="N536" s="129"/>
      <c r="O536" s="13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9"/>
      <c r="C537" s="27"/>
      <c r="D537" s="27"/>
      <c r="E537" s="27"/>
      <c r="H537" s="27"/>
      <c r="I537" s="27"/>
      <c r="J537" s="135"/>
      <c r="K537" s="27"/>
      <c r="L537" s="27"/>
      <c r="N537" s="129"/>
      <c r="O537" s="13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 s="131" customFormat="1">
      <c r="B538" s="143"/>
      <c r="C538" s="144"/>
      <c r="D538" s="144"/>
      <c r="E538" s="27"/>
      <c r="H538" s="27"/>
      <c r="I538" s="144"/>
      <c r="J538" s="145"/>
      <c r="K538" s="144"/>
      <c r="L538" s="144"/>
      <c r="M538" s="139"/>
      <c r="P538" s="144"/>
      <c r="Q538" s="144"/>
      <c r="W538" s="144"/>
      <c r="X538" s="144"/>
      <c r="Z538" s="144"/>
      <c r="AA538" s="27"/>
      <c r="AB538" s="143"/>
      <c r="AC538" s="144"/>
      <c r="AD538" s="144"/>
      <c r="AI538" s="144"/>
      <c r="AJ538" s="144"/>
      <c r="AK538" s="144"/>
      <c r="AN538" s="143"/>
      <c r="AO538" s="144"/>
      <c r="AP538" s="144"/>
    </row>
    <row r="539" spans="2:42" s="131" customFormat="1">
      <c r="B539" s="143"/>
      <c r="C539" s="144"/>
      <c r="D539" s="144"/>
      <c r="E539" s="27"/>
      <c r="H539" s="27"/>
      <c r="I539" s="144"/>
      <c r="J539" s="145"/>
      <c r="K539" s="144"/>
      <c r="L539" s="144"/>
      <c r="M539" s="139"/>
      <c r="P539" s="144"/>
      <c r="Q539" s="144"/>
      <c r="W539" s="144"/>
      <c r="X539" s="144"/>
      <c r="Z539" s="144"/>
      <c r="AA539" s="27"/>
      <c r="AB539" s="143"/>
      <c r="AC539" s="144"/>
      <c r="AD539" s="144"/>
      <c r="AI539" s="144"/>
      <c r="AJ539" s="144"/>
      <c r="AK539" s="144"/>
      <c r="AN539" s="143"/>
      <c r="AO539" s="144"/>
      <c r="AP539" s="144"/>
    </row>
    <row r="540" spans="2:42">
      <c r="B540" s="129"/>
      <c r="C540" s="27"/>
      <c r="D540" s="27"/>
      <c r="E540" s="27"/>
      <c r="H540" s="27"/>
      <c r="I540" s="27"/>
      <c r="J540" s="135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9"/>
      <c r="C541" s="27"/>
      <c r="D541" s="27"/>
      <c r="E541" s="27"/>
      <c r="H541" s="27"/>
      <c r="I541" s="27"/>
      <c r="J541" s="135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9"/>
      <c r="C542" s="27"/>
      <c r="D542" s="27"/>
      <c r="E542" s="27"/>
      <c r="H542" s="27"/>
      <c r="I542" s="27"/>
      <c r="J542" s="135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9"/>
      <c r="C543" s="27"/>
      <c r="D543" s="27"/>
      <c r="E543" s="27"/>
      <c r="H543" s="27"/>
      <c r="I543" s="27"/>
      <c r="J543" s="135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9"/>
      <c r="C544" s="27"/>
      <c r="D544" s="27"/>
      <c r="E544" s="27"/>
      <c r="H544" s="27"/>
      <c r="I544" s="27"/>
      <c r="J544" s="135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29"/>
      <c r="C545" s="27"/>
      <c r="D545" s="27"/>
      <c r="E545" s="27"/>
      <c r="H545" s="27"/>
      <c r="I545" s="27"/>
      <c r="J545" s="135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29"/>
      <c r="C546" s="27"/>
      <c r="D546" s="27"/>
      <c r="E546" s="27"/>
      <c r="H546" s="27"/>
      <c r="I546" s="27"/>
      <c r="J546" s="135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29"/>
      <c r="C547" s="27"/>
      <c r="D547" s="27"/>
      <c r="E547" s="27"/>
      <c r="H547" s="27"/>
      <c r="I547" s="27"/>
      <c r="J547" s="135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29"/>
      <c r="C548" s="27"/>
      <c r="D548" s="27"/>
      <c r="E548" s="27"/>
      <c r="H548" s="27"/>
      <c r="I548" s="27"/>
      <c r="J548" s="13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29"/>
      <c r="C549" s="27"/>
      <c r="D549" s="27"/>
      <c r="E549" s="27"/>
      <c r="H549" s="27"/>
      <c r="I549" s="27"/>
      <c r="J549" s="13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29"/>
      <c r="C550" s="27"/>
      <c r="D550" s="27"/>
      <c r="E550" s="27"/>
      <c r="H550" s="27"/>
      <c r="I550" s="27"/>
      <c r="J550" s="13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29"/>
      <c r="C551" s="27"/>
      <c r="D551" s="27"/>
      <c r="E551" s="27"/>
      <c r="H551" s="27"/>
      <c r="I551" s="27"/>
      <c r="J551" s="13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29"/>
      <c r="C552" s="27"/>
      <c r="D552" s="27"/>
      <c r="E552" s="27"/>
      <c r="H552" s="27"/>
      <c r="I552" s="27"/>
      <c r="J552" s="13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29"/>
      <c r="C553" s="27"/>
      <c r="D553" s="27"/>
      <c r="E553" s="27"/>
      <c r="H553" s="27"/>
      <c r="I553" s="27"/>
      <c r="J553" s="13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29"/>
      <c r="C554" s="27"/>
      <c r="D554" s="27"/>
      <c r="E554" s="27"/>
      <c r="H554" s="27"/>
      <c r="I554" s="27"/>
      <c r="J554" s="13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29"/>
      <c r="C555" s="27"/>
      <c r="D555" s="27"/>
      <c r="E555" s="27"/>
      <c r="H555" s="27"/>
      <c r="I555" s="27"/>
      <c r="J555" s="135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29"/>
      <c r="C556" s="27"/>
      <c r="D556" s="27"/>
      <c r="E556" s="27"/>
      <c r="H556" s="27"/>
      <c r="I556" s="27"/>
      <c r="J556" s="135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29"/>
      <c r="C557" s="27"/>
      <c r="D557" s="27"/>
      <c r="E557" s="27"/>
      <c r="H557" s="27"/>
      <c r="I557" s="27"/>
      <c r="J557" s="135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29"/>
      <c r="C558" s="27"/>
      <c r="D558" s="27"/>
      <c r="E558" s="27"/>
      <c r="H558" s="27"/>
      <c r="I558" s="27"/>
      <c r="J558" s="135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29"/>
      <c r="C559" s="27"/>
      <c r="D559" s="27"/>
      <c r="E559" s="27"/>
      <c r="H559" s="27"/>
      <c r="I559" s="130"/>
      <c r="J559" s="135"/>
      <c r="K559" s="27"/>
      <c r="L559" s="27"/>
      <c r="P559" s="27"/>
      <c r="Q559" s="27"/>
      <c r="V559" s="27"/>
      <c r="W559" s="129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29"/>
      <c r="C560" s="27"/>
      <c r="D560" s="27"/>
      <c r="E560" s="27"/>
      <c r="H560" s="27"/>
      <c r="I560" s="135"/>
      <c r="J560" s="135"/>
      <c r="K560" s="27"/>
      <c r="L560" s="27"/>
      <c r="P560" s="27"/>
      <c r="Q560" s="27"/>
      <c r="V560" s="27"/>
      <c r="W560" s="129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29"/>
      <c r="C561" s="27"/>
      <c r="D561" s="27"/>
      <c r="E561" s="27"/>
      <c r="H561" s="27"/>
      <c r="I561" s="135"/>
      <c r="J561" s="135"/>
      <c r="K561" s="27"/>
      <c r="L561" s="27"/>
      <c r="P561" s="27"/>
      <c r="Q561" s="27"/>
      <c r="V561" s="27"/>
      <c r="W561" s="129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29"/>
      <c r="C562" s="27"/>
      <c r="D562" s="27"/>
      <c r="E562" s="27"/>
      <c r="H562" s="27"/>
      <c r="I562" s="135"/>
      <c r="J562" s="135"/>
      <c r="K562" s="27"/>
      <c r="L562" s="27"/>
      <c r="P562" s="27"/>
      <c r="Q562" s="27"/>
      <c r="V562" s="27"/>
      <c r="W562" s="129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29"/>
      <c r="C563" s="27"/>
      <c r="D563" s="27"/>
      <c r="E563" s="27"/>
      <c r="H563" s="27"/>
      <c r="I563" s="135"/>
      <c r="J563" s="135"/>
      <c r="K563" s="27"/>
      <c r="L563" s="27"/>
      <c r="P563" s="27"/>
      <c r="Q563" s="27"/>
      <c r="V563" s="27"/>
      <c r="W563" s="129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29"/>
      <c r="C564" s="27"/>
      <c r="D564" s="27"/>
      <c r="E564" s="27"/>
      <c r="H564" s="27"/>
      <c r="I564" s="135"/>
      <c r="J564" s="135"/>
      <c r="K564" s="27"/>
      <c r="L564" s="27"/>
      <c r="P564" s="27"/>
      <c r="Q564" s="27"/>
      <c r="V564" s="27"/>
      <c r="W564" s="129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29"/>
      <c r="C565" s="27"/>
      <c r="D565" s="27"/>
      <c r="E565" s="27"/>
      <c r="H565" s="27"/>
      <c r="I565" s="135"/>
      <c r="J565" s="135"/>
      <c r="K565" s="27"/>
      <c r="L565" s="27"/>
      <c r="P565" s="27"/>
      <c r="Q565" s="27"/>
      <c r="V565" s="27"/>
      <c r="W565" s="129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29"/>
      <c r="C566" s="27"/>
      <c r="D566" s="27"/>
      <c r="E566" s="27"/>
      <c r="H566" s="27"/>
      <c r="I566" s="135"/>
      <c r="J566" s="135"/>
      <c r="K566" s="27"/>
      <c r="L566" s="27"/>
      <c r="P566" s="27"/>
      <c r="Q566" s="27"/>
      <c r="V566" s="27"/>
      <c r="W566" s="129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29"/>
      <c r="C567" s="27"/>
      <c r="D567" s="27"/>
      <c r="E567" s="27"/>
      <c r="H567" s="27"/>
      <c r="I567" s="135"/>
      <c r="J567" s="135"/>
      <c r="K567" s="27"/>
      <c r="L567" s="27"/>
      <c r="P567" s="27"/>
      <c r="Q567" s="27"/>
      <c r="V567" s="27"/>
      <c r="W567" s="129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F568" s="27"/>
      <c r="G568" s="27"/>
      <c r="H568" s="27"/>
      <c r="I568" s="27"/>
      <c r="J568" s="135"/>
      <c r="K568" s="135"/>
      <c r="L568" s="27"/>
      <c r="M568" s="136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</row>
    <row r="569" spans="2:42">
      <c r="B569" s="27"/>
      <c r="C569" s="27"/>
      <c r="D569" s="27"/>
      <c r="E569" s="27"/>
      <c r="F569" s="27"/>
      <c r="G569" s="27"/>
      <c r="H569" s="27"/>
      <c r="I569" s="27"/>
      <c r="J569" s="135"/>
      <c r="K569" s="135"/>
      <c r="L569" s="27"/>
      <c r="M569" s="136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</row>
    <row r="570" spans="2:42">
      <c r="B570" s="27"/>
      <c r="C570" s="27"/>
      <c r="D570" s="27"/>
      <c r="E570" s="27"/>
      <c r="F570" s="27"/>
      <c r="G570" s="27"/>
      <c r="H570" s="27"/>
      <c r="I570" s="27"/>
      <c r="J570" s="135"/>
      <c r="K570" s="135"/>
      <c r="L570" s="27"/>
      <c r="M570" s="136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</row>
    <row r="571" spans="2:42">
      <c r="B571" s="27"/>
      <c r="C571" s="27"/>
      <c r="D571" s="27"/>
      <c r="E571" s="27"/>
      <c r="F571" s="27"/>
      <c r="G571" s="27"/>
      <c r="H571" s="27"/>
      <c r="I571" s="27"/>
      <c r="J571" s="135"/>
      <c r="K571" s="135"/>
      <c r="L571" s="27"/>
      <c r="M571" s="136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</row>
    <row r="572" spans="2:42">
      <c r="B572" s="27"/>
      <c r="C572" s="27"/>
      <c r="D572" s="27"/>
      <c r="E572" s="27"/>
      <c r="F572" s="27"/>
      <c r="G572" s="27"/>
      <c r="H572" s="27"/>
      <c r="I572" s="27"/>
      <c r="J572" s="135"/>
      <c r="K572" s="135"/>
      <c r="L572" s="27"/>
      <c r="M572" s="136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</row>
    <row r="573" spans="2:42">
      <c r="B573" s="27"/>
      <c r="C573" s="27"/>
      <c r="D573" s="27"/>
      <c r="E573" s="27"/>
      <c r="F573" s="27"/>
      <c r="G573" s="27"/>
      <c r="H573" s="27"/>
      <c r="I573" s="27"/>
      <c r="J573" s="135"/>
      <c r="K573" s="135"/>
      <c r="L573" s="27"/>
      <c r="M573" s="136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</row>
    <row r="574" spans="2:42">
      <c r="B574" s="27"/>
      <c r="C574" s="27"/>
      <c r="D574" s="27"/>
      <c r="E574" s="27"/>
      <c r="F574" s="27"/>
      <c r="G574" s="27"/>
      <c r="H574" s="27"/>
      <c r="I574" s="27"/>
      <c r="J574" s="135"/>
      <c r="K574" s="135"/>
      <c r="L574" s="27"/>
      <c r="M574" s="136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</row>
    <row r="575" spans="2:42">
      <c r="B575" s="27"/>
      <c r="C575" s="27"/>
      <c r="D575" s="27"/>
      <c r="E575" s="27"/>
      <c r="H575" s="27"/>
      <c r="I575" s="135"/>
      <c r="J575" s="135"/>
      <c r="K575" s="27"/>
      <c r="L575" s="27"/>
      <c r="M575" s="146"/>
      <c r="O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135"/>
      <c r="J576" s="135"/>
      <c r="K576" s="27"/>
      <c r="L576" s="27"/>
      <c r="M576" s="146"/>
      <c r="O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135"/>
      <c r="J577" s="135"/>
      <c r="K577" s="27"/>
      <c r="L577" s="27"/>
      <c r="M577" s="148"/>
      <c r="O577" s="27"/>
      <c r="P577" s="27"/>
      <c r="Q577" s="27"/>
      <c r="W577" s="27"/>
      <c r="X577" s="27"/>
      <c r="Z577" s="27"/>
      <c r="AA577" s="27"/>
      <c r="AC577" s="27"/>
      <c r="AD577" s="27"/>
      <c r="AI577" s="129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135"/>
      <c r="J578" s="135"/>
      <c r="K578" s="27"/>
      <c r="L578" s="27"/>
      <c r="M578" s="146"/>
      <c r="O578" s="27"/>
      <c r="P578" s="27"/>
      <c r="Q578" s="27"/>
      <c r="W578" s="27"/>
      <c r="X578" s="27"/>
      <c r="Z578" s="27"/>
      <c r="AA578" s="27"/>
      <c r="AC578" s="27"/>
      <c r="AD578" s="27"/>
      <c r="AI578" s="129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135"/>
      <c r="J579" s="135"/>
      <c r="K579" s="27"/>
      <c r="L579" s="27"/>
      <c r="M579" s="146"/>
      <c r="O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5"/>
      <c r="K580" s="27"/>
      <c r="L580" s="27"/>
      <c r="M580" s="146"/>
      <c r="N580" s="129"/>
      <c r="O580" s="149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5"/>
      <c r="K581" s="27"/>
      <c r="L581" s="27"/>
      <c r="M581" s="146"/>
      <c r="N581" s="129"/>
      <c r="O581" s="149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5"/>
      <c r="K582" s="27"/>
      <c r="L582" s="27"/>
      <c r="M582" s="146"/>
      <c r="N582" s="129"/>
      <c r="O582" s="149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5"/>
      <c r="K583" s="27"/>
      <c r="L583" s="27"/>
      <c r="M583" s="146"/>
      <c r="N583" s="129"/>
      <c r="O583" s="149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5"/>
      <c r="K584" s="27"/>
      <c r="L584" s="27"/>
      <c r="M584" s="146"/>
      <c r="N584" s="129"/>
      <c r="O584" s="149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5"/>
      <c r="K585" s="27"/>
      <c r="L585" s="27"/>
      <c r="M585" s="146"/>
      <c r="N585" s="129"/>
      <c r="O585" s="149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5"/>
      <c r="K586" s="27"/>
      <c r="L586" s="27"/>
      <c r="M586" s="146"/>
      <c r="N586" s="129"/>
      <c r="O586" s="149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5"/>
      <c r="K587" s="27"/>
      <c r="L587" s="27"/>
      <c r="M587" s="146"/>
      <c r="N587" s="129"/>
      <c r="O587" s="149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5"/>
      <c r="K588" s="27"/>
      <c r="L588" s="27"/>
      <c r="M588" s="146"/>
      <c r="N588" s="129"/>
      <c r="O588" s="149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5"/>
      <c r="K589" s="27"/>
      <c r="L589" s="27"/>
      <c r="M589" s="146"/>
      <c r="N589" s="129"/>
      <c r="O589" s="149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5"/>
      <c r="K590" s="27"/>
      <c r="L590" s="27"/>
      <c r="M590" s="146"/>
      <c r="N590" s="129"/>
      <c r="O590" s="149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5"/>
      <c r="K591" s="27"/>
      <c r="L591" s="27"/>
      <c r="M591" s="146"/>
      <c r="N591" s="129"/>
      <c r="O591" s="149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5"/>
      <c r="K592" s="27"/>
      <c r="L592" s="27"/>
      <c r="M592" s="146"/>
      <c r="N592" s="129"/>
      <c r="O592" s="149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5"/>
      <c r="K593" s="27"/>
      <c r="L593" s="27"/>
      <c r="M593" s="146"/>
      <c r="N593" s="129"/>
      <c r="O593" s="149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5"/>
      <c r="K594" s="27"/>
      <c r="L594" s="27"/>
      <c r="M594" s="146"/>
      <c r="N594" s="129"/>
      <c r="O594" s="149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5"/>
      <c r="K595" s="27"/>
      <c r="L595" s="27"/>
      <c r="M595" s="146"/>
      <c r="N595" s="129"/>
      <c r="O595" s="14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5"/>
      <c r="K596" s="27"/>
      <c r="L596" s="27"/>
      <c r="M596" s="146"/>
      <c r="N596" s="129"/>
      <c r="O596" s="14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5"/>
      <c r="K597" s="27"/>
      <c r="L597" s="27"/>
      <c r="M597" s="146"/>
      <c r="N597" s="129"/>
      <c r="O597" s="14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5"/>
      <c r="K598" s="27"/>
      <c r="L598" s="27"/>
      <c r="M598" s="146"/>
      <c r="N598" s="129"/>
      <c r="O598" s="14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5"/>
      <c r="K599" s="27"/>
      <c r="L599" s="27"/>
      <c r="M599" s="146"/>
      <c r="N599" s="129"/>
      <c r="O599" s="14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5"/>
      <c r="K600" s="27"/>
      <c r="L600" s="27"/>
      <c r="M600" s="148"/>
      <c r="N600" s="129"/>
      <c r="O600" s="14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5"/>
      <c r="K601" s="27"/>
      <c r="L601" s="27"/>
      <c r="M601" s="148"/>
      <c r="N601" s="129"/>
      <c r="O601" s="14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5"/>
      <c r="K602" s="27"/>
      <c r="L602" s="27"/>
      <c r="M602" s="148"/>
      <c r="N602" s="129"/>
      <c r="O602" s="14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5"/>
      <c r="K603" s="27"/>
      <c r="L603" s="27"/>
      <c r="M603" s="148"/>
      <c r="N603" s="129"/>
      <c r="O603" s="14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5"/>
      <c r="K604" s="27"/>
      <c r="L604" s="27"/>
      <c r="M604" s="148"/>
      <c r="N604" s="129"/>
      <c r="O604" s="14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5"/>
      <c r="K605" s="27"/>
      <c r="L605" s="27"/>
      <c r="M605" s="148"/>
      <c r="N605" s="129"/>
      <c r="O605" s="14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5"/>
      <c r="K606" s="27"/>
      <c r="L606" s="27"/>
      <c r="M606" s="148"/>
      <c r="N606" s="129"/>
      <c r="O606" s="14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5"/>
      <c r="K607" s="27"/>
      <c r="L607" s="27"/>
      <c r="M607" s="148"/>
      <c r="N607" s="129"/>
      <c r="O607" s="14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5"/>
      <c r="K608" s="27"/>
      <c r="L608" s="27"/>
      <c r="M608" s="148"/>
      <c r="N608" s="129"/>
      <c r="O608" s="14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5"/>
      <c r="K609" s="27"/>
      <c r="L609" s="27"/>
      <c r="M609" s="148"/>
      <c r="N609" s="129"/>
      <c r="O609" s="14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5"/>
      <c r="K610" s="27"/>
      <c r="L610" s="27"/>
      <c r="M610" s="146"/>
      <c r="N610" s="129"/>
      <c r="O610" s="14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5"/>
      <c r="K611" s="27"/>
      <c r="L611" s="27"/>
      <c r="M611" s="146"/>
      <c r="N611" s="129"/>
      <c r="O611" s="14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5"/>
      <c r="K612" s="27"/>
      <c r="L612" s="27"/>
      <c r="M612" s="146"/>
      <c r="N612" s="129"/>
      <c r="O612" s="14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5"/>
      <c r="K613" s="27"/>
      <c r="L613" s="27"/>
      <c r="M613" s="146"/>
      <c r="N613" s="129"/>
      <c r="O613" s="14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5"/>
      <c r="K614" s="27"/>
      <c r="L614" s="27"/>
      <c r="M614" s="146"/>
      <c r="N614" s="129"/>
      <c r="O614" s="14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5"/>
      <c r="K615" s="27"/>
      <c r="L615" s="27"/>
      <c r="M615" s="146"/>
      <c r="N615" s="129"/>
      <c r="O615" s="14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5"/>
      <c r="K616" s="27"/>
      <c r="L616" s="27"/>
      <c r="M616" s="146"/>
      <c r="N616" s="129"/>
      <c r="O616" s="14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5"/>
      <c r="K617" s="27"/>
      <c r="L617" s="27"/>
      <c r="M617" s="146"/>
      <c r="N617" s="129"/>
      <c r="O617" s="14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5"/>
      <c r="K618" s="27"/>
      <c r="L618" s="27"/>
      <c r="M618" s="146"/>
      <c r="N618" s="129"/>
      <c r="O618" s="14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5"/>
      <c r="K619" s="27"/>
      <c r="L619" s="27"/>
      <c r="M619" s="146"/>
      <c r="N619" s="129"/>
      <c r="O619" s="14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5"/>
      <c r="K620" s="27"/>
      <c r="M620" s="146"/>
      <c r="N620" s="129"/>
      <c r="O620" s="14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5"/>
      <c r="K621" s="27"/>
      <c r="M621" s="146"/>
      <c r="N621" s="129"/>
      <c r="O621" s="14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35"/>
      <c r="K622" s="27"/>
      <c r="M622" s="146"/>
      <c r="N622" s="129"/>
      <c r="O622" s="14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5"/>
      <c r="K623" s="27"/>
      <c r="M623" s="146"/>
      <c r="N623" s="129"/>
      <c r="O623" s="14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5"/>
      <c r="K624" s="27"/>
      <c r="M624" s="146"/>
      <c r="N624" s="129"/>
      <c r="O624" s="14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5"/>
      <c r="K625" s="27"/>
      <c r="M625" s="146"/>
      <c r="N625" s="129"/>
      <c r="O625" s="14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35"/>
      <c r="K626" s="27"/>
      <c r="M626" s="146"/>
      <c r="N626" s="129"/>
      <c r="O626" s="14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35"/>
      <c r="K627" s="27"/>
      <c r="M627" s="146"/>
      <c r="N627" s="129"/>
      <c r="O627" s="14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35"/>
      <c r="K628" s="27"/>
      <c r="M628" s="146"/>
      <c r="N628" s="129"/>
      <c r="O628" s="14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35"/>
      <c r="K629" s="27"/>
      <c r="M629" s="146"/>
      <c r="N629" s="129"/>
      <c r="O629" s="14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35"/>
      <c r="K630" s="27"/>
      <c r="L630" s="27"/>
      <c r="M630" s="149"/>
      <c r="O630" s="133"/>
      <c r="P630" s="27"/>
      <c r="Q630" s="27"/>
      <c r="V630" s="27"/>
      <c r="W630" s="129"/>
      <c r="X630" s="27"/>
      <c r="Z630" s="27"/>
      <c r="AA630" s="27"/>
      <c r="AC630" s="27"/>
      <c r="AD630" s="27"/>
      <c r="AJ630" s="27"/>
      <c r="AK630" s="27"/>
    </row>
    <row r="631" spans="2:42">
      <c r="B631" s="27"/>
      <c r="C631" s="27"/>
      <c r="D631" s="27"/>
      <c r="E631" s="27"/>
      <c r="H631" s="27"/>
      <c r="I631" s="27"/>
      <c r="J631" s="135"/>
      <c r="K631" s="27"/>
      <c r="L631" s="27"/>
      <c r="M631" s="149"/>
      <c r="O631" s="133"/>
      <c r="P631" s="27"/>
      <c r="Q631" s="27"/>
      <c r="V631" s="27"/>
      <c r="W631" s="129"/>
      <c r="X631" s="27"/>
      <c r="Z631" s="27"/>
      <c r="AA631" s="27"/>
      <c r="AB631" s="27"/>
      <c r="AC631" s="27"/>
      <c r="AD631" s="27"/>
      <c r="AJ631" s="27"/>
      <c r="AK631" s="27"/>
    </row>
    <row r="632" spans="2:42">
      <c r="B632" s="27"/>
      <c r="C632" s="27"/>
      <c r="D632" s="27"/>
      <c r="E632" s="27"/>
      <c r="H632" s="27"/>
      <c r="I632" s="27"/>
      <c r="J632" s="135"/>
      <c r="K632" s="27"/>
      <c r="L632" s="27"/>
      <c r="M632" s="149"/>
      <c r="O632" s="133"/>
      <c r="P632" s="27"/>
      <c r="Q632" s="27"/>
      <c r="V632" s="27"/>
      <c r="W632" s="129"/>
      <c r="X632" s="27"/>
      <c r="Z632" s="27"/>
      <c r="AA632" s="27"/>
      <c r="AB632" s="27"/>
      <c r="AC632" s="27"/>
      <c r="AD632" s="27"/>
      <c r="AJ632" s="27"/>
      <c r="AK632" s="27"/>
    </row>
    <row r="633" spans="2:42">
      <c r="B633" s="27"/>
      <c r="C633" s="27"/>
      <c r="D633" s="27"/>
      <c r="E633" s="27"/>
      <c r="H633" s="27"/>
      <c r="I633" s="27"/>
      <c r="J633" s="135"/>
      <c r="K633" s="27"/>
      <c r="L633" s="27"/>
      <c r="M633" s="149"/>
      <c r="O633" s="133"/>
      <c r="P633" s="27"/>
      <c r="Q633" s="27"/>
      <c r="V633" s="27"/>
      <c r="W633" s="129"/>
      <c r="X633" s="27"/>
      <c r="Z633" s="27"/>
      <c r="AA633" s="27"/>
      <c r="AB633" s="27"/>
      <c r="AC633" s="27"/>
      <c r="AD633" s="27"/>
      <c r="AJ633" s="27"/>
      <c r="AK633" s="27"/>
    </row>
    <row r="634" spans="2:42" s="132" customFormat="1">
      <c r="B634" s="147"/>
      <c r="C634" s="147"/>
      <c r="D634" s="147"/>
      <c r="E634" s="27"/>
      <c r="H634" s="27"/>
      <c r="I634" s="147"/>
      <c r="J634" s="150"/>
      <c r="K634" s="147"/>
      <c r="L634" s="147"/>
      <c r="M634" s="151"/>
      <c r="O634" s="152"/>
      <c r="P634" s="147"/>
      <c r="Q634" s="147"/>
      <c r="V634" s="147"/>
      <c r="W634" s="153"/>
      <c r="X634" s="147"/>
      <c r="Z634" s="147"/>
      <c r="AA634" s="147"/>
      <c r="AB634" s="153"/>
      <c r="AC634" s="147"/>
      <c r="AD634" s="147"/>
      <c r="AJ634" s="147"/>
      <c r="AK634" s="147"/>
      <c r="AN634" s="153"/>
    </row>
    <row r="635" spans="2:42" s="132" customFormat="1">
      <c r="B635" s="147"/>
      <c r="C635" s="147"/>
      <c r="D635" s="147"/>
      <c r="E635" s="27"/>
      <c r="H635" s="27"/>
      <c r="I635" s="147"/>
      <c r="J635" s="150"/>
      <c r="K635" s="147"/>
      <c r="L635" s="147"/>
      <c r="M635" s="151"/>
      <c r="O635" s="152"/>
      <c r="P635" s="147"/>
      <c r="Q635" s="147"/>
      <c r="V635" s="147"/>
      <c r="W635" s="153"/>
      <c r="X635" s="147"/>
      <c r="Z635" s="147"/>
      <c r="AA635" s="147"/>
      <c r="AB635" s="153"/>
      <c r="AC635" s="147"/>
      <c r="AD635" s="147"/>
      <c r="AJ635" s="147"/>
      <c r="AK635" s="147"/>
      <c r="AN635" s="153"/>
    </row>
    <row r="636" spans="2:42" s="132" customFormat="1">
      <c r="B636" s="147"/>
      <c r="C636" s="147"/>
      <c r="D636" s="147"/>
      <c r="E636" s="27"/>
      <c r="H636" s="27"/>
      <c r="I636" s="147"/>
      <c r="J636" s="150"/>
      <c r="K636" s="147"/>
      <c r="L636" s="147"/>
      <c r="M636" s="151"/>
      <c r="O636" s="152"/>
      <c r="P636" s="147"/>
      <c r="Q636" s="147"/>
      <c r="V636" s="147"/>
      <c r="W636" s="153"/>
      <c r="X636" s="147"/>
      <c r="Z636" s="147"/>
      <c r="AA636" s="147"/>
      <c r="AB636" s="153"/>
      <c r="AC636" s="147"/>
      <c r="AD636" s="147"/>
      <c r="AJ636" s="147"/>
      <c r="AK636" s="147"/>
      <c r="AN636" s="153"/>
    </row>
    <row r="637" spans="2:42" s="132" customFormat="1">
      <c r="B637" s="147"/>
      <c r="C637" s="147"/>
      <c r="D637" s="147"/>
      <c r="E637" s="27"/>
      <c r="H637" s="27"/>
      <c r="I637" s="147"/>
      <c r="J637" s="150"/>
      <c r="K637" s="147"/>
      <c r="L637" s="147"/>
      <c r="M637" s="151"/>
      <c r="O637" s="152"/>
      <c r="P637" s="147"/>
      <c r="Q637" s="147"/>
      <c r="V637" s="147"/>
      <c r="W637" s="153"/>
      <c r="X637" s="147"/>
      <c r="Z637" s="147"/>
      <c r="AA637" s="147"/>
      <c r="AB637" s="153"/>
      <c r="AC637" s="147"/>
      <c r="AD637" s="147"/>
      <c r="AJ637" s="147"/>
      <c r="AK637" s="147"/>
      <c r="AN637" s="153"/>
    </row>
    <row r="638" spans="2:42">
      <c r="B638" s="27"/>
      <c r="C638" s="27"/>
      <c r="D638" s="27"/>
      <c r="E638" s="27"/>
      <c r="H638" s="27"/>
      <c r="I638" s="27"/>
      <c r="J638" s="135"/>
      <c r="K638" s="27"/>
      <c r="L638" s="27"/>
      <c r="M638" s="149"/>
      <c r="O638" s="133"/>
      <c r="P638" s="27"/>
      <c r="Q638" s="27"/>
      <c r="W638" s="27"/>
      <c r="X638" s="27"/>
      <c r="Z638" s="27"/>
      <c r="AA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5"/>
      <c r="K639" s="27"/>
      <c r="L639" s="27"/>
      <c r="M639" s="149"/>
      <c r="O639" s="133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5"/>
      <c r="K640" s="27"/>
      <c r="L640" s="27"/>
      <c r="M640" s="149"/>
      <c r="O640" s="133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5"/>
      <c r="K641" s="27"/>
      <c r="L641" s="27"/>
      <c r="M641" s="149"/>
      <c r="O641" s="133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 s="132" customFormat="1">
      <c r="B642" s="147"/>
      <c r="C642" s="147"/>
      <c r="D642" s="147"/>
      <c r="E642" s="27"/>
      <c r="H642" s="27"/>
      <c r="I642" s="147"/>
      <c r="J642" s="150"/>
      <c r="K642" s="147"/>
      <c r="L642" s="147"/>
      <c r="M642" s="151"/>
      <c r="O642" s="152"/>
      <c r="P642" s="147"/>
      <c r="Q642" s="147"/>
      <c r="W642" s="147"/>
      <c r="X642" s="147"/>
      <c r="Z642" s="147"/>
      <c r="AA642" s="147"/>
      <c r="AB642" s="153"/>
      <c r="AC642" s="147"/>
      <c r="AD642" s="147"/>
      <c r="AJ642" s="147"/>
      <c r="AK642" s="147"/>
      <c r="AN642" s="153"/>
      <c r="AO642" s="147"/>
      <c r="AP642" s="147"/>
    </row>
    <row r="643" spans="2:42" s="132" customFormat="1">
      <c r="B643" s="147"/>
      <c r="C643" s="147"/>
      <c r="D643" s="147"/>
      <c r="E643" s="27"/>
      <c r="H643" s="27"/>
      <c r="I643" s="147"/>
      <c r="J643" s="150"/>
      <c r="K643" s="147"/>
      <c r="L643" s="147"/>
      <c r="M643" s="151"/>
      <c r="O643" s="152"/>
      <c r="P643" s="147"/>
      <c r="Q643" s="147"/>
      <c r="W643" s="147"/>
      <c r="X643" s="147"/>
      <c r="Z643" s="147"/>
      <c r="AA643" s="147"/>
      <c r="AB643" s="153"/>
      <c r="AC643" s="147"/>
      <c r="AD643" s="147"/>
      <c r="AJ643" s="147"/>
      <c r="AK643" s="147"/>
      <c r="AN643" s="153"/>
      <c r="AO643" s="147"/>
      <c r="AP643" s="147"/>
    </row>
    <row r="644" spans="2:42" s="132" customFormat="1">
      <c r="B644" s="147"/>
      <c r="C644" s="147"/>
      <c r="D644" s="147"/>
      <c r="E644" s="27"/>
      <c r="H644" s="27"/>
      <c r="I644" s="147"/>
      <c r="J644" s="150"/>
      <c r="K644" s="147"/>
      <c r="L644" s="147"/>
      <c r="M644" s="151"/>
      <c r="O644" s="152"/>
      <c r="P644" s="147"/>
      <c r="Q644" s="147"/>
      <c r="W644" s="147"/>
      <c r="X644" s="147"/>
      <c r="Z644" s="147"/>
      <c r="AA644" s="147"/>
      <c r="AB644" s="153"/>
      <c r="AC644" s="147"/>
      <c r="AD644" s="147"/>
      <c r="AJ644" s="147"/>
      <c r="AK644" s="147"/>
      <c r="AN644" s="153"/>
      <c r="AO644" s="147"/>
      <c r="AP644" s="147"/>
    </row>
    <row r="645" spans="2:42" s="132" customFormat="1">
      <c r="B645" s="147"/>
      <c r="C645" s="147"/>
      <c r="D645" s="147"/>
      <c r="E645" s="27"/>
      <c r="H645" s="27"/>
      <c r="I645" s="147"/>
      <c r="J645" s="150"/>
      <c r="K645" s="147"/>
      <c r="L645" s="147"/>
      <c r="M645" s="151"/>
      <c r="O645" s="152"/>
      <c r="P645" s="147"/>
      <c r="Q645" s="147"/>
      <c r="W645" s="147"/>
      <c r="X645" s="147"/>
      <c r="Z645" s="147"/>
      <c r="AA645" s="147"/>
      <c r="AB645" s="153"/>
      <c r="AC645" s="147"/>
      <c r="AD645" s="147"/>
      <c r="AJ645" s="147"/>
      <c r="AK645" s="147"/>
      <c r="AN645" s="153"/>
      <c r="AO645" s="147"/>
      <c r="AP645" s="147"/>
    </row>
    <row r="646" spans="2:42">
      <c r="B646" s="27"/>
      <c r="C646" s="27"/>
      <c r="D646" s="27"/>
      <c r="E646" s="27"/>
      <c r="H646" s="27"/>
      <c r="I646" s="27"/>
      <c r="J646" s="135"/>
      <c r="K646" s="27"/>
      <c r="L646" s="27"/>
      <c r="M646" s="136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5"/>
      <c r="K647" s="27"/>
      <c r="L647" s="27"/>
      <c r="M647" s="136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5"/>
      <c r="K648" s="27"/>
      <c r="L648" s="27"/>
      <c r="M648" s="136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5"/>
      <c r="K649" s="27"/>
      <c r="L649" s="27"/>
      <c r="M649" s="136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5"/>
      <c r="K650" s="27"/>
      <c r="L650" s="27"/>
      <c r="M650" s="136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5"/>
      <c r="K651" s="27"/>
      <c r="L651" s="27"/>
      <c r="M651" s="136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5"/>
      <c r="K652" s="27"/>
      <c r="L652" s="27"/>
      <c r="M652" s="136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5"/>
      <c r="K653" s="27"/>
      <c r="L653" s="27"/>
      <c r="M653" s="136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5"/>
      <c r="K654" s="27"/>
      <c r="L654" s="27"/>
      <c r="M654" s="136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5"/>
      <c r="K655" s="27"/>
      <c r="L655" s="27"/>
      <c r="M655" s="136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5"/>
      <c r="K656" s="27"/>
      <c r="L656" s="27"/>
      <c r="M656" s="136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5"/>
      <c r="K657" s="27"/>
      <c r="L657" s="27"/>
      <c r="M657" s="136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5"/>
      <c r="K658" s="27"/>
      <c r="L658" s="27"/>
      <c r="M658" s="136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35"/>
      <c r="K659" s="27"/>
      <c r="L659" s="27"/>
      <c r="M659" s="136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35"/>
      <c r="C660" s="27"/>
      <c r="D660" s="27"/>
      <c r="E660" s="27"/>
      <c r="H660" s="27"/>
      <c r="I660" s="135"/>
      <c r="J660" s="135"/>
      <c r="K660" s="27"/>
      <c r="L660" s="27"/>
      <c r="M660" s="136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5"/>
      <c r="K661" s="27"/>
      <c r="L661" s="27"/>
      <c r="O661" s="133"/>
      <c r="P661" s="27"/>
      <c r="Q661" s="27"/>
      <c r="V661" s="27"/>
      <c r="W661" s="129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35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35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5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35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35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35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35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35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35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</row>
    <row r="671" spans="2:42">
      <c r="B671" s="27"/>
      <c r="C671" s="27"/>
      <c r="D671" s="27"/>
      <c r="E671" s="27"/>
      <c r="H671" s="27"/>
      <c r="I671" s="27"/>
      <c r="J671" s="135"/>
      <c r="K671" s="27"/>
      <c r="L671" s="27"/>
      <c r="P671" s="27"/>
      <c r="Q671" s="27"/>
      <c r="R671" s="129"/>
      <c r="S671" s="129"/>
      <c r="T671" s="129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35"/>
      <c r="K672" s="27"/>
      <c r="L672" s="27"/>
      <c r="P672" s="27"/>
      <c r="Q672" s="27"/>
      <c r="R672" s="129"/>
      <c r="S672" s="129"/>
      <c r="T672" s="129"/>
      <c r="W672" s="27"/>
      <c r="X672" s="27"/>
      <c r="Z672" s="27"/>
      <c r="AA672" s="27"/>
      <c r="AC672" s="27"/>
      <c r="AD672" s="27"/>
      <c r="AJ672" s="27"/>
      <c r="AK672" s="27"/>
      <c r="AO672" s="27"/>
      <c r="AP672" s="27"/>
    </row>
    <row r="673" spans="2:41">
      <c r="B673" s="27"/>
      <c r="C673" s="27"/>
      <c r="D673" s="27"/>
      <c r="E673" s="27"/>
      <c r="H673" s="27"/>
      <c r="I673" s="27"/>
      <c r="J673" s="135"/>
      <c r="K673" s="27"/>
      <c r="L673" s="27"/>
      <c r="P673" s="27"/>
      <c r="Q673" s="27"/>
      <c r="R673" s="129"/>
      <c r="S673" s="129"/>
      <c r="T673" s="129"/>
      <c r="W673" s="27"/>
      <c r="X673" s="27"/>
      <c r="Z673" s="27"/>
      <c r="AA673" s="27"/>
      <c r="AC673" s="27"/>
      <c r="AD673" s="27"/>
      <c r="AJ673" s="27"/>
      <c r="AK673" s="27"/>
    </row>
    <row r="674" spans="2:41">
      <c r="B674" s="27"/>
      <c r="C674" s="27"/>
      <c r="D674" s="27"/>
      <c r="E674" s="27"/>
      <c r="H674" s="27"/>
      <c r="I674" s="27"/>
      <c r="J674" s="135"/>
      <c r="K674" s="27"/>
      <c r="L674" s="27"/>
      <c r="P674" s="27"/>
      <c r="Q674" s="27"/>
      <c r="R674" s="129"/>
      <c r="S674" s="129"/>
      <c r="T674" s="129"/>
      <c r="W674" s="27"/>
      <c r="X674" s="27"/>
      <c r="Z674" s="27"/>
      <c r="AA674" s="27"/>
      <c r="AC674" s="27"/>
      <c r="AD674" s="27"/>
      <c r="AJ674" s="27"/>
      <c r="AK674" s="27"/>
    </row>
    <row r="675" spans="2:41">
      <c r="B675" s="27"/>
      <c r="C675" s="27"/>
      <c r="D675" s="27"/>
      <c r="E675" s="27"/>
      <c r="H675" s="27"/>
      <c r="I675" s="27"/>
      <c r="J675" s="135"/>
      <c r="K675" s="27"/>
      <c r="L675" s="27"/>
      <c r="P675" s="27"/>
      <c r="Q675" s="27"/>
      <c r="R675" s="129"/>
      <c r="S675" s="129"/>
      <c r="T675" s="129"/>
      <c r="W675" s="27"/>
      <c r="X675" s="27"/>
      <c r="Z675" s="27"/>
      <c r="AA675" s="27"/>
      <c r="AC675" s="27"/>
      <c r="AD675" s="27"/>
      <c r="AJ675" s="27"/>
      <c r="AK675" s="27"/>
    </row>
    <row r="676" spans="2:41">
      <c r="B676" s="27"/>
      <c r="C676" s="27"/>
      <c r="D676" s="27"/>
      <c r="E676" s="27"/>
      <c r="H676" s="27"/>
      <c r="I676" s="27"/>
      <c r="J676" s="135"/>
      <c r="K676" s="27"/>
      <c r="L676" s="27"/>
      <c r="P676" s="27"/>
      <c r="Q676" s="27"/>
      <c r="R676" s="129"/>
      <c r="S676" s="129"/>
      <c r="T676" s="129"/>
      <c r="W676" s="27"/>
      <c r="X676" s="27"/>
      <c r="Z676" s="27"/>
      <c r="AA676" s="27"/>
      <c r="AC676" s="27"/>
      <c r="AD676" s="27"/>
      <c r="AJ676" s="27"/>
      <c r="AK676" s="27"/>
    </row>
    <row r="677" spans="2:41">
      <c r="B677" s="27"/>
      <c r="C677" s="27"/>
      <c r="D677" s="27"/>
      <c r="E677" s="27"/>
      <c r="H677" s="27"/>
      <c r="I677" s="27"/>
      <c r="J677" s="135"/>
      <c r="K677" s="27"/>
      <c r="L677" s="27"/>
      <c r="P677" s="27"/>
      <c r="Q677" s="27"/>
      <c r="R677" s="129"/>
      <c r="S677" s="129"/>
      <c r="T677" s="129"/>
      <c r="W677" s="27"/>
      <c r="X677" s="27"/>
      <c r="Z677" s="27"/>
      <c r="AA677" s="27"/>
      <c r="AC677" s="27"/>
      <c r="AD677" s="27"/>
      <c r="AJ677" s="27"/>
      <c r="AK677" s="27"/>
    </row>
    <row r="678" spans="2:41">
      <c r="B678" s="27"/>
      <c r="C678" s="27"/>
      <c r="D678" s="27"/>
      <c r="E678" s="27"/>
      <c r="H678" s="27"/>
      <c r="I678" s="27"/>
      <c r="J678" s="135"/>
      <c r="K678" s="27"/>
      <c r="L678" s="27"/>
      <c r="P678" s="27"/>
      <c r="Q678" s="27"/>
      <c r="R678" s="129"/>
      <c r="S678" s="129"/>
      <c r="T678" s="129"/>
      <c r="W678" s="27"/>
      <c r="X678" s="27"/>
      <c r="Z678" s="27"/>
      <c r="AA678" s="27"/>
      <c r="AC678" s="27"/>
      <c r="AD678" s="27"/>
      <c r="AJ678" s="27"/>
      <c r="AK678" s="27"/>
    </row>
    <row r="679" spans="2:41">
      <c r="B679" s="27"/>
      <c r="C679" s="27"/>
      <c r="D679" s="27"/>
      <c r="E679" s="27"/>
      <c r="H679" s="27"/>
      <c r="I679" s="27"/>
      <c r="J679" s="135"/>
      <c r="K679" s="27"/>
      <c r="L679" s="27"/>
      <c r="P679" s="27"/>
      <c r="Q679" s="27"/>
      <c r="R679" s="129"/>
      <c r="S679" s="129"/>
      <c r="T679" s="129"/>
      <c r="W679" s="27"/>
      <c r="X679" s="27"/>
      <c r="Z679" s="27"/>
      <c r="AA679" s="27"/>
      <c r="AC679" s="27"/>
      <c r="AD679" s="27"/>
      <c r="AJ679" s="27"/>
      <c r="AK679" s="27"/>
    </row>
    <row r="680" spans="2:41">
      <c r="B680" s="27"/>
      <c r="C680" s="27"/>
      <c r="D680" s="27"/>
      <c r="E680" s="27"/>
      <c r="H680" s="27"/>
      <c r="I680" s="133"/>
      <c r="J680" s="135"/>
      <c r="K680" s="27"/>
      <c r="M680" s="142"/>
      <c r="W680" s="27"/>
      <c r="Z680" s="27"/>
      <c r="AA680" s="27"/>
      <c r="AC680" s="27"/>
      <c r="AD680" s="27"/>
      <c r="AI680" s="27"/>
      <c r="AO680" s="27"/>
    </row>
    <row r="681" spans="2:41">
      <c r="B681" s="27"/>
      <c r="C681" s="27"/>
      <c r="D681" s="27"/>
      <c r="E681" s="27"/>
      <c r="H681" s="27"/>
      <c r="I681" s="133"/>
      <c r="J681" s="135"/>
      <c r="K681" s="27"/>
      <c r="M681" s="142"/>
      <c r="W681" s="27"/>
      <c r="Z681" s="27"/>
      <c r="AA681" s="27"/>
      <c r="AC681" s="27"/>
      <c r="AD681" s="27"/>
      <c r="AI681" s="27"/>
      <c r="AO681" s="27"/>
    </row>
    <row r="682" spans="2:41">
      <c r="B682" s="27"/>
      <c r="C682" s="27"/>
      <c r="D682" s="27"/>
      <c r="E682" s="27"/>
      <c r="H682" s="27"/>
      <c r="I682" s="133"/>
      <c r="J682" s="135"/>
      <c r="K682" s="27"/>
      <c r="M682" s="142"/>
      <c r="W682" s="27"/>
      <c r="Z682" s="27"/>
      <c r="AA682" s="27"/>
      <c r="AC682" s="27"/>
      <c r="AD682" s="27"/>
      <c r="AI682" s="27"/>
      <c r="AO682" s="27"/>
    </row>
    <row r="683" spans="2:41">
      <c r="B683" s="27"/>
      <c r="C683" s="27"/>
      <c r="D683" s="27"/>
      <c r="E683" s="27"/>
      <c r="H683" s="27"/>
      <c r="I683" s="133"/>
      <c r="J683" s="135"/>
      <c r="K683" s="27"/>
      <c r="M683" s="142"/>
      <c r="W683" s="27"/>
      <c r="Z683" s="27"/>
      <c r="AA683" s="27"/>
      <c r="AC683" s="27"/>
      <c r="AD683" s="27"/>
      <c r="AI683" s="27"/>
      <c r="AO683" s="27"/>
    </row>
    <row r="684" spans="2:41">
      <c r="B684" s="27"/>
      <c r="C684" s="27"/>
      <c r="D684" s="27"/>
      <c r="E684" s="27"/>
      <c r="H684" s="27"/>
      <c r="I684" s="133"/>
      <c r="J684" s="135"/>
      <c r="K684" s="27"/>
      <c r="M684" s="142"/>
      <c r="W684" s="27"/>
      <c r="Z684" s="27"/>
      <c r="AA684" s="27"/>
      <c r="AC684" s="27"/>
      <c r="AD684" s="27"/>
      <c r="AI684" s="27"/>
      <c r="AO684" s="27"/>
    </row>
    <row r="685" spans="2:41">
      <c r="B685" s="27"/>
      <c r="C685" s="27"/>
      <c r="D685" s="27"/>
      <c r="E685" s="27"/>
      <c r="H685" s="27"/>
      <c r="I685" s="133"/>
      <c r="J685" s="135"/>
      <c r="K685" s="27"/>
      <c r="M685" s="142"/>
      <c r="W685" s="27"/>
      <c r="Z685" s="27"/>
      <c r="AA685" s="27"/>
      <c r="AC685" s="27"/>
      <c r="AD685" s="27"/>
      <c r="AI685" s="27"/>
      <c r="AO685" s="27"/>
    </row>
    <row r="686" spans="2:41">
      <c r="B686" s="27"/>
      <c r="C686" s="27"/>
      <c r="D686" s="27"/>
      <c r="E686" s="27"/>
      <c r="H686" s="27"/>
      <c r="I686" s="133"/>
      <c r="J686" s="135"/>
      <c r="K686" s="27"/>
      <c r="M686" s="142"/>
      <c r="W686" s="27"/>
      <c r="Z686" s="27"/>
      <c r="AA686" s="27"/>
      <c r="AC686" s="27"/>
      <c r="AD686" s="27"/>
      <c r="AI686" s="27"/>
      <c r="AO686" s="27"/>
    </row>
    <row r="687" spans="2:41">
      <c r="B687" s="27"/>
      <c r="C687" s="27"/>
      <c r="D687" s="27"/>
      <c r="E687" s="27"/>
      <c r="H687" s="27"/>
      <c r="I687" s="133"/>
      <c r="J687" s="135"/>
      <c r="K687" s="27"/>
      <c r="M687" s="142"/>
      <c r="W687" s="27"/>
      <c r="Z687" s="27"/>
      <c r="AA687" s="27"/>
      <c r="AC687" s="27"/>
      <c r="AD687" s="27"/>
      <c r="AI687" s="27"/>
      <c r="AO687" s="27"/>
    </row>
    <row r="688" spans="2:41">
      <c r="B688" s="27"/>
      <c r="C688" s="27"/>
      <c r="D688" s="27"/>
      <c r="E688" s="27"/>
      <c r="H688" s="27"/>
      <c r="J688" s="135"/>
      <c r="K688" s="27"/>
    </row>
    <row r="689" spans="2:11">
      <c r="B689" s="27"/>
      <c r="C689" s="27"/>
      <c r="D689" s="27"/>
      <c r="E689" s="27"/>
      <c r="H689" s="27"/>
      <c r="J689" s="135"/>
      <c r="K689" s="129"/>
    </row>
    <row r="690" spans="2:11">
      <c r="E690" s="27"/>
      <c r="J690" s="135"/>
    </row>
    <row r="691" spans="2:11">
      <c r="E691" s="27"/>
      <c r="J691" s="135"/>
    </row>
    <row r="692" spans="2:11">
      <c r="E692" s="27"/>
      <c r="J692" s="135"/>
    </row>
    <row r="693" spans="2:11">
      <c r="E693" s="27"/>
      <c r="J693" s="135"/>
    </row>
    <row r="694" spans="2:11">
      <c r="E694" s="27"/>
      <c r="J694" s="135"/>
    </row>
    <row r="695" spans="2:11">
      <c r="E695" s="27"/>
      <c r="J695" s="135"/>
    </row>
    <row r="696" spans="2:11">
      <c r="E696" s="27"/>
      <c r="J696" s="135"/>
    </row>
    <row r="697" spans="2:11">
      <c r="E697" s="27"/>
      <c r="J697" s="135"/>
    </row>
    <row r="698" spans="2:11">
      <c r="E698" s="27"/>
      <c r="J698" s="135"/>
    </row>
    <row r="699" spans="2:11">
      <c r="E699" s="27"/>
      <c r="J699" s="135"/>
    </row>
    <row r="700" spans="2:11">
      <c r="E700" s="27"/>
      <c r="J700" s="135"/>
    </row>
    <row r="701" spans="2:11">
      <c r="E701" s="27"/>
      <c r="J701" s="135"/>
    </row>
    <row r="702" spans="2:11">
      <c r="E702" s="27"/>
      <c r="J702" s="135"/>
    </row>
    <row r="703" spans="2:11">
      <c r="E703" s="27"/>
      <c r="J703" s="135"/>
    </row>
    <row r="704" spans="2:11">
      <c r="E704" s="27"/>
      <c r="J704" s="135"/>
    </row>
    <row r="705" spans="5:10">
      <c r="E705" s="27"/>
      <c r="J705" s="135"/>
    </row>
    <row r="706" spans="5:10">
      <c r="E706" s="27"/>
      <c r="J706" s="135"/>
    </row>
    <row r="707" spans="5:10">
      <c r="E707" s="27"/>
      <c r="J707" s="135"/>
    </row>
    <row r="708" spans="5:10">
      <c r="E708" s="27"/>
      <c r="J708" s="135"/>
    </row>
    <row r="709" spans="5:10">
      <c r="E709" s="27"/>
      <c r="J709" s="135"/>
    </row>
    <row r="710" spans="5:10">
      <c r="E710" s="27"/>
      <c r="J710" s="135"/>
    </row>
    <row r="711" spans="5:10">
      <c r="E711" s="27"/>
      <c r="J711" s="135"/>
    </row>
    <row r="712" spans="5:10">
      <c r="E712" s="27"/>
      <c r="J712" s="135"/>
    </row>
    <row r="713" spans="5:10">
      <c r="E713" s="27"/>
      <c r="J713" s="135"/>
    </row>
    <row r="714" spans="5:10">
      <c r="E714" s="27"/>
      <c r="J714" s="135"/>
    </row>
    <row r="715" spans="5:10">
      <c r="E715" s="27"/>
      <c r="J715" s="135"/>
    </row>
    <row r="716" spans="5:10">
      <c r="E716" s="27"/>
      <c r="J716" s="135"/>
    </row>
    <row r="717" spans="5:10">
      <c r="E717" s="27"/>
      <c r="J717" s="135"/>
    </row>
    <row r="718" spans="5:10">
      <c r="E718" s="27"/>
      <c r="J718" s="135"/>
    </row>
    <row r="719" spans="5:10">
      <c r="E719" s="27"/>
      <c r="J719" s="135"/>
    </row>
    <row r="720" spans="5:10">
      <c r="E720" s="27"/>
      <c r="J720" s="135"/>
    </row>
    <row r="721" spans="5:10">
      <c r="E721" s="27"/>
      <c r="J721" s="135"/>
    </row>
    <row r="722" spans="5:10">
      <c r="E722" s="27"/>
      <c r="J722" s="135"/>
    </row>
    <row r="723" spans="5:10">
      <c r="E723" s="27"/>
      <c r="J723" s="135"/>
    </row>
    <row r="724" spans="5:10">
      <c r="E724" s="27"/>
      <c r="J724" s="135"/>
    </row>
    <row r="725" spans="5:10">
      <c r="E725" s="27"/>
      <c r="J725" s="135"/>
    </row>
    <row r="726" spans="5:10">
      <c r="E726" s="27"/>
      <c r="J726" s="135"/>
    </row>
    <row r="727" spans="5:10">
      <c r="E727" s="27"/>
      <c r="J727" s="135"/>
    </row>
    <row r="728" spans="5:10">
      <c r="E728" s="27"/>
    </row>
    <row r="729" spans="5:10">
      <c r="E729" s="27"/>
    </row>
  </sheetData>
  <autoFilter ref="A1:AP727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9"/>
  <sheetViews>
    <sheetView workbookViewId="0">
      <pane xSplit="5" ySplit="2" topLeftCell="S170" activePane="bottomRight" state="frozen"/>
      <selection pane="topRight"/>
      <selection pane="bottomLeft"/>
      <selection pane="bottomRight" activeCell="B184" sqref="B184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6" t="s">
        <v>105</v>
      </c>
      <c r="G1" s="156"/>
      <c r="H1" s="156"/>
      <c r="I1" s="156"/>
      <c r="J1" s="156"/>
      <c r="K1" s="156"/>
      <c r="L1" s="156"/>
      <c r="M1" s="156"/>
      <c r="N1" s="156"/>
      <c r="O1" s="156"/>
      <c r="P1" s="157" t="s">
        <v>106</v>
      </c>
      <c r="Q1" s="158"/>
      <c r="R1" s="158"/>
      <c r="S1" s="159"/>
      <c r="T1" s="160" t="s">
        <v>7</v>
      </c>
      <c r="U1" s="16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2">
        <v>23</v>
      </c>
      <c r="AS1" s="8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2" t="s">
        <v>148</v>
      </c>
      <c r="AS2" s="82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19"/>
      <c r="AE3" s="78"/>
      <c r="AF3" s="78"/>
      <c r="AG3" s="81"/>
      <c r="AH3" s="78"/>
      <c r="AI3" s="78"/>
      <c r="AJ3" s="78"/>
      <c r="AK3" s="78"/>
      <c r="AL3" s="81"/>
      <c r="AM3" s="78"/>
      <c r="AN3" s="78"/>
      <c r="AO3" s="78"/>
      <c r="AP3" s="83"/>
      <c r="AQ3" s="83"/>
      <c r="AR3" s="84"/>
      <c r="AS3" s="84"/>
      <c r="AT3" s="83"/>
      <c r="AU3" s="83"/>
      <c r="AV3" s="83"/>
      <c r="AW3" s="83"/>
      <c r="AX3" s="83"/>
      <c r="AY3" s="83"/>
      <c r="AZ3" s="83"/>
      <c r="BA3" s="83"/>
      <c r="BB3" s="8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3"/>
      <c r="CF3" s="83"/>
      <c r="CG3" s="83"/>
      <c r="CH3" s="83"/>
      <c r="CI3" s="83"/>
      <c r="CJ3" s="83"/>
      <c r="CK3" s="83"/>
      <c r="CL3" s="83"/>
      <c r="CM3" s="83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2000</v>
      </c>
      <c r="W4" s="78"/>
      <c r="X4" s="78"/>
      <c r="Y4" s="78"/>
      <c r="Z4" s="78"/>
      <c r="AA4" s="78"/>
      <c r="AB4" s="78"/>
      <c r="AC4" s="78"/>
      <c r="AD4" s="19"/>
      <c r="AE4" s="78"/>
      <c r="AF4" s="78"/>
      <c r="AG4" s="81"/>
      <c r="AH4" s="78"/>
      <c r="AI4" s="78"/>
      <c r="AJ4" s="78"/>
      <c r="AK4" s="78"/>
      <c r="AL4" s="81"/>
      <c r="AM4" s="78"/>
      <c r="AN4" s="78"/>
      <c r="AO4" s="78"/>
      <c r="AP4" s="83"/>
      <c r="AQ4" s="83"/>
      <c r="AR4" s="84"/>
      <c r="AS4" s="84"/>
      <c r="AT4" s="83"/>
      <c r="AU4" s="83"/>
      <c r="AV4" s="83"/>
      <c r="AW4" s="83"/>
      <c r="AX4" s="83"/>
      <c r="AY4" s="83"/>
      <c r="AZ4" s="83"/>
      <c r="BA4" s="83"/>
      <c r="BB4" s="8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3"/>
      <c r="CF4" s="83"/>
      <c r="CG4" s="83"/>
      <c r="CH4" s="83"/>
      <c r="CI4" s="83"/>
      <c r="CJ4" s="83"/>
      <c r="CK4" s="83"/>
      <c r="CL4" s="83"/>
      <c r="CM4" s="83"/>
      <c r="CN4" s="86" t="str">
        <f t="shared" si="2"/>
        <v>InitUnitState('E002',2000,,,,,,,,,)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|Cffbbbbbb属性：|r|n攻击+2000|n|n攻击10%概率附加|cffff4646业力*1|r魔法伤害|n|n|Cff00ff7f点击消耗800金币进行强化|n成功率100%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|n攻击+2000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3000</v>
      </c>
      <c r="W5" s="78"/>
      <c r="X5" s="78"/>
      <c r="Y5" s="78"/>
      <c r="Z5" s="78"/>
      <c r="AA5" s="78"/>
      <c r="AB5" s="78"/>
      <c r="AC5" s="78"/>
      <c r="AD5" s="19"/>
      <c r="AE5" s="78"/>
      <c r="AF5" s="78"/>
      <c r="AG5" s="81"/>
      <c r="AH5" s="78"/>
      <c r="AI5" s="78"/>
      <c r="AJ5" s="78"/>
      <c r="AK5" s="78"/>
      <c r="AL5" s="81"/>
      <c r="AM5" s="78"/>
      <c r="AN5" s="78"/>
      <c r="AO5" s="78"/>
      <c r="AP5" s="83"/>
      <c r="AQ5" s="83"/>
      <c r="AR5" s="84"/>
      <c r="AS5" s="84"/>
      <c r="AT5" s="83"/>
      <c r="AU5" s="83"/>
      <c r="AV5" s="83"/>
      <c r="AW5" s="83"/>
      <c r="AX5" s="83"/>
      <c r="AY5" s="83"/>
      <c r="AZ5" s="83"/>
      <c r="BA5" s="83"/>
      <c r="BB5" s="8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3"/>
      <c r="CF5" s="83"/>
      <c r="CG5" s="83"/>
      <c r="CH5" s="83"/>
      <c r="CI5" s="83"/>
      <c r="CJ5" s="83"/>
      <c r="CK5" s="83"/>
      <c r="CL5" s="83"/>
      <c r="CM5" s="83"/>
      <c r="CN5" s="86" t="str">
        <f t="shared" si="2"/>
        <v>InitUnitState('E003',3000,,,,,,,,,)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|n攻击+3000|n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|Cffbbbbbb属性：|r|n攻击+3000|n|n攻击10%概率附加|cffff4646业力*1|r魔法伤害|n|n|Cff00ff7f点击消耗800金币进行强化|n成功率100%</v>
      </c>
      <c r="DB5" s="66" t="str">
        <f t="shared" si="79"/>
        <v>|n攻击+3000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4000</v>
      </c>
      <c r="W6" s="78"/>
      <c r="X6" s="78"/>
      <c r="Y6" s="78"/>
      <c r="Z6" s="78"/>
      <c r="AA6" s="78"/>
      <c r="AB6" s="78"/>
      <c r="AC6" s="78"/>
      <c r="AD6" s="19"/>
      <c r="AE6" s="78"/>
      <c r="AF6" s="78"/>
      <c r="AG6" s="81"/>
      <c r="AH6" s="78"/>
      <c r="AI6" s="78"/>
      <c r="AJ6" s="78"/>
      <c r="AK6" s="78"/>
      <c r="AL6" s="81"/>
      <c r="AM6" s="78"/>
      <c r="AN6" s="78"/>
      <c r="AO6" s="78"/>
      <c r="AP6" s="83"/>
      <c r="AQ6" s="83"/>
      <c r="AR6" s="84"/>
      <c r="AS6" s="84"/>
      <c r="AT6" s="83"/>
      <c r="AU6" s="83"/>
      <c r="AV6" s="83"/>
      <c r="AW6" s="83"/>
      <c r="AX6" s="83"/>
      <c r="AY6" s="83"/>
      <c r="AZ6" s="83"/>
      <c r="BA6" s="83"/>
      <c r="BB6" s="8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3"/>
      <c r="CF6" s="83"/>
      <c r="CG6" s="83"/>
      <c r="CH6" s="83"/>
      <c r="CI6" s="83"/>
      <c r="CJ6" s="83"/>
      <c r="CK6" s="83"/>
      <c r="CL6" s="83"/>
      <c r="CM6" s="83"/>
      <c r="CN6" s="86" t="str">
        <f t="shared" si="2"/>
        <v>InitUnitState('E004',4000,,,,,,,,,)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|n攻击+4000|n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|Cffbbbbbb属性：|r|n攻击+4000|n|n攻击10%概率附加|cffff4646业力*1|r魔法伤害|n|n|Cff00ff7f点击消耗800金币进行强化|n成功率100%</v>
      </c>
      <c r="DB6" s="66" t="str">
        <f t="shared" si="79"/>
        <v>|n攻击+4000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5000</v>
      </c>
      <c r="W7" s="78"/>
      <c r="X7" s="78"/>
      <c r="Y7" s="78"/>
      <c r="Z7" s="78"/>
      <c r="AA7" s="78"/>
      <c r="AB7" s="78"/>
      <c r="AC7" s="78"/>
      <c r="AD7" s="19"/>
      <c r="AE7" s="78"/>
      <c r="AF7" s="78"/>
      <c r="AG7" s="81"/>
      <c r="AH7" s="78"/>
      <c r="AI7" s="78"/>
      <c r="AJ7" s="78"/>
      <c r="AK7" s="78"/>
      <c r="AL7" s="81"/>
      <c r="AM7" s="78"/>
      <c r="AN7" s="78"/>
      <c r="AO7" s="78"/>
      <c r="AP7" s="83"/>
      <c r="AQ7" s="83"/>
      <c r="AR7" s="84"/>
      <c r="AS7" s="84"/>
      <c r="AT7" s="83"/>
      <c r="AU7" s="83"/>
      <c r="AV7" s="83"/>
      <c r="AW7" s="83"/>
      <c r="AX7" s="83"/>
      <c r="AY7" s="83"/>
      <c r="AZ7" s="83"/>
      <c r="BA7" s="83"/>
      <c r="BB7" s="8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3"/>
      <c r="CF7" s="83"/>
      <c r="CG7" s="83"/>
      <c r="CH7" s="83"/>
      <c r="CI7" s="83"/>
      <c r="CJ7" s="83"/>
      <c r="CK7" s="83"/>
      <c r="CL7" s="83"/>
      <c r="CM7" s="83"/>
      <c r="CN7" s="86" t="str">
        <f t="shared" si="2"/>
        <v>InitUnitState('E005',5000,,,,,,,,,)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|n攻击+5000|n</v>
      </c>
      <c r="CV7" s="19" t="str">
        <f>"|Cffbbbbbb属性：|r"&amp;CU7&amp;VLOOKUP(A7,合成公式!A:P,16,FALSE)&amp;T7&amp;"|n|Cff00ff7f点击消耗"&amp;F7&amp;"金币进行晋阶挑战"</f>
        <v>|Cffbbbbbb属性：|r|n攻击+5000|n|n攻击10%概率附加|cffff4646业力*1|r魔法伤害|n|n|Cff00ff7f点击消耗2500金币进行晋阶挑战</v>
      </c>
      <c r="DB7" s="66" t="str">
        <f t="shared" si="79"/>
        <v>|n攻击+5000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10000</v>
      </c>
      <c r="W8" s="78"/>
      <c r="X8" s="78"/>
      <c r="Y8" s="78"/>
      <c r="Z8" s="78"/>
      <c r="AA8" s="78"/>
      <c r="AB8" s="78"/>
      <c r="AC8" s="78"/>
      <c r="AD8" s="78">
        <v>20</v>
      </c>
      <c r="AE8" s="78"/>
      <c r="AF8" s="78"/>
      <c r="AG8" s="81"/>
      <c r="AH8" s="78"/>
      <c r="AI8" s="78"/>
      <c r="AJ8" s="78"/>
      <c r="AK8" s="78"/>
      <c r="AL8" s="81"/>
      <c r="AM8" s="78"/>
      <c r="AN8" s="78"/>
      <c r="AO8" s="78"/>
      <c r="AP8" s="83">
        <v>1</v>
      </c>
      <c r="AQ8" s="83"/>
      <c r="AR8" s="84"/>
      <c r="AS8" s="84"/>
      <c r="AT8" s="83"/>
      <c r="AU8" s="83"/>
      <c r="AV8" s="83"/>
      <c r="AW8" s="83"/>
      <c r="AX8" s="83"/>
      <c r="AY8" s="83"/>
      <c r="AZ8" s="83"/>
      <c r="BA8" s="83"/>
      <c r="BB8" s="8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3"/>
      <c r="CF8" s="83"/>
      <c r="CG8" s="83"/>
      <c r="CH8" s="83"/>
      <c r="CI8" s="83"/>
      <c r="CJ8" s="83"/>
      <c r="CK8" s="83"/>
      <c r="CL8" s="83"/>
      <c r="CM8" s="83"/>
      <c r="CN8" s="86" t="str">
        <f t="shared" si="2"/>
        <v>InitUnitState('E006',10000,,,,,,,,20,)</v>
      </c>
      <c r="CO8" s="86" t="str">
        <f t="shared" si="3"/>
        <v>InitUnitNormal('E006',,,,,,,,,,)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|n攻击+10000|n攻速+20%|n伤害吸取+1%|n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|Cffbbbbbb属性：|r|n攻击+10000|n攻速+20%|n伤害吸取+1%|n|n攻击10%概率附加|cffff4646业力*1|r魔法伤害|n|n|Cff00ff7f点击消耗2500金币进行强化|n成功率85%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|n攻击+10000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>|n攻速+20%</v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/>
      </c>
      <c r="DU8" s="66" t="str">
        <f t="shared" ref="DU8:DU18" si="168">IF(AO8="","","|n"&amp;DU$2&amp;"+"&amp;AO8&amp;DU$1)</f>
        <v/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12000</v>
      </c>
      <c r="W9" s="78"/>
      <c r="X9" s="78"/>
      <c r="Y9" s="78"/>
      <c r="Z9" s="78"/>
      <c r="AA9" s="78"/>
      <c r="AB9" s="78"/>
      <c r="AC9" s="78"/>
      <c r="AD9" s="78">
        <v>20</v>
      </c>
      <c r="AE9" s="78"/>
      <c r="AF9" s="78"/>
      <c r="AG9" s="81"/>
      <c r="AH9" s="78"/>
      <c r="AI9" s="78"/>
      <c r="AJ9" s="78"/>
      <c r="AK9" s="78"/>
      <c r="AL9" s="81"/>
      <c r="AM9" s="78"/>
      <c r="AN9" s="78"/>
      <c r="AO9" s="78"/>
      <c r="AP9" s="83">
        <v>1</v>
      </c>
      <c r="AQ9" s="83"/>
      <c r="AR9" s="84"/>
      <c r="AS9" s="84"/>
      <c r="AT9" s="83"/>
      <c r="AU9" s="83"/>
      <c r="AV9" s="83"/>
      <c r="AW9" s="83"/>
      <c r="AX9" s="83"/>
      <c r="AY9" s="83"/>
      <c r="AZ9" s="83"/>
      <c r="BA9" s="83"/>
      <c r="BB9" s="8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3"/>
      <c r="CF9" s="83"/>
      <c r="CG9" s="83"/>
      <c r="CH9" s="83"/>
      <c r="CI9" s="83"/>
      <c r="CJ9" s="83"/>
      <c r="CK9" s="83"/>
      <c r="CL9" s="83"/>
      <c r="CM9" s="83"/>
      <c r="CN9" s="86" t="str">
        <f t="shared" si="2"/>
        <v>InitUnitState('E007',12000,,,,,,,,20,)</v>
      </c>
      <c r="CO9" s="86" t="str">
        <f t="shared" si="3"/>
        <v>InitUnitNormal('E007',,,,,,,,,,)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|n攻击+12000|n攻速+20%|n伤害吸取+1%|n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|Cffbbbbbb属性：|r|n攻击+12000|n攻速+20%|n伤害吸取+1%|n|n攻击10%概率附加|cffff4646业力*1|r魔法伤害|n|n|Cff00ff7f点击消耗2500金币进行强化|n成功率85%</v>
      </c>
      <c r="DB9" s="66" t="str">
        <f t="shared" si="149"/>
        <v>|n攻击+12000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>|n攻速+20%</v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/>
      </c>
      <c r="DU9" s="66" t="str">
        <f t="shared" si="168"/>
        <v/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14000</v>
      </c>
      <c r="W10" s="78"/>
      <c r="X10" s="78"/>
      <c r="Y10" s="78"/>
      <c r="Z10" s="78"/>
      <c r="AA10" s="78"/>
      <c r="AB10" s="78"/>
      <c r="AC10" s="78"/>
      <c r="AD10" s="78">
        <v>20</v>
      </c>
      <c r="AE10" s="78"/>
      <c r="AF10" s="78"/>
      <c r="AG10" s="81"/>
      <c r="AH10" s="78"/>
      <c r="AI10" s="78"/>
      <c r="AJ10" s="78"/>
      <c r="AK10" s="78"/>
      <c r="AL10" s="81"/>
      <c r="AM10" s="78"/>
      <c r="AN10" s="78"/>
      <c r="AO10" s="78"/>
      <c r="AP10" s="83">
        <v>2</v>
      </c>
      <c r="AQ10" s="83"/>
      <c r="AR10" s="84"/>
      <c r="AS10" s="84"/>
      <c r="AT10" s="83"/>
      <c r="AU10" s="83"/>
      <c r="AV10" s="83"/>
      <c r="AW10" s="83"/>
      <c r="AX10" s="83"/>
      <c r="AY10" s="83"/>
      <c r="AZ10" s="83"/>
      <c r="BA10" s="83"/>
      <c r="BB10" s="8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3"/>
      <c r="CF10" s="83"/>
      <c r="CG10" s="83"/>
      <c r="CH10" s="83"/>
      <c r="CI10" s="83"/>
      <c r="CJ10" s="83"/>
      <c r="CK10" s="83"/>
      <c r="CL10" s="83"/>
      <c r="CM10" s="83"/>
      <c r="CN10" s="86" t="str">
        <f t="shared" si="2"/>
        <v>InitUnitState('E008',14000,,,,,,,,20,)</v>
      </c>
      <c r="CO10" s="86" t="str">
        <f t="shared" si="3"/>
        <v>InitUnitNormal('E008',,,,,,,,,,)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|n攻击+14000|n攻速+20%|n伤害吸取+2%|n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|Cffbbbbbb属性：|r|n攻击+14000|n攻速+20%|n伤害吸取+2%|n|n攻击10%概率附加|cffff4646业力*1|r魔法伤害|n|n|Cff00ff7f点击消耗2500金币进行强化|n成功率85%</v>
      </c>
      <c r="DB10" s="66" t="str">
        <f t="shared" si="149"/>
        <v>|n攻击+14000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>|n攻速+20%</v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/>
      </c>
      <c r="DU10" s="66" t="str">
        <f t="shared" si="168"/>
        <v/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17000</v>
      </c>
      <c r="W11" s="78"/>
      <c r="X11" s="78"/>
      <c r="Y11" s="78"/>
      <c r="Z11" s="78"/>
      <c r="AA11" s="78"/>
      <c r="AB11" s="78"/>
      <c r="AC11" s="78"/>
      <c r="AD11" s="78">
        <v>20</v>
      </c>
      <c r="AE11" s="78"/>
      <c r="AF11" s="78"/>
      <c r="AG11" s="81"/>
      <c r="AH11" s="78"/>
      <c r="AI11" s="78"/>
      <c r="AJ11" s="78"/>
      <c r="AK11" s="78"/>
      <c r="AL11" s="81"/>
      <c r="AM11" s="78"/>
      <c r="AN11" s="78"/>
      <c r="AO11" s="78"/>
      <c r="AP11" s="83">
        <v>2</v>
      </c>
      <c r="AQ11" s="83"/>
      <c r="AR11" s="84"/>
      <c r="AS11" s="84"/>
      <c r="AT11" s="83"/>
      <c r="AU11" s="83"/>
      <c r="AV11" s="83"/>
      <c r="AW11" s="83"/>
      <c r="AX11" s="83"/>
      <c r="AY11" s="83"/>
      <c r="AZ11" s="83"/>
      <c r="BA11" s="83"/>
      <c r="BB11" s="8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3"/>
      <c r="CF11" s="83"/>
      <c r="CG11" s="83"/>
      <c r="CH11" s="83"/>
      <c r="CI11" s="83"/>
      <c r="CJ11" s="83"/>
      <c r="CK11" s="83"/>
      <c r="CL11" s="83"/>
      <c r="CM11" s="83"/>
      <c r="CN11" s="86" t="str">
        <f t="shared" si="2"/>
        <v>InitUnitState('E009',17000,,,,,,,,20,)</v>
      </c>
      <c r="CO11" s="86" t="str">
        <f t="shared" si="3"/>
        <v>InitUnitNormal('E009',,,,,,,,,,)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|n攻击+17000|n攻速+20%|n伤害吸取+2%|n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|Cffbbbbbb属性：|r|n攻击+17000|n攻速+20%|n伤害吸取+2%|n|n攻击10%概率附加|cffff4646业力*1|r魔法伤害|n|n|Cff00ff7f点击消耗2500金币进行强化|n成功率85%</v>
      </c>
      <c r="DB11" s="66" t="str">
        <f t="shared" si="149"/>
        <v>|n攻击+17000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>|n攻速+20%</v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/>
      </c>
      <c r="DU11" s="66" t="str">
        <f t="shared" si="168"/>
        <v/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20000</v>
      </c>
      <c r="W12" s="78"/>
      <c r="X12" s="78"/>
      <c r="Y12" s="78"/>
      <c r="Z12" s="78"/>
      <c r="AA12" s="78"/>
      <c r="AB12" s="78"/>
      <c r="AC12" s="78"/>
      <c r="AD12" s="78">
        <v>20</v>
      </c>
      <c r="AE12" s="78"/>
      <c r="AF12" s="78"/>
      <c r="AG12" s="81"/>
      <c r="AH12" s="78"/>
      <c r="AI12" s="78"/>
      <c r="AJ12" s="78"/>
      <c r="AK12" s="78"/>
      <c r="AL12" s="81"/>
      <c r="AM12" s="78"/>
      <c r="AN12" s="78"/>
      <c r="AO12" s="78"/>
      <c r="AP12" s="83">
        <v>2</v>
      </c>
      <c r="AQ12" s="83"/>
      <c r="AR12" s="84"/>
      <c r="AS12" s="84"/>
      <c r="AT12" s="83"/>
      <c r="AU12" s="83"/>
      <c r="AV12" s="83"/>
      <c r="AW12" s="83"/>
      <c r="AX12" s="83"/>
      <c r="AY12" s="83"/>
      <c r="AZ12" s="83"/>
      <c r="BA12" s="83"/>
      <c r="BB12" s="8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3"/>
      <c r="CF12" s="83"/>
      <c r="CG12" s="83"/>
      <c r="CH12" s="83"/>
      <c r="CI12" s="83"/>
      <c r="CJ12" s="83"/>
      <c r="CK12" s="83"/>
      <c r="CL12" s="83"/>
      <c r="CM12" s="83"/>
      <c r="CN12" s="86" t="str">
        <f t="shared" si="2"/>
        <v>InitUnitState('E010',20000,,,,,,,,20,)</v>
      </c>
      <c r="CO12" s="86" t="str">
        <f t="shared" si="3"/>
        <v>InitUnitNormal('E010',,,,,,,,,,)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|n攻击+20000|n攻速+20%|n伤害吸取+2%|n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|Cffbbbbbb属性：|r|n攻击+20000|n攻速+20%|n伤害吸取+2%|n|n攻击10%概率附加|cffff4646业力*1|r魔法伤害|n|n|Cff00ff7f点击消耗10000金币进行晋阶挑战</v>
      </c>
      <c r="DB12" s="66" t="str">
        <f t="shared" si="149"/>
        <v>|n攻击+20000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>|n攻速+20%</v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/>
      </c>
      <c r="DU12" s="66" t="str">
        <f t="shared" si="168"/>
        <v/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30000</v>
      </c>
      <c r="W13" s="78"/>
      <c r="X13" s="78"/>
      <c r="Y13" s="78"/>
      <c r="Z13" s="78"/>
      <c r="AA13" s="78"/>
      <c r="AB13" s="78"/>
      <c r="AC13" s="78"/>
      <c r="AD13" s="78">
        <v>30</v>
      </c>
      <c r="AE13" s="78"/>
      <c r="AF13" s="78"/>
      <c r="AG13" s="81"/>
      <c r="AH13" s="78"/>
      <c r="AI13" s="78"/>
      <c r="AJ13" s="78"/>
      <c r="AK13" s="78"/>
      <c r="AL13" s="81"/>
      <c r="AM13" s="78"/>
      <c r="AN13" s="78"/>
      <c r="AO13" s="78"/>
      <c r="AP13" s="83">
        <v>3</v>
      </c>
      <c r="AQ13" s="83"/>
      <c r="AR13" s="84"/>
      <c r="AS13" s="84"/>
      <c r="AT13" s="83"/>
      <c r="AU13" s="83"/>
      <c r="AV13" s="83"/>
      <c r="AW13" s="83"/>
      <c r="AX13" s="83"/>
      <c r="AY13" s="83"/>
      <c r="AZ13" s="83"/>
      <c r="BA13" s="83"/>
      <c r="BB13" s="8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3"/>
      <c r="CF13" s="83"/>
      <c r="CG13" s="83"/>
      <c r="CH13" s="83"/>
      <c r="CI13" s="83"/>
      <c r="CJ13" s="83"/>
      <c r="CK13" s="83"/>
      <c r="CL13" s="83"/>
      <c r="CM13" s="83"/>
      <c r="CN13" s="86" t="str">
        <f t="shared" si="2"/>
        <v>InitUnitState('E011',30000,,,,,,,,30,)</v>
      </c>
      <c r="CO13" s="86" t="str">
        <f t="shared" si="3"/>
        <v>InitUnitNormal('E011',,,,,,,,,,)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|n攻击+30000|n攻速+30%|n伤害吸取+3%|n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|Cffbbbbbb属性：|r|n攻击+30000|n攻速+30%|n伤害吸取+3%|n|n攻击10%概率附加|cffff4646业力*1|r魔法伤害|n|n|Cff00ff7f点击消耗8000金币进行强化|n成功率70%</v>
      </c>
      <c r="DB13" s="66" t="str">
        <f t="shared" si="149"/>
        <v>|n攻击+30000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>|n攻速+30%</v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/>
      </c>
      <c r="DU13" s="66" t="str">
        <f t="shared" si="168"/>
        <v/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36000</v>
      </c>
      <c r="W14" s="78"/>
      <c r="X14" s="78"/>
      <c r="Y14" s="78"/>
      <c r="Z14" s="78"/>
      <c r="AA14" s="78"/>
      <c r="AB14" s="78"/>
      <c r="AC14" s="78"/>
      <c r="AD14" s="78">
        <v>30</v>
      </c>
      <c r="AE14" s="78"/>
      <c r="AF14" s="78"/>
      <c r="AG14" s="81"/>
      <c r="AH14" s="78"/>
      <c r="AI14" s="78"/>
      <c r="AJ14" s="78"/>
      <c r="AK14" s="78"/>
      <c r="AL14" s="81"/>
      <c r="AM14" s="78"/>
      <c r="AN14" s="78"/>
      <c r="AO14" s="78"/>
      <c r="AP14" s="83">
        <v>3</v>
      </c>
      <c r="AQ14" s="83"/>
      <c r="AR14" s="84"/>
      <c r="AS14" s="84"/>
      <c r="AT14" s="83"/>
      <c r="AU14" s="83"/>
      <c r="AV14" s="83"/>
      <c r="AW14" s="83"/>
      <c r="AX14" s="83"/>
      <c r="AY14" s="83"/>
      <c r="AZ14" s="83"/>
      <c r="BA14" s="83"/>
      <c r="BB14" s="8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3"/>
      <c r="CF14" s="83"/>
      <c r="CG14" s="83"/>
      <c r="CH14" s="83"/>
      <c r="CI14" s="83"/>
      <c r="CJ14" s="83"/>
      <c r="CK14" s="83"/>
      <c r="CL14" s="83"/>
      <c r="CM14" s="83"/>
      <c r="CN14" s="86" t="str">
        <f t="shared" si="2"/>
        <v>InitUnitState('E012',36000,,,,,,,,30,)</v>
      </c>
      <c r="CO14" s="86" t="str">
        <f t="shared" si="3"/>
        <v>InitUnitNormal('E012',,,,,,,,,,)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|n攻击+36000|n攻速+30%|n伤害吸取+3%|n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|Cffbbbbbb属性：|r|n攻击+36000|n攻速+30%|n伤害吸取+3%|n|n攻击10%概率附加|cffff4646业力*1|r魔法伤害|n|n|Cff00ff7f点击消耗8000金币进行强化|n成功率70%</v>
      </c>
      <c r="DB14" s="66" t="str">
        <f t="shared" si="149"/>
        <v>|n攻击+36000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>|n攻速+30%</v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/>
      </c>
      <c r="DU14" s="66" t="str">
        <f t="shared" si="168"/>
        <v/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42000</v>
      </c>
      <c r="W15" s="78"/>
      <c r="X15" s="78"/>
      <c r="Y15" s="78"/>
      <c r="Z15" s="78"/>
      <c r="AA15" s="78"/>
      <c r="AB15" s="78"/>
      <c r="AC15" s="78"/>
      <c r="AD15" s="78">
        <v>30</v>
      </c>
      <c r="AE15" s="78"/>
      <c r="AF15" s="78"/>
      <c r="AG15" s="81"/>
      <c r="AH15" s="78"/>
      <c r="AI15" s="78"/>
      <c r="AJ15" s="78"/>
      <c r="AK15" s="78"/>
      <c r="AL15" s="81"/>
      <c r="AM15" s="78"/>
      <c r="AN15" s="78"/>
      <c r="AO15" s="78"/>
      <c r="AP15" s="83">
        <v>3</v>
      </c>
      <c r="AQ15" s="83"/>
      <c r="AR15" s="84"/>
      <c r="AS15" s="84"/>
      <c r="AT15" s="83"/>
      <c r="AU15" s="83"/>
      <c r="AV15" s="83"/>
      <c r="AW15" s="83"/>
      <c r="AX15" s="83"/>
      <c r="AY15" s="83"/>
      <c r="AZ15" s="83"/>
      <c r="BA15" s="83"/>
      <c r="BB15" s="8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3"/>
      <c r="CF15" s="83"/>
      <c r="CG15" s="83"/>
      <c r="CH15" s="83"/>
      <c r="CI15" s="83"/>
      <c r="CJ15" s="83"/>
      <c r="CK15" s="83"/>
      <c r="CL15" s="83"/>
      <c r="CM15" s="83"/>
      <c r="CN15" s="86" t="str">
        <f t="shared" si="2"/>
        <v>InitUnitState('E013',42000,,,,,,,,30,)</v>
      </c>
      <c r="CO15" s="86" t="str">
        <f t="shared" si="3"/>
        <v>InitUnitNormal('E013',,,,,,,,,,)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|n攻击+42000|n攻速+30%|n伤害吸取+3%|n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|Cffbbbbbb属性：|r|n攻击+42000|n攻速+30%|n伤害吸取+3%|n|n攻击10%概率附加|cffff4646业力*1|r魔法伤害|n|n|Cff00ff7f点击消耗8000金币进行强化|n成功率70%</v>
      </c>
      <c r="DB15" s="66" t="str">
        <f t="shared" si="149"/>
        <v>|n攻击+42000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>|n攻速+30%</v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/>
      </c>
      <c r="DU15" s="66" t="str">
        <f t="shared" si="168"/>
        <v/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50000</v>
      </c>
      <c r="W16" s="78"/>
      <c r="X16" s="78"/>
      <c r="Y16" s="78"/>
      <c r="Z16" s="78"/>
      <c r="AA16" s="78"/>
      <c r="AB16" s="78"/>
      <c r="AC16" s="78"/>
      <c r="AD16" s="78">
        <v>30</v>
      </c>
      <c r="AE16" s="78"/>
      <c r="AF16" s="78"/>
      <c r="AG16" s="81"/>
      <c r="AH16" s="78"/>
      <c r="AI16" s="78"/>
      <c r="AJ16" s="78"/>
      <c r="AK16" s="78"/>
      <c r="AL16" s="81"/>
      <c r="AM16" s="78"/>
      <c r="AN16" s="78"/>
      <c r="AO16" s="78"/>
      <c r="AP16" s="83">
        <v>3</v>
      </c>
      <c r="AQ16" s="83"/>
      <c r="AR16" s="84"/>
      <c r="AS16" s="84"/>
      <c r="AT16" s="83"/>
      <c r="AU16" s="83"/>
      <c r="AV16" s="83"/>
      <c r="AW16" s="83"/>
      <c r="AX16" s="83"/>
      <c r="AY16" s="83"/>
      <c r="AZ16" s="83"/>
      <c r="BA16" s="83"/>
      <c r="BB16" s="8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3"/>
      <c r="CF16" s="83"/>
      <c r="CG16" s="83"/>
      <c r="CH16" s="83"/>
      <c r="CI16" s="83"/>
      <c r="CJ16" s="83"/>
      <c r="CK16" s="83"/>
      <c r="CL16" s="83"/>
      <c r="CM16" s="83"/>
      <c r="CN16" s="86" t="str">
        <f t="shared" si="2"/>
        <v>InitUnitState('E014',50000,,,,,,,,30,)</v>
      </c>
      <c r="CO16" s="86" t="str">
        <f t="shared" si="3"/>
        <v>InitUnitNormal('E014',,,,,,,,,,)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|n攻击+50000|n攻速+30%|n伤害吸取+3%|n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|Cffbbbbbb属性：|r|n攻击+50000|n攻速+30%|n伤害吸取+3%|n|n攻击10%概率附加|cffff4646业力*1|r魔法伤害|n|n|Cff00ff7f点击消耗8000金币进行强化|n成功率70%</v>
      </c>
      <c r="DB16" s="66" t="str">
        <f t="shared" si="149"/>
        <v>|n攻击+50000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>|n攻速+30%</v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/>
      </c>
      <c r="DU16" s="66" t="str">
        <f t="shared" si="168"/>
        <v/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60000</v>
      </c>
      <c r="W17" s="78"/>
      <c r="X17" s="78"/>
      <c r="Y17" s="78"/>
      <c r="Z17" s="78"/>
      <c r="AA17" s="78"/>
      <c r="AB17" s="78"/>
      <c r="AC17" s="78"/>
      <c r="AD17" s="78">
        <v>30</v>
      </c>
      <c r="AE17" s="78"/>
      <c r="AF17" s="78"/>
      <c r="AG17" s="81"/>
      <c r="AH17" s="78"/>
      <c r="AI17" s="78"/>
      <c r="AJ17" s="78"/>
      <c r="AK17" s="78"/>
      <c r="AL17" s="81"/>
      <c r="AM17" s="78"/>
      <c r="AN17" s="78"/>
      <c r="AO17" s="78"/>
      <c r="AP17" s="83">
        <v>3</v>
      </c>
      <c r="AQ17" s="83"/>
      <c r="AR17" s="84"/>
      <c r="AS17" s="84"/>
      <c r="AT17" s="83"/>
      <c r="AU17" s="83"/>
      <c r="AV17" s="83"/>
      <c r="AW17" s="83"/>
      <c r="AX17" s="83"/>
      <c r="AY17" s="83"/>
      <c r="AZ17" s="83"/>
      <c r="BA17" s="83"/>
      <c r="BB17" s="8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3"/>
      <c r="CF17" s="83"/>
      <c r="CG17" s="83"/>
      <c r="CH17" s="83"/>
      <c r="CI17" s="83"/>
      <c r="CJ17" s="83"/>
      <c r="CK17" s="83"/>
      <c r="CL17" s="83"/>
      <c r="CM17" s="83"/>
      <c r="CN17" s="86" t="str">
        <f t="shared" si="2"/>
        <v>InitUnitState('E015',60000,,,,,,,,30,)</v>
      </c>
      <c r="CO17" s="86" t="str">
        <f t="shared" si="3"/>
        <v>InitUnitNormal('E015',,,,,,,,,,)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|n攻击+60000|n攻速+30%|n伤害吸取+3%|n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|Cffbbbbbb属性：|r|n攻击+60000|n攻速+30%|n伤害吸取+3%|n|n攻击10%概率附加|cffff4646业力*1|r魔法伤害|n|n|Cff00ff7f点击消耗30000金币进行晋阶挑战</v>
      </c>
      <c r="DB17" s="66" t="str">
        <f t="shared" si="149"/>
        <v>|n攻击+60000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>|n攻速+30%</v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/>
      </c>
      <c r="DU17" s="66" t="str">
        <f t="shared" si="168"/>
        <v/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100000</v>
      </c>
      <c r="W18" s="78"/>
      <c r="X18" s="78"/>
      <c r="Y18" s="78"/>
      <c r="Z18" s="78"/>
      <c r="AA18" s="78"/>
      <c r="AB18" s="78"/>
      <c r="AC18" s="78"/>
      <c r="AD18" s="78">
        <v>40</v>
      </c>
      <c r="AE18" s="78"/>
      <c r="AF18" s="78"/>
      <c r="AG18" s="81"/>
      <c r="AH18" s="78"/>
      <c r="AI18" s="78"/>
      <c r="AJ18" s="78"/>
      <c r="AK18" s="78"/>
      <c r="AL18" s="81"/>
      <c r="AM18" s="78"/>
      <c r="AN18" s="78"/>
      <c r="AO18" s="78"/>
      <c r="AP18" s="83">
        <v>4</v>
      </c>
      <c r="AQ18" s="83"/>
      <c r="AR18" s="84"/>
      <c r="AS18" s="84"/>
      <c r="AT18" s="83"/>
      <c r="AU18" s="83"/>
      <c r="AV18" s="83"/>
      <c r="AW18" s="83"/>
      <c r="AX18" s="83"/>
      <c r="AY18" s="83"/>
      <c r="AZ18" s="83"/>
      <c r="BA18" s="83"/>
      <c r="BB18" s="8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3"/>
      <c r="CF18" s="83"/>
      <c r="CG18" s="83"/>
      <c r="CH18" s="83"/>
      <c r="CI18" s="83"/>
      <c r="CJ18" s="83"/>
      <c r="CK18" s="83"/>
      <c r="CL18" s="83"/>
      <c r="CM18" s="83"/>
      <c r="CN18" s="86" t="str">
        <f t="shared" si="2"/>
        <v>InitUnitState('E016',100000,,,,,,,,40,)</v>
      </c>
      <c r="CO18" s="86" t="str">
        <f t="shared" si="3"/>
        <v>InitUnitNormal('E016',,,,,,,,,,)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|n攻击+100000|n攻速+40%|n伤害吸取+4%|n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|Cffbbbbbb属性：|r|n攻击+100000|n攻速+40%|n伤害吸取+4%|n|n攻击10%概率附加|cffff4646业力*1|r魔法伤害|n|n|Cff00ff7f点击消耗20000金币进行强化|n成功率60%</v>
      </c>
      <c r="DB18" s="66" t="str">
        <f t="shared" si="149"/>
        <v>|n攻击+100000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>|n攻速+40%</v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/>
      </c>
      <c r="DU18" s="66" t="str">
        <f t="shared" si="168"/>
        <v/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120000</v>
      </c>
      <c r="W19" s="78"/>
      <c r="X19" s="78"/>
      <c r="Y19" s="78"/>
      <c r="Z19" s="78"/>
      <c r="AA19" s="78"/>
      <c r="AB19" s="78"/>
      <c r="AC19" s="78"/>
      <c r="AD19" s="78">
        <v>40</v>
      </c>
      <c r="AE19" s="78"/>
      <c r="AF19" s="78"/>
      <c r="AG19" s="81"/>
      <c r="AH19" s="78"/>
      <c r="AI19" s="78"/>
      <c r="AJ19" s="78"/>
      <c r="AK19" s="78"/>
      <c r="AL19" s="81"/>
      <c r="AM19" s="78"/>
      <c r="AN19" s="78"/>
      <c r="AO19" s="78"/>
      <c r="AP19" s="83">
        <v>4</v>
      </c>
      <c r="AQ19" s="83"/>
      <c r="AR19" s="84"/>
      <c r="AS19" s="84"/>
      <c r="AT19" s="83"/>
      <c r="AU19" s="83"/>
      <c r="AV19" s="83"/>
      <c r="AW19" s="83"/>
      <c r="AX19" s="83"/>
      <c r="AY19" s="83"/>
      <c r="AZ19" s="83"/>
      <c r="BA19" s="83"/>
      <c r="BB19" s="8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3"/>
      <c r="CF19" s="83"/>
      <c r="CG19" s="83"/>
      <c r="CH19" s="83"/>
      <c r="CI19" s="83"/>
      <c r="CJ19" s="83"/>
      <c r="CK19" s="83"/>
      <c r="CL19" s="83"/>
      <c r="CM19" s="83"/>
      <c r="CN19" s="86" t="str">
        <f t="shared" si="2"/>
        <v>InitUnitState('E017',120000,,,,,,,,40,)</v>
      </c>
      <c r="CO19" s="86" t="str">
        <f t="shared" si="3"/>
        <v>InitUnitNormal('E017',,,,,,,,,,)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|n攻击+120000|n攻速+40%|n伤害吸取+4%|n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|Cffbbbbbb属性：|r|n攻击+120000|n攻速+40%|n伤害吸取+4%|n|n攻击10%概率附加|cffff4646业力*1|r魔法伤害|n|n|Cff00ff7f点击消耗20000金币进行强化|n成功率60%</v>
      </c>
      <c r="DB19" s="66" t="str">
        <f t="shared" ref="DB19:DB35" si="219">IF(V19="","","|n"&amp;DB$2&amp;"+"&amp;V19&amp;DB$1)</f>
        <v>|n攻击+120000</v>
      </c>
      <c r="DC19" s="66" t="str">
        <f t="shared" ref="DC19:DC35" si="220">IF(W19="","","|n"&amp;DC$2&amp;"+"&amp;W19&amp;DC$1)</f>
        <v/>
      </c>
      <c r="DD19" s="66" t="str">
        <f t="shared" ref="DD19:DD35" si="221">IF(X19="","","|n"&amp;DD$2&amp;"+"&amp;X19&amp;DD$1)</f>
        <v/>
      </c>
      <c r="DE19" s="66" t="str">
        <f t="shared" ref="DE19:DE35" si="222">IF(Y19="","","|n"&amp;DE$2&amp;"+"&amp;Y19&amp;DE$1)</f>
        <v/>
      </c>
      <c r="DF19" s="66" t="str">
        <f t="shared" ref="DF19:DF35" si="223">IF(Z19="","","|n"&amp;DF$2&amp;"+"&amp;Z19&amp;DF$1)</f>
        <v/>
      </c>
      <c r="DG19" s="66" t="str">
        <f t="shared" ref="DG19:DG35" si="224">IF(AA19="","","|n"&amp;DG$2&amp;"+"&amp;AA19&amp;DG$1)</f>
        <v/>
      </c>
      <c r="DH19" s="66" t="str">
        <f t="shared" ref="DH19:DH35" si="225">IF(AB19="","","|n"&amp;DH$2&amp;"+"&amp;AB19&amp;DH$1)</f>
        <v/>
      </c>
      <c r="DI19" s="66" t="str">
        <f t="shared" ref="DI19:DI35" si="226">IF(AC19="","","|n"&amp;DI$2&amp;"+"&amp;AC19&amp;DI$1)</f>
        <v/>
      </c>
      <c r="DJ19" s="66" t="str">
        <f t="shared" ref="DJ19:DJ35" si="227">IF(AD19="","","|n"&amp;DJ$2&amp;"+"&amp;AD19&amp;DJ$1)</f>
        <v>|n攻速+40%</v>
      </c>
      <c r="DK19" s="66" t="str">
        <f t="shared" ref="DK19:DK35" si="228">IF(AE19="","","|n"&amp;DK$2&amp;"+"&amp;AE19&amp;DK$1)</f>
        <v/>
      </c>
      <c r="DL19" s="66" t="str">
        <f t="shared" ref="DL19:DL35" si="229">IF(AF19="","","|n"&amp;DL$2&amp;"+"&amp;AF19&amp;DL$1)</f>
        <v/>
      </c>
      <c r="DM19" s="66" t="str">
        <f t="shared" ref="DM19:DM35" si="230">IF(AG19="","","|n"&amp;DM$2&amp;"+"&amp;AG19&amp;DM$1)</f>
        <v/>
      </c>
      <c r="DN19" s="66" t="str">
        <f t="shared" ref="DN19:DN35" si="231">IF(AH19="","","|n"&amp;DN$2&amp;"+"&amp;AH19&amp;DN$1)</f>
        <v/>
      </c>
      <c r="DO19" s="66" t="str">
        <f t="shared" ref="DO19:DO35" si="232">IF(AI19="","","|n"&amp;DO$2&amp;"+"&amp;AI19&amp;DO$1)</f>
        <v/>
      </c>
      <c r="DP19" s="66" t="str">
        <f t="shared" ref="DP19:DP35" si="233">IF(AJ19="","","|n"&amp;DP$2&amp;"+"&amp;AJ19&amp;DP$1)</f>
        <v/>
      </c>
      <c r="DQ19" s="66" t="str">
        <f t="shared" ref="DQ19:DQ35" si="234">IF(AK19="","","|n"&amp;DQ$2&amp;"+"&amp;AK19&amp;DQ$1)</f>
        <v/>
      </c>
      <c r="DR19" s="66" t="str">
        <f t="shared" ref="DR19:DR35" si="235">IF(AL19="","","|n"&amp;DR$2&amp;"+"&amp;AL19&amp;DR$1)</f>
        <v/>
      </c>
      <c r="DS19" s="66" t="str">
        <f t="shared" ref="DS19:DS35" si="236">IF(AM19="","","|n"&amp;DS$2&amp;"+"&amp;AM19&amp;DS$1)</f>
        <v/>
      </c>
      <c r="DT19" s="66" t="str">
        <f t="shared" ref="DT19:DT35" si="237">IF(AN19="","","|n"&amp;DT$2&amp;"+"&amp;AN19&amp;DT$1)</f>
        <v/>
      </c>
      <c r="DU19" s="66" t="str">
        <f t="shared" ref="DU19:DU35" si="238">IF(AO19="","","|n"&amp;DU$2&amp;"+"&amp;AO19&amp;DU$1)</f>
        <v/>
      </c>
      <c r="DV19" s="66" t="str">
        <f t="shared" ref="DV19:DV35" si="239">IF(AP19="","","|n"&amp;DV$2&amp;"+"&amp;AP19&amp;DV$1)</f>
        <v>|n伤害吸取+4%</v>
      </c>
      <c r="DW19" s="66" t="str">
        <f t="shared" ref="DW19:DW35" si="240">IF(AQ19="","","|n"&amp;DW$2&amp;"+"&amp;AQ19&amp;DW$1)</f>
        <v/>
      </c>
      <c r="DX19" s="66" t="str">
        <f t="shared" ref="DX19:DX35" si="241">IF(AR19="","","|n"&amp;DX$2&amp;"+"&amp;AR19&amp;DX$1)</f>
        <v/>
      </c>
      <c r="DY19" s="66" t="str">
        <f t="shared" ref="DY19:DY35" si="242">IF(AS19="","","|n"&amp;DY$2&amp;"+"&amp;AS19&amp;DY$1)</f>
        <v/>
      </c>
      <c r="DZ19" s="66" t="str">
        <f t="shared" ref="DZ19:DZ35" si="243">IF(AT19="","","|n"&amp;DZ$2&amp;"+"&amp;AT19&amp;DZ$1)</f>
        <v/>
      </c>
      <c r="EA19" s="66" t="str">
        <f t="shared" ref="EA19:EA35" si="244">IF(AU19="","","|n"&amp;EA$2&amp;"+"&amp;AU19&amp;EA$1)</f>
        <v/>
      </c>
      <c r="EB19" s="66" t="str">
        <f t="shared" ref="EB19:EB35" si="245">IF(AV19="","","|n"&amp;EB$2&amp;"+"&amp;AV19&amp;EB$1)</f>
        <v/>
      </c>
      <c r="EC19" s="66" t="str">
        <f t="shared" ref="EC19:EC35" si="246">IF(AW19="","","|n"&amp;EC$2&amp;"+"&amp;AW19&amp;EC$1)</f>
        <v/>
      </c>
      <c r="ED19" s="66" t="str">
        <f t="shared" ref="ED19:ED35" si="247">IF(AX19="","","|n"&amp;ED$2&amp;"+"&amp;AX19&amp;ED$1)</f>
        <v/>
      </c>
      <c r="EE19" s="66" t="str">
        <f t="shared" ref="EE19:EE35" si="248">IF(AY19="","","|n"&amp;EE$2&amp;"+"&amp;AY19&amp;EE$1)</f>
        <v/>
      </c>
      <c r="EF19" s="66" t="str">
        <f t="shared" ref="EF19:EF35" si="249">IF(AZ19="","","|n"&amp;EF$2&amp;"+"&amp;AZ19&amp;EF$1)</f>
        <v/>
      </c>
      <c r="EG19" s="66" t="str">
        <f t="shared" ref="EG19:EG35" si="250">IF(BA19="","","|n"&amp;EG$2&amp;"+"&amp;BA19&amp;EG$1)</f>
        <v/>
      </c>
      <c r="EH19" s="66" t="str">
        <f t="shared" ref="EH19:EH35" si="251">IF(BB19="","","|n"&amp;EH$2&amp;"+"&amp;BB19&amp;EH$1)</f>
        <v/>
      </c>
      <c r="EI19" s="66" t="str">
        <f t="shared" ref="EI19:EI35" si="252">IF(BC19="","","|n"&amp;EI$2&amp;"+"&amp;BC19&amp;EI$1)</f>
        <v/>
      </c>
      <c r="EJ19" s="66" t="str">
        <f t="shared" ref="EJ19:EJ35" si="253">IF(BD19="","","|n"&amp;EJ$2&amp;"+"&amp;BD19&amp;EJ$1)</f>
        <v/>
      </c>
      <c r="EK19" s="66" t="str">
        <f t="shared" ref="EK19:EK35" si="254">IF(BE19="","","|n"&amp;EK$2&amp;"+"&amp;BE19&amp;EK$1)</f>
        <v/>
      </c>
      <c r="EL19" s="66" t="str">
        <f t="shared" ref="EL19:EL35" si="255">IF(BF19="","","|n"&amp;EL$2&amp;"+"&amp;BF19&amp;EL$1)</f>
        <v/>
      </c>
      <c r="EM19" s="66" t="str">
        <f t="shared" ref="EM19:EM35" si="256">IF(BG19="","","|n"&amp;EM$2&amp;"+"&amp;BG19&amp;EM$1)</f>
        <v/>
      </c>
      <c r="EN19" s="66" t="str">
        <f t="shared" ref="EN19:EN35" si="257">IF(BH19="","","|n"&amp;EN$2&amp;"+"&amp;BH19&amp;EN$1)</f>
        <v/>
      </c>
      <c r="EO19" s="66" t="str">
        <f t="shared" ref="EO19:EO35" si="258">IF(BI19="","","|n"&amp;EO$2&amp;"+"&amp;BI19&amp;EO$1)</f>
        <v/>
      </c>
      <c r="EP19" s="66" t="str">
        <f t="shared" ref="EP19:EP35" si="259">IF(BJ19="","","|n"&amp;EP$2&amp;"+"&amp;BJ19&amp;EP$1)</f>
        <v/>
      </c>
      <c r="EQ19" s="66" t="str">
        <f t="shared" ref="EQ19:EQ35" si="260">IF(BK19="","","|n"&amp;EQ$2&amp;"+"&amp;BK19&amp;EQ$1)</f>
        <v/>
      </c>
      <c r="ER19" s="66" t="str">
        <f t="shared" ref="ER19:ER35" si="261">IF(BL19="","","|n"&amp;ER$2&amp;"+"&amp;BL19&amp;ER$1)</f>
        <v/>
      </c>
      <c r="ES19" s="66" t="str">
        <f t="shared" ref="ES19:ES35" si="262">IF(BM19="","","|n"&amp;ES$2&amp;"+"&amp;BM19&amp;ES$1)</f>
        <v/>
      </c>
      <c r="ET19" s="66" t="str">
        <f t="shared" ref="ET19:ET35" si="263">IF(BN19="","","|n"&amp;ET$2&amp;"+"&amp;BN19&amp;ET$1)</f>
        <v/>
      </c>
      <c r="EU19" s="66" t="str">
        <f t="shared" ref="EU19:EU35" si="264">IF(BO19="","","|n"&amp;EU$2&amp;"+"&amp;BO19&amp;EU$1)</f>
        <v/>
      </c>
      <c r="EV19" s="66" t="str">
        <f t="shared" ref="EV19:EV35" si="265">IF(BP19="","","|n"&amp;EV$2&amp;"+"&amp;BP19&amp;EV$1)</f>
        <v/>
      </c>
      <c r="EW19" s="66" t="str">
        <f t="shared" ref="EW19:EW35" si="266">IF(BQ19="","","|n"&amp;EW$2&amp;"+"&amp;BQ19&amp;EW$1)</f>
        <v/>
      </c>
      <c r="EX19" s="66" t="str">
        <f t="shared" ref="EX19:EX35" si="267">IF(BR19="","","|n"&amp;EX$2&amp;"+"&amp;BR19&amp;EX$1)</f>
        <v/>
      </c>
      <c r="EY19" s="66" t="str">
        <f t="shared" ref="EY19:EY35" si="268">IF(BS19="","","|n"&amp;EY$2&amp;"+"&amp;BS19&amp;EY$1)</f>
        <v/>
      </c>
      <c r="EZ19" s="66" t="str">
        <f t="shared" ref="EZ19:EZ35" si="269">IF(BT19="","","|n"&amp;EZ$2&amp;"+"&amp;BT19&amp;EZ$1)</f>
        <v/>
      </c>
      <c r="FA19" s="66" t="str">
        <f t="shared" ref="FA19:FA35" si="270">IF(BU19="","","|n"&amp;FA$2&amp;"+"&amp;BU19&amp;FA$1)</f>
        <v/>
      </c>
      <c r="FB19" s="66" t="str">
        <f t="shared" ref="FB19:FB35" si="271">IF(BV19="","","|n"&amp;FB$2&amp;"+"&amp;BV19&amp;FB$1)</f>
        <v/>
      </c>
      <c r="FC19" s="66" t="str">
        <f t="shared" ref="FC19:FC35" si="272">IF(BW19="","","|n"&amp;FC$2&amp;"+"&amp;BW19&amp;FC$1)</f>
        <v/>
      </c>
      <c r="FD19" s="66" t="str">
        <f t="shared" ref="FD19:FD35" si="273">IF(BX19="","","|n"&amp;FD$2&amp;"+"&amp;BX19&amp;FD$1)</f>
        <v/>
      </c>
      <c r="FE19" s="66" t="str">
        <f t="shared" ref="FE19:FE35" si="274">IF(BY19="","","|n"&amp;FE$2&amp;"+"&amp;BY19&amp;FE$1)</f>
        <v/>
      </c>
      <c r="FF19" s="66" t="str">
        <f t="shared" ref="FF19:FF35" si="275">IF(BZ19="","","|n"&amp;FF$2&amp;"+"&amp;BZ19&amp;FF$1)</f>
        <v/>
      </c>
      <c r="FG19" s="66" t="str">
        <f t="shared" ref="FG19:FG35" si="276">IF(CA19="","","|n"&amp;FG$2&amp;"+"&amp;CA19&amp;FG$1)</f>
        <v/>
      </c>
      <c r="FH19" s="66" t="str">
        <f t="shared" ref="FH19:FH35" si="277">IF(CB19="","","|n"&amp;FH$2&amp;"+"&amp;CB19&amp;FH$1)</f>
        <v/>
      </c>
      <c r="FI19" s="66" t="str">
        <f t="shared" ref="FI19:FI35" si="278">IF(CC19="","","|n"&amp;FI$2&amp;"+"&amp;CC19&amp;FI$1)</f>
        <v/>
      </c>
      <c r="FJ19" s="66" t="str">
        <f t="shared" ref="FJ19:FJ35" si="279">IF(CD19="","","|n"&amp;FJ$2&amp;"+"&amp;CD19&amp;FJ$1)</f>
        <v/>
      </c>
      <c r="FK19" s="66" t="str">
        <f t="shared" ref="FK19:FK35" si="280">IF(CE19="","","|n"&amp;FK$2&amp;"+"&amp;CE19&amp;FK$1)</f>
        <v/>
      </c>
      <c r="FL19" s="66" t="str">
        <f t="shared" ref="FL19:FL35" si="281">IF(CF19="","","|n"&amp;FL$2&amp;"+"&amp;CF19&amp;FL$1)</f>
        <v/>
      </c>
      <c r="FM19" s="66" t="str">
        <f t="shared" ref="FM19:FM35" si="282">IF(CG19="","","|n"&amp;FM$2&amp;"+"&amp;CG19&amp;FM$1)</f>
        <v/>
      </c>
      <c r="FN19" s="66" t="str">
        <f t="shared" ref="FN19:FN35" si="283">IF(CH19="","","|n"&amp;FN$2&amp;"+"&amp;CH19&amp;FN$1)</f>
        <v/>
      </c>
      <c r="FO19" s="66" t="str">
        <f t="shared" ref="FO19:FO35" si="284">IF(CI19="","","|n"&amp;FO$2&amp;"+"&amp;CI19&amp;FO$1)</f>
        <v/>
      </c>
      <c r="FP19" s="66" t="str">
        <f t="shared" ref="FP19:FP35" si="285">IF(CJ19="","","|n"&amp;FP$2&amp;"+"&amp;CJ19&amp;FP$1)</f>
        <v/>
      </c>
      <c r="FQ19" s="66" t="str">
        <f t="shared" ref="FQ19:FQ35" si="286">IF(CK19="","","|n"&amp;FQ$2&amp;"+"&amp;CK19&amp;FQ$1)</f>
        <v/>
      </c>
      <c r="FR19" s="66" t="str">
        <f t="shared" ref="FR19:FR35" si="287">IF(CL19="","","|n"&amp;FR$2&amp;"+"&amp;CL19&amp;FR$1)</f>
        <v/>
      </c>
      <c r="FS19" s="66" t="str">
        <f t="shared" ref="FS19:FS35" si="288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140000</v>
      </c>
      <c r="W20" s="78"/>
      <c r="X20" s="78"/>
      <c r="Y20" s="78"/>
      <c r="Z20" s="78"/>
      <c r="AA20" s="78"/>
      <c r="AB20" s="78"/>
      <c r="AC20" s="78"/>
      <c r="AD20" s="78">
        <v>40</v>
      </c>
      <c r="AE20" s="78"/>
      <c r="AF20" s="78"/>
      <c r="AG20" s="81"/>
      <c r="AH20" s="78"/>
      <c r="AI20" s="78"/>
      <c r="AJ20" s="78"/>
      <c r="AK20" s="78"/>
      <c r="AL20" s="81"/>
      <c r="AM20" s="78"/>
      <c r="AN20" s="78"/>
      <c r="AO20" s="78"/>
      <c r="AP20" s="83">
        <v>4</v>
      </c>
      <c r="AQ20" s="83"/>
      <c r="AR20" s="84"/>
      <c r="AS20" s="84"/>
      <c r="AT20" s="83"/>
      <c r="AU20" s="83"/>
      <c r="AV20" s="83"/>
      <c r="AW20" s="83"/>
      <c r="AX20" s="83"/>
      <c r="AY20" s="83"/>
      <c r="AZ20" s="83"/>
      <c r="BA20" s="83"/>
      <c r="BB20" s="8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3"/>
      <c r="CF20" s="83"/>
      <c r="CG20" s="83"/>
      <c r="CH20" s="83"/>
      <c r="CI20" s="83"/>
      <c r="CJ20" s="83"/>
      <c r="CK20" s="83"/>
      <c r="CL20" s="83"/>
      <c r="CM20" s="83"/>
      <c r="CN20" s="86" t="str">
        <f t="shared" si="2"/>
        <v>InitUnitState('E018',140000,,,,,,,,40,)</v>
      </c>
      <c r="CO20" s="86" t="str">
        <f t="shared" si="3"/>
        <v>InitUnitNormal('E018',,,,,,,,,,)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|n攻击+140000|n攻速+40%|n伤害吸取+4%|n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|Cffbbbbbb属性：|r|n攻击+140000|n攻速+40%|n伤害吸取+4%|n|n攻击10%概率附加|cffff4646业力*1|r魔法伤害|n|n|Cff00ff7f点击消耗20000金币进行强化|n成功率60%</v>
      </c>
      <c r="DB20" s="66" t="str">
        <f t="shared" si="219"/>
        <v>|n攻击+140000</v>
      </c>
      <c r="DC20" s="66" t="str">
        <f t="shared" si="220"/>
        <v/>
      </c>
      <c r="DD20" s="66" t="str">
        <f t="shared" si="221"/>
        <v/>
      </c>
      <c r="DE20" s="66" t="str">
        <f t="shared" si="222"/>
        <v/>
      </c>
      <c r="DF20" s="66" t="str">
        <f t="shared" si="223"/>
        <v/>
      </c>
      <c r="DG20" s="66" t="str">
        <f t="shared" si="224"/>
        <v/>
      </c>
      <c r="DH20" s="66" t="str">
        <f t="shared" si="225"/>
        <v/>
      </c>
      <c r="DI20" s="66" t="str">
        <f t="shared" si="226"/>
        <v/>
      </c>
      <c r="DJ20" s="66" t="str">
        <f t="shared" si="227"/>
        <v>|n攻速+40%</v>
      </c>
      <c r="DK20" s="66" t="str">
        <f t="shared" si="228"/>
        <v/>
      </c>
      <c r="DL20" s="66" t="str">
        <f t="shared" si="229"/>
        <v/>
      </c>
      <c r="DM20" s="66" t="str">
        <f t="shared" si="230"/>
        <v/>
      </c>
      <c r="DN20" s="66" t="str">
        <f t="shared" si="231"/>
        <v/>
      </c>
      <c r="DO20" s="66" t="str">
        <f t="shared" si="232"/>
        <v/>
      </c>
      <c r="DP20" s="66" t="str">
        <f t="shared" si="233"/>
        <v/>
      </c>
      <c r="DQ20" s="66" t="str">
        <f t="shared" si="234"/>
        <v/>
      </c>
      <c r="DR20" s="66" t="str">
        <f t="shared" si="235"/>
        <v/>
      </c>
      <c r="DS20" s="66" t="str">
        <f t="shared" si="236"/>
        <v/>
      </c>
      <c r="DT20" s="66" t="str">
        <f t="shared" si="237"/>
        <v/>
      </c>
      <c r="DU20" s="66" t="str">
        <f t="shared" si="238"/>
        <v/>
      </c>
      <c r="DV20" s="66" t="str">
        <f t="shared" si="239"/>
        <v>|n伤害吸取+4%</v>
      </c>
      <c r="DW20" s="66" t="str">
        <f t="shared" si="240"/>
        <v/>
      </c>
      <c r="DX20" s="66" t="str">
        <f t="shared" si="241"/>
        <v/>
      </c>
      <c r="DY20" s="66" t="str">
        <f t="shared" si="242"/>
        <v/>
      </c>
      <c r="DZ20" s="66" t="str">
        <f t="shared" si="243"/>
        <v/>
      </c>
      <c r="EA20" s="66" t="str">
        <f t="shared" si="244"/>
        <v/>
      </c>
      <c r="EB20" s="66" t="str">
        <f t="shared" si="245"/>
        <v/>
      </c>
      <c r="EC20" s="66" t="str">
        <f t="shared" si="246"/>
        <v/>
      </c>
      <c r="ED20" s="66" t="str">
        <f t="shared" si="247"/>
        <v/>
      </c>
      <c r="EE20" s="66" t="str">
        <f t="shared" si="248"/>
        <v/>
      </c>
      <c r="EF20" s="66" t="str">
        <f t="shared" si="249"/>
        <v/>
      </c>
      <c r="EG20" s="66" t="str">
        <f t="shared" si="250"/>
        <v/>
      </c>
      <c r="EH20" s="66" t="str">
        <f t="shared" si="251"/>
        <v/>
      </c>
      <c r="EI20" s="66" t="str">
        <f t="shared" si="252"/>
        <v/>
      </c>
      <c r="EJ20" s="66" t="str">
        <f t="shared" si="253"/>
        <v/>
      </c>
      <c r="EK20" s="66" t="str">
        <f t="shared" si="254"/>
        <v/>
      </c>
      <c r="EL20" s="66" t="str">
        <f t="shared" si="255"/>
        <v/>
      </c>
      <c r="EM20" s="66" t="str">
        <f t="shared" si="256"/>
        <v/>
      </c>
      <c r="EN20" s="66" t="str">
        <f t="shared" si="257"/>
        <v/>
      </c>
      <c r="EO20" s="66" t="str">
        <f t="shared" si="258"/>
        <v/>
      </c>
      <c r="EP20" s="66" t="str">
        <f t="shared" si="259"/>
        <v/>
      </c>
      <c r="EQ20" s="66" t="str">
        <f t="shared" si="260"/>
        <v/>
      </c>
      <c r="ER20" s="66" t="str">
        <f t="shared" si="261"/>
        <v/>
      </c>
      <c r="ES20" s="66" t="str">
        <f t="shared" si="262"/>
        <v/>
      </c>
      <c r="ET20" s="66" t="str">
        <f t="shared" si="263"/>
        <v/>
      </c>
      <c r="EU20" s="66" t="str">
        <f t="shared" si="264"/>
        <v/>
      </c>
      <c r="EV20" s="66" t="str">
        <f t="shared" si="265"/>
        <v/>
      </c>
      <c r="EW20" s="66" t="str">
        <f t="shared" si="266"/>
        <v/>
      </c>
      <c r="EX20" s="66" t="str">
        <f t="shared" si="267"/>
        <v/>
      </c>
      <c r="EY20" s="66" t="str">
        <f t="shared" si="268"/>
        <v/>
      </c>
      <c r="EZ20" s="66" t="str">
        <f t="shared" si="269"/>
        <v/>
      </c>
      <c r="FA20" s="66" t="str">
        <f t="shared" si="270"/>
        <v/>
      </c>
      <c r="FB20" s="66" t="str">
        <f t="shared" si="271"/>
        <v/>
      </c>
      <c r="FC20" s="66" t="str">
        <f t="shared" si="272"/>
        <v/>
      </c>
      <c r="FD20" s="66" t="str">
        <f t="shared" si="273"/>
        <v/>
      </c>
      <c r="FE20" s="66" t="str">
        <f t="shared" si="274"/>
        <v/>
      </c>
      <c r="FF20" s="66" t="str">
        <f t="shared" si="275"/>
        <v/>
      </c>
      <c r="FG20" s="66" t="str">
        <f t="shared" si="276"/>
        <v/>
      </c>
      <c r="FH20" s="66" t="str">
        <f t="shared" si="277"/>
        <v/>
      </c>
      <c r="FI20" s="66" t="str">
        <f t="shared" si="278"/>
        <v/>
      </c>
      <c r="FJ20" s="66" t="str">
        <f t="shared" si="279"/>
        <v/>
      </c>
      <c r="FK20" s="66" t="str">
        <f t="shared" si="280"/>
        <v/>
      </c>
      <c r="FL20" s="66" t="str">
        <f t="shared" si="281"/>
        <v/>
      </c>
      <c r="FM20" s="66" t="str">
        <f t="shared" si="282"/>
        <v/>
      </c>
      <c r="FN20" s="66" t="str">
        <f t="shared" si="283"/>
        <v/>
      </c>
      <c r="FO20" s="66" t="str">
        <f t="shared" si="284"/>
        <v/>
      </c>
      <c r="FP20" s="66" t="str">
        <f t="shared" si="285"/>
        <v/>
      </c>
      <c r="FQ20" s="66" t="str">
        <f t="shared" si="286"/>
        <v/>
      </c>
      <c r="FR20" s="66" t="str">
        <f t="shared" si="287"/>
        <v/>
      </c>
      <c r="FS20" s="66" t="str">
        <f t="shared" si="288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170000</v>
      </c>
      <c r="W21" s="78"/>
      <c r="X21" s="78"/>
      <c r="Y21" s="78"/>
      <c r="Z21" s="78"/>
      <c r="AA21" s="78"/>
      <c r="AB21" s="78"/>
      <c r="AC21" s="78"/>
      <c r="AD21" s="78">
        <v>40</v>
      </c>
      <c r="AE21" s="78"/>
      <c r="AF21" s="78"/>
      <c r="AG21" s="81"/>
      <c r="AH21" s="78"/>
      <c r="AI21" s="78"/>
      <c r="AJ21" s="78"/>
      <c r="AK21" s="78"/>
      <c r="AL21" s="81"/>
      <c r="AM21" s="78"/>
      <c r="AN21" s="78"/>
      <c r="AO21" s="78"/>
      <c r="AP21" s="83">
        <v>4</v>
      </c>
      <c r="AQ21" s="83"/>
      <c r="AR21" s="84"/>
      <c r="AS21" s="84"/>
      <c r="AT21" s="83"/>
      <c r="AU21" s="83"/>
      <c r="AV21" s="83"/>
      <c r="AW21" s="83"/>
      <c r="AX21" s="83"/>
      <c r="AY21" s="83"/>
      <c r="AZ21" s="83"/>
      <c r="BA21" s="83"/>
      <c r="BB21" s="8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3"/>
      <c r="CF21" s="83"/>
      <c r="CG21" s="83"/>
      <c r="CH21" s="83"/>
      <c r="CI21" s="83"/>
      <c r="CJ21" s="83"/>
      <c r="CK21" s="83"/>
      <c r="CL21" s="83"/>
      <c r="CM21" s="83"/>
      <c r="CN21" s="86" t="str">
        <f t="shared" si="2"/>
        <v>InitUnitState('E019',170000,,,,,,,,40,)</v>
      </c>
      <c r="CO21" s="86" t="str">
        <f t="shared" si="3"/>
        <v>InitUnitNormal('E019',,,,,,,,,,)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|n攻击+170000|n攻速+40%|n伤害吸取+4%|n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|Cffbbbbbb属性：|r|n攻击+170000|n攻速+40%|n伤害吸取+4%|n|n攻击10%概率附加|cffff4646业力*1|r魔法伤害|n|n|Cff00ff7f点击消耗20000金币进行强化|n成功率60%</v>
      </c>
      <c r="DB21" s="66" t="str">
        <f t="shared" si="219"/>
        <v>|n攻击+170000</v>
      </c>
      <c r="DC21" s="66" t="str">
        <f t="shared" si="220"/>
        <v/>
      </c>
      <c r="DD21" s="66" t="str">
        <f t="shared" si="221"/>
        <v/>
      </c>
      <c r="DE21" s="66" t="str">
        <f t="shared" si="222"/>
        <v/>
      </c>
      <c r="DF21" s="66" t="str">
        <f t="shared" si="223"/>
        <v/>
      </c>
      <c r="DG21" s="66" t="str">
        <f t="shared" si="224"/>
        <v/>
      </c>
      <c r="DH21" s="66" t="str">
        <f t="shared" si="225"/>
        <v/>
      </c>
      <c r="DI21" s="66" t="str">
        <f t="shared" si="226"/>
        <v/>
      </c>
      <c r="DJ21" s="66" t="str">
        <f t="shared" si="227"/>
        <v>|n攻速+40%</v>
      </c>
      <c r="DK21" s="66" t="str">
        <f t="shared" si="228"/>
        <v/>
      </c>
      <c r="DL21" s="66" t="str">
        <f t="shared" si="229"/>
        <v/>
      </c>
      <c r="DM21" s="66" t="str">
        <f t="shared" si="230"/>
        <v/>
      </c>
      <c r="DN21" s="66" t="str">
        <f t="shared" si="231"/>
        <v/>
      </c>
      <c r="DO21" s="66" t="str">
        <f t="shared" si="232"/>
        <v/>
      </c>
      <c r="DP21" s="66" t="str">
        <f t="shared" si="233"/>
        <v/>
      </c>
      <c r="DQ21" s="66" t="str">
        <f t="shared" si="234"/>
        <v/>
      </c>
      <c r="DR21" s="66" t="str">
        <f t="shared" si="235"/>
        <v/>
      </c>
      <c r="DS21" s="66" t="str">
        <f t="shared" si="236"/>
        <v/>
      </c>
      <c r="DT21" s="66" t="str">
        <f t="shared" si="237"/>
        <v/>
      </c>
      <c r="DU21" s="66" t="str">
        <f t="shared" si="238"/>
        <v/>
      </c>
      <c r="DV21" s="66" t="str">
        <f t="shared" si="239"/>
        <v>|n伤害吸取+4%</v>
      </c>
      <c r="DW21" s="66" t="str">
        <f t="shared" si="240"/>
        <v/>
      </c>
      <c r="DX21" s="66" t="str">
        <f t="shared" si="241"/>
        <v/>
      </c>
      <c r="DY21" s="66" t="str">
        <f t="shared" si="242"/>
        <v/>
      </c>
      <c r="DZ21" s="66" t="str">
        <f t="shared" si="243"/>
        <v/>
      </c>
      <c r="EA21" s="66" t="str">
        <f t="shared" si="244"/>
        <v/>
      </c>
      <c r="EB21" s="66" t="str">
        <f t="shared" si="245"/>
        <v/>
      </c>
      <c r="EC21" s="66" t="str">
        <f t="shared" si="246"/>
        <v/>
      </c>
      <c r="ED21" s="66" t="str">
        <f t="shared" si="247"/>
        <v/>
      </c>
      <c r="EE21" s="66" t="str">
        <f t="shared" si="248"/>
        <v/>
      </c>
      <c r="EF21" s="66" t="str">
        <f t="shared" si="249"/>
        <v/>
      </c>
      <c r="EG21" s="66" t="str">
        <f t="shared" si="250"/>
        <v/>
      </c>
      <c r="EH21" s="66" t="str">
        <f t="shared" si="251"/>
        <v/>
      </c>
      <c r="EI21" s="66" t="str">
        <f t="shared" si="252"/>
        <v/>
      </c>
      <c r="EJ21" s="66" t="str">
        <f t="shared" si="253"/>
        <v/>
      </c>
      <c r="EK21" s="66" t="str">
        <f t="shared" si="254"/>
        <v/>
      </c>
      <c r="EL21" s="66" t="str">
        <f t="shared" si="255"/>
        <v/>
      </c>
      <c r="EM21" s="66" t="str">
        <f t="shared" si="256"/>
        <v/>
      </c>
      <c r="EN21" s="66" t="str">
        <f t="shared" si="257"/>
        <v/>
      </c>
      <c r="EO21" s="66" t="str">
        <f t="shared" si="258"/>
        <v/>
      </c>
      <c r="EP21" s="66" t="str">
        <f t="shared" si="259"/>
        <v/>
      </c>
      <c r="EQ21" s="66" t="str">
        <f t="shared" si="260"/>
        <v/>
      </c>
      <c r="ER21" s="66" t="str">
        <f t="shared" si="261"/>
        <v/>
      </c>
      <c r="ES21" s="66" t="str">
        <f t="shared" si="262"/>
        <v/>
      </c>
      <c r="ET21" s="66" t="str">
        <f t="shared" si="263"/>
        <v/>
      </c>
      <c r="EU21" s="66" t="str">
        <f t="shared" si="264"/>
        <v/>
      </c>
      <c r="EV21" s="66" t="str">
        <f t="shared" si="265"/>
        <v/>
      </c>
      <c r="EW21" s="66" t="str">
        <f t="shared" si="266"/>
        <v/>
      </c>
      <c r="EX21" s="66" t="str">
        <f t="shared" si="267"/>
        <v/>
      </c>
      <c r="EY21" s="66" t="str">
        <f t="shared" si="268"/>
        <v/>
      </c>
      <c r="EZ21" s="66" t="str">
        <f t="shared" si="269"/>
        <v/>
      </c>
      <c r="FA21" s="66" t="str">
        <f t="shared" si="270"/>
        <v/>
      </c>
      <c r="FB21" s="66" t="str">
        <f t="shared" si="271"/>
        <v/>
      </c>
      <c r="FC21" s="66" t="str">
        <f t="shared" si="272"/>
        <v/>
      </c>
      <c r="FD21" s="66" t="str">
        <f t="shared" si="273"/>
        <v/>
      </c>
      <c r="FE21" s="66" t="str">
        <f t="shared" si="274"/>
        <v/>
      </c>
      <c r="FF21" s="66" t="str">
        <f t="shared" si="275"/>
        <v/>
      </c>
      <c r="FG21" s="66" t="str">
        <f t="shared" si="276"/>
        <v/>
      </c>
      <c r="FH21" s="66" t="str">
        <f t="shared" si="277"/>
        <v/>
      </c>
      <c r="FI21" s="66" t="str">
        <f t="shared" si="278"/>
        <v/>
      </c>
      <c r="FJ21" s="66" t="str">
        <f t="shared" si="279"/>
        <v/>
      </c>
      <c r="FK21" s="66" t="str">
        <f t="shared" si="280"/>
        <v/>
      </c>
      <c r="FL21" s="66" t="str">
        <f t="shared" si="281"/>
        <v/>
      </c>
      <c r="FM21" s="66" t="str">
        <f t="shared" si="282"/>
        <v/>
      </c>
      <c r="FN21" s="66" t="str">
        <f t="shared" si="283"/>
        <v/>
      </c>
      <c r="FO21" s="66" t="str">
        <f t="shared" si="284"/>
        <v/>
      </c>
      <c r="FP21" s="66" t="str">
        <f t="shared" si="285"/>
        <v/>
      </c>
      <c r="FQ21" s="66" t="str">
        <f t="shared" si="286"/>
        <v/>
      </c>
      <c r="FR21" s="66" t="str">
        <f t="shared" si="287"/>
        <v/>
      </c>
      <c r="FS21" s="66" t="str">
        <f t="shared" si="288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200000</v>
      </c>
      <c r="W22" s="78"/>
      <c r="X22" s="78"/>
      <c r="Y22" s="78"/>
      <c r="Z22" s="78"/>
      <c r="AA22" s="78"/>
      <c r="AB22" s="78"/>
      <c r="AC22" s="78"/>
      <c r="AD22" s="78">
        <v>40</v>
      </c>
      <c r="AE22" s="78"/>
      <c r="AF22" s="78"/>
      <c r="AG22" s="81"/>
      <c r="AH22" s="78"/>
      <c r="AI22" s="78"/>
      <c r="AJ22" s="78"/>
      <c r="AK22" s="78"/>
      <c r="AL22" s="81"/>
      <c r="AM22" s="78"/>
      <c r="AN22" s="78"/>
      <c r="AO22" s="78"/>
      <c r="AP22" s="83">
        <v>4</v>
      </c>
      <c r="AQ22" s="83"/>
      <c r="AR22" s="84"/>
      <c r="AS22" s="84"/>
      <c r="AT22" s="83"/>
      <c r="AU22" s="83"/>
      <c r="AV22" s="83"/>
      <c r="AW22" s="83"/>
      <c r="AX22" s="83"/>
      <c r="AY22" s="83"/>
      <c r="AZ22" s="83"/>
      <c r="BA22" s="83"/>
      <c r="BB22" s="8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3"/>
      <c r="CF22" s="83"/>
      <c r="CG22" s="83"/>
      <c r="CH22" s="83"/>
      <c r="CI22" s="83"/>
      <c r="CJ22" s="83"/>
      <c r="CK22" s="83"/>
      <c r="CL22" s="83"/>
      <c r="CM22" s="83"/>
      <c r="CN22" s="86" t="str">
        <f t="shared" si="2"/>
        <v>InitUnitState('E020',200000,,,,,,,,40,)</v>
      </c>
      <c r="CO22" s="86" t="str">
        <f t="shared" si="3"/>
        <v>InitUnitNormal('E020',,,,,,,,,,)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|n攻击+200000|n攻速+40%|n伤害吸取+4%|n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|Cffbbbbbb属性：|r|n攻击+200000|n攻速+40%|n伤害吸取+4%|n|n攻击10%概率附加|cffff4646业力*1|r魔法伤害|n|n|Cff00ff7f点击消耗35000金币进行晋阶挑战</v>
      </c>
      <c r="DB22" s="66" t="str">
        <f t="shared" si="219"/>
        <v>|n攻击+200000</v>
      </c>
      <c r="DC22" s="66" t="str">
        <f t="shared" si="220"/>
        <v/>
      </c>
      <c r="DD22" s="66" t="str">
        <f t="shared" si="221"/>
        <v/>
      </c>
      <c r="DE22" s="66" t="str">
        <f t="shared" si="222"/>
        <v/>
      </c>
      <c r="DF22" s="66" t="str">
        <f t="shared" si="223"/>
        <v/>
      </c>
      <c r="DG22" s="66" t="str">
        <f t="shared" si="224"/>
        <v/>
      </c>
      <c r="DH22" s="66" t="str">
        <f t="shared" si="225"/>
        <v/>
      </c>
      <c r="DI22" s="66" t="str">
        <f t="shared" si="226"/>
        <v/>
      </c>
      <c r="DJ22" s="66" t="str">
        <f t="shared" si="227"/>
        <v>|n攻速+40%</v>
      </c>
      <c r="DK22" s="66" t="str">
        <f t="shared" si="228"/>
        <v/>
      </c>
      <c r="DL22" s="66" t="str">
        <f t="shared" si="229"/>
        <v/>
      </c>
      <c r="DM22" s="66" t="str">
        <f t="shared" si="230"/>
        <v/>
      </c>
      <c r="DN22" s="66" t="str">
        <f t="shared" si="231"/>
        <v/>
      </c>
      <c r="DO22" s="66" t="str">
        <f t="shared" si="232"/>
        <v/>
      </c>
      <c r="DP22" s="66" t="str">
        <f t="shared" si="233"/>
        <v/>
      </c>
      <c r="DQ22" s="66" t="str">
        <f t="shared" si="234"/>
        <v/>
      </c>
      <c r="DR22" s="66" t="str">
        <f t="shared" si="235"/>
        <v/>
      </c>
      <c r="DS22" s="66" t="str">
        <f t="shared" si="236"/>
        <v/>
      </c>
      <c r="DT22" s="66" t="str">
        <f t="shared" si="237"/>
        <v/>
      </c>
      <c r="DU22" s="66" t="str">
        <f t="shared" si="238"/>
        <v/>
      </c>
      <c r="DV22" s="66" t="str">
        <f t="shared" si="239"/>
        <v>|n伤害吸取+4%</v>
      </c>
      <c r="DW22" s="66" t="str">
        <f t="shared" si="240"/>
        <v/>
      </c>
      <c r="DX22" s="66" t="str">
        <f t="shared" si="241"/>
        <v/>
      </c>
      <c r="DY22" s="66" t="str">
        <f t="shared" si="242"/>
        <v/>
      </c>
      <c r="DZ22" s="66" t="str">
        <f t="shared" si="243"/>
        <v/>
      </c>
      <c r="EA22" s="66" t="str">
        <f t="shared" si="244"/>
        <v/>
      </c>
      <c r="EB22" s="66" t="str">
        <f t="shared" si="245"/>
        <v/>
      </c>
      <c r="EC22" s="66" t="str">
        <f t="shared" si="246"/>
        <v/>
      </c>
      <c r="ED22" s="66" t="str">
        <f t="shared" si="247"/>
        <v/>
      </c>
      <c r="EE22" s="66" t="str">
        <f t="shared" si="248"/>
        <v/>
      </c>
      <c r="EF22" s="66" t="str">
        <f t="shared" si="249"/>
        <v/>
      </c>
      <c r="EG22" s="66" t="str">
        <f t="shared" si="250"/>
        <v/>
      </c>
      <c r="EH22" s="66" t="str">
        <f t="shared" si="251"/>
        <v/>
      </c>
      <c r="EI22" s="66" t="str">
        <f t="shared" si="252"/>
        <v/>
      </c>
      <c r="EJ22" s="66" t="str">
        <f t="shared" si="253"/>
        <v/>
      </c>
      <c r="EK22" s="66" t="str">
        <f t="shared" si="254"/>
        <v/>
      </c>
      <c r="EL22" s="66" t="str">
        <f t="shared" si="255"/>
        <v/>
      </c>
      <c r="EM22" s="66" t="str">
        <f t="shared" si="256"/>
        <v/>
      </c>
      <c r="EN22" s="66" t="str">
        <f t="shared" si="257"/>
        <v/>
      </c>
      <c r="EO22" s="66" t="str">
        <f t="shared" si="258"/>
        <v/>
      </c>
      <c r="EP22" s="66" t="str">
        <f t="shared" si="259"/>
        <v/>
      </c>
      <c r="EQ22" s="66" t="str">
        <f t="shared" si="260"/>
        <v/>
      </c>
      <c r="ER22" s="66" t="str">
        <f t="shared" si="261"/>
        <v/>
      </c>
      <c r="ES22" s="66" t="str">
        <f t="shared" si="262"/>
        <v/>
      </c>
      <c r="ET22" s="66" t="str">
        <f t="shared" si="263"/>
        <v/>
      </c>
      <c r="EU22" s="66" t="str">
        <f t="shared" si="264"/>
        <v/>
      </c>
      <c r="EV22" s="66" t="str">
        <f t="shared" si="265"/>
        <v/>
      </c>
      <c r="EW22" s="66" t="str">
        <f t="shared" si="266"/>
        <v/>
      </c>
      <c r="EX22" s="66" t="str">
        <f t="shared" si="267"/>
        <v/>
      </c>
      <c r="EY22" s="66" t="str">
        <f t="shared" si="268"/>
        <v/>
      </c>
      <c r="EZ22" s="66" t="str">
        <f t="shared" si="269"/>
        <v/>
      </c>
      <c r="FA22" s="66" t="str">
        <f t="shared" si="270"/>
        <v/>
      </c>
      <c r="FB22" s="66" t="str">
        <f t="shared" si="271"/>
        <v/>
      </c>
      <c r="FC22" s="66" t="str">
        <f t="shared" si="272"/>
        <v/>
      </c>
      <c r="FD22" s="66" t="str">
        <f t="shared" si="273"/>
        <v/>
      </c>
      <c r="FE22" s="66" t="str">
        <f t="shared" si="274"/>
        <v/>
      </c>
      <c r="FF22" s="66" t="str">
        <f t="shared" si="275"/>
        <v/>
      </c>
      <c r="FG22" s="66" t="str">
        <f t="shared" si="276"/>
        <v/>
      </c>
      <c r="FH22" s="66" t="str">
        <f t="shared" si="277"/>
        <v/>
      </c>
      <c r="FI22" s="66" t="str">
        <f t="shared" si="278"/>
        <v/>
      </c>
      <c r="FJ22" s="66" t="str">
        <f t="shared" si="279"/>
        <v/>
      </c>
      <c r="FK22" s="66" t="str">
        <f t="shared" si="280"/>
        <v/>
      </c>
      <c r="FL22" s="66" t="str">
        <f t="shared" si="281"/>
        <v/>
      </c>
      <c r="FM22" s="66" t="str">
        <f t="shared" si="282"/>
        <v/>
      </c>
      <c r="FN22" s="66" t="str">
        <f t="shared" si="283"/>
        <v/>
      </c>
      <c r="FO22" s="66" t="str">
        <f t="shared" si="284"/>
        <v/>
      </c>
      <c r="FP22" s="66" t="str">
        <f t="shared" si="285"/>
        <v/>
      </c>
      <c r="FQ22" s="66" t="str">
        <f t="shared" si="286"/>
        <v/>
      </c>
      <c r="FR22" s="66" t="str">
        <f t="shared" si="287"/>
        <v/>
      </c>
      <c r="FS22" s="66" t="str">
        <f t="shared" si="288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300000</v>
      </c>
      <c r="W23" s="78"/>
      <c r="X23" s="78"/>
      <c r="Y23" s="78"/>
      <c r="Z23" s="78"/>
      <c r="AA23" s="78"/>
      <c r="AB23" s="78"/>
      <c r="AC23" s="78"/>
      <c r="AD23" s="78">
        <v>60</v>
      </c>
      <c r="AE23" s="78"/>
      <c r="AF23" s="78"/>
      <c r="AG23" s="81"/>
      <c r="AH23" s="78"/>
      <c r="AI23" s="78"/>
      <c r="AJ23" s="78"/>
      <c r="AK23" s="78"/>
      <c r="AL23" s="81"/>
      <c r="AM23" s="78"/>
      <c r="AN23" s="78"/>
      <c r="AO23" s="78"/>
      <c r="AP23" s="83">
        <v>5</v>
      </c>
      <c r="AQ23" s="83"/>
      <c r="AR23" s="84"/>
      <c r="AS23" s="84"/>
      <c r="AT23" s="83"/>
      <c r="AU23" s="83"/>
      <c r="AV23" s="83"/>
      <c r="AW23" s="83"/>
      <c r="AX23" s="83"/>
      <c r="AY23" s="83"/>
      <c r="AZ23" s="83"/>
      <c r="BA23" s="83"/>
      <c r="BB23" s="8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3"/>
      <c r="CF23" s="83"/>
      <c r="CG23" s="83"/>
      <c r="CH23" s="83"/>
      <c r="CI23" s="83"/>
      <c r="CJ23" s="83"/>
      <c r="CK23" s="83"/>
      <c r="CL23" s="83"/>
      <c r="CM23" s="83"/>
      <c r="CN23" s="86" t="str">
        <f t="shared" si="2"/>
        <v>InitUnitState('E021',300000,,,,,,,,60,)</v>
      </c>
      <c r="CO23" s="86" t="str">
        <f t="shared" si="3"/>
        <v>InitUnitNormal('E021',,,,,,,,,,)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|n攻击+300000|n攻速+60%|n伤害吸取+5%|n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|Cffbbbbbb属性：|r|n攻击+300000|n攻速+60%|n伤害吸取+5%|n|n攻击10%概率附加|cffff4646业力*1|r魔法伤害|n|n|Cff00ff7f点击消耗35000金币进行强化|n成功率50%</v>
      </c>
      <c r="DB23" s="66" t="str">
        <f t="shared" si="219"/>
        <v>|n攻击+300000</v>
      </c>
      <c r="DC23" s="66" t="str">
        <f t="shared" si="220"/>
        <v/>
      </c>
      <c r="DD23" s="66" t="str">
        <f t="shared" si="221"/>
        <v/>
      </c>
      <c r="DE23" s="66" t="str">
        <f t="shared" si="222"/>
        <v/>
      </c>
      <c r="DF23" s="66" t="str">
        <f t="shared" si="223"/>
        <v/>
      </c>
      <c r="DG23" s="66" t="str">
        <f t="shared" si="224"/>
        <v/>
      </c>
      <c r="DH23" s="66" t="str">
        <f t="shared" si="225"/>
        <v/>
      </c>
      <c r="DI23" s="66" t="str">
        <f t="shared" si="226"/>
        <v/>
      </c>
      <c r="DJ23" s="66" t="str">
        <f t="shared" si="227"/>
        <v>|n攻速+60%</v>
      </c>
      <c r="DK23" s="66" t="str">
        <f t="shared" si="228"/>
        <v/>
      </c>
      <c r="DL23" s="66" t="str">
        <f t="shared" si="229"/>
        <v/>
      </c>
      <c r="DM23" s="66" t="str">
        <f t="shared" si="230"/>
        <v/>
      </c>
      <c r="DN23" s="66" t="str">
        <f t="shared" si="231"/>
        <v/>
      </c>
      <c r="DO23" s="66" t="str">
        <f t="shared" si="232"/>
        <v/>
      </c>
      <c r="DP23" s="66" t="str">
        <f t="shared" si="233"/>
        <v/>
      </c>
      <c r="DQ23" s="66" t="str">
        <f t="shared" si="234"/>
        <v/>
      </c>
      <c r="DR23" s="66" t="str">
        <f t="shared" si="235"/>
        <v/>
      </c>
      <c r="DS23" s="66" t="str">
        <f t="shared" si="236"/>
        <v/>
      </c>
      <c r="DT23" s="66" t="str">
        <f t="shared" si="237"/>
        <v/>
      </c>
      <c r="DU23" s="66" t="str">
        <f t="shared" si="238"/>
        <v/>
      </c>
      <c r="DV23" s="66" t="str">
        <f t="shared" si="239"/>
        <v>|n伤害吸取+5%</v>
      </c>
      <c r="DW23" s="66" t="str">
        <f t="shared" si="240"/>
        <v/>
      </c>
      <c r="DX23" s="66" t="str">
        <f t="shared" si="241"/>
        <v/>
      </c>
      <c r="DY23" s="66" t="str">
        <f t="shared" si="242"/>
        <v/>
      </c>
      <c r="DZ23" s="66" t="str">
        <f t="shared" si="243"/>
        <v/>
      </c>
      <c r="EA23" s="66" t="str">
        <f t="shared" si="244"/>
        <v/>
      </c>
      <c r="EB23" s="66" t="str">
        <f t="shared" si="245"/>
        <v/>
      </c>
      <c r="EC23" s="66" t="str">
        <f t="shared" si="246"/>
        <v/>
      </c>
      <c r="ED23" s="66" t="str">
        <f t="shared" si="247"/>
        <v/>
      </c>
      <c r="EE23" s="66" t="str">
        <f t="shared" si="248"/>
        <v/>
      </c>
      <c r="EF23" s="66" t="str">
        <f t="shared" si="249"/>
        <v/>
      </c>
      <c r="EG23" s="66" t="str">
        <f t="shared" si="250"/>
        <v/>
      </c>
      <c r="EH23" s="66" t="str">
        <f t="shared" si="251"/>
        <v/>
      </c>
      <c r="EI23" s="66" t="str">
        <f t="shared" si="252"/>
        <v/>
      </c>
      <c r="EJ23" s="66" t="str">
        <f t="shared" si="253"/>
        <v/>
      </c>
      <c r="EK23" s="66" t="str">
        <f t="shared" si="254"/>
        <v/>
      </c>
      <c r="EL23" s="66" t="str">
        <f t="shared" si="255"/>
        <v/>
      </c>
      <c r="EM23" s="66" t="str">
        <f t="shared" si="256"/>
        <v/>
      </c>
      <c r="EN23" s="66" t="str">
        <f t="shared" si="257"/>
        <v/>
      </c>
      <c r="EO23" s="66" t="str">
        <f t="shared" si="258"/>
        <v/>
      </c>
      <c r="EP23" s="66" t="str">
        <f t="shared" si="259"/>
        <v/>
      </c>
      <c r="EQ23" s="66" t="str">
        <f t="shared" si="260"/>
        <v/>
      </c>
      <c r="ER23" s="66" t="str">
        <f t="shared" si="261"/>
        <v/>
      </c>
      <c r="ES23" s="66" t="str">
        <f t="shared" si="262"/>
        <v/>
      </c>
      <c r="ET23" s="66" t="str">
        <f t="shared" si="263"/>
        <v/>
      </c>
      <c r="EU23" s="66" t="str">
        <f t="shared" si="264"/>
        <v/>
      </c>
      <c r="EV23" s="66" t="str">
        <f t="shared" si="265"/>
        <v/>
      </c>
      <c r="EW23" s="66" t="str">
        <f t="shared" si="266"/>
        <v/>
      </c>
      <c r="EX23" s="66" t="str">
        <f t="shared" si="267"/>
        <v/>
      </c>
      <c r="EY23" s="66" t="str">
        <f t="shared" si="268"/>
        <v/>
      </c>
      <c r="EZ23" s="66" t="str">
        <f t="shared" si="269"/>
        <v/>
      </c>
      <c r="FA23" s="66" t="str">
        <f t="shared" si="270"/>
        <v/>
      </c>
      <c r="FB23" s="66" t="str">
        <f t="shared" si="271"/>
        <v/>
      </c>
      <c r="FC23" s="66" t="str">
        <f t="shared" si="272"/>
        <v/>
      </c>
      <c r="FD23" s="66" t="str">
        <f t="shared" si="273"/>
        <v/>
      </c>
      <c r="FE23" s="66" t="str">
        <f t="shared" si="274"/>
        <v/>
      </c>
      <c r="FF23" s="66" t="str">
        <f t="shared" si="275"/>
        <v/>
      </c>
      <c r="FG23" s="66" t="str">
        <f t="shared" si="276"/>
        <v/>
      </c>
      <c r="FH23" s="66" t="str">
        <f t="shared" si="277"/>
        <v/>
      </c>
      <c r="FI23" s="66" t="str">
        <f t="shared" si="278"/>
        <v/>
      </c>
      <c r="FJ23" s="66" t="str">
        <f t="shared" si="279"/>
        <v/>
      </c>
      <c r="FK23" s="66" t="str">
        <f t="shared" si="280"/>
        <v/>
      </c>
      <c r="FL23" s="66" t="str">
        <f t="shared" si="281"/>
        <v/>
      </c>
      <c r="FM23" s="66" t="str">
        <f t="shared" si="282"/>
        <v/>
      </c>
      <c r="FN23" s="66" t="str">
        <f t="shared" si="283"/>
        <v/>
      </c>
      <c r="FO23" s="66" t="str">
        <f t="shared" si="284"/>
        <v/>
      </c>
      <c r="FP23" s="66" t="str">
        <f t="shared" si="285"/>
        <v/>
      </c>
      <c r="FQ23" s="66" t="str">
        <f t="shared" si="286"/>
        <v/>
      </c>
      <c r="FR23" s="66" t="str">
        <f t="shared" si="287"/>
        <v/>
      </c>
      <c r="FS23" s="66" t="str">
        <f t="shared" si="288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360000</v>
      </c>
      <c r="W24" s="78"/>
      <c r="X24" s="78"/>
      <c r="Y24" s="78"/>
      <c r="Z24" s="78"/>
      <c r="AA24" s="78"/>
      <c r="AB24" s="78"/>
      <c r="AC24" s="78"/>
      <c r="AD24" s="78">
        <v>60</v>
      </c>
      <c r="AE24" s="78"/>
      <c r="AF24" s="78"/>
      <c r="AG24" s="81"/>
      <c r="AH24" s="78"/>
      <c r="AI24" s="78"/>
      <c r="AJ24" s="78"/>
      <c r="AK24" s="78"/>
      <c r="AL24" s="81"/>
      <c r="AM24" s="78"/>
      <c r="AN24" s="78"/>
      <c r="AO24" s="78"/>
      <c r="AP24" s="83">
        <v>5</v>
      </c>
      <c r="AQ24" s="83"/>
      <c r="AR24" s="84"/>
      <c r="AS24" s="84"/>
      <c r="AT24" s="83"/>
      <c r="AU24" s="83"/>
      <c r="AV24" s="83"/>
      <c r="AW24" s="83"/>
      <c r="AX24" s="83"/>
      <c r="AY24" s="83"/>
      <c r="AZ24" s="83"/>
      <c r="BA24" s="83"/>
      <c r="BB24" s="8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3"/>
      <c r="CF24" s="83"/>
      <c r="CG24" s="83"/>
      <c r="CH24" s="83"/>
      <c r="CI24" s="83"/>
      <c r="CJ24" s="83"/>
      <c r="CK24" s="83"/>
      <c r="CL24" s="83"/>
      <c r="CM24" s="83"/>
      <c r="CN24" s="86" t="str">
        <f t="shared" si="2"/>
        <v>InitUnitState('E022',360000,,,,,,,,60,)</v>
      </c>
      <c r="CO24" s="86" t="str">
        <f t="shared" si="3"/>
        <v>InitUnitNormal('E022',,,,,,,,,,)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|n攻击+360000|n攻速+60%|n伤害吸取+5%|n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|Cffbbbbbb属性：|r|n攻击+360000|n攻速+60%|n伤害吸取+5%|n|n攻击10%概率附加|cffff4646业力*1|r魔法伤害|n|n|Cff00ff7f点击消耗35000金币进行强化|n成功率50%</v>
      </c>
      <c r="DB24" s="66" t="str">
        <f t="shared" si="219"/>
        <v>|n攻击+360000</v>
      </c>
      <c r="DC24" s="66" t="str">
        <f t="shared" si="220"/>
        <v/>
      </c>
      <c r="DD24" s="66" t="str">
        <f t="shared" si="221"/>
        <v/>
      </c>
      <c r="DE24" s="66" t="str">
        <f t="shared" si="222"/>
        <v/>
      </c>
      <c r="DF24" s="66" t="str">
        <f t="shared" si="223"/>
        <v/>
      </c>
      <c r="DG24" s="66" t="str">
        <f t="shared" si="224"/>
        <v/>
      </c>
      <c r="DH24" s="66" t="str">
        <f t="shared" si="225"/>
        <v/>
      </c>
      <c r="DI24" s="66" t="str">
        <f t="shared" si="226"/>
        <v/>
      </c>
      <c r="DJ24" s="66" t="str">
        <f t="shared" si="227"/>
        <v>|n攻速+60%</v>
      </c>
      <c r="DK24" s="66" t="str">
        <f t="shared" si="228"/>
        <v/>
      </c>
      <c r="DL24" s="66" t="str">
        <f t="shared" si="229"/>
        <v/>
      </c>
      <c r="DM24" s="66" t="str">
        <f t="shared" si="230"/>
        <v/>
      </c>
      <c r="DN24" s="66" t="str">
        <f t="shared" si="231"/>
        <v/>
      </c>
      <c r="DO24" s="66" t="str">
        <f t="shared" si="232"/>
        <v/>
      </c>
      <c r="DP24" s="66" t="str">
        <f t="shared" si="233"/>
        <v/>
      </c>
      <c r="DQ24" s="66" t="str">
        <f t="shared" si="234"/>
        <v/>
      </c>
      <c r="DR24" s="66" t="str">
        <f t="shared" si="235"/>
        <v/>
      </c>
      <c r="DS24" s="66" t="str">
        <f t="shared" si="236"/>
        <v/>
      </c>
      <c r="DT24" s="66" t="str">
        <f t="shared" si="237"/>
        <v/>
      </c>
      <c r="DU24" s="66" t="str">
        <f t="shared" si="238"/>
        <v/>
      </c>
      <c r="DV24" s="66" t="str">
        <f t="shared" si="239"/>
        <v>|n伤害吸取+5%</v>
      </c>
      <c r="DW24" s="66" t="str">
        <f t="shared" si="240"/>
        <v/>
      </c>
      <c r="DX24" s="66" t="str">
        <f t="shared" si="241"/>
        <v/>
      </c>
      <c r="DY24" s="66" t="str">
        <f t="shared" si="242"/>
        <v/>
      </c>
      <c r="DZ24" s="66" t="str">
        <f t="shared" si="243"/>
        <v/>
      </c>
      <c r="EA24" s="66" t="str">
        <f t="shared" si="244"/>
        <v/>
      </c>
      <c r="EB24" s="66" t="str">
        <f t="shared" si="245"/>
        <v/>
      </c>
      <c r="EC24" s="66" t="str">
        <f t="shared" si="246"/>
        <v/>
      </c>
      <c r="ED24" s="66" t="str">
        <f t="shared" si="247"/>
        <v/>
      </c>
      <c r="EE24" s="66" t="str">
        <f t="shared" si="248"/>
        <v/>
      </c>
      <c r="EF24" s="66" t="str">
        <f t="shared" si="249"/>
        <v/>
      </c>
      <c r="EG24" s="66" t="str">
        <f t="shared" si="250"/>
        <v/>
      </c>
      <c r="EH24" s="66" t="str">
        <f t="shared" si="251"/>
        <v/>
      </c>
      <c r="EI24" s="66" t="str">
        <f t="shared" si="252"/>
        <v/>
      </c>
      <c r="EJ24" s="66" t="str">
        <f t="shared" si="253"/>
        <v/>
      </c>
      <c r="EK24" s="66" t="str">
        <f t="shared" si="254"/>
        <v/>
      </c>
      <c r="EL24" s="66" t="str">
        <f t="shared" si="255"/>
        <v/>
      </c>
      <c r="EM24" s="66" t="str">
        <f t="shared" si="256"/>
        <v/>
      </c>
      <c r="EN24" s="66" t="str">
        <f t="shared" si="257"/>
        <v/>
      </c>
      <c r="EO24" s="66" t="str">
        <f t="shared" si="258"/>
        <v/>
      </c>
      <c r="EP24" s="66" t="str">
        <f t="shared" si="259"/>
        <v/>
      </c>
      <c r="EQ24" s="66" t="str">
        <f t="shared" si="260"/>
        <v/>
      </c>
      <c r="ER24" s="66" t="str">
        <f t="shared" si="261"/>
        <v/>
      </c>
      <c r="ES24" s="66" t="str">
        <f t="shared" si="262"/>
        <v/>
      </c>
      <c r="ET24" s="66" t="str">
        <f t="shared" si="263"/>
        <v/>
      </c>
      <c r="EU24" s="66" t="str">
        <f t="shared" si="264"/>
        <v/>
      </c>
      <c r="EV24" s="66" t="str">
        <f t="shared" si="265"/>
        <v/>
      </c>
      <c r="EW24" s="66" t="str">
        <f t="shared" si="266"/>
        <v/>
      </c>
      <c r="EX24" s="66" t="str">
        <f t="shared" si="267"/>
        <v/>
      </c>
      <c r="EY24" s="66" t="str">
        <f t="shared" si="268"/>
        <v/>
      </c>
      <c r="EZ24" s="66" t="str">
        <f t="shared" si="269"/>
        <v/>
      </c>
      <c r="FA24" s="66" t="str">
        <f t="shared" si="270"/>
        <v/>
      </c>
      <c r="FB24" s="66" t="str">
        <f t="shared" si="271"/>
        <v/>
      </c>
      <c r="FC24" s="66" t="str">
        <f t="shared" si="272"/>
        <v/>
      </c>
      <c r="FD24" s="66" t="str">
        <f t="shared" si="273"/>
        <v/>
      </c>
      <c r="FE24" s="66" t="str">
        <f t="shared" si="274"/>
        <v/>
      </c>
      <c r="FF24" s="66" t="str">
        <f t="shared" si="275"/>
        <v/>
      </c>
      <c r="FG24" s="66" t="str">
        <f t="shared" si="276"/>
        <v/>
      </c>
      <c r="FH24" s="66" t="str">
        <f t="shared" si="277"/>
        <v/>
      </c>
      <c r="FI24" s="66" t="str">
        <f t="shared" si="278"/>
        <v/>
      </c>
      <c r="FJ24" s="66" t="str">
        <f t="shared" si="279"/>
        <v/>
      </c>
      <c r="FK24" s="66" t="str">
        <f t="shared" si="280"/>
        <v/>
      </c>
      <c r="FL24" s="66" t="str">
        <f t="shared" si="281"/>
        <v/>
      </c>
      <c r="FM24" s="66" t="str">
        <f t="shared" si="282"/>
        <v/>
      </c>
      <c r="FN24" s="66" t="str">
        <f t="shared" si="283"/>
        <v/>
      </c>
      <c r="FO24" s="66" t="str">
        <f t="shared" si="284"/>
        <v/>
      </c>
      <c r="FP24" s="66" t="str">
        <f t="shared" si="285"/>
        <v/>
      </c>
      <c r="FQ24" s="66" t="str">
        <f t="shared" si="286"/>
        <v/>
      </c>
      <c r="FR24" s="66" t="str">
        <f t="shared" si="287"/>
        <v/>
      </c>
      <c r="FS24" s="66" t="str">
        <f t="shared" si="288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420000</v>
      </c>
      <c r="W25" s="78"/>
      <c r="X25" s="78"/>
      <c r="Y25" s="78"/>
      <c r="Z25" s="78"/>
      <c r="AA25" s="78"/>
      <c r="AB25" s="78"/>
      <c r="AC25" s="78"/>
      <c r="AD25" s="78">
        <v>60</v>
      </c>
      <c r="AE25" s="78"/>
      <c r="AF25" s="78"/>
      <c r="AG25" s="81"/>
      <c r="AH25" s="78"/>
      <c r="AI25" s="78"/>
      <c r="AJ25" s="78"/>
      <c r="AK25" s="78"/>
      <c r="AL25" s="81"/>
      <c r="AM25" s="78"/>
      <c r="AN25" s="78"/>
      <c r="AO25" s="78"/>
      <c r="AP25" s="83">
        <v>5</v>
      </c>
      <c r="AQ25" s="83"/>
      <c r="AR25" s="84"/>
      <c r="AS25" s="84"/>
      <c r="AT25" s="83"/>
      <c r="AU25" s="83"/>
      <c r="AV25" s="83"/>
      <c r="AW25" s="83"/>
      <c r="AX25" s="83"/>
      <c r="AY25" s="83"/>
      <c r="AZ25" s="83"/>
      <c r="BA25" s="83"/>
      <c r="BB25" s="8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3"/>
      <c r="CF25" s="83"/>
      <c r="CG25" s="83"/>
      <c r="CH25" s="83"/>
      <c r="CI25" s="83"/>
      <c r="CJ25" s="83"/>
      <c r="CK25" s="83"/>
      <c r="CL25" s="83"/>
      <c r="CM25" s="83"/>
      <c r="CN25" s="86" t="str">
        <f t="shared" si="2"/>
        <v>InitUnitState('E023',420000,,,,,,,,60,)</v>
      </c>
      <c r="CO25" s="86" t="str">
        <f t="shared" si="3"/>
        <v>InitUnitNormal('E023',,,,,,,,,,)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|n攻击+420000|n攻速+60%|n伤害吸取+5%|n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|Cffbbbbbb属性：|r|n攻击+420000|n攻速+60%|n伤害吸取+5%|n|n攻击10%概率附加|cffff4646业力*1|r魔法伤害|n|n|Cff00ff7f点击消耗35000金币进行强化|n成功率50%</v>
      </c>
      <c r="DB25" s="66" t="str">
        <f t="shared" si="219"/>
        <v>|n攻击+420000</v>
      </c>
      <c r="DC25" s="66" t="str">
        <f t="shared" si="220"/>
        <v/>
      </c>
      <c r="DD25" s="66" t="str">
        <f t="shared" si="221"/>
        <v/>
      </c>
      <c r="DE25" s="66" t="str">
        <f t="shared" si="222"/>
        <v/>
      </c>
      <c r="DF25" s="66" t="str">
        <f t="shared" si="223"/>
        <v/>
      </c>
      <c r="DG25" s="66" t="str">
        <f t="shared" si="224"/>
        <v/>
      </c>
      <c r="DH25" s="66" t="str">
        <f t="shared" si="225"/>
        <v/>
      </c>
      <c r="DI25" s="66" t="str">
        <f t="shared" si="226"/>
        <v/>
      </c>
      <c r="DJ25" s="66" t="str">
        <f t="shared" si="227"/>
        <v>|n攻速+60%</v>
      </c>
      <c r="DK25" s="66" t="str">
        <f t="shared" si="228"/>
        <v/>
      </c>
      <c r="DL25" s="66" t="str">
        <f t="shared" si="229"/>
        <v/>
      </c>
      <c r="DM25" s="66" t="str">
        <f t="shared" si="230"/>
        <v/>
      </c>
      <c r="DN25" s="66" t="str">
        <f t="shared" si="231"/>
        <v/>
      </c>
      <c r="DO25" s="66" t="str">
        <f t="shared" si="232"/>
        <v/>
      </c>
      <c r="DP25" s="66" t="str">
        <f t="shared" si="233"/>
        <v/>
      </c>
      <c r="DQ25" s="66" t="str">
        <f t="shared" si="234"/>
        <v/>
      </c>
      <c r="DR25" s="66" t="str">
        <f t="shared" si="235"/>
        <v/>
      </c>
      <c r="DS25" s="66" t="str">
        <f t="shared" si="236"/>
        <v/>
      </c>
      <c r="DT25" s="66" t="str">
        <f t="shared" si="237"/>
        <v/>
      </c>
      <c r="DU25" s="66" t="str">
        <f t="shared" si="238"/>
        <v/>
      </c>
      <c r="DV25" s="66" t="str">
        <f t="shared" si="239"/>
        <v>|n伤害吸取+5%</v>
      </c>
      <c r="DW25" s="66" t="str">
        <f t="shared" si="240"/>
        <v/>
      </c>
      <c r="DX25" s="66" t="str">
        <f t="shared" si="241"/>
        <v/>
      </c>
      <c r="DY25" s="66" t="str">
        <f t="shared" si="242"/>
        <v/>
      </c>
      <c r="DZ25" s="66" t="str">
        <f t="shared" si="243"/>
        <v/>
      </c>
      <c r="EA25" s="66" t="str">
        <f t="shared" si="244"/>
        <v/>
      </c>
      <c r="EB25" s="66" t="str">
        <f t="shared" si="245"/>
        <v/>
      </c>
      <c r="EC25" s="66" t="str">
        <f t="shared" si="246"/>
        <v/>
      </c>
      <c r="ED25" s="66" t="str">
        <f t="shared" si="247"/>
        <v/>
      </c>
      <c r="EE25" s="66" t="str">
        <f t="shared" si="248"/>
        <v/>
      </c>
      <c r="EF25" s="66" t="str">
        <f t="shared" si="249"/>
        <v/>
      </c>
      <c r="EG25" s="66" t="str">
        <f t="shared" si="250"/>
        <v/>
      </c>
      <c r="EH25" s="66" t="str">
        <f t="shared" si="251"/>
        <v/>
      </c>
      <c r="EI25" s="66" t="str">
        <f t="shared" si="252"/>
        <v/>
      </c>
      <c r="EJ25" s="66" t="str">
        <f t="shared" si="253"/>
        <v/>
      </c>
      <c r="EK25" s="66" t="str">
        <f t="shared" si="254"/>
        <v/>
      </c>
      <c r="EL25" s="66" t="str">
        <f t="shared" si="255"/>
        <v/>
      </c>
      <c r="EM25" s="66" t="str">
        <f t="shared" si="256"/>
        <v/>
      </c>
      <c r="EN25" s="66" t="str">
        <f t="shared" si="257"/>
        <v/>
      </c>
      <c r="EO25" s="66" t="str">
        <f t="shared" si="258"/>
        <v/>
      </c>
      <c r="EP25" s="66" t="str">
        <f t="shared" si="259"/>
        <v/>
      </c>
      <c r="EQ25" s="66" t="str">
        <f t="shared" si="260"/>
        <v/>
      </c>
      <c r="ER25" s="66" t="str">
        <f t="shared" si="261"/>
        <v/>
      </c>
      <c r="ES25" s="66" t="str">
        <f t="shared" si="262"/>
        <v/>
      </c>
      <c r="ET25" s="66" t="str">
        <f t="shared" si="263"/>
        <v/>
      </c>
      <c r="EU25" s="66" t="str">
        <f t="shared" si="264"/>
        <v/>
      </c>
      <c r="EV25" s="66" t="str">
        <f t="shared" si="265"/>
        <v/>
      </c>
      <c r="EW25" s="66" t="str">
        <f t="shared" si="266"/>
        <v/>
      </c>
      <c r="EX25" s="66" t="str">
        <f t="shared" si="267"/>
        <v/>
      </c>
      <c r="EY25" s="66" t="str">
        <f t="shared" si="268"/>
        <v/>
      </c>
      <c r="EZ25" s="66" t="str">
        <f t="shared" si="269"/>
        <v/>
      </c>
      <c r="FA25" s="66" t="str">
        <f t="shared" si="270"/>
        <v/>
      </c>
      <c r="FB25" s="66" t="str">
        <f t="shared" si="271"/>
        <v/>
      </c>
      <c r="FC25" s="66" t="str">
        <f t="shared" si="272"/>
        <v/>
      </c>
      <c r="FD25" s="66" t="str">
        <f t="shared" si="273"/>
        <v/>
      </c>
      <c r="FE25" s="66" t="str">
        <f t="shared" si="274"/>
        <v/>
      </c>
      <c r="FF25" s="66" t="str">
        <f t="shared" si="275"/>
        <v/>
      </c>
      <c r="FG25" s="66" t="str">
        <f t="shared" si="276"/>
        <v/>
      </c>
      <c r="FH25" s="66" t="str">
        <f t="shared" si="277"/>
        <v/>
      </c>
      <c r="FI25" s="66" t="str">
        <f t="shared" si="278"/>
        <v/>
      </c>
      <c r="FJ25" s="66" t="str">
        <f t="shared" si="279"/>
        <v/>
      </c>
      <c r="FK25" s="66" t="str">
        <f t="shared" si="280"/>
        <v/>
      </c>
      <c r="FL25" s="66" t="str">
        <f t="shared" si="281"/>
        <v/>
      </c>
      <c r="FM25" s="66" t="str">
        <f t="shared" si="282"/>
        <v/>
      </c>
      <c r="FN25" s="66" t="str">
        <f t="shared" si="283"/>
        <v/>
      </c>
      <c r="FO25" s="66" t="str">
        <f t="shared" si="284"/>
        <v/>
      </c>
      <c r="FP25" s="66" t="str">
        <f t="shared" si="285"/>
        <v/>
      </c>
      <c r="FQ25" s="66" t="str">
        <f t="shared" si="286"/>
        <v/>
      </c>
      <c r="FR25" s="66" t="str">
        <f t="shared" si="287"/>
        <v/>
      </c>
      <c r="FS25" s="66" t="str">
        <f t="shared" si="288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500000</v>
      </c>
      <c r="W26" s="78"/>
      <c r="X26" s="78"/>
      <c r="Y26" s="78"/>
      <c r="Z26" s="78"/>
      <c r="AA26" s="78"/>
      <c r="AB26" s="78"/>
      <c r="AC26" s="78"/>
      <c r="AD26" s="78">
        <v>60</v>
      </c>
      <c r="AE26" s="78"/>
      <c r="AF26" s="78"/>
      <c r="AG26" s="81"/>
      <c r="AH26" s="78"/>
      <c r="AI26" s="78"/>
      <c r="AJ26" s="78"/>
      <c r="AK26" s="78"/>
      <c r="AL26" s="81"/>
      <c r="AM26" s="78"/>
      <c r="AN26" s="78"/>
      <c r="AO26" s="78"/>
      <c r="AP26" s="83">
        <v>5</v>
      </c>
      <c r="AQ26" s="83"/>
      <c r="AR26" s="84"/>
      <c r="AS26" s="84"/>
      <c r="AT26" s="83"/>
      <c r="AU26" s="83"/>
      <c r="AV26" s="83"/>
      <c r="AW26" s="83"/>
      <c r="AX26" s="83"/>
      <c r="AY26" s="83"/>
      <c r="AZ26" s="83"/>
      <c r="BA26" s="83"/>
      <c r="BB26" s="8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3"/>
      <c r="CF26" s="83"/>
      <c r="CG26" s="83"/>
      <c r="CH26" s="83"/>
      <c r="CI26" s="83"/>
      <c r="CJ26" s="83"/>
      <c r="CK26" s="83"/>
      <c r="CL26" s="83"/>
      <c r="CM26" s="83"/>
      <c r="CN26" s="86" t="str">
        <f t="shared" si="2"/>
        <v>InitUnitState('E024',500000,,,,,,,,60,)</v>
      </c>
      <c r="CO26" s="86" t="str">
        <f t="shared" si="3"/>
        <v>InitUnitNormal('E024',,,,,,,,,,)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|n攻击+500000|n攻速+60%|n伤害吸取+5%|n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|Cffbbbbbb属性：|r|n攻击+500000|n攻速+60%|n伤害吸取+5%|n|n攻击10%概率附加|cffff4646业力*1|r魔法伤害|n|n|Cff00ff7f点击消耗35000金币进行强化|n成功率50%</v>
      </c>
      <c r="DB26" s="66" t="str">
        <f t="shared" si="219"/>
        <v>|n攻击+500000</v>
      </c>
      <c r="DC26" s="66" t="str">
        <f t="shared" si="220"/>
        <v/>
      </c>
      <c r="DD26" s="66" t="str">
        <f t="shared" si="221"/>
        <v/>
      </c>
      <c r="DE26" s="66" t="str">
        <f t="shared" si="222"/>
        <v/>
      </c>
      <c r="DF26" s="66" t="str">
        <f t="shared" si="223"/>
        <v/>
      </c>
      <c r="DG26" s="66" t="str">
        <f t="shared" si="224"/>
        <v/>
      </c>
      <c r="DH26" s="66" t="str">
        <f t="shared" si="225"/>
        <v/>
      </c>
      <c r="DI26" s="66" t="str">
        <f t="shared" si="226"/>
        <v/>
      </c>
      <c r="DJ26" s="66" t="str">
        <f t="shared" si="227"/>
        <v>|n攻速+60%</v>
      </c>
      <c r="DK26" s="66" t="str">
        <f t="shared" si="228"/>
        <v/>
      </c>
      <c r="DL26" s="66" t="str">
        <f t="shared" si="229"/>
        <v/>
      </c>
      <c r="DM26" s="66" t="str">
        <f t="shared" si="230"/>
        <v/>
      </c>
      <c r="DN26" s="66" t="str">
        <f t="shared" si="231"/>
        <v/>
      </c>
      <c r="DO26" s="66" t="str">
        <f t="shared" si="232"/>
        <v/>
      </c>
      <c r="DP26" s="66" t="str">
        <f t="shared" si="233"/>
        <v/>
      </c>
      <c r="DQ26" s="66" t="str">
        <f t="shared" si="234"/>
        <v/>
      </c>
      <c r="DR26" s="66" t="str">
        <f t="shared" si="235"/>
        <v/>
      </c>
      <c r="DS26" s="66" t="str">
        <f t="shared" si="236"/>
        <v/>
      </c>
      <c r="DT26" s="66" t="str">
        <f t="shared" si="237"/>
        <v/>
      </c>
      <c r="DU26" s="66" t="str">
        <f t="shared" si="238"/>
        <v/>
      </c>
      <c r="DV26" s="66" t="str">
        <f t="shared" si="239"/>
        <v>|n伤害吸取+5%</v>
      </c>
      <c r="DW26" s="66" t="str">
        <f t="shared" si="240"/>
        <v/>
      </c>
      <c r="DX26" s="66" t="str">
        <f t="shared" si="241"/>
        <v/>
      </c>
      <c r="DY26" s="66" t="str">
        <f t="shared" si="242"/>
        <v/>
      </c>
      <c r="DZ26" s="66" t="str">
        <f t="shared" si="243"/>
        <v/>
      </c>
      <c r="EA26" s="66" t="str">
        <f t="shared" si="244"/>
        <v/>
      </c>
      <c r="EB26" s="66" t="str">
        <f t="shared" si="245"/>
        <v/>
      </c>
      <c r="EC26" s="66" t="str">
        <f t="shared" si="246"/>
        <v/>
      </c>
      <c r="ED26" s="66" t="str">
        <f t="shared" si="247"/>
        <v/>
      </c>
      <c r="EE26" s="66" t="str">
        <f t="shared" si="248"/>
        <v/>
      </c>
      <c r="EF26" s="66" t="str">
        <f t="shared" si="249"/>
        <v/>
      </c>
      <c r="EG26" s="66" t="str">
        <f t="shared" si="250"/>
        <v/>
      </c>
      <c r="EH26" s="66" t="str">
        <f t="shared" si="251"/>
        <v/>
      </c>
      <c r="EI26" s="66" t="str">
        <f t="shared" si="252"/>
        <v/>
      </c>
      <c r="EJ26" s="66" t="str">
        <f t="shared" si="253"/>
        <v/>
      </c>
      <c r="EK26" s="66" t="str">
        <f t="shared" si="254"/>
        <v/>
      </c>
      <c r="EL26" s="66" t="str">
        <f t="shared" si="255"/>
        <v/>
      </c>
      <c r="EM26" s="66" t="str">
        <f t="shared" si="256"/>
        <v/>
      </c>
      <c r="EN26" s="66" t="str">
        <f t="shared" si="257"/>
        <v/>
      </c>
      <c r="EO26" s="66" t="str">
        <f t="shared" si="258"/>
        <v/>
      </c>
      <c r="EP26" s="66" t="str">
        <f t="shared" si="259"/>
        <v/>
      </c>
      <c r="EQ26" s="66" t="str">
        <f t="shared" si="260"/>
        <v/>
      </c>
      <c r="ER26" s="66" t="str">
        <f t="shared" si="261"/>
        <v/>
      </c>
      <c r="ES26" s="66" t="str">
        <f t="shared" si="262"/>
        <v/>
      </c>
      <c r="ET26" s="66" t="str">
        <f t="shared" si="263"/>
        <v/>
      </c>
      <c r="EU26" s="66" t="str">
        <f t="shared" si="264"/>
        <v/>
      </c>
      <c r="EV26" s="66" t="str">
        <f t="shared" si="265"/>
        <v/>
      </c>
      <c r="EW26" s="66" t="str">
        <f t="shared" si="266"/>
        <v/>
      </c>
      <c r="EX26" s="66" t="str">
        <f t="shared" si="267"/>
        <v/>
      </c>
      <c r="EY26" s="66" t="str">
        <f t="shared" si="268"/>
        <v/>
      </c>
      <c r="EZ26" s="66" t="str">
        <f t="shared" si="269"/>
        <v/>
      </c>
      <c r="FA26" s="66" t="str">
        <f t="shared" si="270"/>
        <v/>
      </c>
      <c r="FB26" s="66" t="str">
        <f t="shared" si="271"/>
        <v/>
      </c>
      <c r="FC26" s="66" t="str">
        <f t="shared" si="272"/>
        <v/>
      </c>
      <c r="FD26" s="66" t="str">
        <f t="shared" si="273"/>
        <v/>
      </c>
      <c r="FE26" s="66" t="str">
        <f t="shared" si="274"/>
        <v/>
      </c>
      <c r="FF26" s="66" t="str">
        <f t="shared" si="275"/>
        <v/>
      </c>
      <c r="FG26" s="66" t="str">
        <f t="shared" si="276"/>
        <v/>
      </c>
      <c r="FH26" s="66" t="str">
        <f t="shared" si="277"/>
        <v/>
      </c>
      <c r="FI26" s="66" t="str">
        <f t="shared" si="278"/>
        <v/>
      </c>
      <c r="FJ26" s="66" t="str">
        <f t="shared" si="279"/>
        <v/>
      </c>
      <c r="FK26" s="66" t="str">
        <f t="shared" si="280"/>
        <v/>
      </c>
      <c r="FL26" s="66" t="str">
        <f t="shared" si="281"/>
        <v/>
      </c>
      <c r="FM26" s="66" t="str">
        <f t="shared" si="282"/>
        <v/>
      </c>
      <c r="FN26" s="66" t="str">
        <f t="shared" si="283"/>
        <v/>
      </c>
      <c r="FO26" s="66" t="str">
        <f t="shared" si="284"/>
        <v/>
      </c>
      <c r="FP26" s="66" t="str">
        <f t="shared" si="285"/>
        <v/>
      </c>
      <c r="FQ26" s="66" t="str">
        <f t="shared" si="286"/>
        <v/>
      </c>
      <c r="FR26" s="66" t="str">
        <f t="shared" si="287"/>
        <v/>
      </c>
      <c r="FS26" s="66" t="str">
        <f t="shared" si="288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600000</v>
      </c>
      <c r="W27" s="78"/>
      <c r="X27" s="78"/>
      <c r="Y27" s="78"/>
      <c r="Z27" s="78"/>
      <c r="AA27" s="78"/>
      <c r="AB27" s="78"/>
      <c r="AC27" s="78"/>
      <c r="AD27" s="78">
        <v>60</v>
      </c>
      <c r="AE27" s="78"/>
      <c r="AF27" s="78"/>
      <c r="AG27" s="81"/>
      <c r="AH27" s="78"/>
      <c r="AI27" s="78"/>
      <c r="AJ27" s="78"/>
      <c r="AK27" s="78"/>
      <c r="AL27" s="81"/>
      <c r="AM27" s="78"/>
      <c r="AN27" s="78"/>
      <c r="AO27" s="78"/>
      <c r="AP27" s="83">
        <v>5</v>
      </c>
      <c r="AQ27" s="83"/>
      <c r="AR27" s="84"/>
      <c r="AS27" s="84"/>
      <c r="AT27" s="83"/>
      <c r="AU27" s="83"/>
      <c r="AV27" s="83"/>
      <c r="AW27" s="83"/>
      <c r="AX27" s="83"/>
      <c r="AY27" s="83"/>
      <c r="AZ27" s="83"/>
      <c r="BA27" s="83"/>
      <c r="BB27" s="8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3"/>
      <c r="CF27" s="83"/>
      <c r="CG27" s="83"/>
      <c r="CH27" s="83"/>
      <c r="CI27" s="83"/>
      <c r="CJ27" s="83"/>
      <c r="CK27" s="83"/>
      <c r="CL27" s="83"/>
      <c r="CM27" s="83"/>
      <c r="CN27" s="86" t="str">
        <f t="shared" si="2"/>
        <v>InitUnitState('E025',600000,,,,,,,,60,)</v>
      </c>
      <c r="CO27" s="86" t="str">
        <f t="shared" si="3"/>
        <v>InitUnitNormal('E025',,,,,,,,,,)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|n攻击+600000|n攻速+60%|n伤害吸取+5%|n</v>
      </c>
      <c r="CV27" s="19" t="str">
        <f>"|Cffbbbbbb属性：|r"&amp;CU27&amp;VLOOKUP(A27,合成公式!A:P,16,FALSE)&amp;T27</f>
        <v>|Cffbbbbbb属性：|r|n攻击+600000|n攻速+60%|n伤害吸取+5%|n|n攻击10%概率附加|cffff4646业力*1|r魔法伤害|n|n|Cff999999装备进化：未开放|r</v>
      </c>
      <c r="DB27" s="66" t="str">
        <f t="shared" si="219"/>
        <v>|n攻击+600000</v>
      </c>
      <c r="DC27" s="66" t="str">
        <f t="shared" si="220"/>
        <v/>
      </c>
      <c r="DD27" s="66" t="str">
        <f t="shared" si="221"/>
        <v/>
      </c>
      <c r="DE27" s="66" t="str">
        <f t="shared" si="222"/>
        <v/>
      </c>
      <c r="DF27" s="66" t="str">
        <f t="shared" si="223"/>
        <v/>
      </c>
      <c r="DG27" s="66" t="str">
        <f t="shared" si="224"/>
        <v/>
      </c>
      <c r="DH27" s="66" t="str">
        <f t="shared" si="225"/>
        <v/>
      </c>
      <c r="DI27" s="66" t="str">
        <f t="shared" si="226"/>
        <v/>
      </c>
      <c r="DJ27" s="66" t="str">
        <f t="shared" si="227"/>
        <v>|n攻速+60%</v>
      </c>
      <c r="DK27" s="66" t="str">
        <f t="shared" si="228"/>
        <v/>
      </c>
      <c r="DL27" s="66" t="str">
        <f t="shared" si="229"/>
        <v/>
      </c>
      <c r="DM27" s="66" t="str">
        <f t="shared" si="230"/>
        <v/>
      </c>
      <c r="DN27" s="66" t="str">
        <f t="shared" si="231"/>
        <v/>
      </c>
      <c r="DO27" s="66" t="str">
        <f t="shared" si="232"/>
        <v/>
      </c>
      <c r="DP27" s="66" t="str">
        <f t="shared" si="233"/>
        <v/>
      </c>
      <c r="DQ27" s="66" t="str">
        <f t="shared" si="234"/>
        <v/>
      </c>
      <c r="DR27" s="66" t="str">
        <f t="shared" si="235"/>
        <v/>
      </c>
      <c r="DS27" s="66" t="str">
        <f t="shared" si="236"/>
        <v/>
      </c>
      <c r="DT27" s="66" t="str">
        <f t="shared" si="237"/>
        <v/>
      </c>
      <c r="DU27" s="66" t="str">
        <f t="shared" si="238"/>
        <v/>
      </c>
      <c r="DV27" s="66" t="str">
        <f t="shared" si="239"/>
        <v>|n伤害吸取+5%</v>
      </c>
      <c r="DW27" s="66" t="str">
        <f t="shared" si="240"/>
        <v/>
      </c>
      <c r="DX27" s="66" t="str">
        <f t="shared" si="241"/>
        <v/>
      </c>
      <c r="DY27" s="66" t="str">
        <f t="shared" si="242"/>
        <v/>
      </c>
      <c r="DZ27" s="66" t="str">
        <f t="shared" si="243"/>
        <v/>
      </c>
      <c r="EA27" s="66" t="str">
        <f t="shared" si="244"/>
        <v/>
      </c>
      <c r="EB27" s="66" t="str">
        <f t="shared" si="245"/>
        <v/>
      </c>
      <c r="EC27" s="66" t="str">
        <f t="shared" si="246"/>
        <v/>
      </c>
      <c r="ED27" s="66" t="str">
        <f t="shared" si="247"/>
        <v/>
      </c>
      <c r="EE27" s="66" t="str">
        <f t="shared" si="248"/>
        <v/>
      </c>
      <c r="EF27" s="66" t="str">
        <f t="shared" si="249"/>
        <v/>
      </c>
      <c r="EG27" s="66" t="str">
        <f t="shared" si="250"/>
        <v/>
      </c>
      <c r="EH27" s="66" t="str">
        <f t="shared" si="251"/>
        <v/>
      </c>
      <c r="EI27" s="66" t="str">
        <f t="shared" si="252"/>
        <v/>
      </c>
      <c r="EJ27" s="66" t="str">
        <f t="shared" si="253"/>
        <v/>
      </c>
      <c r="EK27" s="66" t="str">
        <f t="shared" si="254"/>
        <v/>
      </c>
      <c r="EL27" s="66" t="str">
        <f t="shared" si="255"/>
        <v/>
      </c>
      <c r="EM27" s="66" t="str">
        <f t="shared" si="256"/>
        <v/>
      </c>
      <c r="EN27" s="66" t="str">
        <f t="shared" si="257"/>
        <v/>
      </c>
      <c r="EO27" s="66" t="str">
        <f t="shared" si="258"/>
        <v/>
      </c>
      <c r="EP27" s="66" t="str">
        <f t="shared" si="259"/>
        <v/>
      </c>
      <c r="EQ27" s="66" t="str">
        <f t="shared" si="260"/>
        <v/>
      </c>
      <c r="ER27" s="66" t="str">
        <f t="shared" si="261"/>
        <v/>
      </c>
      <c r="ES27" s="66" t="str">
        <f t="shared" si="262"/>
        <v/>
      </c>
      <c r="ET27" s="66" t="str">
        <f t="shared" si="263"/>
        <v/>
      </c>
      <c r="EU27" s="66" t="str">
        <f t="shared" si="264"/>
        <v/>
      </c>
      <c r="EV27" s="66" t="str">
        <f t="shared" si="265"/>
        <v/>
      </c>
      <c r="EW27" s="66" t="str">
        <f t="shared" si="266"/>
        <v/>
      </c>
      <c r="EX27" s="66" t="str">
        <f t="shared" si="267"/>
        <v/>
      </c>
      <c r="EY27" s="66" t="str">
        <f t="shared" si="268"/>
        <v/>
      </c>
      <c r="EZ27" s="66" t="str">
        <f t="shared" si="269"/>
        <v/>
      </c>
      <c r="FA27" s="66" t="str">
        <f t="shared" si="270"/>
        <v/>
      </c>
      <c r="FB27" s="66" t="str">
        <f t="shared" si="271"/>
        <v/>
      </c>
      <c r="FC27" s="66" t="str">
        <f t="shared" si="272"/>
        <v/>
      </c>
      <c r="FD27" s="66" t="str">
        <f t="shared" si="273"/>
        <v/>
      </c>
      <c r="FE27" s="66" t="str">
        <f t="shared" si="274"/>
        <v/>
      </c>
      <c r="FF27" s="66" t="str">
        <f t="shared" si="275"/>
        <v/>
      </c>
      <c r="FG27" s="66" t="str">
        <f t="shared" si="276"/>
        <v/>
      </c>
      <c r="FH27" s="66" t="str">
        <f t="shared" si="277"/>
        <v/>
      </c>
      <c r="FI27" s="66" t="str">
        <f t="shared" si="278"/>
        <v/>
      </c>
      <c r="FJ27" s="66" t="str">
        <f t="shared" si="279"/>
        <v/>
      </c>
      <c r="FK27" s="66" t="str">
        <f t="shared" si="280"/>
        <v/>
      </c>
      <c r="FL27" s="66" t="str">
        <f t="shared" si="281"/>
        <v/>
      </c>
      <c r="FM27" s="66" t="str">
        <f t="shared" si="282"/>
        <v/>
      </c>
      <c r="FN27" s="66" t="str">
        <f t="shared" si="283"/>
        <v/>
      </c>
      <c r="FO27" s="66" t="str">
        <f t="shared" si="284"/>
        <v/>
      </c>
      <c r="FP27" s="66" t="str">
        <f t="shared" si="285"/>
        <v/>
      </c>
      <c r="FQ27" s="66" t="str">
        <f t="shared" si="286"/>
        <v/>
      </c>
      <c r="FR27" s="66" t="str">
        <f t="shared" si="287"/>
        <v/>
      </c>
      <c r="FS27" s="66" t="str">
        <f t="shared" si="288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250</v>
      </c>
      <c r="W28" s="78">
        <v>1000</v>
      </c>
      <c r="X28" s="78"/>
      <c r="Y28" s="78"/>
      <c r="Z28" s="78">
        <v>5000</v>
      </c>
      <c r="AA28" s="78"/>
      <c r="AB28" s="78"/>
      <c r="AC28" s="78"/>
      <c r="AD28" s="78"/>
      <c r="AE28" s="78"/>
      <c r="AF28" s="78"/>
      <c r="AG28" s="81"/>
      <c r="AH28" s="78"/>
      <c r="AI28" s="78"/>
      <c r="AJ28" s="78"/>
      <c r="AK28" s="78"/>
      <c r="AL28" s="81"/>
      <c r="AM28" s="78"/>
      <c r="AN28" s="78"/>
      <c r="AO28" s="78"/>
      <c r="AP28" s="83"/>
      <c r="AQ28" s="83"/>
      <c r="AR28" s="84"/>
      <c r="AS28" s="84"/>
      <c r="AT28" s="83"/>
      <c r="AU28" s="83"/>
      <c r="AV28" s="83"/>
      <c r="AW28" s="83"/>
      <c r="AX28" s="83"/>
      <c r="AY28" s="83"/>
      <c r="AZ28" s="83"/>
      <c r="BA28" s="83"/>
      <c r="BB28" s="8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3"/>
      <c r="CF28" s="83"/>
      <c r="CG28" s="83"/>
      <c r="CH28" s="83"/>
      <c r="CI28" s="83"/>
      <c r="CJ28" s="83"/>
      <c r="CK28" s="83"/>
      <c r="CL28" s="83"/>
      <c r="CM28" s="83"/>
      <c r="CN28" s="86" t="str">
        <f t="shared" si="2"/>
        <v>InitUnitState('E101',250,1000,,,5000,,,,,)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|n攻击+250|n业力+1000|n生命值+5000|n每秒业力+1|n</v>
      </c>
      <c r="CV28" s="19" t="str">
        <f>"|Cffbbbbbb属性：|r"&amp;CU28&amp;VLOOKUP(A28,合成公式!A:P,16,FALSE)&amp;T28</f>
        <v>|Cffbbbbbb属性：|r|n攻击+250|n业力+1000|n生命值+5000|n每秒业力+1|n|n攻击6%概率范围|cffff4646业力*15|r魔法伤害|n|n|Cff00ff7f击杀150只怪有50%概率升级|r</v>
      </c>
      <c r="DB28" s="66" t="str">
        <f t="shared" si="219"/>
        <v>|n攻击+250</v>
      </c>
      <c r="DC28" s="66" t="str">
        <f t="shared" si="220"/>
        <v>|n业力+1000</v>
      </c>
      <c r="DD28" s="66" t="str">
        <f t="shared" si="221"/>
        <v/>
      </c>
      <c r="DE28" s="66" t="str">
        <f t="shared" si="222"/>
        <v/>
      </c>
      <c r="DF28" s="66" t="str">
        <f t="shared" si="223"/>
        <v>|n生命值+5000</v>
      </c>
      <c r="DG28" s="66" t="str">
        <f t="shared" si="224"/>
        <v/>
      </c>
      <c r="DH28" s="66" t="str">
        <f t="shared" si="225"/>
        <v/>
      </c>
      <c r="DI28" s="66" t="str">
        <f t="shared" si="226"/>
        <v/>
      </c>
      <c r="DJ28" s="66" t="str">
        <f t="shared" si="227"/>
        <v/>
      </c>
      <c r="DK28" s="66" t="str">
        <f t="shared" si="228"/>
        <v/>
      </c>
      <c r="DL28" s="66" t="str">
        <f t="shared" si="229"/>
        <v/>
      </c>
      <c r="DM28" s="66" t="str">
        <f t="shared" si="230"/>
        <v/>
      </c>
      <c r="DN28" s="66" t="str">
        <f t="shared" si="231"/>
        <v/>
      </c>
      <c r="DO28" s="66" t="str">
        <f t="shared" si="232"/>
        <v/>
      </c>
      <c r="DP28" s="66" t="str">
        <f t="shared" si="233"/>
        <v/>
      </c>
      <c r="DQ28" s="66" t="str">
        <f t="shared" si="234"/>
        <v/>
      </c>
      <c r="DR28" s="66" t="str">
        <f t="shared" si="235"/>
        <v/>
      </c>
      <c r="DS28" s="66" t="str">
        <f t="shared" si="236"/>
        <v/>
      </c>
      <c r="DT28" s="66" t="str">
        <f t="shared" si="237"/>
        <v/>
      </c>
      <c r="DU28" s="66" t="str">
        <f t="shared" si="238"/>
        <v/>
      </c>
      <c r="DV28" s="66" t="str">
        <f t="shared" si="239"/>
        <v/>
      </c>
      <c r="DW28" s="66" t="str">
        <f t="shared" si="240"/>
        <v/>
      </c>
      <c r="DX28" s="66" t="str">
        <f t="shared" si="241"/>
        <v/>
      </c>
      <c r="DY28" s="66" t="str">
        <f t="shared" si="242"/>
        <v/>
      </c>
      <c r="DZ28" s="66" t="str">
        <f t="shared" si="243"/>
        <v/>
      </c>
      <c r="EA28" s="66" t="str">
        <f t="shared" si="244"/>
        <v/>
      </c>
      <c r="EB28" s="66" t="str">
        <f t="shared" si="245"/>
        <v/>
      </c>
      <c r="EC28" s="66" t="str">
        <f t="shared" si="246"/>
        <v/>
      </c>
      <c r="ED28" s="66" t="str">
        <f t="shared" si="247"/>
        <v/>
      </c>
      <c r="EE28" s="66" t="str">
        <f t="shared" si="248"/>
        <v/>
      </c>
      <c r="EF28" s="66" t="str">
        <f t="shared" si="249"/>
        <v/>
      </c>
      <c r="EG28" s="66" t="str">
        <f t="shared" si="250"/>
        <v/>
      </c>
      <c r="EH28" s="66" t="str">
        <f t="shared" si="251"/>
        <v/>
      </c>
      <c r="EI28" s="66" t="str">
        <f t="shared" si="252"/>
        <v/>
      </c>
      <c r="EJ28" s="66" t="str">
        <f t="shared" si="253"/>
        <v/>
      </c>
      <c r="EK28" s="66" t="str">
        <f t="shared" si="254"/>
        <v/>
      </c>
      <c r="EL28" s="66" t="str">
        <f t="shared" si="255"/>
        <v/>
      </c>
      <c r="EM28" s="66" t="str">
        <f t="shared" si="256"/>
        <v/>
      </c>
      <c r="EN28" s="66" t="str">
        <f t="shared" si="257"/>
        <v/>
      </c>
      <c r="EO28" s="66" t="str">
        <f t="shared" si="258"/>
        <v/>
      </c>
      <c r="EP28" s="66" t="str">
        <f t="shared" si="259"/>
        <v/>
      </c>
      <c r="EQ28" s="66" t="str">
        <f t="shared" si="260"/>
        <v/>
      </c>
      <c r="ER28" s="66" t="str">
        <f t="shared" si="261"/>
        <v/>
      </c>
      <c r="ES28" s="66" t="str">
        <f t="shared" si="262"/>
        <v/>
      </c>
      <c r="ET28" s="66" t="str">
        <f t="shared" si="263"/>
        <v/>
      </c>
      <c r="EU28" s="66" t="str">
        <f t="shared" si="264"/>
        <v/>
      </c>
      <c r="EV28" s="66" t="str">
        <f t="shared" si="265"/>
        <v/>
      </c>
      <c r="EW28" s="66" t="str">
        <f t="shared" si="266"/>
        <v>|n每秒业力+1</v>
      </c>
      <c r="EX28" s="66" t="str">
        <f t="shared" si="267"/>
        <v/>
      </c>
      <c r="EY28" s="66" t="str">
        <f t="shared" si="268"/>
        <v/>
      </c>
      <c r="EZ28" s="66" t="str">
        <f t="shared" si="269"/>
        <v/>
      </c>
      <c r="FA28" s="66" t="str">
        <f t="shared" si="270"/>
        <v/>
      </c>
      <c r="FB28" s="66" t="str">
        <f t="shared" si="271"/>
        <v/>
      </c>
      <c r="FC28" s="66" t="str">
        <f t="shared" si="272"/>
        <v/>
      </c>
      <c r="FD28" s="66" t="str">
        <f t="shared" si="273"/>
        <v/>
      </c>
      <c r="FE28" s="66" t="str">
        <f t="shared" si="274"/>
        <v/>
      </c>
      <c r="FF28" s="66" t="str">
        <f t="shared" si="275"/>
        <v/>
      </c>
      <c r="FG28" s="66" t="str">
        <f t="shared" si="276"/>
        <v/>
      </c>
      <c r="FH28" s="66" t="str">
        <f t="shared" si="277"/>
        <v/>
      </c>
      <c r="FI28" s="66" t="str">
        <f t="shared" si="278"/>
        <v/>
      </c>
      <c r="FJ28" s="66" t="str">
        <f t="shared" si="279"/>
        <v/>
      </c>
      <c r="FK28" s="66" t="str">
        <f t="shared" si="280"/>
        <v/>
      </c>
      <c r="FL28" s="66" t="str">
        <f t="shared" si="281"/>
        <v/>
      </c>
      <c r="FM28" s="66" t="str">
        <f t="shared" si="282"/>
        <v/>
      </c>
      <c r="FN28" s="66" t="str">
        <f t="shared" si="283"/>
        <v/>
      </c>
      <c r="FO28" s="66" t="str">
        <f t="shared" si="284"/>
        <v/>
      </c>
      <c r="FP28" s="66" t="str">
        <f t="shared" si="285"/>
        <v/>
      </c>
      <c r="FQ28" s="66" t="str">
        <f t="shared" si="286"/>
        <v/>
      </c>
      <c r="FR28" s="66" t="str">
        <f t="shared" si="287"/>
        <v/>
      </c>
      <c r="FS28" s="66" t="str">
        <f t="shared" si="288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89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0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500</v>
      </c>
      <c r="W29" s="78">
        <v>2000</v>
      </c>
      <c r="X29" s="78"/>
      <c r="Y29" s="78"/>
      <c r="Z29" s="78">
        <v>10000</v>
      </c>
      <c r="AA29" s="78"/>
      <c r="AB29" s="78"/>
      <c r="AC29" s="78"/>
      <c r="AD29" s="78"/>
      <c r="AE29" s="78"/>
      <c r="AF29" s="78"/>
      <c r="AG29" s="81"/>
      <c r="AH29" s="78"/>
      <c r="AI29" s="78"/>
      <c r="AJ29" s="78"/>
      <c r="AK29" s="78"/>
      <c r="AL29" s="81"/>
      <c r="AM29" s="78"/>
      <c r="AN29" s="78"/>
      <c r="AO29" s="78"/>
      <c r="AP29" s="83"/>
      <c r="AQ29" s="83"/>
      <c r="AR29" s="84"/>
      <c r="AS29" s="84"/>
      <c r="AT29" s="83"/>
      <c r="AU29" s="83"/>
      <c r="AV29" s="83"/>
      <c r="AW29" s="83"/>
      <c r="AX29" s="83"/>
      <c r="AY29" s="83"/>
      <c r="AZ29" s="83"/>
      <c r="BA29" s="83"/>
      <c r="BB29" s="8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3"/>
      <c r="CF29" s="83"/>
      <c r="CG29" s="83"/>
      <c r="CH29" s="83"/>
      <c r="CI29" s="83"/>
      <c r="CJ29" s="83"/>
      <c r="CK29" s="83"/>
      <c r="CL29" s="83"/>
      <c r="CM29" s="83"/>
      <c r="CN29" s="86" t="str">
        <f t="shared" si="2"/>
        <v>InitUnitState('E102',500,2000,,,10000,,,,,)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|n攻击+500|n业力+2000|n生命值+10000|n每秒业力+2|n</v>
      </c>
      <c r="CV29" s="19" t="str">
        <f>"|Cffbbbbbb属性：|r"&amp;CU29&amp;VLOOKUP(A29,合成公式!A:P,16,FALSE)&amp;T29</f>
        <v>|Cffbbbbbb属性：|r|n攻击+500|n业力+2000|n生命值+10000|n每秒业力+2|n|n攻击6%概率范围|cffff4646业力*15|r魔法伤害|n|n|Cff00ff7f击杀150只怪有50%概率升级|r</v>
      </c>
      <c r="DB29" s="66" t="str">
        <f t="shared" si="219"/>
        <v>|n攻击+500</v>
      </c>
      <c r="DC29" s="66" t="str">
        <f t="shared" si="220"/>
        <v>|n业力+2000</v>
      </c>
      <c r="DD29" s="66" t="str">
        <f t="shared" si="221"/>
        <v/>
      </c>
      <c r="DE29" s="66" t="str">
        <f t="shared" si="222"/>
        <v/>
      </c>
      <c r="DF29" s="66" t="str">
        <f t="shared" si="223"/>
        <v>|n生命值+10000</v>
      </c>
      <c r="DG29" s="66" t="str">
        <f t="shared" si="224"/>
        <v/>
      </c>
      <c r="DH29" s="66" t="str">
        <f t="shared" si="225"/>
        <v/>
      </c>
      <c r="DI29" s="66" t="str">
        <f t="shared" si="226"/>
        <v/>
      </c>
      <c r="DJ29" s="66" t="str">
        <f t="shared" si="227"/>
        <v/>
      </c>
      <c r="DK29" s="66" t="str">
        <f t="shared" si="228"/>
        <v/>
      </c>
      <c r="DL29" s="66" t="str">
        <f t="shared" si="229"/>
        <v/>
      </c>
      <c r="DM29" s="66" t="str">
        <f t="shared" si="230"/>
        <v/>
      </c>
      <c r="DN29" s="66" t="str">
        <f t="shared" si="231"/>
        <v/>
      </c>
      <c r="DO29" s="66" t="str">
        <f t="shared" si="232"/>
        <v/>
      </c>
      <c r="DP29" s="66" t="str">
        <f t="shared" si="233"/>
        <v/>
      </c>
      <c r="DQ29" s="66" t="str">
        <f t="shared" si="234"/>
        <v/>
      </c>
      <c r="DR29" s="66" t="str">
        <f t="shared" si="235"/>
        <v/>
      </c>
      <c r="DS29" s="66" t="str">
        <f t="shared" si="236"/>
        <v/>
      </c>
      <c r="DT29" s="66" t="str">
        <f t="shared" si="237"/>
        <v/>
      </c>
      <c r="DU29" s="66" t="str">
        <f t="shared" si="238"/>
        <v/>
      </c>
      <c r="DV29" s="66" t="str">
        <f t="shared" si="239"/>
        <v/>
      </c>
      <c r="DW29" s="66" t="str">
        <f t="shared" si="240"/>
        <v/>
      </c>
      <c r="DX29" s="66" t="str">
        <f t="shared" si="241"/>
        <v/>
      </c>
      <c r="DY29" s="66" t="str">
        <f t="shared" si="242"/>
        <v/>
      </c>
      <c r="DZ29" s="66" t="str">
        <f t="shared" si="243"/>
        <v/>
      </c>
      <c r="EA29" s="66" t="str">
        <f t="shared" si="244"/>
        <v/>
      </c>
      <c r="EB29" s="66" t="str">
        <f t="shared" si="245"/>
        <v/>
      </c>
      <c r="EC29" s="66" t="str">
        <f t="shared" si="246"/>
        <v/>
      </c>
      <c r="ED29" s="66" t="str">
        <f t="shared" si="247"/>
        <v/>
      </c>
      <c r="EE29" s="66" t="str">
        <f t="shared" si="248"/>
        <v/>
      </c>
      <c r="EF29" s="66" t="str">
        <f t="shared" si="249"/>
        <v/>
      </c>
      <c r="EG29" s="66" t="str">
        <f t="shared" si="250"/>
        <v/>
      </c>
      <c r="EH29" s="66" t="str">
        <f t="shared" si="251"/>
        <v/>
      </c>
      <c r="EI29" s="66" t="str">
        <f t="shared" si="252"/>
        <v/>
      </c>
      <c r="EJ29" s="66" t="str">
        <f t="shared" si="253"/>
        <v/>
      </c>
      <c r="EK29" s="66" t="str">
        <f t="shared" si="254"/>
        <v/>
      </c>
      <c r="EL29" s="66" t="str">
        <f t="shared" si="255"/>
        <v/>
      </c>
      <c r="EM29" s="66" t="str">
        <f t="shared" si="256"/>
        <v/>
      </c>
      <c r="EN29" s="66" t="str">
        <f t="shared" si="257"/>
        <v/>
      </c>
      <c r="EO29" s="66" t="str">
        <f t="shared" si="258"/>
        <v/>
      </c>
      <c r="EP29" s="66" t="str">
        <f t="shared" si="259"/>
        <v/>
      </c>
      <c r="EQ29" s="66" t="str">
        <f t="shared" si="260"/>
        <v/>
      </c>
      <c r="ER29" s="66" t="str">
        <f t="shared" si="261"/>
        <v/>
      </c>
      <c r="ES29" s="66" t="str">
        <f t="shared" si="262"/>
        <v/>
      </c>
      <c r="ET29" s="66" t="str">
        <f t="shared" si="263"/>
        <v/>
      </c>
      <c r="EU29" s="66" t="str">
        <f t="shared" si="264"/>
        <v/>
      </c>
      <c r="EV29" s="66" t="str">
        <f t="shared" si="265"/>
        <v/>
      </c>
      <c r="EW29" s="66" t="str">
        <f t="shared" si="266"/>
        <v>|n每秒业力+2</v>
      </c>
      <c r="EX29" s="66" t="str">
        <f t="shared" si="267"/>
        <v/>
      </c>
      <c r="EY29" s="66" t="str">
        <f t="shared" si="268"/>
        <v/>
      </c>
      <c r="EZ29" s="66" t="str">
        <f t="shared" si="269"/>
        <v/>
      </c>
      <c r="FA29" s="66" t="str">
        <f t="shared" si="270"/>
        <v/>
      </c>
      <c r="FB29" s="66" t="str">
        <f t="shared" si="271"/>
        <v/>
      </c>
      <c r="FC29" s="66" t="str">
        <f t="shared" si="272"/>
        <v/>
      </c>
      <c r="FD29" s="66" t="str">
        <f t="shared" si="273"/>
        <v/>
      </c>
      <c r="FE29" s="66" t="str">
        <f t="shared" si="274"/>
        <v/>
      </c>
      <c r="FF29" s="66" t="str">
        <f t="shared" si="275"/>
        <v/>
      </c>
      <c r="FG29" s="66" t="str">
        <f t="shared" si="276"/>
        <v/>
      </c>
      <c r="FH29" s="66" t="str">
        <f t="shared" si="277"/>
        <v/>
      </c>
      <c r="FI29" s="66" t="str">
        <f t="shared" si="278"/>
        <v/>
      </c>
      <c r="FJ29" s="66" t="str">
        <f t="shared" si="279"/>
        <v/>
      </c>
      <c r="FK29" s="66" t="str">
        <f t="shared" si="280"/>
        <v/>
      </c>
      <c r="FL29" s="66" t="str">
        <f t="shared" si="281"/>
        <v/>
      </c>
      <c r="FM29" s="66" t="str">
        <f t="shared" si="282"/>
        <v/>
      </c>
      <c r="FN29" s="66" t="str">
        <f t="shared" si="283"/>
        <v/>
      </c>
      <c r="FO29" s="66" t="str">
        <f t="shared" si="284"/>
        <v/>
      </c>
      <c r="FP29" s="66" t="str">
        <f t="shared" si="285"/>
        <v/>
      </c>
      <c r="FQ29" s="66" t="str">
        <f t="shared" si="286"/>
        <v/>
      </c>
      <c r="FR29" s="66" t="str">
        <f t="shared" si="287"/>
        <v/>
      </c>
      <c r="FS29" s="66" t="str">
        <f t="shared" si="288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89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0"/>
        <v>|n攻击6%概率范围|cffff4646业力*15|r魔法伤害|n|n|Cff00ff7f击杀150只怪有50%概率升级|r</v>
      </c>
      <c r="U30" s="77" t="s">
        <v>241</v>
      </c>
      <c r="V30" s="78">
        <v>750</v>
      </c>
      <c r="W30" s="78">
        <v>3000</v>
      </c>
      <c r="X30" s="78"/>
      <c r="Y30" s="78"/>
      <c r="Z30" s="78">
        <v>15000</v>
      </c>
      <c r="AA30" s="78"/>
      <c r="AB30" s="78"/>
      <c r="AC30" s="78"/>
      <c r="AD30" s="78"/>
      <c r="AE30" s="78"/>
      <c r="AF30" s="78"/>
      <c r="AG30" s="81"/>
      <c r="AH30" s="78"/>
      <c r="AI30" s="78"/>
      <c r="AJ30" s="78"/>
      <c r="AK30" s="78"/>
      <c r="AL30" s="81"/>
      <c r="AM30" s="78"/>
      <c r="AN30" s="78"/>
      <c r="AO30" s="78"/>
      <c r="AP30" s="83"/>
      <c r="AQ30" s="83"/>
      <c r="AR30" s="84"/>
      <c r="AS30" s="84"/>
      <c r="AT30" s="83"/>
      <c r="AU30" s="83"/>
      <c r="AV30" s="83"/>
      <c r="AW30" s="83"/>
      <c r="AX30" s="83"/>
      <c r="AY30" s="83"/>
      <c r="AZ30" s="83"/>
      <c r="BA30" s="83"/>
      <c r="BB30" s="8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3"/>
      <c r="CF30" s="83"/>
      <c r="CG30" s="83"/>
      <c r="CH30" s="83"/>
      <c r="CI30" s="83"/>
      <c r="CJ30" s="83"/>
      <c r="CK30" s="83"/>
      <c r="CL30" s="83"/>
      <c r="CM30" s="83"/>
      <c r="CN30" s="86" t="str">
        <f t="shared" si="2"/>
        <v>InitUnitState('E103',750,3000,,,15000,,,,,)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|n攻击+750|n业力+3000|n生命值+15000|n每秒业力+3|n</v>
      </c>
      <c r="CV30" s="19" t="str">
        <f>"|Cffbbbbbb属性：|r"&amp;CU30&amp;VLOOKUP(A30,合成公式!A:P,16,FALSE)&amp;T30</f>
        <v>|Cffbbbbbb属性：|r|n攻击+750|n业力+3000|n生命值+15000|n每秒业力+3|n|n攻击6%概率范围|cffff4646业力*15|r魔法伤害|n|n|Cff00ff7f击杀150只怪有50%概率升级|r</v>
      </c>
      <c r="DB30" s="66" t="str">
        <f t="shared" si="219"/>
        <v>|n攻击+750</v>
      </c>
      <c r="DC30" s="66" t="str">
        <f t="shared" si="220"/>
        <v>|n业力+3000</v>
      </c>
      <c r="DD30" s="66" t="str">
        <f t="shared" si="221"/>
        <v/>
      </c>
      <c r="DE30" s="66" t="str">
        <f t="shared" si="222"/>
        <v/>
      </c>
      <c r="DF30" s="66" t="str">
        <f t="shared" si="223"/>
        <v>|n生命值+15000</v>
      </c>
      <c r="DG30" s="66" t="str">
        <f t="shared" si="224"/>
        <v/>
      </c>
      <c r="DH30" s="66" t="str">
        <f t="shared" si="225"/>
        <v/>
      </c>
      <c r="DI30" s="66" t="str">
        <f t="shared" si="226"/>
        <v/>
      </c>
      <c r="DJ30" s="66" t="str">
        <f t="shared" si="227"/>
        <v/>
      </c>
      <c r="DK30" s="66" t="str">
        <f t="shared" si="228"/>
        <v/>
      </c>
      <c r="DL30" s="66" t="str">
        <f t="shared" si="229"/>
        <v/>
      </c>
      <c r="DM30" s="66" t="str">
        <f t="shared" si="230"/>
        <v/>
      </c>
      <c r="DN30" s="66" t="str">
        <f t="shared" si="231"/>
        <v/>
      </c>
      <c r="DO30" s="66" t="str">
        <f t="shared" si="232"/>
        <v/>
      </c>
      <c r="DP30" s="66" t="str">
        <f t="shared" si="233"/>
        <v/>
      </c>
      <c r="DQ30" s="66" t="str">
        <f t="shared" si="234"/>
        <v/>
      </c>
      <c r="DR30" s="66" t="str">
        <f t="shared" si="235"/>
        <v/>
      </c>
      <c r="DS30" s="66" t="str">
        <f t="shared" si="236"/>
        <v/>
      </c>
      <c r="DT30" s="66" t="str">
        <f t="shared" si="237"/>
        <v/>
      </c>
      <c r="DU30" s="66" t="str">
        <f t="shared" si="238"/>
        <v/>
      </c>
      <c r="DV30" s="66" t="str">
        <f t="shared" si="239"/>
        <v/>
      </c>
      <c r="DW30" s="66" t="str">
        <f t="shared" si="240"/>
        <v/>
      </c>
      <c r="DX30" s="66" t="str">
        <f t="shared" si="241"/>
        <v/>
      </c>
      <c r="DY30" s="66" t="str">
        <f t="shared" si="242"/>
        <v/>
      </c>
      <c r="DZ30" s="66" t="str">
        <f t="shared" si="243"/>
        <v/>
      </c>
      <c r="EA30" s="66" t="str">
        <f t="shared" si="244"/>
        <v/>
      </c>
      <c r="EB30" s="66" t="str">
        <f t="shared" si="245"/>
        <v/>
      </c>
      <c r="EC30" s="66" t="str">
        <f t="shared" si="246"/>
        <v/>
      </c>
      <c r="ED30" s="66" t="str">
        <f t="shared" si="247"/>
        <v/>
      </c>
      <c r="EE30" s="66" t="str">
        <f t="shared" si="248"/>
        <v/>
      </c>
      <c r="EF30" s="66" t="str">
        <f t="shared" si="249"/>
        <v/>
      </c>
      <c r="EG30" s="66" t="str">
        <f t="shared" si="250"/>
        <v/>
      </c>
      <c r="EH30" s="66" t="str">
        <f t="shared" si="251"/>
        <v/>
      </c>
      <c r="EI30" s="66" t="str">
        <f t="shared" si="252"/>
        <v/>
      </c>
      <c r="EJ30" s="66" t="str">
        <f t="shared" si="253"/>
        <v/>
      </c>
      <c r="EK30" s="66" t="str">
        <f t="shared" si="254"/>
        <v/>
      </c>
      <c r="EL30" s="66" t="str">
        <f t="shared" si="255"/>
        <v/>
      </c>
      <c r="EM30" s="66" t="str">
        <f t="shared" si="256"/>
        <v/>
      </c>
      <c r="EN30" s="66" t="str">
        <f t="shared" si="257"/>
        <v/>
      </c>
      <c r="EO30" s="66" t="str">
        <f t="shared" si="258"/>
        <v/>
      </c>
      <c r="EP30" s="66" t="str">
        <f t="shared" si="259"/>
        <v/>
      </c>
      <c r="EQ30" s="66" t="str">
        <f t="shared" si="260"/>
        <v/>
      </c>
      <c r="ER30" s="66" t="str">
        <f t="shared" si="261"/>
        <v/>
      </c>
      <c r="ES30" s="66" t="str">
        <f t="shared" si="262"/>
        <v/>
      </c>
      <c r="ET30" s="66" t="str">
        <f t="shared" si="263"/>
        <v/>
      </c>
      <c r="EU30" s="66" t="str">
        <f t="shared" si="264"/>
        <v/>
      </c>
      <c r="EV30" s="66" t="str">
        <f t="shared" si="265"/>
        <v/>
      </c>
      <c r="EW30" s="66" t="str">
        <f t="shared" si="266"/>
        <v>|n每秒业力+3</v>
      </c>
      <c r="EX30" s="66" t="str">
        <f t="shared" si="267"/>
        <v/>
      </c>
      <c r="EY30" s="66" t="str">
        <f t="shared" si="268"/>
        <v/>
      </c>
      <c r="EZ30" s="66" t="str">
        <f t="shared" si="269"/>
        <v/>
      </c>
      <c r="FA30" s="66" t="str">
        <f t="shared" si="270"/>
        <v/>
      </c>
      <c r="FB30" s="66" t="str">
        <f t="shared" si="271"/>
        <v/>
      </c>
      <c r="FC30" s="66" t="str">
        <f t="shared" si="272"/>
        <v/>
      </c>
      <c r="FD30" s="66" t="str">
        <f t="shared" si="273"/>
        <v/>
      </c>
      <c r="FE30" s="66" t="str">
        <f t="shared" si="274"/>
        <v/>
      </c>
      <c r="FF30" s="66" t="str">
        <f t="shared" si="275"/>
        <v/>
      </c>
      <c r="FG30" s="66" t="str">
        <f t="shared" si="276"/>
        <v/>
      </c>
      <c r="FH30" s="66" t="str">
        <f t="shared" si="277"/>
        <v/>
      </c>
      <c r="FI30" s="66" t="str">
        <f t="shared" si="278"/>
        <v/>
      </c>
      <c r="FJ30" s="66" t="str">
        <f t="shared" si="279"/>
        <v/>
      </c>
      <c r="FK30" s="66" t="str">
        <f t="shared" si="280"/>
        <v/>
      </c>
      <c r="FL30" s="66" t="str">
        <f t="shared" si="281"/>
        <v/>
      </c>
      <c r="FM30" s="66" t="str">
        <f t="shared" si="282"/>
        <v/>
      </c>
      <c r="FN30" s="66" t="str">
        <f t="shared" si="283"/>
        <v/>
      </c>
      <c r="FO30" s="66" t="str">
        <f t="shared" si="284"/>
        <v/>
      </c>
      <c r="FP30" s="66" t="str">
        <f t="shared" si="285"/>
        <v/>
      </c>
      <c r="FQ30" s="66" t="str">
        <f t="shared" si="286"/>
        <v/>
      </c>
      <c r="FR30" s="66" t="str">
        <f t="shared" si="287"/>
        <v/>
      </c>
      <c r="FS30" s="66" t="str">
        <f t="shared" si="288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89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0"/>
        <v>|n攻击6%概率范围|cffff4646业力*15|r魔法伤害|n|n|Cff00ff7f击杀150只怪有50%概率升级|r</v>
      </c>
      <c r="U31" s="77" t="s">
        <v>241</v>
      </c>
      <c r="V31" s="78">
        <v>1000</v>
      </c>
      <c r="W31" s="78">
        <v>4000</v>
      </c>
      <c r="X31" s="78"/>
      <c r="Y31" s="78"/>
      <c r="Z31" s="78">
        <v>20000</v>
      </c>
      <c r="AA31" s="78"/>
      <c r="AB31" s="78"/>
      <c r="AC31" s="78"/>
      <c r="AD31" s="78"/>
      <c r="AE31" s="78"/>
      <c r="AF31" s="78"/>
      <c r="AG31" s="81"/>
      <c r="AH31" s="78"/>
      <c r="AI31" s="78"/>
      <c r="AJ31" s="78"/>
      <c r="AK31" s="78"/>
      <c r="AL31" s="81"/>
      <c r="AM31" s="78"/>
      <c r="AN31" s="78"/>
      <c r="AO31" s="78"/>
      <c r="AP31" s="83"/>
      <c r="AQ31" s="83"/>
      <c r="AR31" s="84"/>
      <c r="AS31" s="84"/>
      <c r="AT31" s="83"/>
      <c r="AU31" s="83"/>
      <c r="AV31" s="83"/>
      <c r="AW31" s="83"/>
      <c r="AX31" s="83"/>
      <c r="AY31" s="83"/>
      <c r="AZ31" s="83"/>
      <c r="BA31" s="83"/>
      <c r="BB31" s="8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3"/>
      <c r="CF31" s="83"/>
      <c r="CG31" s="83"/>
      <c r="CH31" s="83"/>
      <c r="CI31" s="83"/>
      <c r="CJ31" s="83"/>
      <c r="CK31" s="83"/>
      <c r="CL31" s="83"/>
      <c r="CM31" s="83"/>
      <c r="CN31" s="86" t="str">
        <f t="shared" si="2"/>
        <v>InitUnitState('E104',1000,4000,,,20000,,,,,)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|n攻击+1000|n业力+4000|n生命值+20000|n每秒业力+4|n</v>
      </c>
      <c r="CV31" s="19" t="str">
        <f>"|Cffbbbbbb属性：|r"&amp;CU31&amp;VLOOKUP(A31,合成公式!A:P,16,FALSE)&amp;T31</f>
        <v>|Cffbbbbbb属性：|r|n攻击+1000|n业力+4000|n生命值+20000|n每秒业力+4|n|n攻击6%概率范围|cffff4646业力*15|r魔法伤害|n|n|Cff00ff7f击杀150只怪有50%概率升级|r</v>
      </c>
      <c r="DB31" s="66" t="str">
        <f t="shared" si="219"/>
        <v>|n攻击+1000</v>
      </c>
      <c r="DC31" s="66" t="str">
        <f t="shared" si="220"/>
        <v>|n业力+4000</v>
      </c>
      <c r="DD31" s="66" t="str">
        <f t="shared" si="221"/>
        <v/>
      </c>
      <c r="DE31" s="66" t="str">
        <f t="shared" si="222"/>
        <v/>
      </c>
      <c r="DF31" s="66" t="str">
        <f t="shared" si="223"/>
        <v>|n生命值+20000</v>
      </c>
      <c r="DG31" s="66" t="str">
        <f t="shared" si="224"/>
        <v/>
      </c>
      <c r="DH31" s="66" t="str">
        <f t="shared" si="225"/>
        <v/>
      </c>
      <c r="DI31" s="66" t="str">
        <f t="shared" si="226"/>
        <v/>
      </c>
      <c r="DJ31" s="66" t="str">
        <f t="shared" si="227"/>
        <v/>
      </c>
      <c r="DK31" s="66" t="str">
        <f t="shared" si="228"/>
        <v/>
      </c>
      <c r="DL31" s="66" t="str">
        <f t="shared" si="229"/>
        <v/>
      </c>
      <c r="DM31" s="66" t="str">
        <f t="shared" si="230"/>
        <v/>
      </c>
      <c r="DN31" s="66" t="str">
        <f t="shared" si="231"/>
        <v/>
      </c>
      <c r="DO31" s="66" t="str">
        <f t="shared" si="232"/>
        <v/>
      </c>
      <c r="DP31" s="66" t="str">
        <f t="shared" si="233"/>
        <v/>
      </c>
      <c r="DQ31" s="66" t="str">
        <f t="shared" si="234"/>
        <v/>
      </c>
      <c r="DR31" s="66" t="str">
        <f t="shared" si="235"/>
        <v/>
      </c>
      <c r="DS31" s="66" t="str">
        <f t="shared" si="236"/>
        <v/>
      </c>
      <c r="DT31" s="66" t="str">
        <f t="shared" si="237"/>
        <v/>
      </c>
      <c r="DU31" s="66" t="str">
        <f t="shared" si="238"/>
        <v/>
      </c>
      <c r="DV31" s="66" t="str">
        <f t="shared" si="239"/>
        <v/>
      </c>
      <c r="DW31" s="66" t="str">
        <f t="shared" si="240"/>
        <v/>
      </c>
      <c r="DX31" s="66" t="str">
        <f t="shared" si="241"/>
        <v/>
      </c>
      <c r="DY31" s="66" t="str">
        <f t="shared" si="242"/>
        <v/>
      </c>
      <c r="DZ31" s="66" t="str">
        <f t="shared" si="243"/>
        <v/>
      </c>
      <c r="EA31" s="66" t="str">
        <f t="shared" si="244"/>
        <v/>
      </c>
      <c r="EB31" s="66" t="str">
        <f t="shared" si="245"/>
        <v/>
      </c>
      <c r="EC31" s="66" t="str">
        <f t="shared" si="246"/>
        <v/>
      </c>
      <c r="ED31" s="66" t="str">
        <f t="shared" si="247"/>
        <v/>
      </c>
      <c r="EE31" s="66" t="str">
        <f t="shared" si="248"/>
        <v/>
      </c>
      <c r="EF31" s="66" t="str">
        <f t="shared" si="249"/>
        <v/>
      </c>
      <c r="EG31" s="66" t="str">
        <f t="shared" si="250"/>
        <v/>
      </c>
      <c r="EH31" s="66" t="str">
        <f t="shared" si="251"/>
        <v/>
      </c>
      <c r="EI31" s="66" t="str">
        <f t="shared" si="252"/>
        <v/>
      </c>
      <c r="EJ31" s="66" t="str">
        <f t="shared" si="253"/>
        <v/>
      </c>
      <c r="EK31" s="66" t="str">
        <f t="shared" si="254"/>
        <v/>
      </c>
      <c r="EL31" s="66" t="str">
        <f t="shared" si="255"/>
        <v/>
      </c>
      <c r="EM31" s="66" t="str">
        <f t="shared" si="256"/>
        <v/>
      </c>
      <c r="EN31" s="66" t="str">
        <f t="shared" si="257"/>
        <v/>
      </c>
      <c r="EO31" s="66" t="str">
        <f t="shared" si="258"/>
        <v/>
      </c>
      <c r="EP31" s="66" t="str">
        <f t="shared" si="259"/>
        <v/>
      </c>
      <c r="EQ31" s="66" t="str">
        <f t="shared" si="260"/>
        <v/>
      </c>
      <c r="ER31" s="66" t="str">
        <f t="shared" si="261"/>
        <v/>
      </c>
      <c r="ES31" s="66" t="str">
        <f t="shared" si="262"/>
        <v/>
      </c>
      <c r="ET31" s="66" t="str">
        <f t="shared" si="263"/>
        <v/>
      </c>
      <c r="EU31" s="66" t="str">
        <f t="shared" si="264"/>
        <v/>
      </c>
      <c r="EV31" s="66" t="str">
        <f t="shared" si="265"/>
        <v/>
      </c>
      <c r="EW31" s="66" t="str">
        <f t="shared" si="266"/>
        <v>|n每秒业力+4</v>
      </c>
      <c r="EX31" s="66" t="str">
        <f t="shared" si="267"/>
        <v/>
      </c>
      <c r="EY31" s="66" t="str">
        <f t="shared" si="268"/>
        <v/>
      </c>
      <c r="EZ31" s="66" t="str">
        <f t="shared" si="269"/>
        <v/>
      </c>
      <c r="FA31" s="66" t="str">
        <f t="shared" si="270"/>
        <v/>
      </c>
      <c r="FB31" s="66" t="str">
        <f t="shared" si="271"/>
        <v/>
      </c>
      <c r="FC31" s="66" t="str">
        <f t="shared" si="272"/>
        <v/>
      </c>
      <c r="FD31" s="66" t="str">
        <f t="shared" si="273"/>
        <v/>
      </c>
      <c r="FE31" s="66" t="str">
        <f t="shared" si="274"/>
        <v/>
      </c>
      <c r="FF31" s="66" t="str">
        <f t="shared" si="275"/>
        <v/>
      </c>
      <c r="FG31" s="66" t="str">
        <f t="shared" si="276"/>
        <v/>
      </c>
      <c r="FH31" s="66" t="str">
        <f t="shared" si="277"/>
        <v/>
      </c>
      <c r="FI31" s="66" t="str">
        <f t="shared" si="278"/>
        <v/>
      </c>
      <c r="FJ31" s="66" t="str">
        <f t="shared" si="279"/>
        <v/>
      </c>
      <c r="FK31" s="66" t="str">
        <f t="shared" si="280"/>
        <v/>
      </c>
      <c r="FL31" s="66" t="str">
        <f t="shared" si="281"/>
        <v/>
      </c>
      <c r="FM31" s="66" t="str">
        <f t="shared" si="282"/>
        <v/>
      </c>
      <c r="FN31" s="66" t="str">
        <f t="shared" si="283"/>
        <v/>
      </c>
      <c r="FO31" s="66" t="str">
        <f t="shared" si="284"/>
        <v/>
      </c>
      <c r="FP31" s="66" t="str">
        <f t="shared" si="285"/>
        <v/>
      </c>
      <c r="FQ31" s="66" t="str">
        <f t="shared" si="286"/>
        <v/>
      </c>
      <c r="FR31" s="66" t="str">
        <f t="shared" si="287"/>
        <v/>
      </c>
      <c r="FS31" s="66" t="str">
        <f t="shared" si="288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89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0"/>
        <v>|n攻击6%概率范围|cffff4646业力*15|r魔法伤害|n|n|Cff00ff7f击杀150只怪有50%概率升级|r</v>
      </c>
      <c r="U32" s="77" t="s">
        <v>241</v>
      </c>
      <c r="V32" s="78">
        <v>1250</v>
      </c>
      <c r="W32" s="78">
        <v>5000</v>
      </c>
      <c r="X32" s="78"/>
      <c r="Y32" s="78"/>
      <c r="Z32" s="78">
        <v>25000</v>
      </c>
      <c r="AA32" s="78"/>
      <c r="AB32" s="78"/>
      <c r="AC32" s="78"/>
      <c r="AD32" s="78"/>
      <c r="AE32" s="78"/>
      <c r="AF32" s="78"/>
      <c r="AG32" s="81"/>
      <c r="AH32" s="78"/>
      <c r="AI32" s="78"/>
      <c r="AJ32" s="78"/>
      <c r="AK32" s="78"/>
      <c r="AL32" s="81"/>
      <c r="AM32" s="78"/>
      <c r="AN32" s="78"/>
      <c r="AO32" s="78"/>
      <c r="AP32" s="83"/>
      <c r="AQ32" s="83"/>
      <c r="AR32" s="84"/>
      <c r="AS32" s="84"/>
      <c r="AT32" s="83"/>
      <c r="AU32" s="83"/>
      <c r="AV32" s="83"/>
      <c r="AW32" s="83"/>
      <c r="AX32" s="83"/>
      <c r="AY32" s="83"/>
      <c r="AZ32" s="83"/>
      <c r="BA32" s="83"/>
      <c r="BB32" s="8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3"/>
      <c r="CF32" s="83"/>
      <c r="CG32" s="83"/>
      <c r="CH32" s="83"/>
      <c r="CI32" s="83"/>
      <c r="CJ32" s="83"/>
      <c r="CK32" s="83"/>
      <c r="CL32" s="83"/>
      <c r="CM32" s="83"/>
      <c r="CN32" s="86" t="str">
        <f t="shared" si="2"/>
        <v>InitUnitState('E105',1250,5000,,,25000,,,,,)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|n攻击+1250|n业力+5000|n生命值+25000|n每秒业力+5|n</v>
      </c>
      <c r="CV32" s="19" t="str">
        <f>"|Cffbbbbbb属性：|r"&amp;CU32&amp;VLOOKUP(A32,合成公式!A:P,16,FALSE)&amp;T32</f>
        <v>|Cffbbbbbb属性：|r|n攻击+1250|n业力+5000|n生命值+25000|n每秒业力+5|n|n攻击6%概率范围|cffff4646业力*15|r魔法伤害|n|n|Cff00ff7f击杀150只怪有50%概率升级|r</v>
      </c>
      <c r="DB32" s="66" t="str">
        <f t="shared" si="219"/>
        <v>|n攻击+1250</v>
      </c>
      <c r="DC32" s="66" t="str">
        <f t="shared" si="220"/>
        <v>|n业力+5000</v>
      </c>
      <c r="DD32" s="66" t="str">
        <f t="shared" si="221"/>
        <v/>
      </c>
      <c r="DE32" s="66" t="str">
        <f t="shared" si="222"/>
        <v/>
      </c>
      <c r="DF32" s="66" t="str">
        <f t="shared" si="223"/>
        <v>|n生命值+25000</v>
      </c>
      <c r="DG32" s="66" t="str">
        <f t="shared" si="224"/>
        <v/>
      </c>
      <c r="DH32" s="66" t="str">
        <f t="shared" si="225"/>
        <v/>
      </c>
      <c r="DI32" s="66" t="str">
        <f t="shared" si="226"/>
        <v/>
      </c>
      <c r="DJ32" s="66" t="str">
        <f t="shared" si="227"/>
        <v/>
      </c>
      <c r="DK32" s="66" t="str">
        <f t="shared" si="228"/>
        <v/>
      </c>
      <c r="DL32" s="66" t="str">
        <f t="shared" si="229"/>
        <v/>
      </c>
      <c r="DM32" s="66" t="str">
        <f t="shared" si="230"/>
        <v/>
      </c>
      <c r="DN32" s="66" t="str">
        <f t="shared" si="231"/>
        <v/>
      </c>
      <c r="DO32" s="66" t="str">
        <f t="shared" si="232"/>
        <v/>
      </c>
      <c r="DP32" s="66" t="str">
        <f t="shared" si="233"/>
        <v/>
      </c>
      <c r="DQ32" s="66" t="str">
        <f t="shared" si="234"/>
        <v/>
      </c>
      <c r="DR32" s="66" t="str">
        <f t="shared" si="235"/>
        <v/>
      </c>
      <c r="DS32" s="66" t="str">
        <f t="shared" si="236"/>
        <v/>
      </c>
      <c r="DT32" s="66" t="str">
        <f t="shared" si="237"/>
        <v/>
      </c>
      <c r="DU32" s="66" t="str">
        <f t="shared" si="238"/>
        <v/>
      </c>
      <c r="DV32" s="66" t="str">
        <f t="shared" si="239"/>
        <v/>
      </c>
      <c r="DW32" s="66" t="str">
        <f t="shared" si="240"/>
        <v/>
      </c>
      <c r="DX32" s="66" t="str">
        <f t="shared" si="241"/>
        <v/>
      </c>
      <c r="DY32" s="66" t="str">
        <f t="shared" si="242"/>
        <v/>
      </c>
      <c r="DZ32" s="66" t="str">
        <f t="shared" si="243"/>
        <v/>
      </c>
      <c r="EA32" s="66" t="str">
        <f t="shared" si="244"/>
        <v/>
      </c>
      <c r="EB32" s="66" t="str">
        <f t="shared" si="245"/>
        <v/>
      </c>
      <c r="EC32" s="66" t="str">
        <f t="shared" si="246"/>
        <v/>
      </c>
      <c r="ED32" s="66" t="str">
        <f t="shared" si="247"/>
        <v/>
      </c>
      <c r="EE32" s="66" t="str">
        <f t="shared" si="248"/>
        <v/>
      </c>
      <c r="EF32" s="66" t="str">
        <f t="shared" si="249"/>
        <v/>
      </c>
      <c r="EG32" s="66" t="str">
        <f t="shared" si="250"/>
        <v/>
      </c>
      <c r="EH32" s="66" t="str">
        <f t="shared" si="251"/>
        <v/>
      </c>
      <c r="EI32" s="66" t="str">
        <f t="shared" si="252"/>
        <v/>
      </c>
      <c r="EJ32" s="66" t="str">
        <f t="shared" si="253"/>
        <v/>
      </c>
      <c r="EK32" s="66" t="str">
        <f t="shared" si="254"/>
        <v/>
      </c>
      <c r="EL32" s="66" t="str">
        <f t="shared" si="255"/>
        <v/>
      </c>
      <c r="EM32" s="66" t="str">
        <f t="shared" si="256"/>
        <v/>
      </c>
      <c r="EN32" s="66" t="str">
        <f t="shared" si="257"/>
        <v/>
      </c>
      <c r="EO32" s="66" t="str">
        <f t="shared" si="258"/>
        <v/>
      </c>
      <c r="EP32" s="66" t="str">
        <f t="shared" si="259"/>
        <v/>
      </c>
      <c r="EQ32" s="66" t="str">
        <f t="shared" si="260"/>
        <v/>
      </c>
      <c r="ER32" s="66" t="str">
        <f t="shared" si="261"/>
        <v/>
      </c>
      <c r="ES32" s="66" t="str">
        <f t="shared" si="262"/>
        <v/>
      </c>
      <c r="ET32" s="66" t="str">
        <f t="shared" si="263"/>
        <v/>
      </c>
      <c r="EU32" s="66" t="str">
        <f t="shared" si="264"/>
        <v/>
      </c>
      <c r="EV32" s="66" t="str">
        <f t="shared" si="265"/>
        <v/>
      </c>
      <c r="EW32" s="66" t="str">
        <f t="shared" si="266"/>
        <v>|n每秒业力+5</v>
      </c>
      <c r="EX32" s="66" t="str">
        <f t="shared" si="267"/>
        <v/>
      </c>
      <c r="EY32" s="66" t="str">
        <f t="shared" si="268"/>
        <v/>
      </c>
      <c r="EZ32" s="66" t="str">
        <f t="shared" si="269"/>
        <v/>
      </c>
      <c r="FA32" s="66" t="str">
        <f t="shared" si="270"/>
        <v/>
      </c>
      <c r="FB32" s="66" t="str">
        <f t="shared" si="271"/>
        <v/>
      </c>
      <c r="FC32" s="66" t="str">
        <f t="shared" si="272"/>
        <v/>
      </c>
      <c r="FD32" s="66" t="str">
        <f t="shared" si="273"/>
        <v/>
      </c>
      <c r="FE32" s="66" t="str">
        <f t="shared" si="274"/>
        <v/>
      </c>
      <c r="FF32" s="66" t="str">
        <f t="shared" si="275"/>
        <v/>
      </c>
      <c r="FG32" s="66" t="str">
        <f t="shared" si="276"/>
        <v/>
      </c>
      <c r="FH32" s="66" t="str">
        <f t="shared" si="277"/>
        <v/>
      </c>
      <c r="FI32" s="66" t="str">
        <f t="shared" si="278"/>
        <v/>
      </c>
      <c r="FJ32" s="66" t="str">
        <f t="shared" si="279"/>
        <v/>
      </c>
      <c r="FK32" s="66" t="str">
        <f t="shared" si="280"/>
        <v/>
      </c>
      <c r="FL32" s="66" t="str">
        <f t="shared" si="281"/>
        <v/>
      </c>
      <c r="FM32" s="66" t="str">
        <f t="shared" si="282"/>
        <v/>
      </c>
      <c r="FN32" s="66" t="str">
        <f t="shared" si="283"/>
        <v/>
      </c>
      <c r="FO32" s="66" t="str">
        <f t="shared" si="284"/>
        <v/>
      </c>
      <c r="FP32" s="66" t="str">
        <f t="shared" si="285"/>
        <v/>
      </c>
      <c r="FQ32" s="66" t="str">
        <f t="shared" si="286"/>
        <v/>
      </c>
      <c r="FR32" s="66" t="str">
        <f t="shared" si="287"/>
        <v/>
      </c>
      <c r="FS32" s="66" t="str">
        <f t="shared" si="288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89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0"/>
        <v>|n攻击6%概率范围|cffff4646业力*15|r魔法伤害|n|n|Cff00ff7f击杀200只怪有50%概率升级|r</v>
      </c>
      <c r="U33" s="77" t="s">
        <v>252</v>
      </c>
      <c r="V33" s="78">
        <v>2500</v>
      </c>
      <c r="W33" s="78">
        <v>10000</v>
      </c>
      <c r="X33" s="78"/>
      <c r="Y33" s="78"/>
      <c r="Z33" s="78">
        <v>50000</v>
      </c>
      <c r="AA33" s="78"/>
      <c r="AB33" s="78"/>
      <c r="AC33" s="78"/>
      <c r="AD33" s="78"/>
      <c r="AE33" s="78"/>
      <c r="AF33" s="78"/>
      <c r="AG33" s="81"/>
      <c r="AH33" s="78"/>
      <c r="AI33" s="78"/>
      <c r="AJ33" s="78"/>
      <c r="AK33" s="78"/>
      <c r="AL33" s="81"/>
      <c r="AM33" s="78"/>
      <c r="AN33" s="19">
        <v>4</v>
      </c>
      <c r="AO33" s="78"/>
      <c r="AP33" s="83"/>
      <c r="AQ33" s="83"/>
      <c r="AR33" s="84"/>
      <c r="AS33" s="84"/>
      <c r="AT33" s="83"/>
      <c r="AU33" s="83"/>
      <c r="AV33" s="83"/>
      <c r="AW33" s="83"/>
      <c r="AX33" s="83"/>
      <c r="AY33" s="83"/>
      <c r="AZ33" s="83"/>
      <c r="BA33" s="83"/>
      <c r="BB33" s="8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3"/>
      <c r="CF33" s="83"/>
      <c r="CG33" s="83"/>
      <c r="CH33" s="83"/>
      <c r="CI33" s="83"/>
      <c r="CJ33" s="83"/>
      <c r="CK33" s="83"/>
      <c r="CL33" s="83"/>
      <c r="CM33" s="83"/>
      <c r="CN33" s="86" t="str">
        <f t="shared" si="2"/>
        <v>InitUnitState('E106',2500,10000,,,50000,,,,,)</v>
      </c>
      <c r="CO33" s="86" t="str">
        <f t="shared" si="3"/>
        <v>InitUnitNormal('E106',,,,,,,,,4,)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|n攻击+2500|n业力+10000|n生命值+50000|n暴击+4%|n每秒业力+6|n</v>
      </c>
      <c r="CV33" s="19" t="str">
        <f>"|Cffbbbbbb属性：|r"&amp;CU33&amp;VLOOKUP(A33,合成公式!A:P,16,FALSE)&amp;T33</f>
        <v>|Cffbbbbbb属性：|r|n攻击+2500|n业力+10000|n生命值+50000|n暴击+4%|n每秒业力+6|n|n攻击6%概率范围|cffff4646业力*15|r魔法伤害|n|n|Cff00ff7f击杀200只怪有50%概率升级|r</v>
      </c>
      <c r="DB33" s="66" t="str">
        <f t="shared" si="219"/>
        <v>|n攻击+2500</v>
      </c>
      <c r="DC33" s="66" t="str">
        <f t="shared" si="220"/>
        <v>|n业力+10000</v>
      </c>
      <c r="DD33" s="66" t="str">
        <f t="shared" si="221"/>
        <v/>
      </c>
      <c r="DE33" s="66" t="str">
        <f t="shared" si="222"/>
        <v/>
      </c>
      <c r="DF33" s="66" t="str">
        <f t="shared" si="223"/>
        <v>|n生命值+50000</v>
      </c>
      <c r="DG33" s="66" t="str">
        <f t="shared" si="224"/>
        <v/>
      </c>
      <c r="DH33" s="66" t="str">
        <f t="shared" si="225"/>
        <v/>
      </c>
      <c r="DI33" s="66" t="str">
        <f t="shared" si="226"/>
        <v/>
      </c>
      <c r="DJ33" s="66" t="str">
        <f t="shared" si="227"/>
        <v/>
      </c>
      <c r="DK33" s="66" t="str">
        <f t="shared" si="228"/>
        <v/>
      </c>
      <c r="DL33" s="66" t="str">
        <f t="shared" si="229"/>
        <v/>
      </c>
      <c r="DM33" s="66" t="str">
        <f t="shared" si="230"/>
        <v/>
      </c>
      <c r="DN33" s="66" t="str">
        <f t="shared" si="231"/>
        <v/>
      </c>
      <c r="DO33" s="66" t="str">
        <f t="shared" si="232"/>
        <v/>
      </c>
      <c r="DP33" s="66" t="str">
        <f t="shared" si="233"/>
        <v/>
      </c>
      <c r="DQ33" s="66" t="str">
        <f t="shared" si="234"/>
        <v/>
      </c>
      <c r="DR33" s="66" t="str">
        <f t="shared" si="235"/>
        <v/>
      </c>
      <c r="DS33" s="66" t="str">
        <f t="shared" si="236"/>
        <v/>
      </c>
      <c r="DT33" s="66" t="str">
        <f t="shared" si="237"/>
        <v>|n暴击+4%</v>
      </c>
      <c r="DU33" s="66" t="str">
        <f t="shared" si="238"/>
        <v/>
      </c>
      <c r="DV33" s="66" t="str">
        <f t="shared" si="239"/>
        <v/>
      </c>
      <c r="DW33" s="66" t="str">
        <f t="shared" si="240"/>
        <v/>
      </c>
      <c r="DX33" s="66" t="str">
        <f t="shared" si="241"/>
        <v/>
      </c>
      <c r="DY33" s="66" t="str">
        <f t="shared" si="242"/>
        <v/>
      </c>
      <c r="DZ33" s="66" t="str">
        <f t="shared" si="243"/>
        <v/>
      </c>
      <c r="EA33" s="66" t="str">
        <f t="shared" si="244"/>
        <v/>
      </c>
      <c r="EB33" s="66" t="str">
        <f t="shared" si="245"/>
        <v/>
      </c>
      <c r="EC33" s="66" t="str">
        <f t="shared" si="246"/>
        <v/>
      </c>
      <c r="ED33" s="66" t="str">
        <f t="shared" si="247"/>
        <v/>
      </c>
      <c r="EE33" s="66" t="str">
        <f t="shared" si="248"/>
        <v/>
      </c>
      <c r="EF33" s="66" t="str">
        <f t="shared" si="249"/>
        <v/>
      </c>
      <c r="EG33" s="66" t="str">
        <f t="shared" si="250"/>
        <v/>
      </c>
      <c r="EH33" s="66" t="str">
        <f t="shared" si="251"/>
        <v/>
      </c>
      <c r="EI33" s="66" t="str">
        <f t="shared" si="252"/>
        <v/>
      </c>
      <c r="EJ33" s="66" t="str">
        <f t="shared" si="253"/>
        <v/>
      </c>
      <c r="EK33" s="66" t="str">
        <f t="shared" si="254"/>
        <v/>
      </c>
      <c r="EL33" s="66" t="str">
        <f t="shared" si="255"/>
        <v/>
      </c>
      <c r="EM33" s="66" t="str">
        <f t="shared" si="256"/>
        <v/>
      </c>
      <c r="EN33" s="66" t="str">
        <f t="shared" si="257"/>
        <v/>
      </c>
      <c r="EO33" s="66" t="str">
        <f t="shared" si="258"/>
        <v/>
      </c>
      <c r="EP33" s="66" t="str">
        <f t="shared" si="259"/>
        <v/>
      </c>
      <c r="EQ33" s="66" t="str">
        <f t="shared" si="260"/>
        <v/>
      </c>
      <c r="ER33" s="66" t="str">
        <f t="shared" si="261"/>
        <v/>
      </c>
      <c r="ES33" s="66" t="str">
        <f t="shared" si="262"/>
        <v/>
      </c>
      <c r="ET33" s="66" t="str">
        <f t="shared" si="263"/>
        <v/>
      </c>
      <c r="EU33" s="66" t="str">
        <f t="shared" si="264"/>
        <v/>
      </c>
      <c r="EV33" s="66" t="str">
        <f t="shared" si="265"/>
        <v/>
      </c>
      <c r="EW33" s="66" t="str">
        <f t="shared" si="266"/>
        <v>|n每秒业力+6</v>
      </c>
      <c r="EX33" s="66" t="str">
        <f t="shared" si="267"/>
        <v/>
      </c>
      <c r="EY33" s="66" t="str">
        <f t="shared" si="268"/>
        <v/>
      </c>
      <c r="EZ33" s="66" t="str">
        <f t="shared" si="269"/>
        <v/>
      </c>
      <c r="FA33" s="66" t="str">
        <f t="shared" si="270"/>
        <v/>
      </c>
      <c r="FB33" s="66" t="str">
        <f t="shared" si="271"/>
        <v/>
      </c>
      <c r="FC33" s="66" t="str">
        <f t="shared" si="272"/>
        <v/>
      </c>
      <c r="FD33" s="66" t="str">
        <f t="shared" si="273"/>
        <v/>
      </c>
      <c r="FE33" s="66" t="str">
        <f t="shared" si="274"/>
        <v/>
      </c>
      <c r="FF33" s="66" t="str">
        <f t="shared" si="275"/>
        <v/>
      </c>
      <c r="FG33" s="66" t="str">
        <f t="shared" si="276"/>
        <v/>
      </c>
      <c r="FH33" s="66" t="str">
        <f t="shared" si="277"/>
        <v/>
      </c>
      <c r="FI33" s="66" t="str">
        <f t="shared" si="278"/>
        <v/>
      </c>
      <c r="FJ33" s="66" t="str">
        <f t="shared" si="279"/>
        <v/>
      </c>
      <c r="FK33" s="66" t="str">
        <f t="shared" si="280"/>
        <v/>
      </c>
      <c r="FL33" s="66" t="str">
        <f t="shared" si="281"/>
        <v/>
      </c>
      <c r="FM33" s="66" t="str">
        <f t="shared" si="282"/>
        <v/>
      </c>
      <c r="FN33" s="66" t="str">
        <f t="shared" si="283"/>
        <v/>
      </c>
      <c r="FO33" s="66" t="str">
        <f t="shared" si="284"/>
        <v/>
      </c>
      <c r="FP33" s="66" t="str">
        <f t="shared" si="285"/>
        <v/>
      </c>
      <c r="FQ33" s="66" t="str">
        <f t="shared" si="286"/>
        <v/>
      </c>
      <c r="FR33" s="66" t="str">
        <f t="shared" si="287"/>
        <v/>
      </c>
      <c r="FS33" s="66" t="str">
        <f t="shared" si="288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89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0"/>
        <v>|n攻击6%概率范围|cffff4646业力*15|r魔法伤害|n|n|Cff00ff7f击杀200只怪有50%概率升级|r</v>
      </c>
      <c r="U34" s="77" t="s">
        <v>252</v>
      </c>
      <c r="V34" s="78">
        <v>3000</v>
      </c>
      <c r="W34" s="78">
        <v>12000</v>
      </c>
      <c r="X34" s="78"/>
      <c r="Y34" s="78"/>
      <c r="Z34" s="78">
        <v>60000</v>
      </c>
      <c r="AA34" s="78"/>
      <c r="AB34" s="78"/>
      <c r="AC34" s="78"/>
      <c r="AD34" s="78"/>
      <c r="AE34" s="78"/>
      <c r="AF34" s="78"/>
      <c r="AG34" s="81"/>
      <c r="AH34" s="78"/>
      <c r="AI34" s="78"/>
      <c r="AJ34" s="78"/>
      <c r="AK34" s="78"/>
      <c r="AL34" s="81"/>
      <c r="AM34" s="78"/>
      <c r="AN34" s="19">
        <v>4</v>
      </c>
      <c r="AO34" s="78"/>
      <c r="AP34" s="83"/>
      <c r="AQ34" s="83"/>
      <c r="AR34" s="84"/>
      <c r="AS34" s="84"/>
      <c r="AT34" s="83"/>
      <c r="AU34" s="83"/>
      <c r="AV34" s="83"/>
      <c r="AW34" s="83"/>
      <c r="AX34" s="83"/>
      <c r="AY34" s="83"/>
      <c r="AZ34" s="83"/>
      <c r="BA34" s="83"/>
      <c r="BB34" s="8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3"/>
      <c r="CF34" s="83"/>
      <c r="CG34" s="83"/>
      <c r="CH34" s="83"/>
      <c r="CI34" s="83"/>
      <c r="CJ34" s="83"/>
      <c r="CK34" s="83"/>
      <c r="CL34" s="83"/>
      <c r="CM34" s="83"/>
      <c r="CN34" s="86" t="str">
        <f t="shared" si="2"/>
        <v>InitUnitState('E107',3000,12000,,,60000,,,,,)</v>
      </c>
      <c r="CO34" s="86" t="str">
        <f t="shared" si="3"/>
        <v>InitUnitNormal('E107',,,,,,,,,4,)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|n攻击+3000|n业力+12000|n生命值+60000|n暴击+4%|n每秒业力+7|n</v>
      </c>
      <c r="CV34" s="19" t="str">
        <f>"|Cffbbbbbb属性：|r"&amp;CU34&amp;VLOOKUP(A34,合成公式!A:P,16,FALSE)&amp;T34</f>
        <v>|Cffbbbbbb属性：|r|n攻击+3000|n业力+12000|n生命值+60000|n暴击+4%|n每秒业力+7|n|n攻击6%概率范围|cffff4646业力*15|r魔法伤害|n|n|Cff00ff7f击杀200只怪有50%概率升级|r</v>
      </c>
      <c r="DB34" s="66" t="str">
        <f t="shared" si="219"/>
        <v>|n攻击+3000</v>
      </c>
      <c r="DC34" s="66" t="str">
        <f t="shared" si="220"/>
        <v>|n业力+12000</v>
      </c>
      <c r="DD34" s="66" t="str">
        <f t="shared" si="221"/>
        <v/>
      </c>
      <c r="DE34" s="66" t="str">
        <f t="shared" si="222"/>
        <v/>
      </c>
      <c r="DF34" s="66" t="str">
        <f t="shared" si="223"/>
        <v>|n生命值+60000</v>
      </c>
      <c r="DG34" s="66" t="str">
        <f t="shared" si="224"/>
        <v/>
      </c>
      <c r="DH34" s="66" t="str">
        <f t="shared" si="225"/>
        <v/>
      </c>
      <c r="DI34" s="66" t="str">
        <f t="shared" si="226"/>
        <v/>
      </c>
      <c r="DJ34" s="66" t="str">
        <f t="shared" si="227"/>
        <v/>
      </c>
      <c r="DK34" s="66" t="str">
        <f t="shared" si="228"/>
        <v/>
      </c>
      <c r="DL34" s="66" t="str">
        <f t="shared" si="229"/>
        <v/>
      </c>
      <c r="DM34" s="66" t="str">
        <f t="shared" si="230"/>
        <v/>
      </c>
      <c r="DN34" s="66" t="str">
        <f t="shared" si="231"/>
        <v/>
      </c>
      <c r="DO34" s="66" t="str">
        <f t="shared" si="232"/>
        <v/>
      </c>
      <c r="DP34" s="66" t="str">
        <f t="shared" si="233"/>
        <v/>
      </c>
      <c r="DQ34" s="66" t="str">
        <f t="shared" si="234"/>
        <v/>
      </c>
      <c r="DR34" s="66" t="str">
        <f t="shared" si="235"/>
        <v/>
      </c>
      <c r="DS34" s="66" t="str">
        <f t="shared" si="236"/>
        <v/>
      </c>
      <c r="DT34" s="66" t="str">
        <f t="shared" si="237"/>
        <v>|n暴击+4%</v>
      </c>
      <c r="DU34" s="66" t="str">
        <f t="shared" si="238"/>
        <v/>
      </c>
      <c r="DV34" s="66" t="str">
        <f t="shared" si="239"/>
        <v/>
      </c>
      <c r="DW34" s="66" t="str">
        <f t="shared" si="240"/>
        <v/>
      </c>
      <c r="DX34" s="66" t="str">
        <f t="shared" si="241"/>
        <v/>
      </c>
      <c r="DY34" s="66" t="str">
        <f t="shared" si="242"/>
        <v/>
      </c>
      <c r="DZ34" s="66" t="str">
        <f t="shared" si="243"/>
        <v/>
      </c>
      <c r="EA34" s="66" t="str">
        <f t="shared" si="244"/>
        <v/>
      </c>
      <c r="EB34" s="66" t="str">
        <f t="shared" si="245"/>
        <v/>
      </c>
      <c r="EC34" s="66" t="str">
        <f t="shared" si="246"/>
        <v/>
      </c>
      <c r="ED34" s="66" t="str">
        <f t="shared" si="247"/>
        <v/>
      </c>
      <c r="EE34" s="66" t="str">
        <f t="shared" si="248"/>
        <v/>
      </c>
      <c r="EF34" s="66" t="str">
        <f t="shared" si="249"/>
        <v/>
      </c>
      <c r="EG34" s="66" t="str">
        <f t="shared" si="250"/>
        <v/>
      </c>
      <c r="EH34" s="66" t="str">
        <f t="shared" si="251"/>
        <v/>
      </c>
      <c r="EI34" s="66" t="str">
        <f t="shared" si="252"/>
        <v/>
      </c>
      <c r="EJ34" s="66" t="str">
        <f t="shared" si="253"/>
        <v/>
      </c>
      <c r="EK34" s="66" t="str">
        <f t="shared" si="254"/>
        <v/>
      </c>
      <c r="EL34" s="66" t="str">
        <f t="shared" si="255"/>
        <v/>
      </c>
      <c r="EM34" s="66" t="str">
        <f t="shared" si="256"/>
        <v/>
      </c>
      <c r="EN34" s="66" t="str">
        <f t="shared" si="257"/>
        <v/>
      </c>
      <c r="EO34" s="66" t="str">
        <f t="shared" si="258"/>
        <v/>
      </c>
      <c r="EP34" s="66" t="str">
        <f t="shared" si="259"/>
        <v/>
      </c>
      <c r="EQ34" s="66" t="str">
        <f t="shared" si="260"/>
        <v/>
      </c>
      <c r="ER34" s="66" t="str">
        <f t="shared" si="261"/>
        <v/>
      </c>
      <c r="ES34" s="66" t="str">
        <f t="shared" si="262"/>
        <v/>
      </c>
      <c r="ET34" s="66" t="str">
        <f t="shared" si="263"/>
        <v/>
      </c>
      <c r="EU34" s="66" t="str">
        <f t="shared" si="264"/>
        <v/>
      </c>
      <c r="EV34" s="66" t="str">
        <f t="shared" si="265"/>
        <v/>
      </c>
      <c r="EW34" s="66" t="str">
        <f t="shared" si="266"/>
        <v>|n每秒业力+7</v>
      </c>
      <c r="EX34" s="66" t="str">
        <f t="shared" si="267"/>
        <v/>
      </c>
      <c r="EY34" s="66" t="str">
        <f t="shared" si="268"/>
        <v/>
      </c>
      <c r="EZ34" s="66" t="str">
        <f t="shared" si="269"/>
        <v/>
      </c>
      <c r="FA34" s="66" t="str">
        <f t="shared" si="270"/>
        <v/>
      </c>
      <c r="FB34" s="66" t="str">
        <f t="shared" si="271"/>
        <v/>
      </c>
      <c r="FC34" s="66" t="str">
        <f t="shared" si="272"/>
        <v/>
      </c>
      <c r="FD34" s="66" t="str">
        <f t="shared" si="273"/>
        <v/>
      </c>
      <c r="FE34" s="66" t="str">
        <f t="shared" si="274"/>
        <v/>
      </c>
      <c r="FF34" s="66" t="str">
        <f t="shared" si="275"/>
        <v/>
      </c>
      <c r="FG34" s="66" t="str">
        <f t="shared" si="276"/>
        <v/>
      </c>
      <c r="FH34" s="66" t="str">
        <f t="shared" si="277"/>
        <v/>
      </c>
      <c r="FI34" s="66" t="str">
        <f t="shared" si="278"/>
        <v/>
      </c>
      <c r="FJ34" s="66" t="str">
        <f t="shared" si="279"/>
        <v/>
      </c>
      <c r="FK34" s="66" t="str">
        <f t="shared" si="280"/>
        <v/>
      </c>
      <c r="FL34" s="66" t="str">
        <f t="shared" si="281"/>
        <v/>
      </c>
      <c r="FM34" s="66" t="str">
        <f t="shared" si="282"/>
        <v/>
      </c>
      <c r="FN34" s="66" t="str">
        <f t="shared" si="283"/>
        <v/>
      </c>
      <c r="FO34" s="66" t="str">
        <f t="shared" si="284"/>
        <v/>
      </c>
      <c r="FP34" s="66" t="str">
        <f t="shared" si="285"/>
        <v/>
      </c>
      <c r="FQ34" s="66" t="str">
        <f t="shared" si="286"/>
        <v/>
      </c>
      <c r="FR34" s="66" t="str">
        <f t="shared" si="287"/>
        <v/>
      </c>
      <c r="FS34" s="66" t="str">
        <f t="shared" si="288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89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0"/>
        <v>|n攻击6%概率范围|cffff4646业力*15|r魔法伤害|n|n|Cff00ff7f击杀200只怪有50%概率升级|r</v>
      </c>
      <c r="U35" s="77" t="s">
        <v>252</v>
      </c>
      <c r="V35" s="78">
        <v>3500</v>
      </c>
      <c r="W35" s="78">
        <v>14000</v>
      </c>
      <c r="X35" s="78"/>
      <c r="Y35" s="78"/>
      <c r="Z35" s="78">
        <v>70000</v>
      </c>
      <c r="AA35" s="78"/>
      <c r="AB35" s="78"/>
      <c r="AC35" s="78"/>
      <c r="AD35" s="78"/>
      <c r="AE35" s="78"/>
      <c r="AF35" s="78"/>
      <c r="AG35" s="81"/>
      <c r="AH35" s="78"/>
      <c r="AI35" s="78"/>
      <c r="AJ35" s="78"/>
      <c r="AK35" s="78"/>
      <c r="AL35" s="81"/>
      <c r="AM35" s="78"/>
      <c r="AN35" s="19">
        <v>4</v>
      </c>
      <c r="AO35" s="78"/>
      <c r="AP35" s="83"/>
      <c r="AQ35" s="83"/>
      <c r="AR35" s="84"/>
      <c r="AS35" s="84"/>
      <c r="AT35" s="83"/>
      <c r="AU35" s="83"/>
      <c r="AV35" s="83"/>
      <c r="AW35" s="83"/>
      <c r="AX35" s="83"/>
      <c r="AY35" s="83"/>
      <c r="AZ35" s="83"/>
      <c r="BA35" s="83"/>
      <c r="BB35" s="8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3"/>
      <c r="CF35" s="83"/>
      <c r="CG35" s="83"/>
      <c r="CH35" s="83"/>
      <c r="CI35" s="83"/>
      <c r="CJ35" s="83"/>
      <c r="CK35" s="83"/>
      <c r="CL35" s="83"/>
      <c r="CM35" s="83"/>
      <c r="CN35" s="8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8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8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|n攻击+3500|n业力+14000|n生命值+70000|n暴击+4%|n每秒业力+8|n</v>
      </c>
      <c r="CV35" s="19" t="str">
        <f>"|Cffbbbbbb属性：|r"&amp;CU35&amp;VLOOKUP(A35,合成公式!A:P,16,FALSE)&amp;T35</f>
        <v>|Cffbbbbbb属性：|r|n攻击+3500|n业力+14000|n生命值+70000|n暴击+4%|n每秒业力+8|n|n攻击6%概率范围|cffff4646业力*15|r魔法伤害|n|n|Cff00ff7f击杀200只怪有50%概率升级|r</v>
      </c>
      <c r="DB35" s="66" t="str">
        <f t="shared" si="219"/>
        <v>|n攻击+3500</v>
      </c>
      <c r="DC35" s="66" t="str">
        <f t="shared" si="220"/>
        <v>|n业力+14000</v>
      </c>
      <c r="DD35" s="66" t="str">
        <f t="shared" si="221"/>
        <v/>
      </c>
      <c r="DE35" s="66" t="str">
        <f t="shared" si="222"/>
        <v/>
      </c>
      <c r="DF35" s="66" t="str">
        <f t="shared" si="223"/>
        <v>|n生命值+70000</v>
      </c>
      <c r="DG35" s="66" t="str">
        <f t="shared" si="224"/>
        <v/>
      </c>
      <c r="DH35" s="66" t="str">
        <f t="shared" si="225"/>
        <v/>
      </c>
      <c r="DI35" s="66" t="str">
        <f t="shared" si="226"/>
        <v/>
      </c>
      <c r="DJ35" s="66" t="str">
        <f t="shared" si="227"/>
        <v/>
      </c>
      <c r="DK35" s="66" t="str">
        <f t="shared" si="228"/>
        <v/>
      </c>
      <c r="DL35" s="66" t="str">
        <f t="shared" si="229"/>
        <v/>
      </c>
      <c r="DM35" s="66" t="str">
        <f t="shared" si="230"/>
        <v/>
      </c>
      <c r="DN35" s="66" t="str">
        <f t="shared" si="231"/>
        <v/>
      </c>
      <c r="DO35" s="66" t="str">
        <f t="shared" si="232"/>
        <v/>
      </c>
      <c r="DP35" s="66" t="str">
        <f t="shared" si="233"/>
        <v/>
      </c>
      <c r="DQ35" s="66" t="str">
        <f t="shared" si="234"/>
        <v/>
      </c>
      <c r="DR35" s="66" t="str">
        <f t="shared" si="235"/>
        <v/>
      </c>
      <c r="DS35" s="66" t="str">
        <f t="shared" si="236"/>
        <v/>
      </c>
      <c r="DT35" s="66" t="str">
        <f t="shared" si="237"/>
        <v>|n暴击+4%</v>
      </c>
      <c r="DU35" s="66" t="str">
        <f t="shared" si="238"/>
        <v/>
      </c>
      <c r="DV35" s="66" t="str">
        <f t="shared" si="239"/>
        <v/>
      </c>
      <c r="DW35" s="66" t="str">
        <f t="shared" si="240"/>
        <v/>
      </c>
      <c r="DX35" s="66" t="str">
        <f t="shared" si="241"/>
        <v/>
      </c>
      <c r="DY35" s="66" t="str">
        <f t="shared" si="242"/>
        <v/>
      </c>
      <c r="DZ35" s="66" t="str">
        <f t="shared" si="243"/>
        <v/>
      </c>
      <c r="EA35" s="66" t="str">
        <f t="shared" si="244"/>
        <v/>
      </c>
      <c r="EB35" s="66" t="str">
        <f t="shared" si="245"/>
        <v/>
      </c>
      <c r="EC35" s="66" t="str">
        <f t="shared" si="246"/>
        <v/>
      </c>
      <c r="ED35" s="66" t="str">
        <f t="shared" si="247"/>
        <v/>
      </c>
      <c r="EE35" s="66" t="str">
        <f t="shared" si="248"/>
        <v/>
      </c>
      <c r="EF35" s="66" t="str">
        <f t="shared" si="249"/>
        <v/>
      </c>
      <c r="EG35" s="66" t="str">
        <f t="shared" si="250"/>
        <v/>
      </c>
      <c r="EH35" s="66" t="str">
        <f t="shared" si="251"/>
        <v/>
      </c>
      <c r="EI35" s="66" t="str">
        <f t="shared" si="252"/>
        <v/>
      </c>
      <c r="EJ35" s="66" t="str">
        <f t="shared" si="253"/>
        <v/>
      </c>
      <c r="EK35" s="66" t="str">
        <f t="shared" si="254"/>
        <v/>
      </c>
      <c r="EL35" s="66" t="str">
        <f t="shared" si="255"/>
        <v/>
      </c>
      <c r="EM35" s="66" t="str">
        <f t="shared" si="256"/>
        <v/>
      </c>
      <c r="EN35" s="66" t="str">
        <f t="shared" si="257"/>
        <v/>
      </c>
      <c r="EO35" s="66" t="str">
        <f t="shared" si="258"/>
        <v/>
      </c>
      <c r="EP35" s="66" t="str">
        <f t="shared" si="259"/>
        <v/>
      </c>
      <c r="EQ35" s="66" t="str">
        <f t="shared" si="260"/>
        <v/>
      </c>
      <c r="ER35" s="66" t="str">
        <f t="shared" si="261"/>
        <v/>
      </c>
      <c r="ES35" s="66" t="str">
        <f t="shared" si="262"/>
        <v/>
      </c>
      <c r="ET35" s="66" t="str">
        <f t="shared" si="263"/>
        <v/>
      </c>
      <c r="EU35" s="66" t="str">
        <f t="shared" si="264"/>
        <v/>
      </c>
      <c r="EV35" s="66" t="str">
        <f t="shared" si="265"/>
        <v/>
      </c>
      <c r="EW35" s="66" t="str">
        <f t="shared" si="266"/>
        <v>|n每秒业力+8</v>
      </c>
      <c r="EX35" s="66" t="str">
        <f t="shared" si="267"/>
        <v/>
      </c>
      <c r="EY35" s="66" t="str">
        <f t="shared" si="268"/>
        <v/>
      </c>
      <c r="EZ35" s="66" t="str">
        <f t="shared" si="269"/>
        <v/>
      </c>
      <c r="FA35" s="66" t="str">
        <f t="shared" si="270"/>
        <v/>
      </c>
      <c r="FB35" s="66" t="str">
        <f t="shared" si="271"/>
        <v/>
      </c>
      <c r="FC35" s="66" t="str">
        <f t="shared" si="272"/>
        <v/>
      </c>
      <c r="FD35" s="66" t="str">
        <f t="shared" si="273"/>
        <v/>
      </c>
      <c r="FE35" s="66" t="str">
        <f t="shared" si="274"/>
        <v/>
      </c>
      <c r="FF35" s="66" t="str">
        <f t="shared" si="275"/>
        <v/>
      </c>
      <c r="FG35" s="66" t="str">
        <f t="shared" si="276"/>
        <v/>
      </c>
      <c r="FH35" s="66" t="str">
        <f t="shared" si="277"/>
        <v/>
      </c>
      <c r="FI35" s="66" t="str">
        <f t="shared" si="278"/>
        <v/>
      </c>
      <c r="FJ35" s="66" t="str">
        <f t="shared" si="279"/>
        <v/>
      </c>
      <c r="FK35" s="66" t="str">
        <f t="shared" si="280"/>
        <v/>
      </c>
      <c r="FL35" s="66" t="str">
        <f t="shared" si="281"/>
        <v/>
      </c>
      <c r="FM35" s="66" t="str">
        <f t="shared" si="282"/>
        <v/>
      </c>
      <c r="FN35" s="66" t="str">
        <f t="shared" si="283"/>
        <v/>
      </c>
      <c r="FO35" s="66" t="str">
        <f t="shared" si="284"/>
        <v/>
      </c>
      <c r="FP35" s="66" t="str">
        <f t="shared" si="285"/>
        <v/>
      </c>
      <c r="FQ35" s="66" t="str">
        <f t="shared" si="286"/>
        <v/>
      </c>
      <c r="FR35" s="66" t="str">
        <f t="shared" si="287"/>
        <v/>
      </c>
      <c r="FS35" s="66" t="str">
        <f t="shared" si="288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89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0"/>
        <v>|n攻击6%概率范围|cffff4646业力*15|r魔法伤害|n|n|Cff00ff7f击杀200只怪有50%概率升级|r</v>
      </c>
      <c r="U36" s="77" t="s">
        <v>252</v>
      </c>
      <c r="V36" s="78">
        <v>4250</v>
      </c>
      <c r="W36" s="78">
        <v>17000</v>
      </c>
      <c r="X36" s="78"/>
      <c r="Y36" s="78"/>
      <c r="Z36" s="78">
        <v>85000</v>
      </c>
      <c r="AA36" s="78"/>
      <c r="AB36" s="78"/>
      <c r="AC36" s="78"/>
      <c r="AD36" s="78"/>
      <c r="AE36" s="78"/>
      <c r="AF36" s="78"/>
      <c r="AG36" s="81"/>
      <c r="AH36" s="78"/>
      <c r="AI36" s="78"/>
      <c r="AJ36" s="78"/>
      <c r="AK36" s="78"/>
      <c r="AL36" s="81"/>
      <c r="AM36" s="78"/>
      <c r="AN36" s="19">
        <v>4</v>
      </c>
      <c r="AO36" s="78"/>
      <c r="AP36" s="83"/>
      <c r="AQ36" s="83"/>
      <c r="AR36" s="84"/>
      <c r="AS36" s="84"/>
      <c r="AT36" s="83"/>
      <c r="AU36" s="83"/>
      <c r="AV36" s="83"/>
      <c r="AW36" s="83"/>
      <c r="AX36" s="83"/>
      <c r="AY36" s="83"/>
      <c r="AZ36" s="83"/>
      <c r="BA36" s="83"/>
      <c r="BB36" s="8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3"/>
      <c r="CF36" s="83"/>
      <c r="CG36" s="83"/>
      <c r="CH36" s="83"/>
      <c r="CI36" s="83"/>
      <c r="CJ36" s="83"/>
      <c r="CK36" s="83"/>
      <c r="CL36" s="83"/>
      <c r="CM36" s="83"/>
      <c r="CN36" s="86" t="str">
        <f t="shared" si="291"/>
        <v>InitUnitState('E109',4250,17000,,,85000,,,,,)</v>
      </c>
      <c r="CO36" s="86" t="str">
        <f t="shared" si="292"/>
        <v>InitUnitNormal('E109',,,,,,,,,4,)</v>
      </c>
      <c r="CP36" s="86" t="str">
        <f t="shared" si="293"/>
        <v>InitUnitMagic('E109',,,,,,,,,,)</v>
      </c>
      <c r="CQ36" s="86" t="str">
        <f t="shared" si="294"/>
        <v>InitUnitAdd('E109',,,,,,,9,,,)</v>
      </c>
      <c r="CR36" s="86" t="str">
        <f t="shared" si="295"/>
        <v>InitEquipData('E109',200,"",,E110,,50,'','','','','','',"ReplaceableTextures\\CommandButtons\\BTNZ07.blp")</v>
      </c>
      <c r="CS36" s="86"/>
      <c r="CT36" s="86"/>
      <c r="CU36" s="88" t="str">
        <f t="shared" si="78"/>
        <v>|n攻击+4250|n业力+17000|n生命值+85000|n暴击+4%|n每秒业力+9|n</v>
      </c>
      <c r="CV36" s="19" t="str">
        <f>"|Cffbbbbbb属性：|r"&amp;CU36&amp;VLOOKUP(A36,合成公式!A:P,16,FALSE)&amp;T36</f>
        <v>|Cffbbbbbb属性：|r|n攻击+4250|n业力+17000|n生命值+85000|n暴击+4%|n每秒业力+9|n|n攻击6%概率范围|cffff4646业力*15|r魔法伤害|n|n|Cff00ff7f击杀200只怪有50%概率升级|r</v>
      </c>
      <c r="DB36" s="66" t="str">
        <f t="shared" ref="DB36:DB52" si="296">IF(V36="","","|n"&amp;DB$2&amp;"+"&amp;V36&amp;DB$1)</f>
        <v>|n攻击+4250</v>
      </c>
      <c r="DC36" s="66" t="str">
        <f t="shared" ref="DC36:DC52" si="297">IF(W36="","","|n"&amp;DC$2&amp;"+"&amp;W36&amp;DC$1)</f>
        <v>|n业力+17000</v>
      </c>
      <c r="DD36" s="66" t="str">
        <f t="shared" ref="DD36:DD52" si="298">IF(X36="","","|n"&amp;DD$2&amp;"+"&amp;X36&amp;DD$1)</f>
        <v/>
      </c>
      <c r="DE36" s="66" t="str">
        <f t="shared" ref="DE36:DE52" si="299">IF(Y36="","","|n"&amp;DE$2&amp;"+"&amp;Y36&amp;DE$1)</f>
        <v/>
      </c>
      <c r="DF36" s="66" t="str">
        <f t="shared" ref="DF36:DF52" si="300">IF(Z36="","","|n"&amp;DF$2&amp;"+"&amp;Z36&amp;DF$1)</f>
        <v>|n生命值+85000</v>
      </c>
      <c r="DG36" s="66" t="str">
        <f t="shared" ref="DG36:DG52" si="301">IF(AA36="","","|n"&amp;DG$2&amp;"+"&amp;AA36&amp;DG$1)</f>
        <v/>
      </c>
      <c r="DH36" s="66" t="str">
        <f t="shared" ref="DH36:DH52" si="302">IF(AB36="","","|n"&amp;DH$2&amp;"+"&amp;AB36&amp;DH$1)</f>
        <v/>
      </c>
      <c r="DI36" s="66" t="str">
        <f t="shared" ref="DI36:DI52" si="303">IF(AC36="","","|n"&amp;DI$2&amp;"+"&amp;AC36&amp;DI$1)</f>
        <v/>
      </c>
      <c r="DJ36" s="66" t="str">
        <f t="shared" ref="DJ36:DJ52" si="304">IF(AD36="","","|n"&amp;DJ$2&amp;"+"&amp;AD36&amp;DJ$1)</f>
        <v/>
      </c>
      <c r="DK36" s="66" t="str">
        <f t="shared" ref="DK36:DK52" si="305">IF(AE36="","","|n"&amp;DK$2&amp;"+"&amp;AE36&amp;DK$1)</f>
        <v/>
      </c>
      <c r="DL36" s="66" t="str">
        <f t="shared" ref="DL36:DL52" si="306">IF(AF36="","","|n"&amp;DL$2&amp;"+"&amp;AF36&amp;DL$1)</f>
        <v/>
      </c>
      <c r="DM36" s="66" t="str">
        <f t="shared" ref="DM36:DM52" si="307">IF(AG36="","","|n"&amp;DM$2&amp;"+"&amp;AG36&amp;DM$1)</f>
        <v/>
      </c>
      <c r="DN36" s="66" t="str">
        <f t="shared" ref="DN36:DN52" si="308">IF(AH36="","","|n"&amp;DN$2&amp;"+"&amp;AH36&amp;DN$1)</f>
        <v/>
      </c>
      <c r="DO36" s="66" t="str">
        <f t="shared" ref="DO36:DO52" si="309">IF(AI36="","","|n"&amp;DO$2&amp;"+"&amp;AI36&amp;DO$1)</f>
        <v/>
      </c>
      <c r="DP36" s="66" t="str">
        <f t="shared" ref="DP36:DP52" si="310">IF(AJ36="","","|n"&amp;DP$2&amp;"+"&amp;AJ36&amp;DP$1)</f>
        <v/>
      </c>
      <c r="DQ36" s="66" t="str">
        <f t="shared" ref="DQ36:DQ52" si="311">IF(AK36="","","|n"&amp;DQ$2&amp;"+"&amp;AK36&amp;DQ$1)</f>
        <v/>
      </c>
      <c r="DR36" s="66" t="str">
        <f t="shared" ref="DR36:DR52" si="312">IF(AL36="","","|n"&amp;DR$2&amp;"+"&amp;AL36&amp;DR$1)</f>
        <v/>
      </c>
      <c r="DS36" s="66" t="str">
        <f t="shared" ref="DS36:DS52" si="313">IF(AM36="","","|n"&amp;DS$2&amp;"+"&amp;AM36&amp;DS$1)</f>
        <v/>
      </c>
      <c r="DT36" s="66" t="str">
        <f t="shared" ref="DT36:DT52" si="314">IF(AN36="","","|n"&amp;DT$2&amp;"+"&amp;AN36&amp;DT$1)</f>
        <v>|n暴击+4%</v>
      </c>
      <c r="DU36" s="66" t="str">
        <f t="shared" ref="DU36:DU52" si="315">IF(AO36="","","|n"&amp;DU$2&amp;"+"&amp;AO36&amp;DU$1)</f>
        <v/>
      </c>
      <c r="DV36" s="66" t="str">
        <f t="shared" ref="DV36:DV52" si="316">IF(AP36="","","|n"&amp;DV$2&amp;"+"&amp;AP36&amp;DV$1)</f>
        <v/>
      </c>
      <c r="DW36" s="66" t="str">
        <f t="shared" ref="DW36:DW52" si="317">IF(AQ36="","","|n"&amp;DW$2&amp;"+"&amp;AQ36&amp;DW$1)</f>
        <v/>
      </c>
      <c r="DX36" s="66" t="str">
        <f t="shared" ref="DX36:DX52" si="318">IF(AR36="","","|n"&amp;DX$2&amp;"+"&amp;AR36&amp;DX$1)</f>
        <v/>
      </c>
      <c r="DY36" s="66" t="str">
        <f t="shared" ref="DY36:DY52" si="319">IF(AS36="","","|n"&amp;DY$2&amp;"+"&amp;AS36&amp;DY$1)</f>
        <v/>
      </c>
      <c r="DZ36" s="66" t="str">
        <f t="shared" ref="DZ36:DZ52" si="320">IF(AT36="","","|n"&amp;DZ$2&amp;"+"&amp;AT36&amp;DZ$1)</f>
        <v/>
      </c>
      <c r="EA36" s="66" t="str">
        <f t="shared" ref="EA36:EA52" si="321">IF(AU36="","","|n"&amp;EA$2&amp;"+"&amp;AU36&amp;EA$1)</f>
        <v/>
      </c>
      <c r="EB36" s="66" t="str">
        <f t="shared" ref="EB36:EB52" si="322">IF(AV36="","","|n"&amp;EB$2&amp;"+"&amp;AV36&amp;EB$1)</f>
        <v/>
      </c>
      <c r="EC36" s="66" t="str">
        <f t="shared" ref="EC36:EC52" si="323">IF(AW36="","","|n"&amp;EC$2&amp;"+"&amp;AW36&amp;EC$1)</f>
        <v/>
      </c>
      <c r="ED36" s="66" t="str">
        <f t="shared" ref="ED36:ED52" si="324">IF(AX36="","","|n"&amp;ED$2&amp;"+"&amp;AX36&amp;ED$1)</f>
        <v/>
      </c>
      <c r="EE36" s="66" t="str">
        <f t="shared" ref="EE36:EE52" si="325">IF(AY36="","","|n"&amp;EE$2&amp;"+"&amp;AY36&amp;EE$1)</f>
        <v/>
      </c>
      <c r="EF36" s="66" t="str">
        <f t="shared" ref="EF36:EF52" si="326">IF(AZ36="","","|n"&amp;EF$2&amp;"+"&amp;AZ36&amp;EF$1)</f>
        <v/>
      </c>
      <c r="EG36" s="66" t="str">
        <f t="shared" ref="EG36:EG52" si="327">IF(BA36="","","|n"&amp;EG$2&amp;"+"&amp;BA36&amp;EG$1)</f>
        <v/>
      </c>
      <c r="EH36" s="66" t="str">
        <f t="shared" ref="EH36:EH52" si="328">IF(BB36="","","|n"&amp;EH$2&amp;"+"&amp;BB36&amp;EH$1)</f>
        <v/>
      </c>
      <c r="EI36" s="66" t="str">
        <f t="shared" ref="EI36:EI52" si="329">IF(BC36="","","|n"&amp;EI$2&amp;"+"&amp;BC36&amp;EI$1)</f>
        <v/>
      </c>
      <c r="EJ36" s="66" t="str">
        <f t="shared" ref="EJ36:EJ52" si="330">IF(BD36="","","|n"&amp;EJ$2&amp;"+"&amp;BD36&amp;EJ$1)</f>
        <v/>
      </c>
      <c r="EK36" s="66" t="str">
        <f t="shared" ref="EK36:EK52" si="331">IF(BE36="","","|n"&amp;EK$2&amp;"+"&amp;BE36&amp;EK$1)</f>
        <v/>
      </c>
      <c r="EL36" s="66" t="str">
        <f t="shared" ref="EL36:EL52" si="332">IF(BF36="","","|n"&amp;EL$2&amp;"+"&amp;BF36&amp;EL$1)</f>
        <v/>
      </c>
      <c r="EM36" s="66" t="str">
        <f t="shared" ref="EM36:EM52" si="333">IF(BG36="","","|n"&amp;EM$2&amp;"+"&amp;BG36&amp;EM$1)</f>
        <v/>
      </c>
      <c r="EN36" s="66" t="str">
        <f t="shared" ref="EN36:EN52" si="334">IF(BH36="","","|n"&amp;EN$2&amp;"+"&amp;BH36&amp;EN$1)</f>
        <v/>
      </c>
      <c r="EO36" s="66" t="str">
        <f t="shared" ref="EO36:EO52" si="335">IF(BI36="","","|n"&amp;EO$2&amp;"+"&amp;BI36&amp;EO$1)</f>
        <v/>
      </c>
      <c r="EP36" s="66" t="str">
        <f t="shared" ref="EP36:EP52" si="336">IF(BJ36="","","|n"&amp;EP$2&amp;"+"&amp;BJ36&amp;EP$1)</f>
        <v/>
      </c>
      <c r="EQ36" s="66" t="str">
        <f t="shared" ref="EQ36:EQ52" si="337">IF(BK36="","","|n"&amp;EQ$2&amp;"+"&amp;BK36&amp;EQ$1)</f>
        <v/>
      </c>
      <c r="ER36" s="66" t="str">
        <f t="shared" ref="ER36:ER52" si="338">IF(BL36="","","|n"&amp;ER$2&amp;"+"&amp;BL36&amp;ER$1)</f>
        <v/>
      </c>
      <c r="ES36" s="66" t="str">
        <f t="shared" ref="ES36:ES52" si="339">IF(BM36="","","|n"&amp;ES$2&amp;"+"&amp;BM36&amp;ES$1)</f>
        <v/>
      </c>
      <c r="ET36" s="66" t="str">
        <f t="shared" ref="ET36:ET52" si="340">IF(BN36="","","|n"&amp;ET$2&amp;"+"&amp;BN36&amp;ET$1)</f>
        <v/>
      </c>
      <c r="EU36" s="66" t="str">
        <f t="shared" ref="EU36:EU52" si="341">IF(BO36="","","|n"&amp;EU$2&amp;"+"&amp;BO36&amp;EU$1)</f>
        <v/>
      </c>
      <c r="EV36" s="66" t="str">
        <f t="shared" ref="EV36:EV52" si="342">IF(BP36="","","|n"&amp;EV$2&amp;"+"&amp;BP36&amp;EV$1)</f>
        <v/>
      </c>
      <c r="EW36" s="66" t="str">
        <f t="shared" ref="EW36:EW52" si="343">IF(BQ36="","","|n"&amp;EW$2&amp;"+"&amp;BQ36&amp;EW$1)</f>
        <v>|n每秒业力+9</v>
      </c>
      <c r="EX36" s="66" t="str">
        <f t="shared" ref="EX36:EX52" si="344">IF(BR36="","","|n"&amp;EX$2&amp;"+"&amp;BR36&amp;EX$1)</f>
        <v/>
      </c>
      <c r="EY36" s="66" t="str">
        <f t="shared" ref="EY36:EY52" si="345">IF(BS36="","","|n"&amp;EY$2&amp;"+"&amp;BS36&amp;EY$1)</f>
        <v/>
      </c>
      <c r="EZ36" s="66" t="str">
        <f t="shared" ref="EZ36:EZ52" si="346">IF(BT36="","","|n"&amp;EZ$2&amp;"+"&amp;BT36&amp;EZ$1)</f>
        <v/>
      </c>
      <c r="FA36" s="66" t="str">
        <f t="shared" ref="FA36:FA52" si="347">IF(BU36="","","|n"&amp;FA$2&amp;"+"&amp;BU36&amp;FA$1)</f>
        <v/>
      </c>
      <c r="FB36" s="66" t="str">
        <f t="shared" ref="FB36:FB52" si="348">IF(BV36="","","|n"&amp;FB$2&amp;"+"&amp;BV36&amp;FB$1)</f>
        <v/>
      </c>
      <c r="FC36" s="66" t="str">
        <f t="shared" ref="FC36:FC52" si="349">IF(BW36="","","|n"&amp;FC$2&amp;"+"&amp;BW36&amp;FC$1)</f>
        <v/>
      </c>
      <c r="FD36" s="66" t="str">
        <f t="shared" ref="FD36:FD52" si="350">IF(BX36="","","|n"&amp;FD$2&amp;"+"&amp;BX36&amp;FD$1)</f>
        <v/>
      </c>
      <c r="FE36" s="66" t="str">
        <f t="shared" ref="FE36:FE52" si="351">IF(BY36="","","|n"&amp;FE$2&amp;"+"&amp;BY36&amp;FE$1)</f>
        <v/>
      </c>
      <c r="FF36" s="66" t="str">
        <f t="shared" ref="FF36:FF52" si="352">IF(BZ36="","","|n"&amp;FF$2&amp;"+"&amp;BZ36&amp;FF$1)</f>
        <v/>
      </c>
      <c r="FG36" s="66" t="str">
        <f t="shared" ref="FG36:FG52" si="353">IF(CA36="","","|n"&amp;FG$2&amp;"+"&amp;CA36&amp;FG$1)</f>
        <v/>
      </c>
      <c r="FH36" s="66" t="str">
        <f t="shared" ref="FH36:FH52" si="354">IF(CB36="","","|n"&amp;FH$2&amp;"+"&amp;CB36&amp;FH$1)</f>
        <v/>
      </c>
      <c r="FI36" s="66" t="str">
        <f t="shared" ref="FI36:FI52" si="355">IF(CC36="","","|n"&amp;FI$2&amp;"+"&amp;CC36&amp;FI$1)</f>
        <v/>
      </c>
      <c r="FJ36" s="66" t="str">
        <f t="shared" ref="FJ36:FJ52" si="356">IF(CD36="","","|n"&amp;FJ$2&amp;"+"&amp;CD36&amp;FJ$1)</f>
        <v/>
      </c>
      <c r="FK36" s="66" t="str">
        <f t="shared" ref="FK36:FK52" si="357">IF(CE36="","","|n"&amp;FK$2&amp;"+"&amp;CE36&amp;FK$1)</f>
        <v/>
      </c>
      <c r="FL36" s="66" t="str">
        <f t="shared" ref="FL36:FL52" si="358">IF(CF36="","","|n"&amp;FL$2&amp;"+"&amp;CF36&amp;FL$1)</f>
        <v/>
      </c>
      <c r="FM36" s="66" t="str">
        <f t="shared" ref="FM36:FM52" si="359">IF(CG36="","","|n"&amp;FM$2&amp;"+"&amp;CG36&amp;FM$1)</f>
        <v/>
      </c>
      <c r="FN36" s="66" t="str">
        <f t="shared" ref="FN36:FN52" si="360">IF(CH36="","","|n"&amp;FN$2&amp;"+"&amp;CH36&amp;FN$1)</f>
        <v/>
      </c>
      <c r="FO36" s="66" t="str">
        <f t="shared" ref="FO36:FO52" si="361">IF(CI36="","","|n"&amp;FO$2&amp;"+"&amp;CI36&amp;FO$1)</f>
        <v/>
      </c>
      <c r="FP36" s="66" t="str">
        <f t="shared" ref="FP36:FP52" si="362">IF(CJ36="","","|n"&amp;FP$2&amp;"+"&amp;CJ36&amp;FP$1)</f>
        <v/>
      </c>
      <c r="FQ36" s="66" t="str">
        <f t="shared" ref="FQ36:FQ52" si="363">IF(CK36="","","|n"&amp;FQ$2&amp;"+"&amp;CK36&amp;FQ$1)</f>
        <v/>
      </c>
      <c r="FR36" s="66" t="str">
        <f t="shared" ref="FR36:FR52" si="364">IF(CL36="","","|n"&amp;FR$2&amp;"+"&amp;CL36&amp;FR$1)</f>
        <v/>
      </c>
      <c r="FS36" s="66" t="str">
        <f t="shared" ref="FS36:FS52" si="365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89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0"/>
        <v>|n攻击6%概率范围|cffff4646业力*15|r魔法伤害|n|n|Cff00ff7f击杀200只怪有50%概率升级|r</v>
      </c>
      <c r="U37" s="77" t="s">
        <v>252</v>
      </c>
      <c r="V37" s="78">
        <v>5000</v>
      </c>
      <c r="W37" s="78">
        <v>20000</v>
      </c>
      <c r="X37" s="78"/>
      <c r="Y37" s="78"/>
      <c r="Z37" s="78">
        <v>100000</v>
      </c>
      <c r="AA37" s="78"/>
      <c r="AB37" s="78"/>
      <c r="AC37" s="78"/>
      <c r="AD37" s="78"/>
      <c r="AE37" s="78"/>
      <c r="AF37" s="78"/>
      <c r="AG37" s="81"/>
      <c r="AH37" s="78"/>
      <c r="AI37" s="78"/>
      <c r="AJ37" s="78"/>
      <c r="AK37" s="78"/>
      <c r="AL37" s="81"/>
      <c r="AM37" s="78"/>
      <c r="AN37" s="19">
        <v>4</v>
      </c>
      <c r="AO37" s="78"/>
      <c r="AP37" s="83"/>
      <c r="AQ37" s="83"/>
      <c r="AR37" s="84"/>
      <c r="AS37" s="84"/>
      <c r="AT37" s="83"/>
      <c r="AU37" s="83"/>
      <c r="AV37" s="83"/>
      <c r="AW37" s="83"/>
      <c r="AX37" s="83"/>
      <c r="AY37" s="83"/>
      <c r="AZ37" s="83"/>
      <c r="BA37" s="83"/>
      <c r="BB37" s="8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3"/>
      <c r="CF37" s="83"/>
      <c r="CG37" s="83"/>
      <c r="CH37" s="83"/>
      <c r="CI37" s="83"/>
      <c r="CJ37" s="83"/>
      <c r="CK37" s="83"/>
      <c r="CL37" s="83"/>
      <c r="CM37" s="83"/>
      <c r="CN37" s="86" t="str">
        <f t="shared" si="291"/>
        <v>InitUnitState('E110',5000,20000,,,100000,,,,,)</v>
      </c>
      <c r="CO37" s="86" t="str">
        <f t="shared" si="292"/>
        <v>InitUnitNormal('E110',,,,,,,,,4,)</v>
      </c>
      <c r="CP37" s="86" t="str">
        <f t="shared" si="293"/>
        <v>InitUnitMagic('E110',,,,,,,,,,)</v>
      </c>
      <c r="CQ37" s="86" t="str">
        <f t="shared" si="294"/>
        <v>InitUnitAdd('E110',,,,,,,10,,,)</v>
      </c>
      <c r="CR37" s="86" t="str">
        <f t="shared" si="295"/>
        <v>InitEquipData('E110',200,"",,E111,,50,'','','','','','',"ReplaceableTextures\\CommandButtons\\BTNZ08.blp")</v>
      </c>
      <c r="CS37" s="86"/>
      <c r="CT37" s="86"/>
      <c r="CU37" s="88" t="str">
        <f t="shared" si="78"/>
        <v>|n攻击+5000|n业力+20000|n生命值+100000|n暴击+4%|n每秒业力+10|n</v>
      </c>
      <c r="CV37" s="19" t="str">
        <f>"|Cffbbbbbb属性：|r"&amp;CU37&amp;VLOOKUP(A37,合成公式!A:P,16,FALSE)&amp;T37</f>
        <v>|Cffbbbbbb属性：|r|n攻击+5000|n业力+20000|n生命值+100000|n暴击+4%|n每秒业力+10|n|n攻击6%概率范围|cffff4646业力*15|r魔法伤害|n|n|Cff00ff7f击杀200只怪有50%概率升级|r</v>
      </c>
      <c r="DB37" s="66" t="str">
        <f t="shared" si="296"/>
        <v>|n攻击+5000</v>
      </c>
      <c r="DC37" s="66" t="str">
        <f t="shared" si="297"/>
        <v>|n业力+20000</v>
      </c>
      <c r="DD37" s="66" t="str">
        <f t="shared" si="298"/>
        <v/>
      </c>
      <c r="DE37" s="66" t="str">
        <f t="shared" si="299"/>
        <v/>
      </c>
      <c r="DF37" s="66" t="str">
        <f t="shared" si="300"/>
        <v>|n生命值+100000</v>
      </c>
      <c r="DG37" s="66" t="str">
        <f t="shared" si="301"/>
        <v/>
      </c>
      <c r="DH37" s="66" t="str">
        <f t="shared" si="302"/>
        <v/>
      </c>
      <c r="DI37" s="66" t="str">
        <f t="shared" si="303"/>
        <v/>
      </c>
      <c r="DJ37" s="66" t="str">
        <f t="shared" si="304"/>
        <v/>
      </c>
      <c r="DK37" s="66" t="str">
        <f t="shared" si="305"/>
        <v/>
      </c>
      <c r="DL37" s="66" t="str">
        <f t="shared" si="306"/>
        <v/>
      </c>
      <c r="DM37" s="66" t="str">
        <f t="shared" si="307"/>
        <v/>
      </c>
      <c r="DN37" s="66" t="str">
        <f t="shared" si="308"/>
        <v/>
      </c>
      <c r="DO37" s="66" t="str">
        <f t="shared" si="309"/>
        <v/>
      </c>
      <c r="DP37" s="66" t="str">
        <f t="shared" si="310"/>
        <v/>
      </c>
      <c r="DQ37" s="66" t="str">
        <f t="shared" si="311"/>
        <v/>
      </c>
      <c r="DR37" s="66" t="str">
        <f t="shared" si="312"/>
        <v/>
      </c>
      <c r="DS37" s="66" t="str">
        <f t="shared" si="313"/>
        <v/>
      </c>
      <c r="DT37" s="66" t="str">
        <f t="shared" si="314"/>
        <v>|n暴击+4%</v>
      </c>
      <c r="DU37" s="66" t="str">
        <f t="shared" si="315"/>
        <v/>
      </c>
      <c r="DV37" s="66" t="str">
        <f t="shared" si="316"/>
        <v/>
      </c>
      <c r="DW37" s="66" t="str">
        <f t="shared" si="317"/>
        <v/>
      </c>
      <c r="DX37" s="66" t="str">
        <f t="shared" si="318"/>
        <v/>
      </c>
      <c r="DY37" s="66" t="str">
        <f t="shared" si="319"/>
        <v/>
      </c>
      <c r="DZ37" s="66" t="str">
        <f t="shared" si="320"/>
        <v/>
      </c>
      <c r="EA37" s="66" t="str">
        <f t="shared" si="321"/>
        <v/>
      </c>
      <c r="EB37" s="66" t="str">
        <f t="shared" si="322"/>
        <v/>
      </c>
      <c r="EC37" s="66" t="str">
        <f t="shared" si="323"/>
        <v/>
      </c>
      <c r="ED37" s="66" t="str">
        <f t="shared" si="324"/>
        <v/>
      </c>
      <c r="EE37" s="66" t="str">
        <f t="shared" si="325"/>
        <v/>
      </c>
      <c r="EF37" s="66" t="str">
        <f t="shared" si="326"/>
        <v/>
      </c>
      <c r="EG37" s="66" t="str">
        <f t="shared" si="327"/>
        <v/>
      </c>
      <c r="EH37" s="66" t="str">
        <f t="shared" si="328"/>
        <v/>
      </c>
      <c r="EI37" s="66" t="str">
        <f t="shared" si="329"/>
        <v/>
      </c>
      <c r="EJ37" s="66" t="str">
        <f t="shared" si="330"/>
        <v/>
      </c>
      <c r="EK37" s="66" t="str">
        <f t="shared" si="331"/>
        <v/>
      </c>
      <c r="EL37" s="66" t="str">
        <f t="shared" si="332"/>
        <v/>
      </c>
      <c r="EM37" s="66" t="str">
        <f t="shared" si="333"/>
        <v/>
      </c>
      <c r="EN37" s="66" t="str">
        <f t="shared" si="334"/>
        <v/>
      </c>
      <c r="EO37" s="66" t="str">
        <f t="shared" si="335"/>
        <v/>
      </c>
      <c r="EP37" s="66" t="str">
        <f t="shared" si="336"/>
        <v/>
      </c>
      <c r="EQ37" s="66" t="str">
        <f t="shared" si="337"/>
        <v/>
      </c>
      <c r="ER37" s="66" t="str">
        <f t="shared" si="338"/>
        <v/>
      </c>
      <c r="ES37" s="66" t="str">
        <f t="shared" si="339"/>
        <v/>
      </c>
      <c r="ET37" s="66" t="str">
        <f t="shared" si="340"/>
        <v/>
      </c>
      <c r="EU37" s="66" t="str">
        <f t="shared" si="341"/>
        <v/>
      </c>
      <c r="EV37" s="66" t="str">
        <f t="shared" si="342"/>
        <v/>
      </c>
      <c r="EW37" s="66" t="str">
        <f t="shared" si="343"/>
        <v>|n每秒业力+10</v>
      </c>
      <c r="EX37" s="66" t="str">
        <f t="shared" si="344"/>
        <v/>
      </c>
      <c r="EY37" s="66" t="str">
        <f t="shared" si="345"/>
        <v/>
      </c>
      <c r="EZ37" s="66" t="str">
        <f t="shared" si="346"/>
        <v/>
      </c>
      <c r="FA37" s="66" t="str">
        <f t="shared" si="347"/>
        <v/>
      </c>
      <c r="FB37" s="66" t="str">
        <f t="shared" si="348"/>
        <v/>
      </c>
      <c r="FC37" s="66" t="str">
        <f t="shared" si="349"/>
        <v/>
      </c>
      <c r="FD37" s="66" t="str">
        <f t="shared" si="350"/>
        <v/>
      </c>
      <c r="FE37" s="66" t="str">
        <f t="shared" si="351"/>
        <v/>
      </c>
      <c r="FF37" s="66" t="str">
        <f t="shared" si="352"/>
        <v/>
      </c>
      <c r="FG37" s="66" t="str">
        <f t="shared" si="353"/>
        <v/>
      </c>
      <c r="FH37" s="66" t="str">
        <f t="shared" si="354"/>
        <v/>
      </c>
      <c r="FI37" s="66" t="str">
        <f t="shared" si="355"/>
        <v/>
      </c>
      <c r="FJ37" s="66" t="str">
        <f t="shared" si="356"/>
        <v/>
      </c>
      <c r="FK37" s="66" t="str">
        <f t="shared" si="357"/>
        <v/>
      </c>
      <c r="FL37" s="66" t="str">
        <f t="shared" si="358"/>
        <v/>
      </c>
      <c r="FM37" s="66" t="str">
        <f t="shared" si="359"/>
        <v/>
      </c>
      <c r="FN37" s="66" t="str">
        <f t="shared" si="360"/>
        <v/>
      </c>
      <c r="FO37" s="66" t="str">
        <f t="shared" si="361"/>
        <v/>
      </c>
      <c r="FP37" s="66" t="str">
        <f t="shared" si="362"/>
        <v/>
      </c>
      <c r="FQ37" s="66" t="str">
        <f t="shared" si="363"/>
        <v/>
      </c>
      <c r="FR37" s="66" t="str">
        <f t="shared" si="364"/>
        <v/>
      </c>
      <c r="FS37" s="66" t="str">
        <f t="shared" si="365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6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0"/>
        <v>|n攻击6%概率范围|cffff4646业力*15|r魔法伤害|n|n|Cff00ff7f击杀300只怪有50%概率升级|r</v>
      </c>
      <c r="U38" s="77" t="s">
        <v>263</v>
      </c>
      <c r="V38" s="78">
        <v>7500</v>
      </c>
      <c r="W38" s="78">
        <v>30000</v>
      </c>
      <c r="X38" s="78"/>
      <c r="Y38" s="78"/>
      <c r="Z38" s="78">
        <v>150000</v>
      </c>
      <c r="AA38" s="78"/>
      <c r="AB38" s="78"/>
      <c r="AC38" s="78"/>
      <c r="AD38" s="78"/>
      <c r="AE38" s="78"/>
      <c r="AF38" s="78"/>
      <c r="AG38" s="81"/>
      <c r="AH38" s="78"/>
      <c r="AI38" s="78"/>
      <c r="AJ38" s="78"/>
      <c r="AK38" s="78"/>
      <c r="AL38" s="81"/>
      <c r="AM38" s="78"/>
      <c r="AN38" s="19">
        <v>6</v>
      </c>
      <c r="AO38" s="78"/>
      <c r="AP38" s="83"/>
      <c r="AQ38" s="83"/>
      <c r="AR38" s="84"/>
      <c r="AS38" s="84"/>
      <c r="AT38" s="83"/>
      <c r="AU38" s="83"/>
      <c r="AV38" s="83"/>
      <c r="AW38" s="83"/>
      <c r="AX38" s="83"/>
      <c r="AY38" s="83"/>
      <c r="AZ38" s="83"/>
      <c r="BA38" s="83"/>
      <c r="BB38" s="8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3"/>
      <c r="CF38" s="83"/>
      <c r="CG38" s="83"/>
      <c r="CH38" s="83"/>
      <c r="CI38" s="83"/>
      <c r="CJ38" s="83"/>
      <c r="CK38" s="83"/>
      <c r="CL38" s="83"/>
      <c r="CM38" s="83"/>
      <c r="CN38" s="86" t="str">
        <f t="shared" si="291"/>
        <v>InitUnitState('E111',7500,30000,,,150000,,,,,)</v>
      </c>
      <c r="CO38" s="86" t="str">
        <f t="shared" si="292"/>
        <v>InitUnitNormal('E111',,,,,,,,,6,)</v>
      </c>
      <c r="CP38" s="86" t="str">
        <f t="shared" si="293"/>
        <v>InitUnitMagic('E111',,,,,,,,,,)</v>
      </c>
      <c r="CQ38" s="86" t="str">
        <f t="shared" si="294"/>
        <v>InitUnitAdd('E111',,,,,,,11,,,)</v>
      </c>
      <c r="CR38" s="86" t="str">
        <f t="shared" si="295"/>
        <v>InitEquipData('E111',300,"",,E112,,50,'','','','','','',"ReplaceableTextures\\CommandButtons\\BTNZ08.blp")</v>
      </c>
      <c r="CS38" s="86"/>
      <c r="CT38" s="86"/>
      <c r="CU38" s="88" t="str">
        <f t="shared" si="78"/>
        <v>|n攻击+7500|n业力+30000|n生命值+150000|n暴击+6%|n每秒业力+11|n</v>
      </c>
      <c r="CV38" s="19" t="str">
        <f>"|Cffbbbbbb属性：|r"&amp;CU38&amp;VLOOKUP(A38,合成公式!A:P,16,FALSE)&amp;T38</f>
        <v>|Cffbbbbbb属性：|r|n攻击+7500|n业力+30000|n生命值+150000|n暴击+6%|n每秒业力+11|n|n攻击6%概率范围|cffff4646业力*15|r魔法伤害|n|n|Cff00ff7f击杀300只怪有50%概率升级|r</v>
      </c>
      <c r="DB38" s="66" t="str">
        <f t="shared" si="296"/>
        <v>|n攻击+7500</v>
      </c>
      <c r="DC38" s="66" t="str">
        <f t="shared" si="297"/>
        <v>|n业力+30000</v>
      </c>
      <c r="DD38" s="66" t="str">
        <f t="shared" si="298"/>
        <v/>
      </c>
      <c r="DE38" s="66" t="str">
        <f t="shared" si="299"/>
        <v/>
      </c>
      <c r="DF38" s="66" t="str">
        <f t="shared" si="300"/>
        <v>|n生命值+150000</v>
      </c>
      <c r="DG38" s="66" t="str">
        <f t="shared" si="301"/>
        <v/>
      </c>
      <c r="DH38" s="66" t="str">
        <f t="shared" si="302"/>
        <v/>
      </c>
      <c r="DI38" s="66" t="str">
        <f t="shared" si="303"/>
        <v/>
      </c>
      <c r="DJ38" s="66" t="str">
        <f t="shared" si="304"/>
        <v/>
      </c>
      <c r="DK38" s="66" t="str">
        <f t="shared" si="305"/>
        <v/>
      </c>
      <c r="DL38" s="66" t="str">
        <f t="shared" si="306"/>
        <v/>
      </c>
      <c r="DM38" s="66" t="str">
        <f t="shared" si="307"/>
        <v/>
      </c>
      <c r="DN38" s="66" t="str">
        <f t="shared" si="308"/>
        <v/>
      </c>
      <c r="DO38" s="66" t="str">
        <f t="shared" si="309"/>
        <v/>
      </c>
      <c r="DP38" s="66" t="str">
        <f t="shared" si="310"/>
        <v/>
      </c>
      <c r="DQ38" s="66" t="str">
        <f t="shared" si="311"/>
        <v/>
      </c>
      <c r="DR38" s="66" t="str">
        <f t="shared" si="312"/>
        <v/>
      </c>
      <c r="DS38" s="66" t="str">
        <f t="shared" si="313"/>
        <v/>
      </c>
      <c r="DT38" s="66" t="str">
        <f t="shared" si="314"/>
        <v>|n暴击+6%</v>
      </c>
      <c r="DU38" s="66" t="str">
        <f t="shared" si="315"/>
        <v/>
      </c>
      <c r="DV38" s="66" t="str">
        <f t="shared" si="316"/>
        <v/>
      </c>
      <c r="DW38" s="66" t="str">
        <f t="shared" si="317"/>
        <v/>
      </c>
      <c r="DX38" s="66" t="str">
        <f t="shared" si="318"/>
        <v/>
      </c>
      <c r="DY38" s="66" t="str">
        <f t="shared" si="319"/>
        <v/>
      </c>
      <c r="DZ38" s="66" t="str">
        <f t="shared" si="320"/>
        <v/>
      </c>
      <c r="EA38" s="66" t="str">
        <f t="shared" si="321"/>
        <v/>
      </c>
      <c r="EB38" s="66" t="str">
        <f t="shared" si="322"/>
        <v/>
      </c>
      <c r="EC38" s="66" t="str">
        <f t="shared" si="323"/>
        <v/>
      </c>
      <c r="ED38" s="66" t="str">
        <f t="shared" si="324"/>
        <v/>
      </c>
      <c r="EE38" s="66" t="str">
        <f t="shared" si="325"/>
        <v/>
      </c>
      <c r="EF38" s="66" t="str">
        <f t="shared" si="326"/>
        <v/>
      </c>
      <c r="EG38" s="66" t="str">
        <f t="shared" si="327"/>
        <v/>
      </c>
      <c r="EH38" s="66" t="str">
        <f t="shared" si="328"/>
        <v/>
      </c>
      <c r="EI38" s="66" t="str">
        <f t="shared" si="329"/>
        <v/>
      </c>
      <c r="EJ38" s="66" t="str">
        <f t="shared" si="330"/>
        <v/>
      </c>
      <c r="EK38" s="66" t="str">
        <f t="shared" si="331"/>
        <v/>
      </c>
      <c r="EL38" s="66" t="str">
        <f t="shared" si="332"/>
        <v/>
      </c>
      <c r="EM38" s="66" t="str">
        <f t="shared" si="333"/>
        <v/>
      </c>
      <c r="EN38" s="66" t="str">
        <f t="shared" si="334"/>
        <v/>
      </c>
      <c r="EO38" s="66" t="str">
        <f t="shared" si="335"/>
        <v/>
      </c>
      <c r="EP38" s="66" t="str">
        <f t="shared" si="336"/>
        <v/>
      </c>
      <c r="EQ38" s="66" t="str">
        <f t="shared" si="337"/>
        <v/>
      </c>
      <c r="ER38" s="66" t="str">
        <f t="shared" si="338"/>
        <v/>
      </c>
      <c r="ES38" s="66" t="str">
        <f t="shared" si="339"/>
        <v/>
      </c>
      <c r="ET38" s="66" t="str">
        <f t="shared" si="340"/>
        <v/>
      </c>
      <c r="EU38" s="66" t="str">
        <f t="shared" si="341"/>
        <v/>
      </c>
      <c r="EV38" s="66" t="str">
        <f t="shared" si="342"/>
        <v/>
      </c>
      <c r="EW38" s="66" t="str">
        <f t="shared" si="343"/>
        <v>|n每秒业力+11</v>
      </c>
      <c r="EX38" s="66" t="str">
        <f t="shared" si="344"/>
        <v/>
      </c>
      <c r="EY38" s="66" t="str">
        <f t="shared" si="345"/>
        <v/>
      </c>
      <c r="EZ38" s="66" t="str">
        <f t="shared" si="346"/>
        <v/>
      </c>
      <c r="FA38" s="66" t="str">
        <f t="shared" si="347"/>
        <v/>
      </c>
      <c r="FB38" s="66" t="str">
        <f t="shared" si="348"/>
        <v/>
      </c>
      <c r="FC38" s="66" t="str">
        <f t="shared" si="349"/>
        <v/>
      </c>
      <c r="FD38" s="66" t="str">
        <f t="shared" si="350"/>
        <v/>
      </c>
      <c r="FE38" s="66" t="str">
        <f t="shared" si="351"/>
        <v/>
      </c>
      <c r="FF38" s="66" t="str">
        <f t="shared" si="352"/>
        <v/>
      </c>
      <c r="FG38" s="66" t="str">
        <f t="shared" si="353"/>
        <v/>
      </c>
      <c r="FH38" s="66" t="str">
        <f t="shared" si="354"/>
        <v/>
      </c>
      <c r="FI38" s="66" t="str">
        <f t="shared" si="355"/>
        <v/>
      </c>
      <c r="FJ38" s="66" t="str">
        <f t="shared" si="356"/>
        <v/>
      </c>
      <c r="FK38" s="66" t="str">
        <f t="shared" si="357"/>
        <v/>
      </c>
      <c r="FL38" s="66" t="str">
        <f t="shared" si="358"/>
        <v/>
      </c>
      <c r="FM38" s="66" t="str">
        <f t="shared" si="359"/>
        <v/>
      </c>
      <c r="FN38" s="66" t="str">
        <f t="shared" si="360"/>
        <v/>
      </c>
      <c r="FO38" s="66" t="str">
        <f t="shared" si="361"/>
        <v/>
      </c>
      <c r="FP38" s="66" t="str">
        <f t="shared" si="362"/>
        <v/>
      </c>
      <c r="FQ38" s="66" t="str">
        <f t="shared" si="363"/>
        <v/>
      </c>
      <c r="FR38" s="66" t="str">
        <f t="shared" si="364"/>
        <v/>
      </c>
      <c r="FS38" s="66" t="str">
        <f t="shared" si="365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6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0"/>
        <v>|n攻击6%概率范围|cffff4646业力*15|r魔法伤害|n|n|Cff00ff7f击杀300只怪有50%概率升级|r</v>
      </c>
      <c r="U39" s="77" t="s">
        <v>263</v>
      </c>
      <c r="V39" s="78">
        <v>9000</v>
      </c>
      <c r="W39" s="78">
        <v>36000</v>
      </c>
      <c r="X39" s="78"/>
      <c r="Y39" s="78"/>
      <c r="Z39" s="78">
        <v>180000</v>
      </c>
      <c r="AA39" s="78"/>
      <c r="AB39" s="78"/>
      <c r="AC39" s="78"/>
      <c r="AD39" s="78"/>
      <c r="AE39" s="78"/>
      <c r="AF39" s="78"/>
      <c r="AG39" s="81"/>
      <c r="AH39" s="78"/>
      <c r="AI39" s="78"/>
      <c r="AJ39" s="78"/>
      <c r="AK39" s="78"/>
      <c r="AL39" s="81"/>
      <c r="AM39" s="78"/>
      <c r="AN39" s="19">
        <v>6</v>
      </c>
      <c r="AO39" s="78"/>
      <c r="AP39" s="83"/>
      <c r="AQ39" s="83"/>
      <c r="AR39" s="84"/>
      <c r="AS39" s="84"/>
      <c r="AT39" s="83"/>
      <c r="AU39" s="83"/>
      <c r="AV39" s="83"/>
      <c r="AW39" s="83"/>
      <c r="AX39" s="83"/>
      <c r="AY39" s="83"/>
      <c r="AZ39" s="83"/>
      <c r="BA39" s="83"/>
      <c r="BB39" s="8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3"/>
      <c r="CF39" s="83"/>
      <c r="CG39" s="83"/>
      <c r="CH39" s="83"/>
      <c r="CI39" s="83"/>
      <c r="CJ39" s="83"/>
      <c r="CK39" s="83"/>
      <c r="CL39" s="83"/>
      <c r="CM39" s="83"/>
      <c r="CN39" s="86" t="str">
        <f t="shared" si="291"/>
        <v>InitUnitState('E112',9000,36000,,,180000,,,,,)</v>
      </c>
      <c r="CO39" s="86" t="str">
        <f t="shared" si="292"/>
        <v>InitUnitNormal('E112',,,,,,,,,6,)</v>
      </c>
      <c r="CP39" s="86" t="str">
        <f t="shared" si="293"/>
        <v>InitUnitMagic('E112',,,,,,,,,,)</v>
      </c>
      <c r="CQ39" s="86" t="str">
        <f t="shared" si="294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|n攻击+9000|n业力+36000|n生命值+180000|n暴击+6%|n每秒业力+12|n</v>
      </c>
      <c r="CV39" s="19" t="str">
        <f>"|Cffbbbbbb属性：|r"&amp;CU39&amp;VLOOKUP(A39,合成公式!A:P,16,FALSE)&amp;T39</f>
        <v>|Cffbbbbbb属性：|r|n攻击+9000|n业力+36000|n生命值+180000|n暴击+6%|n每秒业力+12|n|n攻击6%概率范围|cffff4646业力*15|r魔法伤害|n|n|Cff00ff7f击杀300只怪有50%概率升级|r</v>
      </c>
      <c r="DB39" s="66" t="str">
        <f t="shared" si="296"/>
        <v>|n攻击+9000</v>
      </c>
      <c r="DC39" s="66" t="str">
        <f t="shared" si="297"/>
        <v>|n业力+36000</v>
      </c>
      <c r="DD39" s="66" t="str">
        <f t="shared" si="298"/>
        <v/>
      </c>
      <c r="DE39" s="66" t="str">
        <f t="shared" si="299"/>
        <v/>
      </c>
      <c r="DF39" s="66" t="str">
        <f t="shared" si="300"/>
        <v>|n生命值+180000</v>
      </c>
      <c r="DG39" s="66" t="str">
        <f t="shared" si="301"/>
        <v/>
      </c>
      <c r="DH39" s="66" t="str">
        <f t="shared" si="302"/>
        <v/>
      </c>
      <c r="DI39" s="66" t="str">
        <f t="shared" si="303"/>
        <v/>
      </c>
      <c r="DJ39" s="66" t="str">
        <f t="shared" si="304"/>
        <v/>
      </c>
      <c r="DK39" s="66" t="str">
        <f t="shared" si="305"/>
        <v/>
      </c>
      <c r="DL39" s="66" t="str">
        <f t="shared" si="306"/>
        <v/>
      </c>
      <c r="DM39" s="66" t="str">
        <f t="shared" si="307"/>
        <v/>
      </c>
      <c r="DN39" s="66" t="str">
        <f t="shared" si="308"/>
        <v/>
      </c>
      <c r="DO39" s="66" t="str">
        <f t="shared" si="309"/>
        <v/>
      </c>
      <c r="DP39" s="66" t="str">
        <f t="shared" si="310"/>
        <v/>
      </c>
      <c r="DQ39" s="66" t="str">
        <f t="shared" si="311"/>
        <v/>
      </c>
      <c r="DR39" s="66" t="str">
        <f t="shared" si="312"/>
        <v/>
      </c>
      <c r="DS39" s="66" t="str">
        <f t="shared" si="313"/>
        <v/>
      </c>
      <c r="DT39" s="66" t="str">
        <f t="shared" si="314"/>
        <v>|n暴击+6%</v>
      </c>
      <c r="DU39" s="66" t="str">
        <f t="shared" si="315"/>
        <v/>
      </c>
      <c r="DV39" s="66" t="str">
        <f t="shared" si="316"/>
        <v/>
      </c>
      <c r="DW39" s="66" t="str">
        <f t="shared" si="317"/>
        <v/>
      </c>
      <c r="DX39" s="66" t="str">
        <f t="shared" si="318"/>
        <v/>
      </c>
      <c r="DY39" s="66" t="str">
        <f t="shared" si="319"/>
        <v/>
      </c>
      <c r="DZ39" s="66" t="str">
        <f t="shared" si="320"/>
        <v/>
      </c>
      <c r="EA39" s="66" t="str">
        <f t="shared" si="321"/>
        <v/>
      </c>
      <c r="EB39" s="66" t="str">
        <f t="shared" si="322"/>
        <v/>
      </c>
      <c r="EC39" s="66" t="str">
        <f t="shared" si="323"/>
        <v/>
      </c>
      <c r="ED39" s="66" t="str">
        <f t="shared" si="324"/>
        <v/>
      </c>
      <c r="EE39" s="66" t="str">
        <f t="shared" si="325"/>
        <v/>
      </c>
      <c r="EF39" s="66" t="str">
        <f t="shared" si="326"/>
        <v/>
      </c>
      <c r="EG39" s="66" t="str">
        <f t="shared" si="327"/>
        <v/>
      </c>
      <c r="EH39" s="66" t="str">
        <f t="shared" si="328"/>
        <v/>
      </c>
      <c r="EI39" s="66" t="str">
        <f t="shared" si="329"/>
        <v/>
      </c>
      <c r="EJ39" s="66" t="str">
        <f t="shared" si="330"/>
        <v/>
      </c>
      <c r="EK39" s="66" t="str">
        <f t="shared" si="331"/>
        <v/>
      </c>
      <c r="EL39" s="66" t="str">
        <f t="shared" si="332"/>
        <v/>
      </c>
      <c r="EM39" s="66" t="str">
        <f t="shared" si="333"/>
        <v/>
      </c>
      <c r="EN39" s="66" t="str">
        <f t="shared" si="334"/>
        <v/>
      </c>
      <c r="EO39" s="66" t="str">
        <f t="shared" si="335"/>
        <v/>
      </c>
      <c r="EP39" s="66" t="str">
        <f t="shared" si="336"/>
        <v/>
      </c>
      <c r="EQ39" s="66" t="str">
        <f t="shared" si="337"/>
        <v/>
      </c>
      <c r="ER39" s="66" t="str">
        <f t="shared" si="338"/>
        <v/>
      </c>
      <c r="ES39" s="66" t="str">
        <f t="shared" si="339"/>
        <v/>
      </c>
      <c r="ET39" s="66" t="str">
        <f t="shared" si="340"/>
        <v/>
      </c>
      <c r="EU39" s="66" t="str">
        <f t="shared" si="341"/>
        <v/>
      </c>
      <c r="EV39" s="66" t="str">
        <f t="shared" si="342"/>
        <v/>
      </c>
      <c r="EW39" s="66" t="str">
        <f t="shared" si="343"/>
        <v>|n每秒业力+12</v>
      </c>
      <c r="EX39" s="66" t="str">
        <f t="shared" si="344"/>
        <v/>
      </c>
      <c r="EY39" s="66" t="str">
        <f t="shared" si="345"/>
        <v/>
      </c>
      <c r="EZ39" s="66" t="str">
        <f t="shared" si="346"/>
        <v/>
      </c>
      <c r="FA39" s="66" t="str">
        <f t="shared" si="347"/>
        <v/>
      </c>
      <c r="FB39" s="66" t="str">
        <f t="shared" si="348"/>
        <v/>
      </c>
      <c r="FC39" s="66" t="str">
        <f t="shared" si="349"/>
        <v/>
      </c>
      <c r="FD39" s="66" t="str">
        <f t="shared" si="350"/>
        <v/>
      </c>
      <c r="FE39" s="66" t="str">
        <f t="shared" si="351"/>
        <v/>
      </c>
      <c r="FF39" s="66" t="str">
        <f t="shared" si="352"/>
        <v/>
      </c>
      <c r="FG39" s="66" t="str">
        <f t="shared" si="353"/>
        <v/>
      </c>
      <c r="FH39" s="66" t="str">
        <f t="shared" si="354"/>
        <v/>
      </c>
      <c r="FI39" s="66" t="str">
        <f t="shared" si="355"/>
        <v/>
      </c>
      <c r="FJ39" s="66" t="str">
        <f t="shared" si="356"/>
        <v/>
      </c>
      <c r="FK39" s="66" t="str">
        <f t="shared" si="357"/>
        <v/>
      </c>
      <c r="FL39" s="66" t="str">
        <f t="shared" si="358"/>
        <v/>
      </c>
      <c r="FM39" s="66" t="str">
        <f t="shared" si="359"/>
        <v/>
      </c>
      <c r="FN39" s="66" t="str">
        <f t="shared" si="360"/>
        <v/>
      </c>
      <c r="FO39" s="66" t="str">
        <f t="shared" si="361"/>
        <v/>
      </c>
      <c r="FP39" s="66" t="str">
        <f t="shared" si="362"/>
        <v/>
      </c>
      <c r="FQ39" s="66" t="str">
        <f t="shared" si="363"/>
        <v/>
      </c>
      <c r="FR39" s="66" t="str">
        <f t="shared" si="364"/>
        <v/>
      </c>
      <c r="FS39" s="66" t="str">
        <f t="shared" si="365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6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0"/>
        <v>|n攻击6%概率范围|cffff4646业力*15|r魔法伤害|n|n|Cff00ff7f击杀300只怪有50%概率升级|r</v>
      </c>
      <c r="U40" s="77" t="s">
        <v>263</v>
      </c>
      <c r="V40" s="78">
        <v>10500</v>
      </c>
      <c r="W40" s="78">
        <v>42000</v>
      </c>
      <c r="X40" s="78"/>
      <c r="Y40" s="78"/>
      <c r="Z40" s="78">
        <v>210000</v>
      </c>
      <c r="AA40" s="78"/>
      <c r="AB40" s="78"/>
      <c r="AC40" s="78"/>
      <c r="AD40" s="78"/>
      <c r="AE40" s="78"/>
      <c r="AF40" s="78"/>
      <c r="AG40" s="81"/>
      <c r="AH40" s="78"/>
      <c r="AI40" s="78"/>
      <c r="AJ40" s="78"/>
      <c r="AK40" s="78"/>
      <c r="AL40" s="81"/>
      <c r="AM40" s="78"/>
      <c r="AN40" s="19">
        <v>6</v>
      </c>
      <c r="AO40" s="78"/>
      <c r="AP40" s="83"/>
      <c r="AQ40" s="83"/>
      <c r="AR40" s="84"/>
      <c r="AS40" s="84"/>
      <c r="AT40" s="83"/>
      <c r="AU40" s="83"/>
      <c r="AV40" s="83"/>
      <c r="AW40" s="83"/>
      <c r="AX40" s="83"/>
      <c r="AY40" s="83"/>
      <c r="AZ40" s="83"/>
      <c r="BA40" s="83"/>
      <c r="BB40" s="8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3"/>
      <c r="CF40" s="83"/>
      <c r="CG40" s="83"/>
      <c r="CH40" s="83"/>
      <c r="CI40" s="83"/>
      <c r="CJ40" s="83"/>
      <c r="CK40" s="83"/>
      <c r="CL40" s="83"/>
      <c r="CM40" s="83"/>
      <c r="CN40" s="86" t="str">
        <f t="shared" si="291"/>
        <v>InitUnitState('E113',10500,42000,,,210000,,,,,)</v>
      </c>
      <c r="CO40" s="86" t="str">
        <f t="shared" si="292"/>
        <v>InitUnitNormal('E113',,,,,,,,,6,)</v>
      </c>
      <c r="CP40" s="86" t="str">
        <f t="shared" si="293"/>
        <v>InitUnitMagic('E113',,,,,,,,,,)</v>
      </c>
      <c r="CQ40" s="86" t="str">
        <f t="shared" si="294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|n攻击+10500|n业力+42000|n生命值+210000|n暴击+6%|n每秒业力+13|n</v>
      </c>
      <c r="CV40" s="19" t="str">
        <f>"|Cffbbbbbb属性：|r"&amp;CU40&amp;VLOOKUP(A40,合成公式!A:P,16,FALSE)&amp;T40</f>
        <v>|Cffbbbbbb属性：|r|n攻击+10500|n业力+42000|n生命值+210000|n暴击+6%|n每秒业力+13|n|n攻击6%概率范围|cffff4646业力*15|r魔法伤害|n|n|Cff00ff7f击杀300只怪有50%概率升级|r</v>
      </c>
      <c r="DB40" s="66" t="str">
        <f t="shared" si="296"/>
        <v>|n攻击+10500</v>
      </c>
      <c r="DC40" s="66" t="str">
        <f t="shared" si="297"/>
        <v>|n业力+42000</v>
      </c>
      <c r="DD40" s="66" t="str">
        <f t="shared" si="298"/>
        <v/>
      </c>
      <c r="DE40" s="66" t="str">
        <f t="shared" si="299"/>
        <v/>
      </c>
      <c r="DF40" s="66" t="str">
        <f t="shared" si="300"/>
        <v>|n生命值+210000</v>
      </c>
      <c r="DG40" s="66" t="str">
        <f t="shared" si="301"/>
        <v/>
      </c>
      <c r="DH40" s="66" t="str">
        <f t="shared" si="302"/>
        <v/>
      </c>
      <c r="DI40" s="66" t="str">
        <f t="shared" si="303"/>
        <v/>
      </c>
      <c r="DJ40" s="66" t="str">
        <f t="shared" si="304"/>
        <v/>
      </c>
      <c r="DK40" s="66" t="str">
        <f t="shared" si="305"/>
        <v/>
      </c>
      <c r="DL40" s="66" t="str">
        <f t="shared" si="306"/>
        <v/>
      </c>
      <c r="DM40" s="66" t="str">
        <f t="shared" si="307"/>
        <v/>
      </c>
      <c r="DN40" s="66" t="str">
        <f t="shared" si="308"/>
        <v/>
      </c>
      <c r="DO40" s="66" t="str">
        <f t="shared" si="309"/>
        <v/>
      </c>
      <c r="DP40" s="66" t="str">
        <f t="shared" si="310"/>
        <v/>
      </c>
      <c r="DQ40" s="66" t="str">
        <f t="shared" si="311"/>
        <v/>
      </c>
      <c r="DR40" s="66" t="str">
        <f t="shared" si="312"/>
        <v/>
      </c>
      <c r="DS40" s="66" t="str">
        <f t="shared" si="313"/>
        <v/>
      </c>
      <c r="DT40" s="66" t="str">
        <f t="shared" si="314"/>
        <v>|n暴击+6%</v>
      </c>
      <c r="DU40" s="66" t="str">
        <f t="shared" si="315"/>
        <v/>
      </c>
      <c r="DV40" s="66" t="str">
        <f t="shared" si="316"/>
        <v/>
      </c>
      <c r="DW40" s="66" t="str">
        <f t="shared" si="317"/>
        <v/>
      </c>
      <c r="DX40" s="66" t="str">
        <f t="shared" si="318"/>
        <v/>
      </c>
      <c r="DY40" s="66" t="str">
        <f t="shared" si="319"/>
        <v/>
      </c>
      <c r="DZ40" s="66" t="str">
        <f t="shared" si="320"/>
        <v/>
      </c>
      <c r="EA40" s="66" t="str">
        <f t="shared" si="321"/>
        <v/>
      </c>
      <c r="EB40" s="66" t="str">
        <f t="shared" si="322"/>
        <v/>
      </c>
      <c r="EC40" s="66" t="str">
        <f t="shared" si="323"/>
        <v/>
      </c>
      <c r="ED40" s="66" t="str">
        <f t="shared" si="324"/>
        <v/>
      </c>
      <c r="EE40" s="66" t="str">
        <f t="shared" si="325"/>
        <v/>
      </c>
      <c r="EF40" s="66" t="str">
        <f t="shared" si="326"/>
        <v/>
      </c>
      <c r="EG40" s="66" t="str">
        <f t="shared" si="327"/>
        <v/>
      </c>
      <c r="EH40" s="66" t="str">
        <f t="shared" si="328"/>
        <v/>
      </c>
      <c r="EI40" s="66" t="str">
        <f t="shared" si="329"/>
        <v/>
      </c>
      <c r="EJ40" s="66" t="str">
        <f t="shared" si="330"/>
        <v/>
      </c>
      <c r="EK40" s="66" t="str">
        <f t="shared" si="331"/>
        <v/>
      </c>
      <c r="EL40" s="66" t="str">
        <f t="shared" si="332"/>
        <v/>
      </c>
      <c r="EM40" s="66" t="str">
        <f t="shared" si="333"/>
        <v/>
      </c>
      <c r="EN40" s="66" t="str">
        <f t="shared" si="334"/>
        <v/>
      </c>
      <c r="EO40" s="66" t="str">
        <f t="shared" si="335"/>
        <v/>
      </c>
      <c r="EP40" s="66" t="str">
        <f t="shared" si="336"/>
        <v/>
      </c>
      <c r="EQ40" s="66" t="str">
        <f t="shared" si="337"/>
        <v/>
      </c>
      <c r="ER40" s="66" t="str">
        <f t="shared" si="338"/>
        <v/>
      </c>
      <c r="ES40" s="66" t="str">
        <f t="shared" si="339"/>
        <v/>
      </c>
      <c r="ET40" s="66" t="str">
        <f t="shared" si="340"/>
        <v/>
      </c>
      <c r="EU40" s="66" t="str">
        <f t="shared" si="341"/>
        <v/>
      </c>
      <c r="EV40" s="66" t="str">
        <f t="shared" si="342"/>
        <v/>
      </c>
      <c r="EW40" s="66" t="str">
        <f t="shared" si="343"/>
        <v>|n每秒业力+13</v>
      </c>
      <c r="EX40" s="66" t="str">
        <f t="shared" si="344"/>
        <v/>
      </c>
      <c r="EY40" s="66" t="str">
        <f t="shared" si="345"/>
        <v/>
      </c>
      <c r="EZ40" s="66" t="str">
        <f t="shared" si="346"/>
        <v/>
      </c>
      <c r="FA40" s="66" t="str">
        <f t="shared" si="347"/>
        <v/>
      </c>
      <c r="FB40" s="66" t="str">
        <f t="shared" si="348"/>
        <v/>
      </c>
      <c r="FC40" s="66" t="str">
        <f t="shared" si="349"/>
        <v/>
      </c>
      <c r="FD40" s="66" t="str">
        <f t="shared" si="350"/>
        <v/>
      </c>
      <c r="FE40" s="66" t="str">
        <f t="shared" si="351"/>
        <v/>
      </c>
      <c r="FF40" s="66" t="str">
        <f t="shared" si="352"/>
        <v/>
      </c>
      <c r="FG40" s="66" t="str">
        <f t="shared" si="353"/>
        <v/>
      </c>
      <c r="FH40" s="66" t="str">
        <f t="shared" si="354"/>
        <v/>
      </c>
      <c r="FI40" s="66" t="str">
        <f t="shared" si="355"/>
        <v/>
      </c>
      <c r="FJ40" s="66" t="str">
        <f t="shared" si="356"/>
        <v/>
      </c>
      <c r="FK40" s="66" t="str">
        <f t="shared" si="357"/>
        <v/>
      </c>
      <c r="FL40" s="66" t="str">
        <f t="shared" si="358"/>
        <v/>
      </c>
      <c r="FM40" s="66" t="str">
        <f t="shared" si="359"/>
        <v/>
      </c>
      <c r="FN40" s="66" t="str">
        <f t="shared" si="360"/>
        <v/>
      </c>
      <c r="FO40" s="66" t="str">
        <f t="shared" si="361"/>
        <v/>
      </c>
      <c r="FP40" s="66" t="str">
        <f t="shared" si="362"/>
        <v/>
      </c>
      <c r="FQ40" s="66" t="str">
        <f t="shared" si="363"/>
        <v/>
      </c>
      <c r="FR40" s="66" t="str">
        <f t="shared" si="364"/>
        <v/>
      </c>
      <c r="FS40" s="66" t="str">
        <f t="shared" si="365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6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0"/>
        <v>|n攻击6%概率范围|cffff4646业力*15|r魔法伤害|n|n|Cff00ff7f击杀300只怪有50%概率升级|r</v>
      </c>
      <c r="U41" s="77" t="s">
        <v>263</v>
      </c>
      <c r="V41" s="78">
        <v>12500</v>
      </c>
      <c r="W41" s="78">
        <v>50000</v>
      </c>
      <c r="X41" s="78"/>
      <c r="Y41" s="78"/>
      <c r="Z41" s="78">
        <v>250000</v>
      </c>
      <c r="AA41" s="78"/>
      <c r="AB41" s="78"/>
      <c r="AC41" s="78"/>
      <c r="AD41" s="78"/>
      <c r="AE41" s="78"/>
      <c r="AF41" s="78"/>
      <c r="AG41" s="81"/>
      <c r="AH41" s="78"/>
      <c r="AI41" s="78"/>
      <c r="AJ41" s="78"/>
      <c r="AK41" s="78"/>
      <c r="AL41" s="81"/>
      <c r="AM41" s="78"/>
      <c r="AN41" s="19">
        <v>6</v>
      </c>
      <c r="AO41" s="78"/>
      <c r="AP41" s="83"/>
      <c r="AQ41" s="83"/>
      <c r="AR41" s="84"/>
      <c r="AS41" s="84"/>
      <c r="AT41" s="83"/>
      <c r="AU41" s="83"/>
      <c r="AV41" s="83"/>
      <c r="AW41" s="83"/>
      <c r="AX41" s="83"/>
      <c r="AY41" s="83"/>
      <c r="AZ41" s="83"/>
      <c r="BA41" s="83"/>
      <c r="BB41" s="8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3"/>
      <c r="CF41" s="83"/>
      <c r="CG41" s="83"/>
      <c r="CH41" s="83"/>
      <c r="CI41" s="83"/>
      <c r="CJ41" s="83"/>
      <c r="CK41" s="83"/>
      <c r="CL41" s="83"/>
      <c r="CM41" s="83"/>
      <c r="CN41" s="86" t="str">
        <f t="shared" si="291"/>
        <v>InitUnitState('E114',12500,50000,,,250000,,,,,)</v>
      </c>
      <c r="CO41" s="86" t="str">
        <f t="shared" si="292"/>
        <v>InitUnitNormal('E114',,,,,,,,,6,)</v>
      </c>
      <c r="CP41" s="86" t="str">
        <f t="shared" si="293"/>
        <v>InitUnitMagic('E114',,,,,,,,,,)</v>
      </c>
      <c r="CQ41" s="86" t="str">
        <f t="shared" si="294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|n攻击+12500|n业力+50000|n生命值+250000|n暴击+6%|n每秒业力+14|n</v>
      </c>
      <c r="CV41" s="19" t="str">
        <f>"|Cffbbbbbb属性：|r"&amp;CU41&amp;VLOOKUP(A41,合成公式!A:P,16,FALSE)&amp;T41</f>
        <v>|Cffbbbbbb属性：|r|n攻击+12500|n业力+50000|n生命值+250000|n暴击+6%|n每秒业力+14|n|n攻击6%概率范围|cffff4646业力*15|r魔法伤害|n|n|Cff00ff7f击杀300只怪有50%概率升级|r</v>
      </c>
      <c r="DB41" s="66" t="str">
        <f t="shared" si="296"/>
        <v>|n攻击+12500</v>
      </c>
      <c r="DC41" s="66" t="str">
        <f t="shared" si="297"/>
        <v>|n业力+50000</v>
      </c>
      <c r="DD41" s="66" t="str">
        <f t="shared" si="298"/>
        <v/>
      </c>
      <c r="DE41" s="66" t="str">
        <f t="shared" si="299"/>
        <v/>
      </c>
      <c r="DF41" s="66" t="str">
        <f t="shared" si="300"/>
        <v>|n生命值+250000</v>
      </c>
      <c r="DG41" s="66" t="str">
        <f t="shared" si="301"/>
        <v/>
      </c>
      <c r="DH41" s="66" t="str">
        <f t="shared" si="302"/>
        <v/>
      </c>
      <c r="DI41" s="66" t="str">
        <f t="shared" si="303"/>
        <v/>
      </c>
      <c r="DJ41" s="66" t="str">
        <f t="shared" si="304"/>
        <v/>
      </c>
      <c r="DK41" s="66" t="str">
        <f t="shared" si="305"/>
        <v/>
      </c>
      <c r="DL41" s="66" t="str">
        <f t="shared" si="306"/>
        <v/>
      </c>
      <c r="DM41" s="66" t="str">
        <f t="shared" si="307"/>
        <v/>
      </c>
      <c r="DN41" s="66" t="str">
        <f t="shared" si="308"/>
        <v/>
      </c>
      <c r="DO41" s="66" t="str">
        <f t="shared" si="309"/>
        <v/>
      </c>
      <c r="DP41" s="66" t="str">
        <f t="shared" si="310"/>
        <v/>
      </c>
      <c r="DQ41" s="66" t="str">
        <f t="shared" si="311"/>
        <v/>
      </c>
      <c r="DR41" s="66" t="str">
        <f t="shared" si="312"/>
        <v/>
      </c>
      <c r="DS41" s="66" t="str">
        <f t="shared" si="313"/>
        <v/>
      </c>
      <c r="DT41" s="66" t="str">
        <f t="shared" si="314"/>
        <v>|n暴击+6%</v>
      </c>
      <c r="DU41" s="66" t="str">
        <f t="shared" si="315"/>
        <v/>
      </c>
      <c r="DV41" s="66" t="str">
        <f t="shared" si="316"/>
        <v/>
      </c>
      <c r="DW41" s="66" t="str">
        <f t="shared" si="317"/>
        <v/>
      </c>
      <c r="DX41" s="66" t="str">
        <f t="shared" si="318"/>
        <v/>
      </c>
      <c r="DY41" s="66" t="str">
        <f t="shared" si="319"/>
        <v/>
      </c>
      <c r="DZ41" s="66" t="str">
        <f t="shared" si="320"/>
        <v/>
      </c>
      <c r="EA41" s="66" t="str">
        <f t="shared" si="321"/>
        <v/>
      </c>
      <c r="EB41" s="66" t="str">
        <f t="shared" si="322"/>
        <v/>
      </c>
      <c r="EC41" s="66" t="str">
        <f t="shared" si="323"/>
        <v/>
      </c>
      <c r="ED41" s="66" t="str">
        <f t="shared" si="324"/>
        <v/>
      </c>
      <c r="EE41" s="66" t="str">
        <f t="shared" si="325"/>
        <v/>
      </c>
      <c r="EF41" s="66" t="str">
        <f t="shared" si="326"/>
        <v/>
      </c>
      <c r="EG41" s="66" t="str">
        <f t="shared" si="327"/>
        <v/>
      </c>
      <c r="EH41" s="66" t="str">
        <f t="shared" si="328"/>
        <v/>
      </c>
      <c r="EI41" s="66" t="str">
        <f t="shared" si="329"/>
        <v/>
      </c>
      <c r="EJ41" s="66" t="str">
        <f t="shared" si="330"/>
        <v/>
      </c>
      <c r="EK41" s="66" t="str">
        <f t="shared" si="331"/>
        <v/>
      </c>
      <c r="EL41" s="66" t="str">
        <f t="shared" si="332"/>
        <v/>
      </c>
      <c r="EM41" s="66" t="str">
        <f t="shared" si="333"/>
        <v/>
      </c>
      <c r="EN41" s="66" t="str">
        <f t="shared" si="334"/>
        <v/>
      </c>
      <c r="EO41" s="66" t="str">
        <f t="shared" si="335"/>
        <v/>
      </c>
      <c r="EP41" s="66" t="str">
        <f t="shared" si="336"/>
        <v/>
      </c>
      <c r="EQ41" s="66" t="str">
        <f t="shared" si="337"/>
        <v/>
      </c>
      <c r="ER41" s="66" t="str">
        <f t="shared" si="338"/>
        <v/>
      </c>
      <c r="ES41" s="66" t="str">
        <f t="shared" si="339"/>
        <v/>
      </c>
      <c r="ET41" s="66" t="str">
        <f t="shared" si="340"/>
        <v/>
      </c>
      <c r="EU41" s="66" t="str">
        <f t="shared" si="341"/>
        <v/>
      </c>
      <c r="EV41" s="66" t="str">
        <f t="shared" si="342"/>
        <v/>
      </c>
      <c r="EW41" s="66" t="str">
        <f t="shared" si="343"/>
        <v>|n每秒业力+14</v>
      </c>
      <c r="EX41" s="66" t="str">
        <f t="shared" si="344"/>
        <v/>
      </c>
      <c r="EY41" s="66" t="str">
        <f t="shared" si="345"/>
        <v/>
      </c>
      <c r="EZ41" s="66" t="str">
        <f t="shared" si="346"/>
        <v/>
      </c>
      <c r="FA41" s="66" t="str">
        <f t="shared" si="347"/>
        <v/>
      </c>
      <c r="FB41" s="66" t="str">
        <f t="shared" si="348"/>
        <v/>
      </c>
      <c r="FC41" s="66" t="str">
        <f t="shared" si="349"/>
        <v/>
      </c>
      <c r="FD41" s="66" t="str">
        <f t="shared" si="350"/>
        <v/>
      </c>
      <c r="FE41" s="66" t="str">
        <f t="shared" si="351"/>
        <v/>
      </c>
      <c r="FF41" s="66" t="str">
        <f t="shared" si="352"/>
        <v/>
      </c>
      <c r="FG41" s="66" t="str">
        <f t="shared" si="353"/>
        <v/>
      </c>
      <c r="FH41" s="66" t="str">
        <f t="shared" si="354"/>
        <v/>
      </c>
      <c r="FI41" s="66" t="str">
        <f t="shared" si="355"/>
        <v/>
      </c>
      <c r="FJ41" s="66" t="str">
        <f t="shared" si="356"/>
        <v/>
      </c>
      <c r="FK41" s="66" t="str">
        <f t="shared" si="357"/>
        <v/>
      </c>
      <c r="FL41" s="66" t="str">
        <f t="shared" si="358"/>
        <v/>
      </c>
      <c r="FM41" s="66" t="str">
        <f t="shared" si="359"/>
        <v/>
      </c>
      <c r="FN41" s="66" t="str">
        <f t="shared" si="360"/>
        <v/>
      </c>
      <c r="FO41" s="66" t="str">
        <f t="shared" si="361"/>
        <v/>
      </c>
      <c r="FP41" s="66" t="str">
        <f t="shared" si="362"/>
        <v/>
      </c>
      <c r="FQ41" s="66" t="str">
        <f t="shared" si="363"/>
        <v/>
      </c>
      <c r="FR41" s="66" t="str">
        <f t="shared" si="364"/>
        <v/>
      </c>
      <c r="FS41" s="66" t="str">
        <f t="shared" si="365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6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0"/>
        <v>|n攻击6%概率范围|cffff4646业力*15|r魔法伤害|n|n|Cff00ff7f击杀300只怪有50%概率升级|r</v>
      </c>
      <c r="U42" s="77" t="s">
        <v>263</v>
      </c>
      <c r="V42" s="78">
        <v>15000</v>
      </c>
      <c r="W42" s="78">
        <v>60000</v>
      </c>
      <c r="X42" s="78"/>
      <c r="Y42" s="78"/>
      <c r="Z42" s="78">
        <v>300000</v>
      </c>
      <c r="AA42" s="78"/>
      <c r="AB42" s="78"/>
      <c r="AC42" s="78"/>
      <c r="AD42" s="78"/>
      <c r="AE42" s="78"/>
      <c r="AF42" s="78"/>
      <c r="AG42" s="81"/>
      <c r="AH42" s="78"/>
      <c r="AI42" s="78"/>
      <c r="AJ42" s="78"/>
      <c r="AK42" s="78"/>
      <c r="AL42" s="81"/>
      <c r="AM42" s="78"/>
      <c r="AN42" s="19">
        <v>6</v>
      </c>
      <c r="AO42" s="78"/>
      <c r="AP42" s="83"/>
      <c r="AQ42" s="83"/>
      <c r="AR42" s="84"/>
      <c r="AS42" s="84"/>
      <c r="AT42" s="83"/>
      <c r="AU42" s="83"/>
      <c r="AV42" s="83"/>
      <c r="AW42" s="83"/>
      <c r="AX42" s="83"/>
      <c r="AY42" s="83"/>
      <c r="AZ42" s="83"/>
      <c r="BA42" s="83"/>
      <c r="BB42" s="8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3"/>
      <c r="CF42" s="83"/>
      <c r="CG42" s="83"/>
      <c r="CH42" s="83"/>
      <c r="CI42" s="83"/>
      <c r="CJ42" s="83"/>
      <c r="CK42" s="83"/>
      <c r="CL42" s="83"/>
      <c r="CM42" s="83"/>
      <c r="CN42" s="86" t="str">
        <f t="shared" si="291"/>
        <v>InitUnitState('E115',15000,60000,,,300000,,,,,)</v>
      </c>
      <c r="CO42" s="86" t="str">
        <f t="shared" si="292"/>
        <v>InitUnitNormal('E115',,,,,,,,,6,)</v>
      </c>
      <c r="CP42" s="86" t="str">
        <f t="shared" si="293"/>
        <v>InitUnitMagic('E115',,,,,,,,,,)</v>
      </c>
      <c r="CQ42" s="86" t="str">
        <f t="shared" si="294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|n攻击+15000|n业力+60000|n生命值+300000|n暴击+6%|n每秒业力+15|n</v>
      </c>
      <c r="CV42" s="19" t="str">
        <f>"|Cffbbbbbb属性：|r"&amp;CU42&amp;VLOOKUP(A42,合成公式!A:P,16,FALSE)&amp;T42</f>
        <v>|Cffbbbbbb属性：|r|n攻击+15000|n业力+60000|n生命值+300000|n暴击+6%|n每秒业力+15|n|n攻击6%概率范围|cffff4646业力*15|r魔法伤害|n|n|Cff00ff7f击杀300只怪有50%概率升级|r</v>
      </c>
      <c r="DB42" s="66" t="str">
        <f t="shared" si="296"/>
        <v>|n攻击+15000</v>
      </c>
      <c r="DC42" s="66" t="str">
        <f t="shared" si="297"/>
        <v>|n业力+60000</v>
      </c>
      <c r="DD42" s="66" t="str">
        <f t="shared" si="298"/>
        <v/>
      </c>
      <c r="DE42" s="66" t="str">
        <f t="shared" si="299"/>
        <v/>
      </c>
      <c r="DF42" s="66" t="str">
        <f t="shared" si="300"/>
        <v>|n生命值+300000</v>
      </c>
      <c r="DG42" s="66" t="str">
        <f t="shared" si="301"/>
        <v/>
      </c>
      <c r="DH42" s="66" t="str">
        <f t="shared" si="302"/>
        <v/>
      </c>
      <c r="DI42" s="66" t="str">
        <f t="shared" si="303"/>
        <v/>
      </c>
      <c r="DJ42" s="66" t="str">
        <f t="shared" si="304"/>
        <v/>
      </c>
      <c r="DK42" s="66" t="str">
        <f t="shared" si="305"/>
        <v/>
      </c>
      <c r="DL42" s="66" t="str">
        <f t="shared" si="306"/>
        <v/>
      </c>
      <c r="DM42" s="66" t="str">
        <f t="shared" si="307"/>
        <v/>
      </c>
      <c r="DN42" s="66" t="str">
        <f t="shared" si="308"/>
        <v/>
      </c>
      <c r="DO42" s="66" t="str">
        <f t="shared" si="309"/>
        <v/>
      </c>
      <c r="DP42" s="66" t="str">
        <f t="shared" si="310"/>
        <v/>
      </c>
      <c r="DQ42" s="66" t="str">
        <f t="shared" si="311"/>
        <v/>
      </c>
      <c r="DR42" s="66" t="str">
        <f t="shared" si="312"/>
        <v/>
      </c>
      <c r="DS42" s="66" t="str">
        <f t="shared" si="313"/>
        <v/>
      </c>
      <c r="DT42" s="66" t="str">
        <f t="shared" si="314"/>
        <v>|n暴击+6%</v>
      </c>
      <c r="DU42" s="66" t="str">
        <f t="shared" si="315"/>
        <v/>
      </c>
      <c r="DV42" s="66" t="str">
        <f t="shared" si="316"/>
        <v/>
      </c>
      <c r="DW42" s="66" t="str">
        <f t="shared" si="317"/>
        <v/>
      </c>
      <c r="DX42" s="66" t="str">
        <f t="shared" si="318"/>
        <v/>
      </c>
      <c r="DY42" s="66" t="str">
        <f t="shared" si="319"/>
        <v/>
      </c>
      <c r="DZ42" s="66" t="str">
        <f t="shared" si="320"/>
        <v/>
      </c>
      <c r="EA42" s="66" t="str">
        <f t="shared" si="321"/>
        <v/>
      </c>
      <c r="EB42" s="66" t="str">
        <f t="shared" si="322"/>
        <v/>
      </c>
      <c r="EC42" s="66" t="str">
        <f t="shared" si="323"/>
        <v/>
      </c>
      <c r="ED42" s="66" t="str">
        <f t="shared" si="324"/>
        <v/>
      </c>
      <c r="EE42" s="66" t="str">
        <f t="shared" si="325"/>
        <v/>
      </c>
      <c r="EF42" s="66" t="str">
        <f t="shared" si="326"/>
        <v/>
      </c>
      <c r="EG42" s="66" t="str">
        <f t="shared" si="327"/>
        <v/>
      </c>
      <c r="EH42" s="66" t="str">
        <f t="shared" si="328"/>
        <v/>
      </c>
      <c r="EI42" s="66" t="str">
        <f t="shared" si="329"/>
        <v/>
      </c>
      <c r="EJ42" s="66" t="str">
        <f t="shared" si="330"/>
        <v/>
      </c>
      <c r="EK42" s="66" t="str">
        <f t="shared" si="331"/>
        <v/>
      </c>
      <c r="EL42" s="66" t="str">
        <f t="shared" si="332"/>
        <v/>
      </c>
      <c r="EM42" s="66" t="str">
        <f t="shared" si="333"/>
        <v/>
      </c>
      <c r="EN42" s="66" t="str">
        <f t="shared" si="334"/>
        <v/>
      </c>
      <c r="EO42" s="66" t="str">
        <f t="shared" si="335"/>
        <v/>
      </c>
      <c r="EP42" s="66" t="str">
        <f t="shared" si="336"/>
        <v/>
      </c>
      <c r="EQ42" s="66" t="str">
        <f t="shared" si="337"/>
        <v/>
      </c>
      <c r="ER42" s="66" t="str">
        <f t="shared" si="338"/>
        <v/>
      </c>
      <c r="ES42" s="66" t="str">
        <f t="shared" si="339"/>
        <v/>
      </c>
      <c r="ET42" s="66" t="str">
        <f t="shared" si="340"/>
        <v/>
      </c>
      <c r="EU42" s="66" t="str">
        <f t="shared" si="341"/>
        <v/>
      </c>
      <c r="EV42" s="66" t="str">
        <f t="shared" si="342"/>
        <v/>
      </c>
      <c r="EW42" s="66" t="str">
        <f t="shared" si="343"/>
        <v>|n每秒业力+15</v>
      </c>
      <c r="EX42" s="66" t="str">
        <f t="shared" si="344"/>
        <v/>
      </c>
      <c r="EY42" s="66" t="str">
        <f t="shared" si="345"/>
        <v/>
      </c>
      <c r="EZ42" s="66" t="str">
        <f t="shared" si="346"/>
        <v/>
      </c>
      <c r="FA42" s="66" t="str">
        <f t="shared" si="347"/>
        <v/>
      </c>
      <c r="FB42" s="66" t="str">
        <f t="shared" si="348"/>
        <v/>
      </c>
      <c r="FC42" s="66" t="str">
        <f t="shared" si="349"/>
        <v/>
      </c>
      <c r="FD42" s="66" t="str">
        <f t="shared" si="350"/>
        <v/>
      </c>
      <c r="FE42" s="66" t="str">
        <f t="shared" si="351"/>
        <v/>
      </c>
      <c r="FF42" s="66" t="str">
        <f t="shared" si="352"/>
        <v/>
      </c>
      <c r="FG42" s="66" t="str">
        <f t="shared" si="353"/>
        <v/>
      </c>
      <c r="FH42" s="66" t="str">
        <f t="shared" si="354"/>
        <v/>
      </c>
      <c r="FI42" s="66" t="str">
        <f t="shared" si="355"/>
        <v/>
      </c>
      <c r="FJ42" s="66" t="str">
        <f t="shared" si="356"/>
        <v/>
      </c>
      <c r="FK42" s="66" t="str">
        <f t="shared" si="357"/>
        <v/>
      </c>
      <c r="FL42" s="66" t="str">
        <f t="shared" si="358"/>
        <v/>
      </c>
      <c r="FM42" s="66" t="str">
        <f t="shared" si="359"/>
        <v/>
      </c>
      <c r="FN42" s="66" t="str">
        <f t="shared" si="360"/>
        <v/>
      </c>
      <c r="FO42" s="66" t="str">
        <f t="shared" si="361"/>
        <v/>
      </c>
      <c r="FP42" s="66" t="str">
        <f t="shared" si="362"/>
        <v/>
      </c>
      <c r="FQ42" s="66" t="str">
        <f t="shared" si="363"/>
        <v/>
      </c>
      <c r="FR42" s="66" t="str">
        <f t="shared" si="364"/>
        <v/>
      </c>
      <c r="FS42" s="66" t="str">
        <f t="shared" si="365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6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0"/>
        <v>|n攻击6%概率范围|cffff4646业力*15|r魔法伤害|n|n|Cff00ff7f击杀400只怪有50%概率升级|r</v>
      </c>
      <c r="U43" s="77" t="s">
        <v>274</v>
      </c>
      <c r="V43" s="78">
        <v>25000</v>
      </c>
      <c r="W43" s="78">
        <v>100000</v>
      </c>
      <c r="X43" s="78"/>
      <c r="Y43" s="78"/>
      <c r="Z43" s="78">
        <v>500000</v>
      </c>
      <c r="AA43" s="78"/>
      <c r="AB43" s="78"/>
      <c r="AC43" s="78"/>
      <c r="AD43" s="78"/>
      <c r="AE43" s="78"/>
      <c r="AF43" s="78"/>
      <c r="AG43" s="81"/>
      <c r="AH43" s="78"/>
      <c r="AI43" s="78"/>
      <c r="AJ43" s="78"/>
      <c r="AK43" s="78"/>
      <c r="AL43" s="81"/>
      <c r="AM43" s="78"/>
      <c r="AN43" s="19">
        <v>8</v>
      </c>
      <c r="AO43" s="78"/>
      <c r="AP43" s="83"/>
      <c r="AQ43" s="83"/>
      <c r="AR43" s="84"/>
      <c r="AS43" s="84"/>
      <c r="AT43" s="83"/>
      <c r="AU43" s="83"/>
      <c r="AV43" s="83"/>
      <c r="AW43" s="83"/>
      <c r="AX43" s="83"/>
      <c r="AY43" s="83"/>
      <c r="AZ43" s="83"/>
      <c r="BA43" s="83"/>
      <c r="BB43" s="8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3"/>
      <c r="CF43" s="83"/>
      <c r="CG43" s="83"/>
      <c r="CH43" s="83"/>
      <c r="CI43" s="83"/>
      <c r="CJ43" s="83"/>
      <c r="CK43" s="83"/>
      <c r="CL43" s="83"/>
      <c r="CM43" s="83"/>
      <c r="CN43" s="86" t="str">
        <f t="shared" si="291"/>
        <v>InitUnitState('E116',25000,100000,,,500000,,,,,)</v>
      </c>
      <c r="CO43" s="86" t="str">
        <f t="shared" si="292"/>
        <v>InitUnitNormal('E116',,,,,,,,,8,)</v>
      </c>
      <c r="CP43" s="86" t="str">
        <f t="shared" si="293"/>
        <v>InitUnitMagic('E116',,,,,,,,,,)</v>
      </c>
      <c r="CQ43" s="86" t="str">
        <f t="shared" si="294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|n攻击+25000|n业力+100000|n生命值+500000|n暴击+8%|n每秒业力+16|n</v>
      </c>
      <c r="CV43" s="19" t="str">
        <f>"|Cffbbbbbb属性：|r"&amp;CU43&amp;VLOOKUP(A43,合成公式!A:P,16,FALSE)&amp;T43</f>
        <v>|Cffbbbbbb属性：|r|n攻击+25000|n业力+100000|n生命值+500000|n暴击+8%|n每秒业力+16|n|n攻击6%概率范围|cffff4646业力*15|r魔法伤害|n|n|Cff00ff7f击杀400只怪有50%概率升级|r</v>
      </c>
      <c r="DB43" s="66" t="str">
        <f t="shared" si="296"/>
        <v>|n攻击+25000</v>
      </c>
      <c r="DC43" s="66" t="str">
        <f t="shared" si="297"/>
        <v>|n业力+100000</v>
      </c>
      <c r="DD43" s="66" t="str">
        <f t="shared" si="298"/>
        <v/>
      </c>
      <c r="DE43" s="66" t="str">
        <f t="shared" si="299"/>
        <v/>
      </c>
      <c r="DF43" s="66" t="str">
        <f t="shared" si="300"/>
        <v>|n生命值+500000</v>
      </c>
      <c r="DG43" s="66" t="str">
        <f t="shared" si="301"/>
        <v/>
      </c>
      <c r="DH43" s="66" t="str">
        <f t="shared" si="302"/>
        <v/>
      </c>
      <c r="DI43" s="66" t="str">
        <f t="shared" si="303"/>
        <v/>
      </c>
      <c r="DJ43" s="66" t="str">
        <f t="shared" si="304"/>
        <v/>
      </c>
      <c r="DK43" s="66" t="str">
        <f t="shared" si="305"/>
        <v/>
      </c>
      <c r="DL43" s="66" t="str">
        <f t="shared" si="306"/>
        <v/>
      </c>
      <c r="DM43" s="66" t="str">
        <f t="shared" si="307"/>
        <v/>
      </c>
      <c r="DN43" s="66" t="str">
        <f t="shared" si="308"/>
        <v/>
      </c>
      <c r="DO43" s="66" t="str">
        <f t="shared" si="309"/>
        <v/>
      </c>
      <c r="DP43" s="66" t="str">
        <f t="shared" si="310"/>
        <v/>
      </c>
      <c r="DQ43" s="66" t="str">
        <f t="shared" si="311"/>
        <v/>
      </c>
      <c r="DR43" s="66" t="str">
        <f t="shared" si="312"/>
        <v/>
      </c>
      <c r="DS43" s="66" t="str">
        <f t="shared" si="313"/>
        <v/>
      </c>
      <c r="DT43" s="66" t="str">
        <f t="shared" si="314"/>
        <v>|n暴击+8%</v>
      </c>
      <c r="DU43" s="66" t="str">
        <f t="shared" si="315"/>
        <v/>
      </c>
      <c r="DV43" s="66" t="str">
        <f t="shared" si="316"/>
        <v/>
      </c>
      <c r="DW43" s="66" t="str">
        <f t="shared" si="317"/>
        <v/>
      </c>
      <c r="DX43" s="66" t="str">
        <f t="shared" si="318"/>
        <v/>
      </c>
      <c r="DY43" s="66" t="str">
        <f t="shared" si="319"/>
        <v/>
      </c>
      <c r="DZ43" s="66" t="str">
        <f t="shared" si="320"/>
        <v/>
      </c>
      <c r="EA43" s="66" t="str">
        <f t="shared" si="321"/>
        <v/>
      </c>
      <c r="EB43" s="66" t="str">
        <f t="shared" si="322"/>
        <v/>
      </c>
      <c r="EC43" s="66" t="str">
        <f t="shared" si="323"/>
        <v/>
      </c>
      <c r="ED43" s="66" t="str">
        <f t="shared" si="324"/>
        <v/>
      </c>
      <c r="EE43" s="66" t="str">
        <f t="shared" si="325"/>
        <v/>
      </c>
      <c r="EF43" s="66" t="str">
        <f t="shared" si="326"/>
        <v/>
      </c>
      <c r="EG43" s="66" t="str">
        <f t="shared" si="327"/>
        <v/>
      </c>
      <c r="EH43" s="66" t="str">
        <f t="shared" si="328"/>
        <v/>
      </c>
      <c r="EI43" s="66" t="str">
        <f t="shared" si="329"/>
        <v/>
      </c>
      <c r="EJ43" s="66" t="str">
        <f t="shared" si="330"/>
        <v/>
      </c>
      <c r="EK43" s="66" t="str">
        <f t="shared" si="331"/>
        <v/>
      </c>
      <c r="EL43" s="66" t="str">
        <f t="shared" si="332"/>
        <v/>
      </c>
      <c r="EM43" s="66" t="str">
        <f t="shared" si="333"/>
        <v/>
      </c>
      <c r="EN43" s="66" t="str">
        <f t="shared" si="334"/>
        <v/>
      </c>
      <c r="EO43" s="66" t="str">
        <f t="shared" si="335"/>
        <v/>
      </c>
      <c r="EP43" s="66" t="str">
        <f t="shared" si="336"/>
        <v/>
      </c>
      <c r="EQ43" s="66" t="str">
        <f t="shared" si="337"/>
        <v/>
      </c>
      <c r="ER43" s="66" t="str">
        <f t="shared" si="338"/>
        <v/>
      </c>
      <c r="ES43" s="66" t="str">
        <f t="shared" si="339"/>
        <v/>
      </c>
      <c r="ET43" s="66" t="str">
        <f t="shared" si="340"/>
        <v/>
      </c>
      <c r="EU43" s="66" t="str">
        <f t="shared" si="341"/>
        <v/>
      </c>
      <c r="EV43" s="66" t="str">
        <f t="shared" si="342"/>
        <v/>
      </c>
      <c r="EW43" s="66" t="str">
        <f t="shared" si="343"/>
        <v>|n每秒业力+16</v>
      </c>
      <c r="EX43" s="66" t="str">
        <f t="shared" si="344"/>
        <v/>
      </c>
      <c r="EY43" s="66" t="str">
        <f t="shared" si="345"/>
        <v/>
      </c>
      <c r="EZ43" s="66" t="str">
        <f t="shared" si="346"/>
        <v/>
      </c>
      <c r="FA43" s="66" t="str">
        <f t="shared" si="347"/>
        <v/>
      </c>
      <c r="FB43" s="66" t="str">
        <f t="shared" si="348"/>
        <v/>
      </c>
      <c r="FC43" s="66" t="str">
        <f t="shared" si="349"/>
        <v/>
      </c>
      <c r="FD43" s="66" t="str">
        <f t="shared" si="350"/>
        <v/>
      </c>
      <c r="FE43" s="66" t="str">
        <f t="shared" si="351"/>
        <v/>
      </c>
      <c r="FF43" s="66" t="str">
        <f t="shared" si="352"/>
        <v/>
      </c>
      <c r="FG43" s="66" t="str">
        <f t="shared" si="353"/>
        <v/>
      </c>
      <c r="FH43" s="66" t="str">
        <f t="shared" si="354"/>
        <v/>
      </c>
      <c r="FI43" s="66" t="str">
        <f t="shared" si="355"/>
        <v/>
      </c>
      <c r="FJ43" s="66" t="str">
        <f t="shared" si="356"/>
        <v/>
      </c>
      <c r="FK43" s="66" t="str">
        <f t="shared" si="357"/>
        <v/>
      </c>
      <c r="FL43" s="66" t="str">
        <f t="shared" si="358"/>
        <v/>
      </c>
      <c r="FM43" s="66" t="str">
        <f t="shared" si="359"/>
        <v/>
      </c>
      <c r="FN43" s="66" t="str">
        <f t="shared" si="360"/>
        <v/>
      </c>
      <c r="FO43" s="66" t="str">
        <f t="shared" si="361"/>
        <v/>
      </c>
      <c r="FP43" s="66" t="str">
        <f t="shared" si="362"/>
        <v/>
      </c>
      <c r="FQ43" s="66" t="str">
        <f t="shared" si="363"/>
        <v/>
      </c>
      <c r="FR43" s="66" t="str">
        <f t="shared" si="364"/>
        <v/>
      </c>
      <c r="FS43" s="66" t="str">
        <f t="shared" si="365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89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0"/>
        <v>|n攻击6%概率范围|cffff4646业力*15|r魔法伤害|n|n|Cff00ff7f击杀400只怪有50%概率升级|r</v>
      </c>
      <c r="U44" s="77" t="s">
        <v>274</v>
      </c>
      <c r="V44" s="78">
        <v>30000</v>
      </c>
      <c r="W44" s="78">
        <v>120000</v>
      </c>
      <c r="X44" s="78"/>
      <c r="Y44" s="78"/>
      <c r="Z44" s="78">
        <v>600000</v>
      </c>
      <c r="AA44" s="78"/>
      <c r="AB44" s="78"/>
      <c r="AC44" s="78"/>
      <c r="AD44" s="78"/>
      <c r="AE44" s="78"/>
      <c r="AF44" s="78"/>
      <c r="AG44" s="81"/>
      <c r="AH44" s="78"/>
      <c r="AI44" s="78"/>
      <c r="AJ44" s="78"/>
      <c r="AK44" s="78"/>
      <c r="AL44" s="81"/>
      <c r="AM44" s="78"/>
      <c r="AN44" s="19">
        <v>8</v>
      </c>
      <c r="AO44" s="78"/>
      <c r="AP44" s="83"/>
      <c r="AQ44" s="83"/>
      <c r="AR44" s="84"/>
      <c r="AS44" s="84"/>
      <c r="AT44" s="83"/>
      <c r="AU44" s="83"/>
      <c r="AV44" s="83"/>
      <c r="AW44" s="83"/>
      <c r="AX44" s="83"/>
      <c r="AY44" s="83"/>
      <c r="AZ44" s="83"/>
      <c r="BA44" s="83"/>
      <c r="BB44" s="8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3"/>
      <c r="CF44" s="83"/>
      <c r="CG44" s="83"/>
      <c r="CH44" s="83"/>
      <c r="CI44" s="83"/>
      <c r="CJ44" s="83"/>
      <c r="CK44" s="83"/>
      <c r="CL44" s="83"/>
      <c r="CM44" s="83"/>
      <c r="CN44" s="86" t="str">
        <f t="shared" si="291"/>
        <v>InitUnitState('E117',30000,120000,,,600000,,,,,)</v>
      </c>
      <c r="CO44" s="86" t="str">
        <f t="shared" si="292"/>
        <v>InitUnitNormal('E117',,,,,,,,,8,)</v>
      </c>
      <c r="CP44" s="86" t="str">
        <f t="shared" si="293"/>
        <v>InitUnitMagic('E117',,,,,,,,,,)</v>
      </c>
      <c r="CQ44" s="86" t="str">
        <f t="shared" si="294"/>
        <v>InitUnitAdd('E117',,,,,,,17,,,)</v>
      </c>
      <c r="CR44" s="86" t="str">
        <f t="shared" si="295"/>
        <v>InitEquipData('E117',400,"",,E118,,50,'','','','','','',"ReplaceableTextures\\CommandButtons\\BTNZ09.blp")</v>
      </c>
      <c r="CS44" s="86"/>
      <c r="CT44" s="86"/>
      <c r="CU44" s="88" t="str">
        <f t="shared" si="78"/>
        <v>|n攻击+30000|n业力+120000|n生命值+600000|n暴击+8%|n每秒业力+17|n</v>
      </c>
      <c r="CV44" s="19" t="str">
        <f>"|Cffbbbbbb属性：|r"&amp;CU44&amp;VLOOKUP(A44,合成公式!A:P,16,FALSE)&amp;T44</f>
        <v>|Cffbbbbbb属性：|r|n攻击+30000|n业力+120000|n生命值+600000|n暴击+8%|n每秒业力+17|n|n攻击6%概率范围|cffff4646业力*15|r魔法伤害|n|n|Cff00ff7f击杀400只怪有50%概率升级|r</v>
      </c>
      <c r="DB44" s="66" t="str">
        <f t="shared" si="296"/>
        <v>|n攻击+30000</v>
      </c>
      <c r="DC44" s="66" t="str">
        <f t="shared" si="297"/>
        <v>|n业力+120000</v>
      </c>
      <c r="DD44" s="66" t="str">
        <f t="shared" si="298"/>
        <v/>
      </c>
      <c r="DE44" s="66" t="str">
        <f t="shared" si="299"/>
        <v/>
      </c>
      <c r="DF44" s="66" t="str">
        <f t="shared" si="300"/>
        <v>|n生命值+600000</v>
      </c>
      <c r="DG44" s="66" t="str">
        <f t="shared" si="301"/>
        <v/>
      </c>
      <c r="DH44" s="66" t="str">
        <f t="shared" si="302"/>
        <v/>
      </c>
      <c r="DI44" s="66" t="str">
        <f t="shared" si="303"/>
        <v/>
      </c>
      <c r="DJ44" s="66" t="str">
        <f t="shared" si="304"/>
        <v/>
      </c>
      <c r="DK44" s="66" t="str">
        <f t="shared" si="305"/>
        <v/>
      </c>
      <c r="DL44" s="66" t="str">
        <f t="shared" si="306"/>
        <v/>
      </c>
      <c r="DM44" s="66" t="str">
        <f t="shared" si="307"/>
        <v/>
      </c>
      <c r="DN44" s="66" t="str">
        <f t="shared" si="308"/>
        <v/>
      </c>
      <c r="DO44" s="66" t="str">
        <f t="shared" si="309"/>
        <v/>
      </c>
      <c r="DP44" s="66" t="str">
        <f t="shared" si="310"/>
        <v/>
      </c>
      <c r="DQ44" s="66" t="str">
        <f t="shared" si="311"/>
        <v/>
      </c>
      <c r="DR44" s="66" t="str">
        <f t="shared" si="312"/>
        <v/>
      </c>
      <c r="DS44" s="66" t="str">
        <f t="shared" si="313"/>
        <v/>
      </c>
      <c r="DT44" s="66" t="str">
        <f t="shared" si="314"/>
        <v>|n暴击+8%</v>
      </c>
      <c r="DU44" s="66" t="str">
        <f t="shared" si="315"/>
        <v/>
      </c>
      <c r="DV44" s="66" t="str">
        <f t="shared" si="316"/>
        <v/>
      </c>
      <c r="DW44" s="66" t="str">
        <f t="shared" si="317"/>
        <v/>
      </c>
      <c r="DX44" s="66" t="str">
        <f t="shared" si="318"/>
        <v/>
      </c>
      <c r="DY44" s="66" t="str">
        <f t="shared" si="319"/>
        <v/>
      </c>
      <c r="DZ44" s="66" t="str">
        <f t="shared" si="320"/>
        <v/>
      </c>
      <c r="EA44" s="66" t="str">
        <f t="shared" si="321"/>
        <v/>
      </c>
      <c r="EB44" s="66" t="str">
        <f t="shared" si="322"/>
        <v/>
      </c>
      <c r="EC44" s="66" t="str">
        <f t="shared" si="323"/>
        <v/>
      </c>
      <c r="ED44" s="66" t="str">
        <f t="shared" si="324"/>
        <v/>
      </c>
      <c r="EE44" s="66" t="str">
        <f t="shared" si="325"/>
        <v/>
      </c>
      <c r="EF44" s="66" t="str">
        <f t="shared" si="326"/>
        <v/>
      </c>
      <c r="EG44" s="66" t="str">
        <f t="shared" si="327"/>
        <v/>
      </c>
      <c r="EH44" s="66" t="str">
        <f t="shared" si="328"/>
        <v/>
      </c>
      <c r="EI44" s="66" t="str">
        <f t="shared" si="329"/>
        <v/>
      </c>
      <c r="EJ44" s="66" t="str">
        <f t="shared" si="330"/>
        <v/>
      </c>
      <c r="EK44" s="66" t="str">
        <f t="shared" si="331"/>
        <v/>
      </c>
      <c r="EL44" s="66" t="str">
        <f t="shared" si="332"/>
        <v/>
      </c>
      <c r="EM44" s="66" t="str">
        <f t="shared" si="333"/>
        <v/>
      </c>
      <c r="EN44" s="66" t="str">
        <f t="shared" si="334"/>
        <v/>
      </c>
      <c r="EO44" s="66" t="str">
        <f t="shared" si="335"/>
        <v/>
      </c>
      <c r="EP44" s="66" t="str">
        <f t="shared" si="336"/>
        <v/>
      </c>
      <c r="EQ44" s="66" t="str">
        <f t="shared" si="337"/>
        <v/>
      </c>
      <c r="ER44" s="66" t="str">
        <f t="shared" si="338"/>
        <v/>
      </c>
      <c r="ES44" s="66" t="str">
        <f t="shared" si="339"/>
        <v/>
      </c>
      <c r="ET44" s="66" t="str">
        <f t="shared" si="340"/>
        <v/>
      </c>
      <c r="EU44" s="66" t="str">
        <f t="shared" si="341"/>
        <v/>
      </c>
      <c r="EV44" s="66" t="str">
        <f t="shared" si="342"/>
        <v/>
      </c>
      <c r="EW44" s="66" t="str">
        <f t="shared" si="343"/>
        <v>|n每秒业力+17</v>
      </c>
      <c r="EX44" s="66" t="str">
        <f t="shared" si="344"/>
        <v/>
      </c>
      <c r="EY44" s="66" t="str">
        <f t="shared" si="345"/>
        <v/>
      </c>
      <c r="EZ44" s="66" t="str">
        <f t="shared" si="346"/>
        <v/>
      </c>
      <c r="FA44" s="66" t="str">
        <f t="shared" si="347"/>
        <v/>
      </c>
      <c r="FB44" s="66" t="str">
        <f t="shared" si="348"/>
        <v/>
      </c>
      <c r="FC44" s="66" t="str">
        <f t="shared" si="349"/>
        <v/>
      </c>
      <c r="FD44" s="66" t="str">
        <f t="shared" si="350"/>
        <v/>
      </c>
      <c r="FE44" s="66" t="str">
        <f t="shared" si="351"/>
        <v/>
      </c>
      <c r="FF44" s="66" t="str">
        <f t="shared" si="352"/>
        <v/>
      </c>
      <c r="FG44" s="66" t="str">
        <f t="shared" si="353"/>
        <v/>
      </c>
      <c r="FH44" s="66" t="str">
        <f t="shared" si="354"/>
        <v/>
      </c>
      <c r="FI44" s="66" t="str">
        <f t="shared" si="355"/>
        <v/>
      </c>
      <c r="FJ44" s="66" t="str">
        <f t="shared" si="356"/>
        <v/>
      </c>
      <c r="FK44" s="66" t="str">
        <f t="shared" si="357"/>
        <v/>
      </c>
      <c r="FL44" s="66" t="str">
        <f t="shared" si="358"/>
        <v/>
      </c>
      <c r="FM44" s="66" t="str">
        <f t="shared" si="359"/>
        <v/>
      </c>
      <c r="FN44" s="66" t="str">
        <f t="shared" si="360"/>
        <v/>
      </c>
      <c r="FO44" s="66" t="str">
        <f t="shared" si="361"/>
        <v/>
      </c>
      <c r="FP44" s="66" t="str">
        <f t="shared" si="362"/>
        <v/>
      </c>
      <c r="FQ44" s="66" t="str">
        <f t="shared" si="363"/>
        <v/>
      </c>
      <c r="FR44" s="66" t="str">
        <f t="shared" si="364"/>
        <v/>
      </c>
      <c r="FS44" s="66" t="str">
        <f t="shared" si="365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89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0"/>
        <v>|n攻击6%概率范围|cffff4646业力*15|r魔法伤害|n|n|Cff00ff7f击杀400只怪有50%概率升级|r</v>
      </c>
      <c r="U45" s="77" t="s">
        <v>274</v>
      </c>
      <c r="V45" s="78">
        <v>35000</v>
      </c>
      <c r="W45" s="78">
        <v>140000</v>
      </c>
      <c r="X45" s="78"/>
      <c r="Y45" s="78"/>
      <c r="Z45" s="78">
        <v>700000</v>
      </c>
      <c r="AA45" s="78"/>
      <c r="AB45" s="78"/>
      <c r="AC45" s="78"/>
      <c r="AD45" s="78"/>
      <c r="AE45" s="78"/>
      <c r="AF45" s="78"/>
      <c r="AG45" s="81"/>
      <c r="AH45" s="78"/>
      <c r="AI45" s="78"/>
      <c r="AJ45" s="78"/>
      <c r="AK45" s="78"/>
      <c r="AL45" s="81"/>
      <c r="AM45" s="78"/>
      <c r="AN45" s="19">
        <v>8</v>
      </c>
      <c r="AO45" s="78"/>
      <c r="AP45" s="83"/>
      <c r="AQ45" s="83"/>
      <c r="AR45" s="84"/>
      <c r="AS45" s="84"/>
      <c r="AT45" s="83"/>
      <c r="AU45" s="83"/>
      <c r="AV45" s="83"/>
      <c r="AW45" s="83"/>
      <c r="AX45" s="83"/>
      <c r="AY45" s="83"/>
      <c r="AZ45" s="83"/>
      <c r="BA45" s="83"/>
      <c r="BB45" s="8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3"/>
      <c r="CF45" s="83"/>
      <c r="CG45" s="83"/>
      <c r="CH45" s="83"/>
      <c r="CI45" s="83"/>
      <c r="CJ45" s="83"/>
      <c r="CK45" s="83"/>
      <c r="CL45" s="83"/>
      <c r="CM45" s="83"/>
      <c r="CN45" s="86" t="str">
        <f t="shared" si="291"/>
        <v>InitUnitState('E118',35000,140000,,,700000,,,,,)</v>
      </c>
      <c r="CO45" s="86" t="str">
        <f t="shared" si="292"/>
        <v>InitUnitNormal('E118',,,,,,,,,8,)</v>
      </c>
      <c r="CP45" s="86" t="str">
        <f t="shared" si="293"/>
        <v>InitUnitMagic('E118',,,,,,,,,,)</v>
      </c>
      <c r="CQ45" s="86" t="str">
        <f t="shared" si="294"/>
        <v>InitUnitAdd('E118',,,,,,,18,,,)</v>
      </c>
      <c r="CR45" s="86" t="str">
        <f t="shared" si="295"/>
        <v>InitEquipData('E118',400,"",,E119,,50,'','','','','','',"ReplaceableTextures\\CommandButtons\\BTNZ09.blp")</v>
      </c>
      <c r="CS45" s="86"/>
      <c r="CT45" s="86"/>
      <c r="CU45" s="88" t="str">
        <f t="shared" si="78"/>
        <v>|n攻击+35000|n业力+140000|n生命值+700000|n暴击+8%|n每秒业力+18|n</v>
      </c>
      <c r="CV45" s="19" t="str">
        <f>"|Cffbbbbbb属性：|r"&amp;CU45&amp;VLOOKUP(A45,合成公式!A:P,16,FALSE)&amp;T45</f>
        <v>|Cffbbbbbb属性：|r|n攻击+35000|n业力+140000|n生命值+700000|n暴击+8%|n每秒业力+18|n|n攻击6%概率范围|cffff4646业力*15|r魔法伤害|n|n|Cff00ff7f击杀400只怪有50%概率升级|r</v>
      </c>
      <c r="DB45" s="66" t="str">
        <f t="shared" si="296"/>
        <v>|n攻击+35000</v>
      </c>
      <c r="DC45" s="66" t="str">
        <f t="shared" si="297"/>
        <v>|n业力+140000</v>
      </c>
      <c r="DD45" s="66" t="str">
        <f t="shared" si="298"/>
        <v/>
      </c>
      <c r="DE45" s="66" t="str">
        <f t="shared" si="299"/>
        <v/>
      </c>
      <c r="DF45" s="66" t="str">
        <f t="shared" si="300"/>
        <v>|n生命值+700000</v>
      </c>
      <c r="DG45" s="66" t="str">
        <f t="shared" si="301"/>
        <v/>
      </c>
      <c r="DH45" s="66" t="str">
        <f t="shared" si="302"/>
        <v/>
      </c>
      <c r="DI45" s="66" t="str">
        <f t="shared" si="303"/>
        <v/>
      </c>
      <c r="DJ45" s="66" t="str">
        <f t="shared" si="304"/>
        <v/>
      </c>
      <c r="DK45" s="66" t="str">
        <f t="shared" si="305"/>
        <v/>
      </c>
      <c r="DL45" s="66" t="str">
        <f t="shared" si="306"/>
        <v/>
      </c>
      <c r="DM45" s="66" t="str">
        <f t="shared" si="307"/>
        <v/>
      </c>
      <c r="DN45" s="66" t="str">
        <f t="shared" si="308"/>
        <v/>
      </c>
      <c r="DO45" s="66" t="str">
        <f t="shared" si="309"/>
        <v/>
      </c>
      <c r="DP45" s="66" t="str">
        <f t="shared" si="310"/>
        <v/>
      </c>
      <c r="DQ45" s="66" t="str">
        <f t="shared" si="311"/>
        <v/>
      </c>
      <c r="DR45" s="66" t="str">
        <f t="shared" si="312"/>
        <v/>
      </c>
      <c r="DS45" s="66" t="str">
        <f t="shared" si="313"/>
        <v/>
      </c>
      <c r="DT45" s="66" t="str">
        <f t="shared" si="314"/>
        <v>|n暴击+8%</v>
      </c>
      <c r="DU45" s="66" t="str">
        <f t="shared" si="315"/>
        <v/>
      </c>
      <c r="DV45" s="66" t="str">
        <f t="shared" si="316"/>
        <v/>
      </c>
      <c r="DW45" s="66" t="str">
        <f t="shared" si="317"/>
        <v/>
      </c>
      <c r="DX45" s="66" t="str">
        <f t="shared" si="318"/>
        <v/>
      </c>
      <c r="DY45" s="66" t="str">
        <f t="shared" si="319"/>
        <v/>
      </c>
      <c r="DZ45" s="66" t="str">
        <f t="shared" si="320"/>
        <v/>
      </c>
      <c r="EA45" s="66" t="str">
        <f t="shared" si="321"/>
        <v/>
      </c>
      <c r="EB45" s="66" t="str">
        <f t="shared" si="322"/>
        <v/>
      </c>
      <c r="EC45" s="66" t="str">
        <f t="shared" si="323"/>
        <v/>
      </c>
      <c r="ED45" s="66" t="str">
        <f t="shared" si="324"/>
        <v/>
      </c>
      <c r="EE45" s="66" t="str">
        <f t="shared" si="325"/>
        <v/>
      </c>
      <c r="EF45" s="66" t="str">
        <f t="shared" si="326"/>
        <v/>
      </c>
      <c r="EG45" s="66" t="str">
        <f t="shared" si="327"/>
        <v/>
      </c>
      <c r="EH45" s="66" t="str">
        <f t="shared" si="328"/>
        <v/>
      </c>
      <c r="EI45" s="66" t="str">
        <f t="shared" si="329"/>
        <v/>
      </c>
      <c r="EJ45" s="66" t="str">
        <f t="shared" si="330"/>
        <v/>
      </c>
      <c r="EK45" s="66" t="str">
        <f t="shared" si="331"/>
        <v/>
      </c>
      <c r="EL45" s="66" t="str">
        <f t="shared" si="332"/>
        <v/>
      </c>
      <c r="EM45" s="66" t="str">
        <f t="shared" si="333"/>
        <v/>
      </c>
      <c r="EN45" s="66" t="str">
        <f t="shared" si="334"/>
        <v/>
      </c>
      <c r="EO45" s="66" t="str">
        <f t="shared" si="335"/>
        <v/>
      </c>
      <c r="EP45" s="66" t="str">
        <f t="shared" si="336"/>
        <v/>
      </c>
      <c r="EQ45" s="66" t="str">
        <f t="shared" si="337"/>
        <v/>
      </c>
      <c r="ER45" s="66" t="str">
        <f t="shared" si="338"/>
        <v/>
      </c>
      <c r="ES45" s="66" t="str">
        <f t="shared" si="339"/>
        <v/>
      </c>
      <c r="ET45" s="66" t="str">
        <f t="shared" si="340"/>
        <v/>
      </c>
      <c r="EU45" s="66" t="str">
        <f t="shared" si="341"/>
        <v/>
      </c>
      <c r="EV45" s="66" t="str">
        <f t="shared" si="342"/>
        <v/>
      </c>
      <c r="EW45" s="66" t="str">
        <f t="shared" si="343"/>
        <v>|n每秒业力+18</v>
      </c>
      <c r="EX45" s="66" t="str">
        <f t="shared" si="344"/>
        <v/>
      </c>
      <c r="EY45" s="66" t="str">
        <f t="shared" si="345"/>
        <v/>
      </c>
      <c r="EZ45" s="66" t="str">
        <f t="shared" si="346"/>
        <v/>
      </c>
      <c r="FA45" s="66" t="str">
        <f t="shared" si="347"/>
        <v/>
      </c>
      <c r="FB45" s="66" t="str">
        <f t="shared" si="348"/>
        <v/>
      </c>
      <c r="FC45" s="66" t="str">
        <f t="shared" si="349"/>
        <v/>
      </c>
      <c r="FD45" s="66" t="str">
        <f t="shared" si="350"/>
        <v/>
      </c>
      <c r="FE45" s="66" t="str">
        <f t="shared" si="351"/>
        <v/>
      </c>
      <c r="FF45" s="66" t="str">
        <f t="shared" si="352"/>
        <v/>
      </c>
      <c r="FG45" s="66" t="str">
        <f t="shared" si="353"/>
        <v/>
      </c>
      <c r="FH45" s="66" t="str">
        <f t="shared" si="354"/>
        <v/>
      </c>
      <c r="FI45" s="66" t="str">
        <f t="shared" si="355"/>
        <v/>
      </c>
      <c r="FJ45" s="66" t="str">
        <f t="shared" si="356"/>
        <v/>
      </c>
      <c r="FK45" s="66" t="str">
        <f t="shared" si="357"/>
        <v/>
      </c>
      <c r="FL45" s="66" t="str">
        <f t="shared" si="358"/>
        <v/>
      </c>
      <c r="FM45" s="66" t="str">
        <f t="shared" si="359"/>
        <v/>
      </c>
      <c r="FN45" s="66" t="str">
        <f t="shared" si="360"/>
        <v/>
      </c>
      <c r="FO45" s="66" t="str">
        <f t="shared" si="361"/>
        <v/>
      </c>
      <c r="FP45" s="66" t="str">
        <f t="shared" si="362"/>
        <v/>
      </c>
      <c r="FQ45" s="66" t="str">
        <f t="shared" si="363"/>
        <v/>
      </c>
      <c r="FR45" s="66" t="str">
        <f t="shared" si="364"/>
        <v/>
      </c>
      <c r="FS45" s="66" t="str">
        <f t="shared" si="365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89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0"/>
        <v>|n攻击6%概率范围|cffff4646业力*15|r魔法伤害|n|n|Cff00ff7f击杀400只怪有50%概率升级|r</v>
      </c>
      <c r="U46" s="77" t="s">
        <v>274</v>
      </c>
      <c r="V46" s="78">
        <v>42500</v>
      </c>
      <c r="W46" s="78">
        <v>170000</v>
      </c>
      <c r="X46" s="78"/>
      <c r="Y46" s="78"/>
      <c r="Z46" s="78">
        <v>850000</v>
      </c>
      <c r="AA46" s="78"/>
      <c r="AB46" s="78"/>
      <c r="AC46" s="78"/>
      <c r="AD46" s="78"/>
      <c r="AE46" s="78"/>
      <c r="AF46" s="78"/>
      <c r="AG46" s="81"/>
      <c r="AH46" s="78"/>
      <c r="AI46" s="78"/>
      <c r="AJ46" s="78"/>
      <c r="AK46" s="78"/>
      <c r="AL46" s="81"/>
      <c r="AM46" s="78"/>
      <c r="AN46" s="19">
        <v>8</v>
      </c>
      <c r="AO46" s="78"/>
      <c r="AP46" s="83"/>
      <c r="AQ46" s="83"/>
      <c r="AR46" s="84"/>
      <c r="AS46" s="84"/>
      <c r="AT46" s="83"/>
      <c r="AU46" s="83"/>
      <c r="AV46" s="83"/>
      <c r="AW46" s="83"/>
      <c r="AX46" s="83"/>
      <c r="AY46" s="83"/>
      <c r="AZ46" s="83"/>
      <c r="BA46" s="83"/>
      <c r="BB46" s="8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3"/>
      <c r="CF46" s="83"/>
      <c r="CG46" s="83"/>
      <c r="CH46" s="83"/>
      <c r="CI46" s="83"/>
      <c r="CJ46" s="83"/>
      <c r="CK46" s="83"/>
      <c r="CL46" s="83"/>
      <c r="CM46" s="83"/>
      <c r="CN46" s="86" t="str">
        <f t="shared" si="291"/>
        <v>InitUnitState('E119',42500,170000,,,850000,,,,,)</v>
      </c>
      <c r="CO46" s="86" t="str">
        <f t="shared" si="292"/>
        <v>InitUnitNormal('E119',,,,,,,,,8,)</v>
      </c>
      <c r="CP46" s="86" t="str">
        <f t="shared" si="293"/>
        <v>InitUnitMagic('E119',,,,,,,,,,)</v>
      </c>
      <c r="CQ46" s="86" t="str">
        <f t="shared" si="294"/>
        <v>InitUnitAdd('E119',,,,,,,19,,,)</v>
      </c>
      <c r="CR46" s="86" t="str">
        <f t="shared" si="295"/>
        <v>InitEquipData('E119',400,"",,E120,,50,'','','','','','',"ReplaceableTextures\\CommandButtons\\BTNZ09.blp")</v>
      </c>
      <c r="CS46" s="86"/>
      <c r="CT46" s="86"/>
      <c r="CU46" s="88" t="str">
        <f t="shared" si="78"/>
        <v>|n攻击+42500|n业力+170000|n生命值+850000|n暴击+8%|n每秒业力+19|n</v>
      </c>
      <c r="CV46" s="19" t="str">
        <f>"|Cffbbbbbb属性：|r"&amp;CU46&amp;VLOOKUP(A46,合成公式!A:P,16,FALSE)&amp;T46</f>
        <v>|Cffbbbbbb属性：|r|n攻击+42500|n业力+170000|n生命值+850000|n暴击+8%|n每秒业力+19|n|n攻击6%概率范围|cffff4646业力*15|r魔法伤害|n|n|Cff00ff7f击杀400只怪有50%概率升级|r</v>
      </c>
      <c r="DB46" s="66" t="str">
        <f t="shared" si="296"/>
        <v>|n攻击+42500</v>
      </c>
      <c r="DC46" s="66" t="str">
        <f t="shared" si="297"/>
        <v>|n业力+170000</v>
      </c>
      <c r="DD46" s="66" t="str">
        <f t="shared" si="298"/>
        <v/>
      </c>
      <c r="DE46" s="66" t="str">
        <f t="shared" si="299"/>
        <v/>
      </c>
      <c r="DF46" s="66" t="str">
        <f t="shared" si="300"/>
        <v>|n生命值+850000</v>
      </c>
      <c r="DG46" s="66" t="str">
        <f t="shared" si="301"/>
        <v/>
      </c>
      <c r="DH46" s="66" t="str">
        <f t="shared" si="302"/>
        <v/>
      </c>
      <c r="DI46" s="66" t="str">
        <f t="shared" si="303"/>
        <v/>
      </c>
      <c r="DJ46" s="66" t="str">
        <f t="shared" si="304"/>
        <v/>
      </c>
      <c r="DK46" s="66" t="str">
        <f t="shared" si="305"/>
        <v/>
      </c>
      <c r="DL46" s="66" t="str">
        <f t="shared" si="306"/>
        <v/>
      </c>
      <c r="DM46" s="66" t="str">
        <f t="shared" si="307"/>
        <v/>
      </c>
      <c r="DN46" s="66" t="str">
        <f t="shared" si="308"/>
        <v/>
      </c>
      <c r="DO46" s="66" t="str">
        <f t="shared" si="309"/>
        <v/>
      </c>
      <c r="DP46" s="66" t="str">
        <f t="shared" si="310"/>
        <v/>
      </c>
      <c r="DQ46" s="66" t="str">
        <f t="shared" si="311"/>
        <v/>
      </c>
      <c r="DR46" s="66" t="str">
        <f t="shared" si="312"/>
        <v/>
      </c>
      <c r="DS46" s="66" t="str">
        <f t="shared" si="313"/>
        <v/>
      </c>
      <c r="DT46" s="66" t="str">
        <f t="shared" si="314"/>
        <v>|n暴击+8%</v>
      </c>
      <c r="DU46" s="66" t="str">
        <f t="shared" si="315"/>
        <v/>
      </c>
      <c r="DV46" s="66" t="str">
        <f t="shared" si="316"/>
        <v/>
      </c>
      <c r="DW46" s="66" t="str">
        <f t="shared" si="317"/>
        <v/>
      </c>
      <c r="DX46" s="66" t="str">
        <f t="shared" si="318"/>
        <v/>
      </c>
      <c r="DY46" s="66" t="str">
        <f t="shared" si="319"/>
        <v/>
      </c>
      <c r="DZ46" s="66" t="str">
        <f t="shared" si="320"/>
        <v/>
      </c>
      <c r="EA46" s="66" t="str">
        <f t="shared" si="321"/>
        <v/>
      </c>
      <c r="EB46" s="66" t="str">
        <f t="shared" si="322"/>
        <v/>
      </c>
      <c r="EC46" s="66" t="str">
        <f t="shared" si="323"/>
        <v/>
      </c>
      <c r="ED46" s="66" t="str">
        <f t="shared" si="324"/>
        <v/>
      </c>
      <c r="EE46" s="66" t="str">
        <f t="shared" si="325"/>
        <v/>
      </c>
      <c r="EF46" s="66" t="str">
        <f t="shared" si="326"/>
        <v/>
      </c>
      <c r="EG46" s="66" t="str">
        <f t="shared" si="327"/>
        <v/>
      </c>
      <c r="EH46" s="66" t="str">
        <f t="shared" si="328"/>
        <v/>
      </c>
      <c r="EI46" s="66" t="str">
        <f t="shared" si="329"/>
        <v/>
      </c>
      <c r="EJ46" s="66" t="str">
        <f t="shared" si="330"/>
        <v/>
      </c>
      <c r="EK46" s="66" t="str">
        <f t="shared" si="331"/>
        <v/>
      </c>
      <c r="EL46" s="66" t="str">
        <f t="shared" si="332"/>
        <v/>
      </c>
      <c r="EM46" s="66" t="str">
        <f t="shared" si="333"/>
        <v/>
      </c>
      <c r="EN46" s="66" t="str">
        <f t="shared" si="334"/>
        <v/>
      </c>
      <c r="EO46" s="66" t="str">
        <f t="shared" si="335"/>
        <v/>
      </c>
      <c r="EP46" s="66" t="str">
        <f t="shared" si="336"/>
        <v/>
      </c>
      <c r="EQ46" s="66" t="str">
        <f t="shared" si="337"/>
        <v/>
      </c>
      <c r="ER46" s="66" t="str">
        <f t="shared" si="338"/>
        <v/>
      </c>
      <c r="ES46" s="66" t="str">
        <f t="shared" si="339"/>
        <v/>
      </c>
      <c r="ET46" s="66" t="str">
        <f t="shared" si="340"/>
        <v/>
      </c>
      <c r="EU46" s="66" t="str">
        <f t="shared" si="341"/>
        <v/>
      </c>
      <c r="EV46" s="66" t="str">
        <f t="shared" si="342"/>
        <v/>
      </c>
      <c r="EW46" s="66" t="str">
        <f t="shared" si="343"/>
        <v>|n每秒业力+19</v>
      </c>
      <c r="EX46" s="66" t="str">
        <f t="shared" si="344"/>
        <v/>
      </c>
      <c r="EY46" s="66" t="str">
        <f t="shared" si="345"/>
        <v/>
      </c>
      <c r="EZ46" s="66" t="str">
        <f t="shared" si="346"/>
        <v/>
      </c>
      <c r="FA46" s="66" t="str">
        <f t="shared" si="347"/>
        <v/>
      </c>
      <c r="FB46" s="66" t="str">
        <f t="shared" si="348"/>
        <v/>
      </c>
      <c r="FC46" s="66" t="str">
        <f t="shared" si="349"/>
        <v/>
      </c>
      <c r="FD46" s="66" t="str">
        <f t="shared" si="350"/>
        <v/>
      </c>
      <c r="FE46" s="66" t="str">
        <f t="shared" si="351"/>
        <v/>
      </c>
      <c r="FF46" s="66" t="str">
        <f t="shared" si="352"/>
        <v/>
      </c>
      <c r="FG46" s="66" t="str">
        <f t="shared" si="353"/>
        <v/>
      </c>
      <c r="FH46" s="66" t="str">
        <f t="shared" si="354"/>
        <v/>
      </c>
      <c r="FI46" s="66" t="str">
        <f t="shared" si="355"/>
        <v/>
      </c>
      <c r="FJ46" s="66" t="str">
        <f t="shared" si="356"/>
        <v/>
      </c>
      <c r="FK46" s="66" t="str">
        <f t="shared" si="357"/>
        <v/>
      </c>
      <c r="FL46" s="66" t="str">
        <f t="shared" si="358"/>
        <v/>
      </c>
      <c r="FM46" s="66" t="str">
        <f t="shared" si="359"/>
        <v/>
      </c>
      <c r="FN46" s="66" t="str">
        <f t="shared" si="360"/>
        <v/>
      </c>
      <c r="FO46" s="66" t="str">
        <f t="shared" si="361"/>
        <v/>
      </c>
      <c r="FP46" s="66" t="str">
        <f t="shared" si="362"/>
        <v/>
      </c>
      <c r="FQ46" s="66" t="str">
        <f t="shared" si="363"/>
        <v/>
      </c>
      <c r="FR46" s="66" t="str">
        <f t="shared" si="364"/>
        <v/>
      </c>
      <c r="FS46" s="66" t="str">
        <f t="shared" si="365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89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0"/>
        <v>|n攻击6%概率范围|cffff4646业力*15|r魔法伤害|n|n|Cff00ff7f击杀400只怪有50%概率升级|r</v>
      </c>
      <c r="U47" s="77" t="s">
        <v>274</v>
      </c>
      <c r="V47" s="78">
        <v>50000</v>
      </c>
      <c r="W47" s="78">
        <v>200000</v>
      </c>
      <c r="X47" s="78"/>
      <c r="Y47" s="78"/>
      <c r="Z47" s="78">
        <v>1000000</v>
      </c>
      <c r="AA47" s="78"/>
      <c r="AB47" s="78"/>
      <c r="AC47" s="78"/>
      <c r="AD47" s="78"/>
      <c r="AE47" s="78"/>
      <c r="AF47" s="78"/>
      <c r="AG47" s="81"/>
      <c r="AH47" s="78"/>
      <c r="AI47" s="78"/>
      <c r="AJ47" s="78"/>
      <c r="AK47" s="78"/>
      <c r="AL47" s="81"/>
      <c r="AM47" s="78"/>
      <c r="AN47" s="19">
        <v>8</v>
      </c>
      <c r="AO47" s="78"/>
      <c r="AP47" s="83"/>
      <c r="AQ47" s="83"/>
      <c r="AR47" s="84"/>
      <c r="AS47" s="84"/>
      <c r="AT47" s="83"/>
      <c r="AU47" s="83"/>
      <c r="AV47" s="83"/>
      <c r="AW47" s="83"/>
      <c r="AX47" s="83"/>
      <c r="AY47" s="83"/>
      <c r="AZ47" s="83"/>
      <c r="BA47" s="83"/>
      <c r="BB47" s="8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3"/>
      <c r="CF47" s="83"/>
      <c r="CG47" s="83"/>
      <c r="CH47" s="83"/>
      <c r="CI47" s="83"/>
      <c r="CJ47" s="83"/>
      <c r="CK47" s="83"/>
      <c r="CL47" s="83"/>
      <c r="CM47" s="83"/>
      <c r="CN47" s="86" t="str">
        <f t="shared" si="291"/>
        <v>InitUnitState('E120',50000,200000,,,1000000,,,,,)</v>
      </c>
      <c r="CO47" s="86" t="str">
        <f t="shared" si="292"/>
        <v>InitUnitNormal('E120',,,,,,,,,8,)</v>
      </c>
      <c r="CP47" s="86" t="str">
        <f t="shared" si="293"/>
        <v>InitUnitMagic('E120',,,,,,,,,,)</v>
      </c>
      <c r="CQ47" s="86" t="str">
        <f t="shared" si="294"/>
        <v>InitUnitAdd('E120',,,,,,,20,,,)</v>
      </c>
      <c r="CR47" s="86" t="str">
        <f t="shared" si="295"/>
        <v>InitEquipData('E120',400,"",,E121,,50,'','','','','','',"ReplaceableTextures\\CommandButtons\\BTNZ10.blp")</v>
      </c>
      <c r="CS47" s="86"/>
      <c r="CT47" s="86"/>
      <c r="CU47" s="88" t="str">
        <f t="shared" si="78"/>
        <v>|n攻击+50000|n业力+200000|n生命值+1000000|n暴击+8%|n每秒业力+20|n</v>
      </c>
      <c r="CV47" s="19" t="str">
        <f>"|Cffbbbbbb属性：|r"&amp;CU47&amp;VLOOKUP(A47,合成公式!A:P,16,FALSE)&amp;T47</f>
        <v>|Cffbbbbbb属性：|r|n攻击+50000|n业力+200000|n生命值+1000000|n暴击+8%|n每秒业力+20|n|n攻击6%概率范围|cffff4646业力*15|r魔法伤害|n|n|Cff00ff7f击杀400只怪有50%概率升级|r</v>
      </c>
      <c r="DB47" s="66" t="str">
        <f t="shared" si="296"/>
        <v>|n攻击+50000</v>
      </c>
      <c r="DC47" s="66" t="str">
        <f t="shared" si="297"/>
        <v>|n业力+200000</v>
      </c>
      <c r="DD47" s="66" t="str">
        <f t="shared" si="298"/>
        <v/>
      </c>
      <c r="DE47" s="66" t="str">
        <f t="shared" si="299"/>
        <v/>
      </c>
      <c r="DF47" s="66" t="str">
        <f t="shared" si="300"/>
        <v>|n生命值+1000000</v>
      </c>
      <c r="DG47" s="66" t="str">
        <f t="shared" si="301"/>
        <v/>
      </c>
      <c r="DH47" s="66" t="str">
        <f t="shared" si="302"/>
        <v/>
      </c>
      <c r="DI47" s="66" t="str">
        <f t="shared" si="303"/>
        <v/>
      </c>
      <c r="DJ47" s="66" t="str">
        <f t="shared" si="304"/>
        <v/>
      </c>
      <c r="DK47" s="66" t="str">
        <f t="shared" si="305"/>
        <v/>
      </c>
      <c r="DL47" s="66" t="str">
        <f t="shared" si="306"/>
        <v/>
      </c>
      <c r="DM47" s="66" t="str">
        <f t="shared" si="307"/>
        <v/>
      </c>
      <c r="DN47" s="66" t="str">
        <f t="shared" si="308"/>
        <v/>
      </c>
      <c r="DO47" s="66" t="str">
        <f t="shared" si="309"/>
        <v/>
      </c>
      <c r="DP47" s="66" t="str">
        <f t="shared" si="310"/>
        <v/>
      </c>
      <c r="DQ47" s="66" t="str">
        <f t="shared" si="311"/>
        <v/>
      </c>
      <c r="DR47" s="66" t="str">
        <f t="shared" si="312"/>
        <v/>
      </c>
      <c r="DS47" s="66" t="str">
        <f t="shared" si="313"/>
        <v/>
      </c>
      <c r="DT47" s="66" t="str">
        <f t="shared" si="314"/>
        <v>|n暴击+8%</v>
      </c>
      <c r="DU47" s="66" t="str">
        <f t="shared" si="315"/>
        <v/>
      </c>
      <c r="DV47" s="66" t="str">
        <f t="shared" si="316"/>
        <v/>
      </c>
      <c r="DW47" s="66" t="str">
        <f t="shared" si="317"/>
        <v/>
      </c>
      <c r="DX47" s="66" t="str">
        <f t="shared" si="318"/>
        <v/>
      </c>
      <c r="DY47" s="66" t="str">
        <f t="shared" si="319"/>
        <v/>
      </c>
      <c r="DZ47" s="66" t="str">
        <f t="shared" si="320"/>
        <v/>
      </c>
      <c r="EA47" s="66" t="str">
        <f t="shared" si="321"/>
        <v/>
      </c>
      <c r="EB47" s="66" t="str">
        <f t="shared" si="322"/>
        <v/>
      </c>
      <c r="EC47" s="66" t="str">
        <f t="shared" si="323"/>
        <v/>
      </c>
      <c r="ED47" s="66" t="str">
        <f t="shared" si="324"/>
        <v/>
      </c>
      <c r="EE47" s="66" t="str">
        <f t="shared" si="325"/>
        <v/>
      </c>
      <c r="EF47" s="66" t="str">
        <f t="shared" si="326"/>
        <v/>
      </c>
      <c r="EG47" s="66" t="str">
        <f t="shared" si="327"/>
        <v/>
      </c>
      <c r="EH47" s="66" t="str">
        <f t="shared" si="328"/>
        <v/>
      </c>
      <c r="EI47" s="66" t="str">
        <f t="shared" si="329"/>
        <v/>
      </c>
      <c r="EJ47" s="66" t="str">
        <f t="shared" si="330"/>
        <v/>
      </c>
      <c r="EK47" s="66" t="str">
        <f t="shared" si="331"/>
        <v/>
      </c>
      <c r="EL47" s="66" t="str">
        <f t="shared" si="332"/>
        <v/>
      </c>
      <c r="EM47" s="66" t="str">
        <f t="shared" si="333"/>
        <v/>
      </c>
      <c r="EN47" s="66" t="str">
        <f t="shared" si="334"/>
        <v/>
      </c>
      <c r="EO47" s="66" t="str">
        <f t="shared" si="335"/>
        <v/>
      </c>
      <c r="EP47" s="66" t="str">
        <f t="shared" si="336"/>
        <v/>
      </c>
      <c r="EQ47" s="66" t="str">
        <f t="shared" si="337"/>
        <v/>
      </c>
      <c r="ER47" s="66" t="str">
        <f t="shared" si="338"/>
        <v/>
      </c>
      <c r="ES47" s="66" t="str">
        <f t="shared" si="339"/>
        <v/>
      </c>
      <c r="ET47" s="66" t="str">
        <f t="shared" si="340"/>
        <v/>
      </c>
      <c r="EU47" s="66" t="str">
        <f t="shared" si="341"/>
        <v/>
      </c>
      <c r="EV47" s="66" t="str">
        <f t="shared" si="342"/>
        <v/>
      </c>
      <c r="EW47" s="66" t="str">
        <f t="shared" si="343"/>
        <v>|n每秒业力+20</v>
      </c>
      <c r="EX47" s="66" t="str">
        <f t="shared" si="344"/>
        <v/>
      </c>
      <c r="EY47" s="66" t="str">
        <f t="shared" si="345"/>
        <v/>
      </c>
      <c r="EZ47" s="66" t="str">
        <f t="shared" si="346"/>
        <v/>
      </c>
      <c r="FA47" s="66" t="str">
        <f t="shared" si="347"/>
        <v/>
      </c>
      <c r="FB47" s="66" t="str">
        <f t="shared" si="348"/>
        <v/>
      </c>
      <c r="FC47" s="66" t="str">
        <f t="shared" si="349"/>
        <v/>
      </c>
      <c r="FD47" s="66" t="str">
        <f t="shared" si="350"/>
        <v/>
      </c>
      <c r="FE47" s="66" t="str">
        <f t="shared" si="351"/>
        <v/>
      </c>
      <c r="FF47" s="66" t="str">
        <f t="shared" si="352"/>
        <v/>
      </c>
      <c r="FG47" s="66" t="str">
        <f t="shared" si="353"/>
        <v/>
      </c>
      <c r="FH47" s="66" t="str">
        <f t="shared" si="354"/>
        <v/>
      </c>
      <c r="FI47" s="66" t="str">
        <f t="shared" si="355"/>
        <v/>
      </c>
      <c r="FJ47" s="66" t="str">
        <f t="shared" si="356"/>
        <v/>
      </c>
      <c r="FK47" s="66" t="str">
        <f t="shared" si="357"/>
        <v/>
      </c>
      <c r="FL47" s="66" t="str">
        <f t="shared" si="358"/>
        <v/>
      </c>
      <c r="FM47" s="66" t="str">
        <f t="shared" si="359"/>
        <v/>
      </c>
      <c r="FN47" s="66" t="str">
        <f t="shared" si="360"/>
        <v/>
      </c>
      <c r="FO47" s="66" t="str">
        <f t="shared" si="361"/>
        <v/>
      </c>
      <c r="FP47" s="66" t="str">
        <f t="shared" si="362"/>
        <v/>
      </c>
      <c r="FQ47" s="66" t="str">
        <f t="shared" si="363"/>
        <v/>
      </c>
      <c r="FR47" s="66" t="str">
        <f t="shared" si="364"/>
        <v/>
      </c>
      <c r="FS47" s="66" t="str">
        <f t="shared" si="365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89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0"/>
        <v>|n攻击6%概率范围|cffff4646业力*15|r魔法伤害|n|n|Cff00ff7f击杀500只怪有50%概率升级|r</v>
      </c>
      <c r="U48" s="77" t="s">
        <v>285</v>
      </c>
      <c r="V48" s="78">
        <v>75000</v>
      </c>
      <c r="W48" s="78">
        <v>300000</v>
      </c>
      <c r="X48" s="78"/>
      <c r="Y48" s="78"/>
      <c r="Z48" s="78">
        <v>1500000</v>
      </c>
      <c r="AA48" s="78"/>
      <c r="AB48" s="78"/>
      <c r="AC48" s="78"/>
      <c r="AD48" s="78"/>
      <c r="AE48" s="78"/>
      <c r="AF48" s="78"/>
      <c r="AG48" s="81"/>
      <c r="AH48" s="78"/>
      <c r="AI48" s="78"/>
      <c r="AJ48" s="78"/>
      <c r="AK48" s="78"/>
      <c r="AL48" s="81"/>
      <c r="AM48" s="78"/>
      <c r="AN48" s="19">
        <v>10</v>
      </c>
      <c r="AO48" s="78"/>
      <c r="AP48" s="83"/>
      <c r="AQ48" s="83"/>
      <c r="AR48" s="84"/>
      <c r="AS48" s="84"/>
      <c r="AT48" s="83"/>
      <c r="AU48" s="83"/>
      <c r="AV48" s="83"/>
      <c r="AW48" s="83"/>
      <c r="AX48" s="83"/>
      <c r="AY48" s="83"/>
      <c r="AZ48" s="83"/>
      <c r="BA48" s="83"/>
      <c r="BB48" s="8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3"/>
      <c r="CF48" s="83"/>
      <c r="CG48" s="83"/>
      <c r="CH48" s="83"/>
      <c r="CI48" s="83"/>
      <c r="CJ48" s="83"/>
      <c r="CK48" s="83"/>
      <c r="CL48" s="83"/>
      <c r="CM48" s="83"/>
      <c r="CN48" s="86" t="str">
        <f t="shared" si="291"/>
        <v>InitUnitState('E121',75000,300000,,,1500000,,,,,)</v>
      </c>
      <c r="CO48" s="86" t="str">
        <f t="shared" si="292"/>
        <v>InitUnitNormal('E121',,,,,,,,,10,)</v>
      </c>
      <c r="CP48" s="86" t="str">
        <f t="shared" si="293"/>
        <v>InitUnitMagic('E121',,,,,,,,,,)</v>
      </c>
      <c r="CQ48" s="86" t="str">
        <f t="shared" si="294"/>
        <v>InitUnitAdd('E121',,,,,,,21,,,)</v>
      </c>
      <c r="CR48" s="86" t="str">
        <f t="shared" si="295"/>
        <v>InitEquipData('E121',500,"",,E122,,50,'','','','','','',"ReplaceableTextures\\CommandButtons\\BTNZ10.blp")</v>
      </c>
      <c r="CS48" s="86"/>
      <c r="CT48" s="86"/>
      <c r="CU48" s="88" t="str">
        <f t="shared" si="78"/>
        <v>|n攻击+75000|n业力+300000|n生命值+1500000|n暴击+10%|n每秒业力+21|n</v>
      </c>
      <c r="CV48" s="19" t="str">
        <f>"|Cffbbbbbb属性：|r"&amp;CU48&amp;VLOOKUP(A48,合成公式!A:P,16,FALSE)&amp;T48</f>
        <v>|Cffbbbbbb属性：|r|n攻击+75000|n业力+300000|n生命值+1500000|n暴击+10%|n每秒业力+21|n|n攻击6%概率范围|cffff4646业力*15|r魔法伤害|n|n|Cff00ff7f击杀500只怪有50%概率升级|r</v>
      </c>
      <c r="DB48" s="66" t="str">
        <f t="shared" si="296"/>
        <v>|n攻击+75000</v>
      </c>
      <c r="DC48" s="66" t="str">
        <f t="shared" si="297"/>
        <v>|n业力+300000</v>
      </c>
      <c r="DD48" s="66" t="str">
        <f t="shared" si="298"/>
        <v/>
      </c>
      <c r="DE48" s="66" t="str">
        <f t="shared" si="299"/>
        <v/>
      </c>
      <c r="DF48" s="66" t="str">
        <f t="shared" si="300"/>
        <v>|n生命值+1500000</v>
      </c>
      <c r="DG48" s="66" t="str">
        <f t="shared" si="301"/>
        <v/>
      </c>
      <c r="DH48" s="66" t="str">
        <f t="shared" si="302"/>
        <v/>
      </c>
      <c r="DI48" s="66" t="str">
        <f t="shared" si="303"/>
        <v/>
      </c>
      <c r="DJ48" s="66" t="str">
        <f t="shared" si="304"/>
        <v/>
      </c>
      <c r="DK48" s="66" t="str">
        <f t="shared" si="305"/>
        <v/>
      </c>
      <c r="DL48" s="66" t="str">
        <f t="shared" si="306"/>
        <v/>
      </c>
      <c r="DM48" s="66" t="str">
        <f t="shared" si="307"/>
        <v/>
      </c>
      <c r="DN48" s="66" t="str">
        <f t="shared" si="308"/>
        <v/>
      </c>
      <c r="DO48" s="66" t="str">
        <f t="shared" si="309"/>
        <v/>
      </c>
      <c r="DP48" s="66" t="str">
        <f t="shared" si="310"/>
        <v/>
      </c>
      <c r="DQ48" s="66" t="str">
        <f t="shared" si="311"/>
        <v/>
      </c>
      <c r="DR48" s="66" t="str">
        <f t="shared" si="312"/>
        <v/>
      </c>
      <c r="DS48" s="66" t="str">
        <f t="shared" si="313"/>
        <v/>
      </c>
      <c r="DT48" s="66" t="str">
        <f t="shared" si="314"/>
        <v>|n暴击+10%</v>
      </c>
      <c r="DU48" s="66" t="str">
        <f t="shared" si="315"/>
        <v/>
      </c>
      <c r="DV48" s="66" t="str">
        <f t="shared" si="316"/>
        <v/>
      </c>
      <c r="DW48" s="66" t="str">
        <f t="shared" si="317"/>
        <v/>
      </c>
      <c r="DX48" s="66" t="str">
        <f t="shared" si="318"/>
        <v/>
      </c>
      <c r="DY48" s="66" t="str">
        <f t="shared" si="319"/>
        <v/>
      </c>
      <c r="DZ48" s="66" t="str">
        <f t="shared" si="320"/>
        <v/>
      </c>
      <c r="EA48" s="66" t="str">
        <f t="shared" si="321"/>
        <v/>
      </c>
      <c r="EB48" s="66" t="str">
        <f t="shared" si="322"/>
        <v/>
      </c>
      <c r="EC48" s="66" t="str">
        <f t="shared" si="323"/>
        <v/>
      </c>
      <c r="ED48" s="66" t="str">
        <f t="shared" si="324"/>
        <v/>
      </c>
      <c r="EE48" s="66" t="str">
        <f t="shared" si="325"/>
        <v/>
      </c>
      <c r="EF48" s="66" t="str">
        <f t="shared" si="326"/>
        <v/>
      </c>
      <c r="EG48" s="66" t="str">
        <f t="shared" si="327"/>
        <v/>
      </c>
      <c r="EH48" s="66" t="str">
        <f t="shared" si="328"/>
        <v/>
      </c>
      <c r="EI48" s="66" t="str">
        <f t="shared" si="329"/>
        <v/>
      </c>
      <c r="EJ48" s="66" t="str">
        <f t="shared" si="330"/>
        <v/>
      </c>
      <c r="EK48" s="66" t="str">
        <f t="shared" si="331"/>
        <v/>
      </c>
      <c r="EL48" s="66" t="str">
        <f t="shared" si="332"/>
        <v/>
      </c>
      <c r="EM48" s="66" t="str">
        <f t="shared" si="333"/>
        <v/>
      </c>
      <c r="EN48" s="66" t="str">
        <f t="shared" si="334"/>
        <v/>
      </c>
      <c r="EO48" s="66" t="str">
        <f t="shared" si="335"/>
        <v/>
      </c>
      <c r="EP48" s="66" t="str">
        <f t="shared" si="336"/>
        <v/>
      </c>
      <c r="EQ48" s="66" t="str">
        <f t="shared" si="337"/>
        <v/>
      </c>
      <c r="ER48" s="66" t="str">
        <f t="shared" si="338"/>
        <v/>
      </c>
      <c r="ES48" s="66" t="str">
        <f t="shared" si="339"/>
        <v/>
      </c>
      <c r="ET48" s="66" t="str">
        <f t="shared" si="340"/>
        <v/>
      </c>
      <c r="EU48" s="66" t="str">
        <f t="shared" si="341"/>
        <v/>
      </c>
      <c r="EV48" s="66" t="str">
        <f t="shared" si="342"/>
        <v/>
      </c>
      <c r="EW48" s="66" t="str">
        <f t="shared" si="343"/>
        <v>|n每秒业力+21</v>
      </c>
      <c r="EX48" s="66" t="str">
        <f t="shared" si="344"/>
        <v/>
      </c>
      <c r="EY48" s="66" t="str">
        <f t="shared" si="345"/>
        <v/>
      </c>
      <c r="EZ48" s="66" t="str">
        <f t="shared" si="346"/>
        <v/>
      </c>
      <c r="FA48" s="66" t="str">
        <f t="shared" si="347"/>
        <v/>
      </c>
      <c r="FB48" s="66" t="str">
        <f t="shared" si="348"/>
        <v/>
      </c>
      <c r="FC48" s="66" t="str">
        <f t="shared" si="349"/>
        <v/>
      </c>
      <c r="FD48" s="66" t="str">
        <f t="shared" si="350"/>
        <v/>
      </c>
      <c r="FE48" s="66" t="str">
        <f t="shared" si="351"/>
        <v/>
      </c>
      <c r="FF48" s="66" t="str">
        <f t="shared" si="352"/>
        <v/>
      </c>
      <c r="FG48" s="66" t="str">
        <f t="shared" si="353"/>
        <v/>
      </c>
      <c r="FH48" s="66" t="str">
        <f t="shared" si="354"/>
        <v/>
      </c>
      <c r="FI48" s="66" t="str">
        <f t="shared" si="355"/>
        <v/>
      </c>
      <c r="FJ48" s="66" t="str">
        <f t="shared" si="356"/>
        <v/>
      </c>
      <c r="FK48" s="66" t="str">
        <f t="shared" si="357"/>
        <v/>
      </c>
      <c r="FL48" s="66" t="str">
        <f t="shared" si="358"/>
        <v/>
      </c>
      <c r="FM48" s="66" t="str">
        <f t="shared" si="359"/>
        <v/>
      </c>
      <c r="FN48" s="66" t="str">
        <f t="shared" si="360"/>
        <v/>
      </c>
      <c r="FO48" s="66" t="str">
        <f t="shared" si="361"/>
        <v/>
      </c>
      <c r="FP48" s="66" t="str">
        <f t="shared" si="362"/>
        <v/>
      </c>
      <c r="FQ48" s="66" t="str">
        <f t="shared" si="363"/>
        <v/>
      </c>
      <c r="FR48" s="66" t="str">
        <f t="shared" si="364"/>
        <v/>
      </c>
      <c r="FS48" s="66" t="str">
        <f t="shared" si="365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89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0"/>
        <v>|n攻击6%概率范围|cffff4646业力*15|r魔法伤害|n|n|Cff00ff7f击杀500只怪有50%概率升级|r</v>
      </c>
      <c r="U49" s="77" t="s">
        <v>285</v>
      </c>
      <c r="V49" s="78">
        <v>90000</v>
      </c>
      <c r="W49" s="78">
        <v>360000</v>
      </c>
      <c r="X49" s="78"/>
      <c r="Y49" s="78"/>
      <c r="Z49" s="78">
        <v>1800000</v>
      </c>
      <c r="AA49" s="78"/>
      <c r="AB49" s="78"/>
      <c r="AC49" s="78"/>
      <c r="AD49" s="78"/>
      <c r="AE49" s="78"/>
      <c r="AF49" s="78"/>
      <c r="AG49" s="81"/>
      <c r="AH49" s="78"/>
      <c r="AI49" s="78"/>
      <c r="AJ49" s="78"/>
      <c r="AK49" s="78"/>
      <c r="AL49" s="81"/>
      <c r="AM49" s="78"/>
      <c r="AN49" s="19">
        <v>10</v>
      </c>
      <c r="AO49" s="78"/>
      <c r="AP49" s="83"/>
      <c r="AQ49" s="83"/>
      <c r="AR49" s="84"/>
      <c r="AS49" s="84"/>
      <c r="AT49" s="83"/>
      <c r="AU49" s="83"/>
      <c r="AV49" s="83"/>
      <c r="AW49" s="83"/>
      <c r="AX49" s="83"/>
      <c r="AY49" s="83"/>
      <c r="AZ49" s="83"/>
      <c r="BA49" s="83"/>
      <c r="BB49" s="8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3"/>
      <c r="CF49" s="83"/>
      <c r="CG49" s="83"/>
      <c r="CH49" s="83"/>
      <c r="CI49" s="83"/>
      <c r="CJ49" s="83"/>
      <c r="CK49" s="83"/>
      <c r="CL49" s="83"/>
      <c r="CM49" s="83"/>
      <c r="CN49" s="86" t="str">
        <f t="shared" si="291"/>
        <v>InitUnitState('E122',90000,360000,,,1800000,,,,,)</v>
      </c>
      <c r="CO49" s="86" t="str">
        <f t="shared" si="292"/>
        <v>InitUnitNormal('E122',,,,,,,,,10,)</v>
      </c>
      <c r="CP49" s="86" t="str">
        <f t="shared" si="293"/>
        <v>InitUnitMagic('E122',,,,,,,,,,)</v>
      </c>
      <c r="CQ49" s="86" t="str">
        <f t="shared" si="294"/>
        <v>InitUnitAdd('E122',,,,,,,22,,,)</v>
      </c>
      <c r="CR49" s="86" t="str">
        <f t="shared" si="295"/>
        <v>InitEquipData('E122',500,"",,E123,,50,'','','','','','',"ReplaceableTextures\\CommandButtons\\BTNZ10.blp")</v>
      </c>
      <c r="CS49" s="86"/>
      <c r="CT49" s="86"/>
      <c r="CU49" s="88" t="str">
        <f t="shared" si="78"/>
        <v>|n攻击+90000|n业力+360000|n生命值+1800000|n暴击+10%|n每秒业力+22|n</v>
      </c>
      <c r="CV49" s="19" t="str">
        <f>"|Cffbbbbbb属性：|r"&amp;CU49&amp;VLOOKUP(A49,合成公式!A:P,16,FALSE)&amp;T49</f>
        <v>|Cffbbbbbb属性：|r|n攻击+90000|n业力+360000|n生命值+1800000|n暴击+10%|n每秒业力+22|n|n攻击6%概率范围|cffff4646业力*15|r魔法伤害|n|n|Cff00ff7f击杀500只怪有50%概率升级|r</v>
      </c>
      <c r="DB49" s="66" t="str">
        <f t="shared" si="296"/>
        <v>|n攻击+90000</v>
      </c>
      <c r="DC49" s="66" t="str">
        <f t="shared" si="297"/>
        <v>|n业力+360000</v>
      </c>
      <c r="DD49" s="66" t="str">
        <f t="shared" si="298"/>
        <v/>
      </c>
      <c r="DE49" s="66" t="str">
        <f t="shared" si="299"/>
        <v/>
      </c>
      <c r="DF49" s="66" t="str">
        <f t="shared" si="300"/>
        <v>|n生命值+1800000</v>
      </c>
      <c r="DG49" s="66" t="str">
        <f t="shared" si="301"/>
        <v/>
      </c>
      <c r="DH49" s="66" t="str">
        <f t="shared" si="302"/>
        <v/>
      </c>
      <c r="DI49" s="66" t="str">
        <f t="shared" si="303"/>
        <v/>
      </c>
      <c r="DJ49" s="66" t="str">
        <f t="shared" si="304"/>
        <v/>
      </c>
      <c r="DK49" s="66" t="str">
        <f t="shared" si="305"/>
        <v/>
      </c>
      <c r="DL49" s="66" t="str">
        <f t="shared" si="306"/>
        <v/>
      </c>
      <c r="DM49" s="66" t="str">
        <f t="shared" si="307"/>
        <v/>
      </c>
      <c r="DN49" s="66" t="str">
        <f t="shared" si="308"/>
        <v/>
      </c>
      <c r="DO49" s="66" t="str">
        <f t="shared" si="309"/>
        <v/>
      </c>
      <c r="DP49" s="66" t="str">
        <f t="shared" si="310"/>
        <v/>
      </c>
      <c r="DQ49" s="66" t="str">
        <f t="shared" si="311"/>
        <v/>
      </c>
      <c r="DR49" s="66" t="str">
        <f t="shared" si="312"/>
        <v/>
      </c>
      <c r="DS49" s="66" t="str">
        <f t="shared" si="313"/>
        <v/>
      </c>
      <c r="DT49" s="66" t="str">
        <f t="shared" si="314"/>
        <v>|n暴击+10%</v>
      </c>
      <c r="DU49" s="66" t="str">
        <f t="shared" si="315"/>
        <v/>
      </c>
      <c r="DV49" s="66" t="str">
        <f t="shared" si="316"/>
        <v/>
      </c>
      <c r="DW49" s="66" t="str">
        <f t="shared" si="317"/>
        <v/>
      </c>
      <c r="DX49" s="66" t="str">
        <f t="shared" si="318"/>
        <v/>
      </c>
      <c r="DY49" s="66" t="str">
        <f t="shared" si="319"/>
        <v/>
      </c>
      <c r="DZ49" s="66" t="str">
        <f t="shared" si="320"/>
        <v/>
      </c>
      <c r="EA49" s="66" t="str">
        <f t="shared" si="321"/>
        <v/>
      </c>
      <c r="EB49" s="66" t="str">
        <f t="shared" si="322"/>
        <v/>
      </c>
      <c r="EC49" s="66" t="str">
        <f t="shared" si="323"/>
        <v/>
      </c>
      <c r="ED49" s="66" t="str">
        <f t="shared" si="324"/>
        <v/>
      </c>
      <c r="EE49" s="66" t="str">
        <f t="shared" si="325"/>
        <v/>
      </c>
      <c r="EF49" s="66" t="str">
        <f t="shared" si="326"/>
        <v/>
      </c>
      <c r="EG49" s="66" t="str">
        <f t="shared" si="327"/>
        <v/>
      </c>
      <c r="EH49" s="66" t="str">
        <f t="shared" si="328"/>
        <v/>
      </c>
      <c r="EI49" s="66" t="str">
        <f t="shared" si="329"/>
        <v/>
      </c>
      <c r="EJ49" s="66" t="str">
        <f t="shared" si="330"/>
        <v/>
      </c>
      <c r="EK49" s="66" t="str">
        <f t="shared" si="331"/>
        <v/>
      </c>
      <c r="EL49" s="66" t="str">
        <f t="shared" si="332"/>
        <v/>
      </c>
      <c r="EM49" s="66" t="str">
        <f t="shared" si="333"/>
        <v/>
      </c>
      <c r="EN49" s="66" t="str">
        <f t="shared" si="334"/>
        <v/>
      </c>
      <c r="EO49" s="66" t="str">
        <f t="shared" si="335"/>
        <v/>
      </c>
      <c r="EP49" s="66" t="str">
        <f t="shared" si="336"/>
        <v/>
      </c>
      <c r="EQ49" s="66" t="str">
        <f t="shared" si="337"/>
        <v/>
      </c>
      <c r="ER49" s="66" t="str">
        <f t="shared" si="338"/>
        <v/>
      </c>
      <c r="ES49" s="66" t="str">
        <f t="shared" si="339"/>
        <v/>
      </c>
      <c r="ET49" s="66" t="str">
        <f t="shared" si="340"/>
        <v/>
      </c>
      <c r="EU49" s="66" t="str">
        <f t="shared" si="341"/>
        <v/>
      </c>
      <c r="EV49" s="66" t="str">
        <f t="shared" si="342"/>
        <v/>
      </c>
      <c r="EW49" s="66" t="str">
        <f t="shared" si="343"/>
        <v>|n每秒业力+22</v>
      </c>
      <c r="EX49" s="66" t="str">
        <f t="shared" si="344"/>
        <v/>
      </c>
      <c r="EY49" s="66" t="str">
        <f t="shared" si="345"/>
        <v/>
      </c>
      <c r="EZ49" s="66" t="str">
        <f t="shared" si="346"/>
        <v/>
      </c>
      <c r="FA49" s="66" t="str">
        <f t="shared" si="347"/>
        <v/>
      </c>
      <c r="FB49" s="66" t="str">
        <f t="shared" si="348"/>
        <v/>
      </c>
      <c r="FC49" s="66" t="str">
        <f t="shared" si="349"/>
        <v/>
      </c>
      <c r="FD49" s="66" t="str">
        <f t="shared" si="350"/>
        <v/>
      </c>
      <c r="FE49" s="66" t="str">
        <f t="shared" si="351"/>
        <v/>
      </c>
      <c r="FF49" s="66" t="str">
        <f t="shared" si="352"/>
        <v/>
      </c>
      <c r="FG49" s="66" t="str">
        <f t="shared" si="353"/>
        <v/>
      </c>
      <c r="FH49" s="66" t="str">
        <f t="shared" si="354"/>
        <v/>
      </c>
      <c r="FI49" s="66" t="str">
        <f t="shared" si="355"/>
        <v/>
      </c>
      <c r="FJ49" s="66" t="str">
        <f t="shared" si="356"/>
        <v/>
      </c>
      <c r="FK49" s="66" t="str">
        <f t="shared" si="357"/>
        <v/>
      </c>
      <c r="FL49" s="66" t="str">
        <f t="shared" si="358"/>
        <v/>
      </c>
      <c r="FM49" s="66" t="str">
        <f t="shared" si="359"/>
        <v/>
      </c>
      <c r="FN49" s="66" t="str">
        <f t="shared" si="360"/>
        <v/>
      </c>
      <c r="FO49" s="66" t="str">
        <f t="shared" si="361"/>
        <v/>
      </c>
      <c r="FP49" s="66" t="str">
        <f t="shared" si="362"/>
        <v/>
      </c>
      <c r="FQ49" s="66" t="str">
        <f t="shared" si="363"/>
        <v/>
      </c>
      <c r="FR49" s="66" t="str">
        <f t="shared" si="364"/>
        <v/>
      </c>
      <c r="FS49" s="66" t="str">
        <f t="shared" si="365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89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0"/>
        <v>|n攻击6%概率范围|cffff4646业力*15|r魔法伤害|n|n|Cff00ff7f击杀500只怪有50%概率升级|r</v>
      </c>
      <c r="U50" s="77" t="s">
        <v>285</v>
      </c>
      <c r="V50" s="78">
        <v>105000</v>
      </c>
      <c r="W50" s="78">
        <v>420000</v>
      </c>
      <c r="X50" s="78"/>
      <c r="Y50" s="78"/>
      <c r="Z50" s="78">
        <v>2100000</v>
      </c>
      <c r="AA50" s="78"/>
      <c r="AB50" s="78"/>
      <c r="AC50" s="78"/>
      <c r="AD50" s="78"/>
      <c r="AE50" s="78"/>
      <c r="AF50" s="78"/>
      <c r="AG50" s="81"/>
      <c r="AH50" s="78"/>
      <c r="AI50" s="78"/>
      <c r="AJ50" s="78"/>
      <c r="AK50" s="78"/>
      <c r="AL50" s="81"/>
      <c r="AM50" s="78"/>
      <c r="AN50" s="19">
        <v>10</v>
      </c>
      <c r="AO50" s="78"/>
      <c r="AP50" s="83"/>
      <c r="AQ50" s="83"/>
      <c r="AR50" s="84"/>
      <c r="AS50" s="84"/>
      <c r="AT50" s="83"/>
      <c r="AU50" s="83"/>
      <c r="AV50" s="83"/>
      <c r="AW50" s="83"/>
      <c r="AX50" s="83"/>
      <c r="AY50" s="83"/>
      <c r="AZ50" s="83"/>
      <c r="BA50" s="83"/>
      <c r="BB50" s="8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3"/>
      <c r="CF50" s="83"/>
      <c r="CG50" s="83"/>
      <c r="CH50" s="83"/>
      <c r="CI50" s="83"/>
      <c r="CJ50" s="83"/>
      <c r="CK50" s="83"/>
      <c r="CL50" s="83"/>
      <c r="CM50" s="83"/>
      <c r="CN50" s="86" t="str">
        <f t="shared" si="291"/>
        <v>InitUnitState('E123',105000,420000,,,2100000,,,,,)</v>
      </c>
      <c r="CO50" s="86" t="str">
        <f t="shared" si="292"/>
        <v>InitUnitNormal('E123',,,,,,,,,10,)</v>
      </c>
      <c r="CP50" s="86" t="str">
        <f t="shared" si="293"/>
        <v>InitUnitMagic('E123',,,,,,,,,,)</v>
      </c>
      <c r="CQ50" s="86" t="str">
        <f t="shared" si="294"/>
        <v>InitUnitAdd('E123',,,,,,,23,,,)</v>
      </c>
      <c r="CR50" s="86" t="str">
        <f t="shared" si="295"/>
        <v>InitEquipData('E123',500,"",,E124,,50,'','','','','','',"ReplaceableTextures\\CommandButtons\\BTNZ10.blp")</v>
      </c>
      <c r="CS50" s="86"/>
      <c r="CT50" s="86"/>
      <c r="CU50" s="88" t="str">
        <f t="shared" si="78"/>
        <v>|n攻击+105000|n业力+420000|n生命值+2100000|n暴击+10%|n每秒业力+23|n</v>
      </c>
      <c r="CV50" s="19" t="str">
        <f>"|Cffbbbbbb属性：|r"&amp;CU50&amp;VLOOKUP(A50,合成公式!A:P,16,FALSE)&amp;T50</f>
        <v>|Cffbbbbbb属性：|r|n攻击+105000|n业力+420000|n生命值+2100000|n暴击+10%|n每秒业力+23|n|n攻击6%概率范围|cffff4646业力*15|r魔法伤害|n|n|Cff00ff7f击杀500只怪有50%概率升级|r</v>
      </c>
      <c r="DB50" s="66" t="str">
        <f t="shared" si="296"/>
        <v>|n攻击+105000</v>
      </c>
      <c r="DC50" s="66" t="str">
        <f t="shared" si="297"/>
        <v>|n业力+420000</v>
      </c>
      <c r="DD50" s="66" t="str">
        <f t="shared" si="298"/>
        <v/>
      </c>
      <c r="DE50" s="66" t="str">
        <f t="shared" si="299"/>
        <v/>
      </c>
      <c r="DF50" s="66" t="str">
        <f t="shared" si="300"/>
        <v>|n生命值+2100000</v>
      </c>
      <c r="DG50" s="66" t="str">
        <f t="shared" si="301"/>
        <v/>
      </c>
      <c r="DH50" s="66" t="str">
        <f t="shared" si="302"/>
        <v/>
      </c>
      <c r="DI50" s="66" t="str">
        <f t="shared" si="303"/>
        <v/>
      </c>
      <c r="DJ50" s="66" t="str">
        <f t="shared" si="304"/>
        <v/>
      </c>
      <c r="DK50" s="66" t="str">
        <f t="shared" si="305"/>
        <v/>
      </c>
      <c r="DL50" s="66" t="str">
        <f t="shared" si="306"/>
        <v/>
      </c>
      <c r="DM50" s="66" t="str">
        <f t="shared" si="307"/>
        <v/>
      </c>
      <c r="DN50" s="66" t="str">
        <f t="shared" si="308"/>
        <v/>
      </c>
      <c r="DO50" s="66" t="str">
        <f t="shared" si="309"/>
        <v/>
      </c>
      <c r="DP50" s="66" t="str">
        <f t="shared" si="310"/>
        <v/>
      </c>
      <c r="DQ50" s="66" t="str">
        <f t="shared" si="311"/>
        <v/>
      </c>
      <c r="DR50" s="66" t="str">
        <f t="shared" si="312"/>
        <v/>
      </c>
      <c r="DS50" s="66" t="str">
        <f t="shared" si="313"/>
        <v/>
      </c>
      <c r="DT50" s="66" t="str">
        <f t="shared" si="314"/>
        <v>|n暴击+10%</v>
      </c>
      <c r="DU50" s="66" t="str">
        <f t="shared" si="315"/>
        <v/>
      </c>
      <c r="DV50" s="66" t="str">
        <f t="shared" si="316"/>
        <v/>
      </c>
      <c r="DW50" s="66" t="str">
        <f t="shared" si="317"/>
        <v/>
      </c>
      <c r="DX50" s="66" t="str">
        <f t="shared" si="318"/>
        <v/>
      </c>
      <c r="DY50" s="66" t="str">
        <f t="shared" si="319"/>
        <v/>
      </c>
      <c r="DZ50" s="66" t="str">
        <f t="shared" si="320"/>
        <v/>
      </c>
      <c r="EA50" s="66" t="str">
        <f t="shared" si="321"/>
        <v/>
      </c>
      <c r="EB50" s="66" t="str">
        <f t="shared" si="322"/>
        <v/>
      </c>
      <c r="EC50" s="66" t="str">
        <f t="shared" si="323"/>
        <v/>
      </c>
      <c r="ED50" s="66" t="str">
        <f t="shared" si="324"/>
        <v/>
      </c>
      <c r="EE50" s="66" t="str">
        <f t="shared" si="325"/>
        <v/>
      </c>
      <c r="EF50" s="66" t="str">
        <f t="shared" si="326"/>
        <v/>
      </c>
      <c r="EG50" s="66" t="str">
        <f t="shared" si="327"/>
        <v/>
      </c>
      <c r="EH50" s="66" t="str">
        <f t="shared" si="328"/>
        <v/>
      </c>
      <c r="EI50" s="66" t="str">
        <f t="shared" si="329"/>
        <v/>
      </c>
      <c r="EJ50" s="66" t="str">
        <f t="shared" si="330"/>
        <v/>
      </c>
      <c r="EK50" s="66" t="str">
        <f t="shared" si="331"/>
        <v/>
      </c>
      <c r="EL50" s="66" t="str">
        <f t="shared" si="332"/>
        <v/>
      </c>
      <c r="EM50" s="66" t="str">
        <f t="shared" si="333"/>
        <v/>
      </c>
      <c r="EN50" s="66" t="str">
        <f t="shared" si="334"/>
        <v/>
      </c>
      <c r="EO50" s="66" t="str">
        <f t="shared" si="335"/>
        <v/>
      </c>
      <c r="EP50" s="66" t="str">
        <f t="shared" si="336"/>
        <v/>
      </c>
      <c r="EQ50" s="66" t="str">
        <f t="shared" si="337"/>
        <v/>
      </c>
      <c r="ER50" s="66" t="str">
        <f t="shared" si="338"/>
        <v/>
      </c>
      <c r="ES50" s="66" t="str">
        <f t="shared" si="339"/>
        <v/>
      </c>
      <c r="ET50" s="66" t="str">
        <f t="shared" si="340"/>
        <v/>
      </c>
      <c r="EU50" s="66" t="str">
        <f t="shared" si="341"/>
        <v/>
      </c>
      <c r="EV50" s="66" t="str">
        <f t="shared" si="342"/>
        <v/>
      </c>
      <c r="EW50" s="66" t="str">
        <f t="shared" si="343"/>
        <v>|n每秒业力+23</v>
      </c>
      <c r="EX50" s="66" t="str">
        <f t="shared" si="344"/>
        <v/>
      </c>
      <c r="EY50" s="66" t="str">
        <f t="shared" si="345"/>
        <v/>
      </c>
      <c r="EZ50" s="66" t="str">
        <f t="shared" si="346"/>
        <v/>
      </c>
      <c r="FA50" s="66" t="str">
        <f t="shared" si="347"/>
        <v/>
      </c>
      <c r="FB50" s="66" t="str">
        <f t="shared" si="348"/>
        <v/>
      </c>
      <c r="FC50" s="66" t="str">
        <f t="shared" si="349"/>
        <v/>
      </c>
      <c r="FD50" s="66" t="str">
        <f t="shared" si="350"/>
        <v/>
      </c>
      <c r="FE50" s="66" t="str">
        <f t="shared" si="351"/>
        <v/>
      </c>
      <c r="FF50" s="66" t="str">
        <f t="shared" si="352"/>
        <v/>
      </c>
      <c r="FG50" s="66" t="str">
        <f t="shared" si="353"/>
        <v/>
      </c>
      <c r="FH50" s="66" t="str">
        <f t="shared" si="354"/>
        <v/>
      </c>
      <c r="FI50" s="66" t="str">
        <f t="shared" si="355"/>
        <v/>
      </c>
      <c r="FJ50" s="66" t="str">
        <f t="shared" si="356"/>
        <v/>
      </c>
      <c r="FK50" s="66" t="str">
        <f t="shared" si="357"/>
        <v/>
      </c>
      <c r="FL50" s="66" t="str">
        <f t="shared" si="358"/>
        <v/>
      </c>
      <c r="FM50" s="66" t="str">
        <f t="shared" si="359"/>
        <v/>
      </c>
      <c r="FN50" s="66" t="str">
        <f t="shared" si="360"/>
        <v/>
      </c>
      <c r="FO50" s="66" t="str">
        <f t="shared" si="361"/>
        <v/>
      </c>
      <c r="FP50" s="66" t="str">
        <f t="shared" si="362"/>
        <v/>
      </c>
      <c r="FQ50" s="66" t="str">
        <f t="shared" si="363"/>
        <v/>
      </c>
      <c r="FR50" s="66" t="str">
        <f t="shared" si="364"/>
        <v/>
      </c>
      <c r="FS50" s="66" t="str">
        <f t="shared" si="365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89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0"/>
        <v>|n攻击6%概率范围|cffff4646业力*15|r魔法伤害|n|n|Cff00ff7f击杀500只怪有50%概率升级|r</v>
      </c>
      <c r="U51" s="77" t="s">
        <v>285</v>
      </c>
      <c r="V51" s="78">
        <v>125000</v>
      </c>
      <c r="W51" s="78">
        <v>500000</v>
      </c>
      <c r="X51" s="78"/>
      <c r="Y51" s="78"/>
      <c r="Z51" s="78">
        <v>2500000</v>
      </c>
      <c r="AA51" s="78"/>
      <c r="AB51" s="78"/>
      <c r="AC51" s="78"/>
      <c r="AD51" s="78"/>
      <c r="AE51" s="78"/>
      <c r="AF51" s="78"/>
      <c r="AG51" s="81"/>
      <c r="AH51" s="78"/>
      <c r="AI51" s="78"/>
      <c r="AJ51" s="78"/>
      <c r="AK51" s="78"/>
      <c r="AL51" s="81"/>
      <c r="AM51" s="78"/>
      <c r="AN51" s="19">
        <v>10</v>
      </c>
      <c r="AO51" s="78"/>
      <c r="AP51" s="83"/>
      <c r="AQ51" s="83"/>
      <c r="AR51" s="84"/>
      <c r="AS51" s="84"/>
      <c r="AT51" s="83"/>
      <c r="AU51" s="83"/>
      <c r="AV51" s="83"/>
      <c r="AW51" s="83"/>
      <c r="AX51" s="83"/>
      <c r="AY51" s="83"/>
      <c r="AZ51" s="83"/>
      <c r="BA51" s="83"/>
      <c r="BB51" s="8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3"/>
      <c r="CF51" s="83"/>
      <c r="CG51" s="83"/>
      <c r="CH51" s="83"/>
      <c r="CI51" s="83"/>
      <c r="CJ51" s="83"/>
      <c r="CK51" s="83"/>
      <c r="CL51" s="83"/>
      <c r="CM51" s="83"/>
      <c r="CN51" s="86" t="str">
        <f t="shared" si="291"/>
        <v>InitUnitState('E124',125000,500000,,,2500000,,,,,)</v>
      </c>
      <c r="CO51" s="86" t="str">
        <f t="shared" si="292"/>
        <v>InitUnitNormal('E124',,,,,,,,,10,)</v>
      </c>
      <c r="CP51" s="86" t="str">
        <f t="shared" si="293"/>
        <v>InitUnitMagic('E124',,,,,,,,,,)</v>
      </c>
      <c r="CQ51" s="86" t="str">
        <f t="shared" si="294"/>
        <v>InitUnitAdd('E124',,,,,,,24,,,)</v>
      </c>
      <c r="CR51" s="86" t="str">
        <f t="shared" si="295"/>
        <v>InitEquipData('E124',500,"",,E125,,50,'','','','','','',"ReplaceableTextures\\CommandButtons\\BTNZ10.blp")</v>
      </c>
      <c r="CS51" s="86"/>
      <c r="CT51" s="86"/>
      <c r="CU51" s="88" t="str">
        <f t="shared" si="78"/>
        <v>|n攻击+125000|n业力+500000|n生命值+2500000|n暴击+10%|n每秒业力+24|n</v>
      </c>
      <c r="CV51" s="19" t="str">
        <f>"|Cffbbbbbb属性：|r"&amp;CU51&amp;VLOOKUP(A51,合成公式!A:P,16,FALSE)&amp;T51</f>
        <v>|Cffbbbbbb属性：|r|n攻击+125000|n业力+500000|n生命值+2500000|n暴击+10%|n每秒业力+24|n|n攻击6%概率范围|cffff4646业力*15|r魔法伤害|n|n|Cff00ff7f击杀500只怪有50%概率升级|r</v>
      </c>
      <c r="DB51" s="66" t="str">
        <f t="shared" si="296"/>
        <v>|n攻击+125000</v>
      </c>
      <c r="DC51" s="66" t="str">
        <f t="shared" si="297"/>
        <v>|n业力+500000</v>
      </c>
      <c r="DD51" s="66" t="str">
        <f t="shared" si="298"/>
        <v/>
      </c>
      <c r="DE51" s="66" t="str">
        <f t="shared" si="299"/>
        <v/>
      </c>
      <c r="DF51" s="66" t="str">
        <f t="shared" si="300"/>
        <v>|n生命值+2500000</v>
      </c>
      <c r="DG51" s="66" t="str">
        <f t="shared" si="301"/>
        <v/>
      </c>
      <c r="DH51" s="66" t="str">
        <f t="shared" si="302"/>
        <v/>
      </c>
      <c r="DI51" s="66" t="str">
        <f t="shared" si="303"/>
        <v/>
      </c>
      <c r="DJ51" s="66" t="str">
        <f t="shared" si="304"/>
        <v/>
      </c>
      <c r="DK51" s="66" t="str">
        <f t="shared" si="305"/>
        <v/>
      </c>
      <c r="DL51" s="66" t="str">
        <f t="shared" si="306"/>
        <v/>
      </c>
      <c r="DM51" s="66" t="str">
        <f t="shared" si="307"/>
        <v/>
      </c>
      <c r="DN51" s="66" t="str">
        <f t="shared" si="308"/>
        <v/>
      </c>
      <c r="DO51" s="66" t="str">
        <f t="shared" si="309"/>
        <v/>
      </c>
      <c r="DP51" s="66" t="str">
        <f t="shared" si="310"/>
        <v/>
      </c>
      <c r="DQ51" s="66" t="str">
        <f t="shared" si="311"/>
        <v/>
      </c>
      <c r="DR51" s="66" t="str">
        <f t="shared" si="312"/>
        <v/>
      </c>
      <c r="DS51" s="66" t="str">
        <f t="shared" si="313"/>
        <v/>
      </c>
      <c r="DT51" s="66" t="str">
        <f t="shared" si="314"/>
        <v>|n暴击+10%</v>
      </c>
      <c r="DU51" s="66" t="str">
        <f t="shared" si="315"/>
        <v/>
      </c>
      <c r="DV51" s="66" t="str">
        <f t="shared" si="316"/>
        <v/>
      </c>
      <c r="DW51" s="66" t="str">
        <f t="shared" si="317"/>
        <v/>
      </c>
      <c r="DX51" s="66" t="str">
        <f t="shared" si="318"/>
        <v/>
      </c>
      <c r="DY51" s="66" t="str">
        <f t="shared" si="319"/>
        <v/>
      </c>
      <c r="DZ51" s="66" t="str">
        <f t="shared" si="320"/>
        <v/>
      </c>
      <c r="EA51" s="66" t="str">
        <f t="shared" si="321"/>
        <v/>
      </c>
      <c r="EB51" s="66" t="str">
        <f t="shared" si="322"/>
        <v/>
      </c>
      <c r="EC51" s="66" t="str">
        <f t="shared" si="323"/>
        <v/>
      </c>
      <c r="ED51" s="66" t="str">
        <f t="shared" si="324"/>
        <v/>
      </c>
      <c r="EE51" s="66" t="str">
        <f t="shared" si="325"/>
        <v/>
      </c>
      <c r="EF51" s="66" t="str">
        <f t="shared" si="326"/>
        <v/>
      </c>
      <c r="EG51" s="66" t="str">
        <f t="shared" si="327"/>
        <v/>
      </c>
      <c r="EH51" s="66" t="str">
        <f t="shared" si="328"/>
        <v/>
      </c>
      <c r="EI51" s="66" t="str">
        <f t="shared" si="329"/>
        <v/>
      </c>
      <c r="EJ51" s="66" t="str">
        <f t="shared" si="330"/>
        <v/>
      </c>
      <c r="EK51" s="66" t="str">
        <f t="shared" si="331"/>
        <v/>
      </c>
      <c r="EL51" s="66" t="str">
        <f t="shared" si="332"/>
        <v/>
      </c>
      <c r="EM51" s="66" t="str">
        <f t="shared" si="333"/>
        <v/>
      </c>
      <c r="EN51" s="66" t="str">
        <f t="shared" si="334"/>
        <v/>
      </c>
      <c r="EO51" s="66" t="str">
        <f t="shared" si="335"/>
        <v/>
      </c>
      <c r="EP51" s="66" t="str">
        <f t="shared" si="336"/>
        <v/>
      </c>
      <c r="EQ51" s="66" t="str">
        <f t="shared" si="337"/>
        <v/>
      </c>
      <c r="ER51" s="66" t="str">
        <f t="shared" si="338"/>
        <v/>
      </c>
      <c r="ES51" s="66" t="str">
        <f t="shared" si="339"/>
        <v/>
      </c>
      <c r="ET51" s="66" t="str">
        <f t="shared" si="340"/>
        <v/>
      </c>
      <c r="EU51" s="66" t="str">
        <f t="shared" si="341"/>
        <v/>
      </c>
      <c r="EV51" s="66" t="str">
        <f t="shared" si="342"/>
        <v/>
      </c>
      <c r="EW51" s="66" t="str">
        <f t="shared" si="343"/>
        <v>|n每秒业力+24</v>
      </c>
      <c r="EX51" s="66" t="str">
        <f t="shared" si="344"/>
        <v/>
      </c>
      <c r="EY51" s="66" t="str">
        <f t="shared" si="345"/>
        <v/>
      </c>
      <c r="EZ51" s="66" t="str">
        <f t="shared" si="346"/>
        <v/>
      </c>
      <c r="FA51" s="66" t="str">
        <f t="shared" si="347"/>
        <v/>
      </c>
      <c r="FB51" s="66" t="str">
        <f t="shared" si="348"/>
        <v/>
      </c>
      <c r="FC51" s="66" t="str">
        <f t="shared" si="349"/>
        <v/>
      </c>
      <c r="FD51" s="66" t="str">
        <f t="shared" si="350"/>
        <v/>
      </c>
      <c r="FE51" s="66" t="str">
        <f t="shared" si="351"/>
        <v/>
      </c>
      <c r="FF51" s="66" t="str">
        <f t="shared" si="352"/>
        <v/>
      </c>
      <c r="FG51" s="66" t="str">
        <f t="shared" si="353"/>
        <v/>
      </c>
      <c r="FH51" s="66" t="str">
        <f t="shared" si="354"/>
        <v/>
      </c>
      <c r="FI51" s="66" t="str">
        <f t="shared" si="355"/>
        <v/>
      </c>
      <c r="FJ51" s="66" t="str">
        <f t="shared" si="356"/>
        <v/>
      </c>
      <c r="FK51" s="66" t="str">
        <f t="shared" si="357"/>
        <v/>
      </c>
      <c r="FL51" s="66" t="str">
        <f t="shared" si="358"/>
        <v/>
      </c>
      <c r="FM51" s="66" t="str">
        <f t="shared" si="359"/>
        <v/>
      </c>
      <c r="FN51" s="66" t="str">
        <f t="shared" si="360"/>
        <v/>
      </c>
      <c r="FO51" s="66" t="str">
        <f t="shared" si="361"/>
        <v/>
      </c>
      <c r="FP51" s="66" t="str">
        <f t="shared" si="362"/>
        <v/>
      </c>
      <c r="FQ51" s="66" t="str">
        <f t="shared" si="363"/>
        <v/>
      </c>
      <c r="FR51" s="66" t="str">
        <f t="shared" si="364"/>
        <v/>
      </c>
      <c r="FS51" s="66" t="str">
        <f t="shared" si="365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150000</v>
      </c>
      <c r="W52" s="78">
        <v>600000</v>
      </c>
      <c r="X52" s="78"/>
      <c r="Y52" s="78"/>
      <c r="Z52" s="78">
        <v>3000000</v>
      </c>
      <c r="AA52" s="78"/>
      <c r="AB52" s="78"/>
      <c r="AC52" s="78"/>
      <c r="AD52" s="78"/>
      <c r="AE52" s="78"/>
      <c r="AF52" s="78"/>
      <c r="AG52" s="81"/>
      <c r="AH52" s="78"/>
      <c r="AI52" s="78"/>
      <c r="AJ52" s="78"/>
      <c r="AK52" s="78"/>
      <c r="AL52" s="81"/>
      <c r="AM52" s="78"/>
      <c r="AN52" s="19">
        <v>10</v>
      </c>
      <c r="AO52" s="78"/>
      <c r="AP52" s="83"/>
      <c r="AQ52" s="83"/>
      <c r="AR52" s="84"/>
      <c r="AS52" s="84"/>
      <c r="AT52" s="83"/>
      <c r="AU52" s="83"/>
      <c r="AV52" s="83"/>
      <c r="AW52" s="83"/>
      <c r="AX52" s="83"/>
      <c r="AY52" s="83"/>
      <c r="AZ52" s="83"/>
      <c r="BA52" s="83"/>
      <c r="BB52" s="8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3"/>
      <c r="CF52" s="83"/>
      <c r="CG52" s="83"/>
      <c r="CH52" s="83"/>
      <c r="CI52" s="83"/>
      <c r="CJ52" s="83"/>
      <c r="CK52" s="83"/>
      <c r="CL52" s="83"/>
      <c r="CM52" s="83"/>
      <c r="CN52" s="86" t="str">
        <f t="shared" si="291"/>
        <v>InitUnitState('E125',150000,600000,,,3000000,,,,,)</v>
      </c>
      <c r="CO52" s="86" t="str">
        <f t="shared" si="292"/>
        <v>InitUnitNormal('E125',,,,,,,,,10,)</v>
      </c>
      <c r="CP52" s="86" t="str">
        <f t="shared" si="293"/>
        <v>InitUnitMagic('E125',,,,,,,,,,)</v>
      </c>
      <c r="CQ52" s="86" t="str">
        <f t="shared" si="294"/>
        <v>InitUnitAdd('E125',,,,,,,25,,,)</v>
      </c>
      <c r="CR52" s="86" t="str">
        <f t="shared" si="295"/>
        <v>InitEquipData('E125',,"",,,,,'','','','','','',"ReplaceableTextures\\CommandButtons\\BTNZ11.blp")</v>
      </c>
      <c r="CS52" s="86"/>
      <c r="CT52" s="86"/>
      <c r="CU52" s="88" t="str">
        <f t="shared" si="78"/>
        <v>|n攻击+150000|n业力+600000|n生命值+3000000|n暴击+10%|n每秒业力+25|n</v>
      </c>
      <c r="CV52" s="19" t="str">
        <f>"|Cffbbbbbb属性：|r"&amp;CU52&amp;VLOOKUP(A52,合成公式!A:P,16,FALSE)&amp;T52</f>
        <v>|Cffbbbbbb属性：|r|n攻击+150000|n业力+600000|n生命值+3000000|n暴击+10%|n每秒业力+25|n|n攻击6%概率范围|cffff4646业力*15|r魔法伤害</v>
      </c>
      <c r="DB52" s="66" t="str">
        <f t="shared" si="296"/>
        <v>|n攻击+150000</v>
      </c>
      <c r="DC52" s="66" t="str">
        <f t="shared" si="297"/>
        <v>|n业力+600000</v>
      </c>
      <c r="DD52" s="66" t="str">
        <f t="shared" si="298"/>
        <v/>
      </c>
      <c r="DE52" s="66" t="str">
        <f t="shared" si="299"/>
        <v/>
      </c>
      <c r="DF52" s="66" t="str">
        <f t="shared" si="300"/>
        <v>|n生命值+3000000</v>
      </c>
      <c r="DG52" s="66" t="str">
        <f t="shared" si="301"/>
        <v/>
      </c>
      <c r="DH52" s="66" t="str">
        <f t="shared" si="302"/>
        <v/>
      </c>
      <c r="DI52" s="66" t="str">
        <f t="shared" si="303"/>
        <v/>
      </c>
      <c r="DJ52" s="66" t="str">
        <f t="shared" si="304"/>
        <v/>
      </c>
      <c r="DK52" s="66" t="str">
        <f t="shared" si="305"/>
        <v/>
      </c>
      <c r="DL52" s="66" t="str">
        <f t="shared" si="306"/>
        <v/>
      </c>
      <c r="DM52" s="66" t="str">
        <f t="shared" si="307"/>
        <v/>
      </c>
      <c r="DN52" s="66" t="str">
        <f t="shared" si="308"/>
        <v/>
      </c>
      <c r="DO52" s="66" t="str">
        <f t="shared" si="309"/>
        <v/>
      </c>
      <c r="DP52" s="66" t="str">
        <f t="shared" si="310"/>
        <v/>
      </c>
      <c r="DQ52" s="66" t="str">
        <f t="shared" si="311"/>
        <v/>
      </c>
      <c r="DR52" s="66" t="str">
        <f t="shared" si="312"/>
        <v/>
      </c>
      <c r="DS52" s="66" t="str">
        <f t="shared" si="313"/>
        <v/>
      </c>
      <c r="DT52" s="66" t="str">
        <f t="shared" si="314"/>
        <v>|n暴击+10%</v>
      </c>
      <c r="DU52" s="66" t="str">
        <f t="shared" si="315"/>
        <v/>
      </c>
      <c r="DV52" s="66" t="str">
        <f t="shared" si="316"/>
        <v/>
      </c>
      <c r="DW52" s="66" t="str">
        <f t="shared" si="317"/>
        <v/>
      </c>
      <c r="DX52" s="66" t="str">
        <f t="shared" si="318"/>
        <v/>
      </c>
      <c r="DY52" s="66" t="str">
        <f t="shared" si="319"/>
        <v/>
      </c>
      <c r="DZ52" s="66" t="str">
        <f t="shared" si="320"/>
        <v/>
      </c>
      <c r="EA52" s="66" t="str">
        <f t="shared" si="321"/>
        <v/>
      </c>
      <c r="EB52" s="66" t="str">
        <f t="shared" si="322"/>
        <v/>
      </c>
      <c r="EC52" s="66" t="str">
        <f t="shared" si="323"/>
        <v/>
      </c>
      <c r="ED52" s="66" t="str">
        <f t="shared" si="324"/>
        <v/>
      </c>
      <c r="EE52" s="66" t="str">
        <f t="shared" si="325"/>
        <v/>
      </c>
      <c r="EF52" s="66" t="str">
        <f t="shared" si="326"/>
        <v/>
      </c>
      <c r="EG52" s="66" t="str">
        <f t="shared" si="327"/>
        <v/>
      </c>
      <c r="EH52" s="66" t="str">
        <f t="shared" si="328"/>
        <v/>
      </c>
      <c r="EI52" s="66" t="str">
        <f t="shared" si="329"/>
        <v/>
      </c>
      <c r="EJ52" s="66" t="str">
        <f t="shared" si="330"/>
        <v/>
      </c>
      <c r="EK52" s="66" t="str">
        <f t="shared" si="331"/>
        <v/>
      </c>
      <c r="EL52" s="66" t="str">
        <f t="shared" si="332"/>
        <v/>
      </c>
      <c r="EM52" s="66" t="str">
        <f t="shared" si="333"/>
        <v/>
      </c>
      <c r="EN52" s="66" t="str">
        <f t="shared" si="334"/>
        <v/>
      </c>
      <c r="EO52" s="66" t="str">
        <f t="shared" si="335"/>
        <v/>
      </c>
      <c r="EP52" s="66" t="str">
        <f t="shared" si="336"/>
        <v/>
      </c>
      <c r="EQ52" s="66" t="str">
        <f t="shared" si="337"/>
        <v/>
      </c>
      <c r="ER52" s="66" t="str">
        <f t="shared" si="338"/>
        <v/>
      </c>
      <c r="ES52" s="66" t="str">
        <f t="shared" si="339"/>
        <v/>
      </c>
      <c r="ET52" s="66" t="str">
        <f t="shared" si="340"/>
        <v/>
      </c>
      <c r="EU52" s="66" t="str">
        <f t="shared" si="341"/>
        <v/>
      </c>
      <c r="EV52" s="66" t="str">
        <f t="shared" si="342"/>
        <v/>
      </c>
      <c r="EW52" s="66" t="str">
        <f t="shared" si="343"/>
        <v>|n每秒业力+25</v>
      </c>
      <c r="EX52" s="66" t="str">
        <f t="shared" si="344"/>
        <v/>
      </c>
      <c r="EY52" s="66" t="str">
        <f t="shared" si="345"/>
        <v/>
      </c>
      <c r="EZ52" s="66" t="str">
        <f t="shared" si="346"/>
        <v/>
      </c>
      <c r="FA52" s="66" t="str">
        <f t="shared" si="347"/>
        <v/>
      </c>
      <c r="FB52" s="66" t="str">
        <f t="shared" si="348"/>
        <v/>
      </c>
      <c r="FC52" s="66" t="str">
        <f t="shared" si="349"/>
        <v/>
      </c>
      <c r="FD52" s="66" t="str">
        <f t="shared" si="350"/>
        <v/>
      </c>
      <c r="FE52" s="66" t="str">
        <f t="shared" si="351"/>
        <v/>
      </c>
      <c r="FF52" s="66" t="str">
        <f t="shared" si="352"/>
        <v/>
      </c>
      <c r="FG52" s="66" t="str">
        <f t="shared" si="353"/>
        <v/>
      </c>
      <c r="FH52" s="66" t="str">
        <f t="shared" si="354"/>
        <v/>
      </c>
      <c r="FI52" s="66" t="str">
        <f t="shared" si="355"/>
        <v/>
      </c>
      <c r="FJ52" s="66" t="str">
        <f t="shared" si="356"/>
        <v/>
      </c>
      <c r="FK52" s="66" t="str">
        <f t="shared" si="357"/>
        <v/>
      </c>
      <c r="FL52" s="66" t="str">
        <f t="shared" si="358"/>
        <v/>
      </c>
      <c r="FM52" s="66" t="str">
        <f t="shared" si="359"/>
        <v/>
      </c>
      <c r="FN52" s="66" t="str">
        <f t="shared" si="360"/>
        <v/>
      </c>
      <c r="FO52" s="66" t="str">
        <f t="shared" si="361"/>
        <v/>
      </c>
      <c r="FP52" s="66" t="str">
        <f t="shared" si="362"/>
        <v/>
      </c>
      <c r="FQ52" s="66" t="str">
        <f t="shared" si="363"/>
        <v/>
      </c>
      <c r="FR52" s="66" t="str">
        <f t="shared" si="364"/>
        <v/>
      </c>
      <c r="FS52" s="66" t="str">
        <f t="shared" si="365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/>
      <c r="Y53" s="78"/>
      <c r="Z53" s="78">
        <v>20000</v>
      </c>
      <c r="AA53" s="78"/>
      <c r="AB53" s="78">
        <v>500</v>
      </c>
      <c r="AC53" s="78"/>
      <c r="AD53" s="78"/>
      <c r="AE53" s="78"/>
      <c r="AF53" s="78"/>
      <c r="AG53" s="81"/>
      <c r="AH53" s="78"/>
      <c r="AI53" s="78"/>
      <c r="AJ53" s="78"/>
      <c r="AK53" s="78"/>
      <c r="AL53" s="81"/>
      <c r="AM53" s="78"/>
      <c r="AN53" s="78"/>
      <c r="AO53" s="78"/>
      <c r="AP53" s="83"/>
      <c r="AQ53" s="83"/>
      <c r="AR53" s="84"/>
      <c r="AS53" s="84"/>
      <c r="AT53" s="83"/>
      <c r="AU53" s="83"/>
      <c r="AV53" s="83"/>
      <c r="AW53" s="83"/>
      <c r="AX53" s="83"/>
      <c r="AY53" s="83"/>
      <c r="AZ53" s="83"/>
      <c r="BA53" s="83"/>
      <c r="BB53" s="83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3"/>
      <c r="CF53" s="83"/>
      <c r="CG53" s="83"/>
      <c r="CH53" s="83"/>
      <c r="CI53" s="83"/>
      <c r="CJ53" s="83"/>
      <c r="CK53" s="83"/>
      <c r="CL53" s="83"/>
      <c r="CM53" s="83"/>
      <c r="CN53" s="86" t="str">
        <f t="shared" si="291"/>
        <v>InitUnitState('E201',,,,,20000,,500,,,)</v>
      </c>
      <c r="CO53" s="86" t="str">
        <f t="shared" si="292"/>
        <v>InitUnitNormal('E201',,,,,,,,,,)</v>
      </c>
      <c r="CP53" s="86" t="str">
        <f t="shared" si="293"/>
        <v>InitUnitMagic('E201',,,,,,,,,,)</v>
      </c>
      <c r="CQ53" s="86" t="str">
        <f t="shared" si="294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|n生命值+20000|n生命回复+500|n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66" t="str">
        <f t="shared" ref="DB53:DB54" si="367">IF(V53="","","|n"&amp;DB$2&amp;"+"&amp;V53&amp;DB$1)</f>
        <v/>
      </c>
      <c r="DC53" s="66" t="str">
        <f t="shared" ref="DC53:DC54" si="368">IF(W53="","","|n"&amp;DC$2&amp;"+"&amp;W53&amp;DC$1)</f>
        <v/>
      </c>
      <c r="DD53" s="66" t="str">
        <f t="shared" ref="DD53:DD54" si="369">IF(X53="","","|n"&amp;DD$2&amp;"+"&amp;X53&amp;DD$1)</f>
        <v/>
      </c>
      <c r="DE53" s="66" t="str">
        <f t="shared" ref="DE53:DE54" si="370">IF(Y53="","","|n"&amp;DE$2&amp;"+"&amp;Y53&amp;DE$1)</f>
        <v/>
      </c>
      <c r="DF53" s="66" t="str">
        <f t="shared" ref="DF53:DF54" si="371">IF(Z53="","","|n"&amp;DF$2&amp;"+"&amp;Z53&amp;DF$1)</f>
        <v>|n生命值+20000</v>
      </c>
      <c r="DG53" s="66" t="str">
        <f t="shared" ref="DG53:DG54" si="372">IF(AA53="","","|n"&amp;DG$2&amp;"+"&amp;AA53&amp;DG$1)</f>
        <v/>
      </c>
      <c r="DH53" s="66" t="str">
        <f t="shared" ref="DH53:DH54" si="373">IF(AB53="","","|n"&amp;DH$2&amp;"+"&amp;AB53&amp;DH$1)</f>
        <v>|n生命回复+500</v>
      </c>
      <c r="DI53" s="66" t="str">
        <f t="shared" ref="DI53:DI54" si="374">IF(AC53="","","|n"&amp;DI$2&amp;"+"&amp;AC53&amp;DI$1)</f>
        <v/>
      </c>
      <c r="DJ53" s="66" t="str">
        <f t="shared" ref="DJ53:DJ54" si="375">IF(AD53="","","|n"&amp;DJ$2&amp;"+"&amp;AD53&amp;DJ$1)</f>
        <v/>
      </c>
      <c r="DK53" s="66" t="str">
        <f t="shared" ref="DK53:DK54" si="376">IF(AE53="","","|n"&amp;DK$2&amp;"+"&amp;AE53&amp;DK$1)</f>
        <v/>
      </c>
      <c r="DL53" s="66" t="str">
        <f t="shared" ref="DL53:DL54" si="377">IF(AF53="","","|n"&amp;DL$2&amp;"+"&amp;AF53&amp;DL$1)</f>
        <v/>
      </c>
      <c r="DM53" s="66" t="str">
        <f t="shared" ref="DM53:DM54" si="378">IF(AG53="","","|n"&amp;DM$2&amp;"+"&amp;AG53&amp;DM$1)</f>
        <v/>
      </c>
      <c r="DN53" s="66" t="str">
        <f t="shared" ref="DN53:DN54" si="379">IF(AH53="","","|n"&amp;DN$2&amp;"+"&amp;AH53&amp;DN$1)</f>
        <v/>
      </c>
      <c r="DO53" s="66" t="str">
        <f t="shared" ref="DO53:DO54" si="380">IF(AI53="","","|n"&amp;DO$2&amp;"+"&amp;AI53&amp;DO$1)</f>
        <v/>
      </c>
      <c r="DP53" s="66" t="str">
        <f t="shared" ref="DP53:DP54" si="381">IF(AJ53="","","|n"&amp;DP$2&amp;"+"&amp;AJ53&amp;DP$1)</f>
        <v/>
      </c>
      <c r="DQ53" s="66" t="str">
        <f t="shared" ref="DQ53:DQ54" si="382">IF(AK53="","","|n"&amp;DQ$2&amp;"+"&amp;AK53&amp;DQ$1)</f>
        <v/>
      </c>
      <c r="DR53" s="66" t="str">
        <f t="shared" ref="DR53:DR54" si="383">IF(AL53="","","|n"&amp;DR$2&amp;"+"&amp;AL53&amp;DR$1)</f>
        <v/>
      </c>
      <c r="DS53" s="66" t="str">
        <f t="shared" ref="DS53:DS54" si="384">IF(AM53="","","|n"&amp;DS$2&amp;"+"&amp;AM53&amp;DS$1)</f>
        <v/>
      </c>
      <c r="DT53" s="66" t="str">
        <f t="shared" ref="DT53:DT54" si="385">IF(AN53="","","|n"&amp;DT$2&amp;"+"&amp;AN53&amp;DT$1)</f>
        <v/>
      </c>
      <c r="DU53" s="66" t="str">
        <f t="shared" ref="DU53:DU54" si="386">IF(AO53="","","|n"&amp;DU$2&amp;"+"&amp;AO53&amp;DU$1)</f>
        <v/>
      </c>
      <c r="DV53" s="66" t="str">
        <f t="shared" ref="DV53:DV54" si="387">IF(AP53="","","|n"&amp;DV$2&amp;"+"&amp;AP53&amp;DV$1)</f>
        <v/>
      </c>
      <c r="DW53" s="66" t="str">
        <f t="shared" ref="DW53:DW54" si="388">IF(AQ53="","","|n"&amp;DW$2&amp;"+"&amp;AQ53&amp;DW$1)</f>
        <v/>
      </c>
      <c r="DX53" s="66" t="str">
        <f t="shared" ref="DX53:DX54" si="389">IF(AR53="","","|n"&amp;DX$2&amp;"+"&amp;AR53&amp;DX$1)</f>
        <v/>
      </c>
      <c r="DY53" s="66" t="str">
        <f t="shared" ref="DY53:DY54" si="390">IF(AS53="","","|n"&amp;DY$2&amp;"+"&amp;AS53&amp;DY$1)</f>
        <v/>
      </c>
      <c r="DZ53" s="66" t="str">
        <f t="shared" ref="DZ53:DZ54" si="391">IF(AT53="","","|n"&amp;DZ$2&amp;"+"&amp;AT53&amp;DZ$1)</f>
        <v/>
      </c>
      <c r="EA53" s="66" t="str">
        <f t="shared" ref="EA53:EA54" si="392">IF(AU53="","","|n"&amp;EA$2&amp;"+"&amp;AU53&amp;EA$1)</f>
        <v/>
      </c>
      <c r="EB53" s="66" t="str">
        <f t="shared" ref="EB53:EB54" si="393">IF(AV53="","","|n"&amp;EB$2&amp;"+"&amp;AV53&amp;EB$1)</f>
        <v/>
      </c>
      <c r="EC53" s="66" t="str">
        <f t="shared" ref="EC53:EC54" si="394">IF(AW53="","","|n"&amp;EC$2&amp;"+"&amp;AW53&amp;EC$1)</f>
        <v/>
      </c>
      <c r="ED53" s="66" t="str">
        <f t="shared" ref="ED53:ED54" si="395">IF(AX53="","","|n"&amp;ED$2&amp;"+"&amp;AX53&amp;ED$1)</f>
        <v/>
      </c>
      <c r="EE53" s="66" t="str">
        <f t="shared" ref="EE53:EE54" si="396">IF(AY53="","","|n"&amp;EE$2&amp;"+"&amp;AY53&amp;EE$1)</f>
        <v/>
      </c>
      <c r="EF53" s="66" t="str">
        <f t="shared" ref="EF53:EF54" si="397">IF(AZ53="","","|n"&amp;EF$2&amp;"+"&amp;AZ53&amp;EF$1)</f>
        <v/>
      </c>
      <c r="EG53" s="66" t="str">
        <f t="shared" ref="EG53:EG54" si="398">IF(BA53="","","|n"&amp;EG$2&amp;"+"&amp;BA53&amp;EG$1)</f>
        <v/>
      </c>
      <c r="EH53" s="66" t="str">
        <f t="shared" ref="EH53:EH54" si="399">IF(BB53="","","|n"&amp;EH$2&amp;"+"&amp;BB53&amp;EH$1)</f>
        <v/>
      </c>
      <c r="EI53" s="66" t="str">
        <f t="shared" ref="EI53:EI54" si="400">IF(BC53="","","|n"&amp;EI$2&amp;"+"&amp;BC53&amp;EI$1)</f>
        <v/>
      </c>
      <c r="EJ53" s="66" t="str">
        <f t="shared" ref="EJ53:EJ54" si="401">IF(BD53="","","|n"&amp;EJ$2&amp;"+"&amp;BD53&amp;EJ$1)</f>
        <v/>
      </c>
      <c r="EK53" s="66" t="str">
        <f t="shared" ref="EK53:EK54" si="402">IF(BE53="","","|n"&amp;EK$2&amp;"+"&amp;BE53&amp;EK$1)</f>
        <v/>
      </c>
      <c r="EL53" s="66" t="str">
        <f t="shared" ref="EL53:EL54" si="403">IF(BF53="","","|n"&amp;EL$2&amp;"+"&amp;BF53&amp;EL$1)</f>
        <v/>
      </c>
      <c r="EM53" s="66" t="str">
        <f t="shared" ref="EM53:EM54" si="404">IF(BG53="","","|n"&amp;EM$2&amp;"+"&amp;BG53&amp;EM$1)</f>
        <v/>
      </c>
      <c r="EN53" s="66" t="str">
        <f t="shared" ref="EN53:EN54" si="405">IF(BH53="","","|n"&amp;EN$2&amp;"+"&amp;BH53&amp;EN$1)</f>
        <v/>
      </c>
      <c r="EO53" s="66" t="str">
        <f t="shared" ref="EO53:EO54" si="406">IF(BI53="","","|n"&amp;EO$2&amp;"+"&amp;BI53&amp;EO$1)</f>
        <v/>
      </c>
      <c r="EP53" s="66" t="str">
        <f t="shared" ref="EP53:EP54" si="407">IF(BJ53="","","|n"&amp;EP$2&amp;"+"&amp;BJ53&amp;EP$1)</f>
        <v/>
      </c>
      <c r="EQ53" s="66" t="str">
        <f t="shared" ref="EQ53:EQ54" si="408">IF(BK53="","","|n"&amp;EQ$2&amp;"+"&amp;BK53&amp;EQ$1)</f>
        <v/>
      </c>
      <c r="ER53" s="66" t="str">
        <f t="shared" ref="ER53:ER54" si="409">IF(BL53="","","|n"&amp;ER$2&amp;"+"&amp;BL53&amp;ER$1)</f>
        <v/>
      </c>
      <c r="ES53" s="66" t="str">
        <f t="shared" ref="ES53:ES54" si="410">IF(BM53="","","|n"&amp;ES$2&amp;"+"&amp;BM53&amp;ES$1)</f>
        <v/>
      </c>
      <c r="ET53" s="66" t="str">
        <f t="shared" ref="ET53:ET54" si="411">IF(BN53="","","|n"&amp;ET$2&amp;"+"&amp;BN53&amp;ET$1)</f>
        <v/>
      </c>
      <c r="EU53" s="66" t="str">
        <f t="shared" ref="EU53:EU54" si="412">IF(BO53="","","|n"&amp;EU$2&amp;"+"&amp;BO53&amp;EU$1)</f>
        <v/>
      </c>
      <c r="EV53" s="66" t="str">
        <f t="shared" ref="EV53:EV54" si="413">IF(BP53="","","|n"&amp;EV$2&amp;"+"&amp;BP53&amp;EV$1)</f>
        <v/>
      </c>
      <c r="EW53" s="66" t="str">
        <f t="shared" ref="EW53:EW54" si="414">IF(BQ53="","","|n"&amp;EW$2&amp;"+"&amp;BQ53&amp;EW$1)</f>
        <v/>
      </c>
      <c r="EX53" s="66" t="str">
        <f t="shared" ref="EX53:EX54" si="415">IF(BR53="","","|n"&amp;EX$2&amp;"+"&amp;BR53&amp;EX$1)</f>
        <v/>
      </c>
      <c r="EY53" s="66" t="str">
        <f t="shared" ref="EY53:EY54" si="416">IF(BS53="","","|n"&amp;EY$2&amp;"+"&amp;BS53&amp;EY$1)</f>
        <v/>
      </c>
      <c r="EZ53" s="66" t="str">
        <f t="shared" ref="EZ53:EZ54" si="417">IF(BT53="","","|n"&amp;EZ$2&amp;"+"&amp;BT53&amp;EZ$1)</f>
        <v/>
      </c>
      <c r="FA53" s="66" t="str">
        <f t="shared" ref="FA53:FA54" si="418">IF(BU53="","","|n"&amp;FA$2&amp;"+"&amp;BU53&amp;FA$1)</f>
        <v/>
      </c>
      <c r="FB53" s="66" t="str">
        <f t="shared" ref="FB53:FB54" si="419">IF(BV53="","","|n"&amp;FB$2&amp;"+"&amp;BV53&amp;FB$1)</f>
        <v/>
      </c>
      <c r="FC53" s="66" t="str">
        <f t="shared" ref="FC53:FC54" si="420">IF(BW53="","","|n"&amp;FC$2&amp;"+"&amp;BW53&amp;FC$1)</f>
        <v/>
      </c>
      <c r="FD53" s="66" t="str">
        <f t="shared" ref="FD53:FD54" si="421">IF(BX53="","","|n"&amp;FD$2&amp;"+"&amp;BX53&amp;FD$1)</f>
        <v/>
      </c>
      <c r="FE53" s="66" t="str">
        <f t="shared" ref="FE53:FE54" si="422">IF(BY53="","","|n"&amp;FE$2&amp;"+"&amp;BY53&amp;FE$1)</f>
        <v/>
      </c>
      <c r="FF53" s="66" t="str">
        <f t="shared" ref="FF53:FF54" si="423">IF(BZ53="","","|n"&amp;FF$2&amp;"+"&amp;BZ53&amp;FF$1)</f>
        <v/>
      </c>
      <c r="FG53" s="66" t="str">
        <f t="shared" ref="FG53:FG54" si="424">IF(CA53="","","|n"&amp;FG$2&amp;"+"&amp;CA53&amp;FG$1)</f>
        <v/>
      </c>
      <c r="FH53" s="66" t="str">
        <f t="shared" ref="FH53:FH54" si="425">IF(CB53="","","|n"&amp;FH$2&amp;"+"&amp;CB53&amp;FH$1)</f>
        <v/>
      </c>
      <c r="FI53" s="66" t="str">
        <f t="shared" ref="FI53:FI54" si="426">IF(CC53="","","|n"&amp;FI$2&amp;"+"&amp;CC53&amp;FI$1)</f>
        <v/>
      </c>
      <c r="FJ53" s="66" t="str">
        <f t="shared" ref="FJ53:FJ54" si="427">IF(CD53="","","|n"&amp;FJ$2&amp;"+"&amp;CD53&amp;FJ$1)</f>
        <v/>
      </c>
      <c r="FK53" s="66" t="str">
        <f t="shared" ref="FK53:FK54" si="428">IF(CE53="","","|n"&amp;FK$2&amp;"+"&amp;CE53&amp;FK$1)</f>
        <v/>
      </c>
      <c r="FL53" s="66" t="str">
        <f t="shared" ref="FL53:FL54" si="429">IF(CF53="","","|n"&amp;FL$2&amp;"+"&amp;CF53&amp;FL$1)</f>
        <v/>
      </c>
      <c r="FM53" s="66" t="str">
        <f t="shared" ref="FM53:FM54" si="430">IF(CG53="","","|n"&amp;FM$2&amp;"+"&amp;CG53&amp;FM$1)</f>
        <v/>
      </c>
      <c r="FN53" s="66" t="str">
        <f t="shared" ref="FN53:FN54" si="431">IF(CH53="","","|n"&amp;FN$2&amp;"+"&amp;CH53&amp;FN$1)</f>
        <v/>
      </c>
      <c r="FO53" s="66" t="str">
        <f t="shared" ref="FO53:FO54" si="432">IF(CI53="","","|n"&amp;FO$2&amp;"+"&amp;CI53&amp;FO$1)</f>
        <v/>
      </c>
      <c r="FP53" s="66" t="str">
        <f t="shared" ref="FP53:FP54" si="433">IF(CJ53="","","|n"&amp;FP$2&amp;"+"&amp;CJ53&amp;FP$1)</f>
        <v/>
      </c>
      <c r="FQ53" s="66" t="str">
        <f t="shared" ref="FQ53:FQ54" si="434">IF(CK53="","","|n"&amp;FQ$2&amp;"+"&amp;CK53&amp;FQ$1)</f>
        <v/>
      </c>
      <c r="FR53" s="66" t="str">
        <f t="shared" ref="FR53:FR54" si="435">IF(CL53="","","|n"&amp;FR$2&amp;"+"&amp;CL53&amp;FR$1)</f>
        <v/>
      </c>
      <c r="FS53" s="66" t="str">
        <f t="shared" ref="FS53:FS54" si="436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37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/>
      <c r="Y54" s="78"/>
      <c r="Z54" s="78">
        <v>40000</v>
      </c>
      <c r="AA54" s="78"/>
      <c r="AB54" s="78">
        <v>1000</v>
      </c>
      <c r="AC54" s="78"/>
      <c r="AD54" s="78"/>
      <c r="AE54" s="78"/>
      <c r="AF54" s="78"/>
      <c r="AG54" s="81"/>
      <c r="AH54" s="78"/>
      <c r="AI54" s="78"/>
      <c r="AJ54" s="78"/>
      <c r="AK54" s="78"/>
      <c r="AL54" s="81"/>
      <c r="AM54" s="78"/>
      <c r="AN54" s="78"/>
      <c r="AO54" s="78"/>
      <c r="AP54" s="83"/>
      <c r="AQ54" s="83"/>
      <c r="AR54" s="84"/>
      <c r="AS54" s="84"/>
      <c r="AT54" s="83"/>
      <c r="AU54" s="83"/>
      <c r="AV54" s="83"/>
      <c r="AW54" s="83"/>
      <c r="AX54" s="83"/>
      <c r="AY54" s="83"/>
      <c r="AZ54" s="83"/>
      <c r="BA54" s="83"/>
      <c r="BB54" s="8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3"/>
      <c r="CF54" s="83"/>
      <c r="CG54" s="83"/>
      <c r="CH54" s="83"/>
      <c r="CI54" s="83"/>
      <c r="CJ54" s="83"/>
      <c r="CK54" s="83"/>
      <c r="CL54" s="83"/>
      <c r="CM54" s="83"/>
      <c r="CN54" s="86" t="str">
        <f t="shared" si="291"/>
        <v>InitUnitState('E202',,,,,40000,,1000,,,)</v>
      </c>
      <c r="CO54" s="86" t="str">
        <f t="shared" si="292"/>
        <v>InitUnitNormal('E202',,,,,,,,,,)</v>
      </c>
      <c r="CP54" s="86" t="str">
        <f t="shared" si="293"/>
        <v>InitUnitMagic('E202',,,,,,,,,,)</v>
      </c>
      <c r="CQ54" s="86" t="str">
        <f t="shared" si="294"/>
        <v>InitUnitAdd('E202',,,,,,,,,,)</v>
      </c>
      <c r="CR54" s="8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|n生命值+40000|n生命回复+1000|n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66" t="str">
        <f t="shared" si="367"/>
        <v/>
      </c>
      <c r="DC54" s="66" t="str">
        <f t="shared" si="368"/>
        <v/>
      </c>
      <c r="DD54" s="66" t="str">
        <f t="shared" si="369"/>
        <v/>
      </c>
      <c r="DE54" s="66" t="str">
        <f t="shared" si="370"/>
        <v/>
      </c>
      <c r="DF54" s="66" t="str">
        <f t="shared" si="371"/>
        <v>|n生命值+40000</v>
      </c>
      <c r="DG54" s="66" t="str">
        <f t="shared" si="372"/>
        <v/>
      </c>
      <c r="DH54" s="66" t="str">
        <f t="shared" si="373"/>
        <v>|n生命回复+1000</v>
      </c>
      <c r="DI54" s="66" t="str">
        <f t="shared" si="374"/>
        <v/>
      </c>
      <c r="DJ54" s="66" t="str">
        <f t="shared" si="375"/>
        <v/>
      </c>
      <c r="DK54" s="66" t="str">
        <f t="shared" si="376"/>
        <v/>
      </c>
      <c r="DL54" s="66" t="str">
        <f t="shared" si="377"/>
        <v/>
      </c>
      <c r="DM54" s="66" t="str">
        <f t="shared" si="378"/>
        <v/>
      </c>
      <c r="DN54" s="66" t="str">
        <f t="shared" si="379"/>
        <v/>
      </c>
      <c r="DO54" s="66" t="str">
        <f t="shared" si="380"/>
        <v/>
      </c>
      <c r="DP54" s="66" t="str">
        <f t="shared" si="381"/>
        <v/>
      </c>
      <c r="DQ54" s="66" t="str">
        <f t="shared" si="382"/>
        <v/>
      </c>
      <c r="DR54" s="66" t="str">
        <f t="shared" si="383"/>
        <v/>
      </c>
      <c r="DS54" s="66" t="str">
        <f t="shared" si="384"/>
        <v/>
      </c>
      <c r="DT54" s="66" t="str">
        <f t="shared" si="385"/>
        <v/>
      </c>
      <c r="DU54" s="66" t="str">
        <f t="shared" si="386"/>
        <v/>
      </c>
      <c r="DV54" s="66" t="str">
        <f t="shared" si="387"/>
        <v/>
      </c>
      <c r="DW54" s="66" t="str">
        <f t="shared" si="388"/>
        <v/>
      </c>
      <c r="DX54" s="66" t="str">
        <f t="shared" si="389"/>
        <v/>
      </c>
      <c r="DY54" s="66" t="str">
        <f t="shared" si="390"/>
        <v/>
      </c>
      <c r="DZ54" s="66" t="str">
        <f t="shared" si="391"/>
        <v/>
      </c>
      <c r="EA54" s="66" t="str">
        <f t="shared" si="392"/>
        <v/>
      </c>
      <c r="EB54" s="66" t="str">
        <f t="shared" si="393"/>
        <v/>
      </c>
      <c r="EC54" s="66" t="str">
        <f t="shared" si="394"/>
        <v/>
      </c>
      <c r="ED54" s="66" t="str">
        <f t="shared" si="395"/>
        <v/>
      </c>
      <c r="EE54" s="66" t="str">
        <f t="shared" si="396"/>
        <v/>
      </c>
      <c r="EF54" s="66" t="str">
        <f t="shared" si="397"/>
        <v/>
      </c>
      <c r="EG54" s="66" t="str">
        <f t="shared" si="398"/>
        <v/>
      </c>
      <c r="EH54" s="66" t="str">
        <f t="shared" si="399"/>
        <v/>
      </c>
      <c r="EI54" s="66" t="str">
        <f t="shared" si="400"/>
        <v/>
      </c>
      <c r="EJ54" s="66" t="str">
        <f t="shared" si="401"/>
        <v/>
      </c>
      <c r="EK54" s="66" t="str">
        <f t="shared" si="402"/>
        <v/>
      </c>
      <c r="EL54" s="66" t="str">
        <f t="shared" si="403"/>
        <v/>
      </c>
      <c r="EM54" s="66" t="str">
        <f t="shared" si="404"/>
        <v/>
      </c>
      <c r="EN54" s="66" t="str">
        <f t="shared" si="405"/>
        <v/>
      </c>
      <c r="EO54" s="66" t="str">
        <f t="shared" si="406"/>
        <v/>
      </c>
      <c r="EP54" s="66" t="str">
        <f t="shared" si="407"/>
        <v/>
      </c>
      <c r="EQ54" s="66" t="str">
        <f t="shared" si="408"/>
        <v/>
      </c>
      <c r="ER54" s="66" t="str">
        <f t="shared" si="409"/>
        <v/>
      </c>
      <c r="ES54" s="66" t="str">
        <f t="shared" si="410"/>
        <v/>
      </c>
      <c r="ET54" s="66" t="str">
        <f t="shared" si="411"/>
        <v/>
      </c>
      <c r="EU54" s="66" t="str">
        <f t="shared" si="412"/>
        <v/>
      </c>
      <c r="EV54" s="66" t="str">
        <f t="shared" si="413"/>
        <v/>
      </c>
      <c r="EW54" s="66" t="str">
        <f t="shared" si="414"/>
        <v/>
      </c>
      <c r="EX54" s="66" t="str">
        <f t="shared" si="415"/>
        <v/>
      </c>
      <c r="EY54" s="66" t="str">
        <f t="shared" si="416"/>
        <v/>
      </c>
      <c r="EZ54" s="66" t="str">
        <f t="shared" si="417"/>
        <v/>
      </c>
      <c r="FA54" s="66" t="str">
        <f t="shared" si="418"/>
        <v/>
      </c>
      <c r="FB54" s="66" t="str">
        <f t="shared" si="419"/>
        <v/>
      </c>
      <c r="FC54" s="66" t="str">
        <f t="shared" si="420"/>
        <v/>
      </c>
      <c r="FD54" s="66" t="str">
        <f t="shared" si="421"/>
        <v/>
      </c>
      <c r="FE54" s="66" t="str">
        <f t="shared" si="422"/>
        <v/>
      </c>
      <c r="FF54" s="66" t="str">
        <f t="shared" si="423"/>
        <v/>
      </c>
      <c r="FG54" s="66" t="str">
        <f t="shared" si="424"/>
        <v/>
      </c>
      <c r="FH54" s="66" t="str">
        <f t="shared" si="425"/>
        <v/>
      </c>
      <c r="FI54" s="66" t="str">
        <f t="shared" si="426"/>
        <v/>
      </c>
      <c r="FJ54" s="66" t="str">
        <f t="shared" si="427"/>
        <v/>
      </c>
      <c r="FK54" s="66" t="str">
        <f t="shared" si="428"/>
        <v/>
      </c>
      <c r="FL54" s="66" t="str">
        <f t="shared" si="429"/>
        <v/>
      </c>
      <c r="FM54" s="66" t="str">
        <f t="shared" si="430"/>
        <v/>
      </c>
      <c r="FN54" s="66" t="str">
        <f t="shared" si="431"/>
        <v/>
      </c>
      <c r="FO54" s="66" t="str">
        <f t="shared" si="432"/>
        <v/>
      </c>
      <c r="FP54" s="66" t="str">
        <f t="shared" si="433"/>
        <v/>
      </c>
      <c r="FQ54" s="66" t="str">
        <f t="shared" si="434"/>
        <v/>
      </c>
      <c r="FR54" s="66" t="str">
        <f t="shared" si="435"/>
        <v/>
      </c>
      <c r="FS54" s="66" t="str">
        <f t="shared" si="436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37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/>
      <c r="Y55" s="78"/>
      <c r="Z55" s="78">
        <v>60000</v>
      </c>
      <c r="AA55" s="78"/>
      <c r="AB55" s="78">
        <v>1500</v>
      </c>
      <c r="AC55" s="78"/>
      <c r="AD55" s="78"/>
      <c r="AE55" s="78"/>
      <c r="AF55" s="78"/>
      <c r="AG55" s="81"/>
      <c r="AH55" s="78"/>
      <c r="AI55" s="78"/>
      <c r="AJ55" s="78"/>
      <c r="AK55" s="78"/>
      <c r="AL55" s="81"/>
      <c r="AM55" s="78"/>
      <c r="AN55" s="78"/>
      <c r="AO55" s="78"/>
      <c r="AP55" s="83"/>
      <c r="AQ55" s="83"/>
      <c r="AR55" s="84"/>
      <c r="AS55" s="84"/>
      <c r="AT55" s="83"/>
      <c r="AU55" s="83"/>
      <c r="AV55" s="83"/>
      <c r="AW55" s="83"/>
      <c r="AX55" s="83"/>
      <c r="AY55" s="83"/>
      <c r="AZ55" s="83"/>
      <c r="BA55" s="83"/>
      <c r="BB55" s="8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3"/>
      <c r="CF55" s="83"/>
      <c r="CG55" s="83"/>
      <c r="CH55" s="83"/>
      <c r="CI55" s="83"/>
      <c r="CJ55" s="83"/>
      <c r="CK55" s="83"/>
      <c r="CL55" s="83"/>
      <c r="CM55" s="83"/>
      <c r="CN55" s="86" t="str">
        <f t="shared" si="291"/>
        <v>InitUnitState('E203',,,,,60000,,1500,,,)</v>
      </c>
      <c r="CO55" s="86" t="str">
        <f t="shared" si="292"/>
        <v>InitUnitNormal('E203',,,,,,,,,,)</v>
      </c>
      <c r="CP55" s="86" t="str">
        <f t="shared" si="293"/>
        <v>InitUnitMagic('E203',,,,,,,,,,)</v>
      </c>
      <c r="CQ55" s="86" t="str">
        <f t="shared" si="294"/>
        <v>InitUnitAdd('E203',,,,,,,,,,)</v>
      </c>
      <c r="CR55" s="86" t="str">
        <f t="shared" si="438"/>
        <v>InitEquipData('E203',,"",,E204,800,100,'','','','','','',"ReplaceableTextures\\CommandButtons\\BTNZ13.blp")</v>
      </c>
      <c r="CS55" s="86"/>
      <c r="CT55" s="86"/>
      <c r="CU55" s="88" t="str">
        <f t="shared" si="78"/>
        <v>|n生命值+60000|n生命回复+1500|n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66" t="str">
        <f t="shared" ref="DB55:DB56" si="439">IF(V55="","","|n"&amp;DB$2&amp;"+"&amp;V55&amp;DB$1)</f>
        <v/>
      </c>
      <c r="DC55" s="66" t="str">
        <f t="shared" ref="DC55:DC56" si="440">IF(W55="","","|n"&amp;DC$2&amp;"+"&amp;W55&amp;DC$1)</f>
        <v/>
      </c>
      <c r="DD55" s="66" t="str">
        <f t="shared" ref="DD55:DD56" si="441">IF(X55="","","|n"&amp;DD$2&amp;"+"&amp;X55&amp;DD$1)</f>
        <v/>
      </c>
      <c r="DE55" s="66" t="str">
        <f t="shared" ref="DE55:DE56" si="442">IF(Y55="","","|n"&amp;DE$2&amp;"+"&amp;Y55&amp;DE$1)</f>
        <v/>
      </c>
      <c r="DF55" s="66" t="str">
        <f t="shared" ref="DF55:DF56" si="443">IF(Z55="","","|n"&amp;DF$2&amp;"+"&amp;Z55&amp;DF$1)</f>
        <v>|n生命值+60000</v>
      </c>
      <c r="DG55" s="66" t="str">
        <f t="shared" ref="DG55:DG56" si="444">IF(AA55="","","|n"&amp;DG$2&amp;"+"&amp;AA55&amp;DG$1)</f>
        <v/>
      </c>
      <c r="DH55" s="66" t="str">
        <f t="shared" ref="DH55:DH56" si="445">IF(AB55="","","|n"&amp;DH$2&amp;"+"&amp;AB55&amp;DH$1)</f>
        <v>|n生命回复+1500</v>
      </c>
      <c r="DI55" s="66" t="str">
        <f t="shared" ref="DI55:DI56" si="446">IF(AC55="","","|n"&amp;DI$2&amp;"+"&amp;AC55&amp;DI$1)</f>
        <v/>
      </c>
      <c r="DJ55" s="66" t="str">
        <f t="shared" ref="DJ55:DJ56" si="447">IF(AD55="","","|n"&amp;DJ$2&amp;"+"&amp;AD55&amp;DJ$1)</f>
        <v/>
      </c>
      <c r="DK55" s="66" t="str">
        <f t="shared" ref="DK55:DK56" si="448">IF(AE55="","","|n"&amp;DK$2&amp;"+"&amp;AE55&amp;DK$1)</f>
        <v/>
      </c>
      <c r="DL55" s="66" t="str">
        <f t="shared" ref="DL55:DL56" si="449">IF(AF55="","","|n"&amp;DL$2&amp;"+"&amp;AF55&amp;DL$1)</f>
        <v/>
      </c>
      <c r="DM55" s="66" t="str">
        <f t="shared" ref="DM55:DM56" si="450">IF(AG55="","","|n"&amp;DM$2&amp;"+"&amp;AG55&amp;DM$1)</f>
        <v/>
      </c>
      <c r="DN55" s="66" t="str">
        <f t="shared" ref="DN55:DN56" si="451">IF(AH55="","","|n"&amp;DN$2&amp;"+"&amp;AH55&amp;DN$1)</f>
        <v/>
      </c>
      <c r="DO55" s="66" t="str">
        <f t="shared" ref="DO55:DO56" si="452">IF(AI55="","","|n"&amp;DO$2&amp;"+"&amp;AI55&amp;DO$1)</f>
        <v/>
      </c>
      <c r="DP55" s="66" t="str">
        <f t="shared" ref="DP55:DP56" si="453">IF(AJ55="","","|n"&amp;DP$2&amp;"+"&amp;AJ55&amp;DP$1)</f>
        <v/>
      </c>
      <c r="DQ55" s="66" t="str">
        <f t="shared" ref="DQ55:DQ56" si="454">IF(AK55="","","|n"&amp;DQ$2&amp;"+"&amp;AK55&amp;DQ$1)</f>
        <v/>
      </c>
      <c r="DR55" s="66" t="str">
        <f t="shared" ref="DR55:DR56" si="455">IF(AL55="","","|n"&amp;DR$2&amp;"+"&amp;AL55&amp;DR$1)</f>
        <v/>
      </c>
      <c r="DS55" s="66" t="str">
        <f t="shared" ref="DS55:DS56" si="456">IF(AM55="","","|n"&amp;DS$2&amp;"+"&amp;AM55&amp;DS$1)</f>
        <v/>
      </c>
      <c r="DT55" s="66" t="str">
        <f t="shared" ref="DT55:DT56" si="457">IF(AN55="","","|n"&amp;DT$2&amp;"+"&amp;AN55&amp;DT$1)</f>
        <v/>
      </c>
      <c r="DU55" s="66" t="str">
        <f t="shared" ref="DU55:DU56" si="458">IF(AO55="","","|n"&amp;DU$2&amp;"+"&amp;AO55&amp;DU$1)</f>
        <v/>
      </c>
      <c r="DV55" s="66" t="str">
        <f t="shared" ref="DV55:DV56" si="459">IF(AP55="","","|n"&amp;DV$2&amp;"+"&amp;AP55&amp;DV$1)</f>
        <v/>
      </c>
      <c r="DW55" s="66" t="str">
        <f t="shared" ref="DW55:DW56" si="460">IF(AQ55="","","|n"&amp;DW$2&amp;"+"&amp;AQ55&amp;DW$1)</f>
        <v/>
      </c>
      <c r="DX55" s="66" t="str">
        <f t="shared" ref="DX55:DX56" si="461">IF(AR55="","","|n"&amp;DX$2&amp;"+"&amp;AR55&amp;DX$1)</f>
        <v/>
      </c>
      <c r="DY55" s="66" t="str">
        <f t="shared" ref="DY55:DY56" si="462">IF(AS55="","","|n"&amp;DY$2&amp;"+"&amp;AS55&amp;DY$1)</f>
        <v/>
      </c>
      <c r="DZ55" s="66" t="str">
        <f t="shared" ref="DZ55:DZ56" si="463">IF(AT55="","","|n"&amp;DZ$2&amp;"+"&amp;AT55&amp;DZ$1)</f>
        <v/>
      </c>
      <c r="EA55" s="66" t="str">
        <f t="shared" ref="EA55:EA56" si="464">IF(AU55="","","|n"&amp;EA$2&amp;"+"&amp;AU55&amp;EA$1)</f>
        <v/>
      </c>
      <c r="EB55" s="66" t="str">
        <f t="shared" ref="EB55:EB56" si="465">IF(AV55="","","|n"&amp;EB$2&amp;"+"&amp;AV55&amp;EB$1)</f>
        <v/>
      </c>
      <c r="EC55" s="66" t="str">
        <f t="shared" ref="EC55:EC56" si="466">IF(AW55="","","|n"&amp;EC$2&amp;"+"&amp;AW55&amp;EC$1)</f>
        <v/>
      </c>
      <c r="ED55" s="66" t="str">
        <f t="shared" ref="ED55:ED56" si="467">IF(AX55="","","|n"&amp;ED$2&amp;"+"&amp;AX55&amp;ED$1)</f>
        <v/>
      </c>
      <c r="EE55" s="66" t="str">
        <f t="shared" ref="EE55:EE56" si="468">IF(AY55="","","|n"&amp;EE$2&amp;"+"&amp;AY55&amp;EE$1)</f>
        <v/>
      </c>
      <c r="EF55" s="66" t="str">
        <f t="shared" ref="EF55:EF56" si="469">IF(AZ55="","","|n"&amp;EF$2&amp;"+"&amp;AZ55&amp;EF$1)</f>
        <v/>
      </c>
      <c r="EG55" s="66" t="str">
        <f t="shared" ref="EG55:EG56" si="470">IF(BA55="","","|n"&amp;EG$2&amp;"+"&amp;BA55&amp;EG$1)</f>
        <v/>
      </c>
      <c r="EH55" s="66" t="str">
        <f t="shared" ref="EH55:EH56" si="471">IF(BB55="","","|n"&amp;EH$2&amp;"+"&amp;BB55&amp;EH$1)</f>
        <v/>
      </c>
      <c r="EI55" s="66" t="str">
        <f t="shared" ref="EI55:EI56" si="472">IF(BC55="","","|n"&amp;EI$2&amp;"+"&amp;BC55&amp;EI$1)</f>
        <v/>
      </c>
      <c r="EJ55" s="66" t="str">
        <f t="shared" ref="EJ55:EJ56" si="473">IF(BD55="","","|n"&amp;EJ$2&amp;"+"&amp;BD55&amp;EJ$1)</f>
        <v/>
      </c>
      <c r="EK55" s="66" t="str">
        <f t="shared" ref="EK55:EK56" si="474">IF(BE55="","","|n"&amp;EK$2&amp;"+"&amp;BE55&amp;EK$1)</f>
        <v/>
      </c>
      <c r="EL55" s="66" t="str">
        <f t="shared" ref="EL55:EL56" si="475">IF(BF55="","","|n"&amp;EL$2&amp;"+"&amp;BF55&amp;EL$1)</f>
        <v/>
      </c>
      <c r="EM55" s="66" t="str">
        <f t="shared" ref="EM55:EM56" si="476">IF(BG55="","","|n"&amp;EM$2&amp;"+"&amp;BG55&amp;EM$1)</f>
        <v/>
      </c>
      <c r="EN55" s="66" t="str">
        <f t="shared" ref="EN55:EN56" si="477">IF(BH55="","","|n"&amp;EN$2&amp;"+"&amp;BH55&amp;EN$1)</f>
        <v/>
      </c>
      <c r="EO55" s="66" t="str">
        <f t="shared" ref="EO55:EO56" si="478">IF(BI55="","","|n"&amp;EO$2&amp;"+"&amp;BI55&amp;EO$1)</f>
        <v/>
      </c>
      <c r="EP55" s="66" t="str">
        <f t="shared" ref="EP55:EP56" si="479">IF(BJ55="","","|n"&amp;EP$2&amp;"+"&amp;BJ55&amp;EP$1)</f>
        <v/>
      </c>
      <c r="EQ55" s="66" t="str">
        <f t="shared" ref="EQ55:EQ56" si="480">IF(BK55="","","|n"&amp;EQ$2&amp;"+"&amp;BK55&amp;EQ$1)</f>
        <v/>
      </c>
      <c r="ER55" s="66" t="str">
        <f t="shared" ref="ER55:ER56" si="481">IF(BL55="","","|n"&amp;ER$2&amp;"+"&amp;BL55&amp;ER$1)</f>
        <v/>
      </c>
      <c r="ES55" s="66" t="str">
        <f t="shared" ref="ES55:ES56" si="482">IF(BM55="","","|n"&amp;ES$2&amp;"+"&amp;BM55&amp;ES$1)</f>
        <v/>
      </c>
      <c r="ET55" s="66" t="str">
        <f t="shared" ref="ET55:ET56" si="483">IF(BN55="","","|n"&amp;ET$2&amp;"+"&amp;BN55&amp;ET$1)</f>
        <v/>
      </c>
      <c r="EU55" s="66" t="str">
        <f t="shared" ref="EU55:EU56" si="484">IF(BO55="","","|n"&amp;EU$2&amp;"+"&amp;BO55&amp;EU$1)</f>
        <v/>
      </c>
      <c r="EV55" s="66" t="str">
        <f t="shared" ref="EV55:EV56" si="485">IF(BP55="","","|n"&amp;EV$2&amp;"+"&amp;BP55&amp;EV$1)</f>
        <v/>
      </c>
      <c r="EW55" s="66" t="str">
        <f t="shared" ref="EW55:EW56" si="486">IF(BQ55="","","|n"&amp;EW$2&amp;"+"&amp;BQ55&amp;EW$1)</f>
        <v/>
      </c>
      <c r="EX55" s="66" t="str">
        <f t="shared" ref="EX55:EX56" si="487">IF(BR55="","","|n"&amp;EX$2&amp;"+"&amp;BR55&amp;EX$1)</f>
        <v/>
      </c>
      <c r="EY55" s="66" t="str">
        <f t="shared" ref="EY55:EY56" si="488">IF(BS55="","","|n"&amp;EY$2&amp;"+"&amp;BS55&amp;EY$1)</f>
        <v/>
      </c>
      <c r="EZ55" s="66" t="str">
        <f t="shared" ref="EZ55:EZ56" si="489">IF(BT55="","","|n"&amp;EZ$2&amp;"+"&amp;BT55&amp;EZ$1)</f>
        <v/>
      </c>
      <c r="FA55" s="66" t="str">
        <f t="shared" ref="FA55:FA56" si="490">IF(BU55="","","|n"&amp;FA$2&amp;"+"&amp;BU55&amp;FA$1)</f>
        <v/>
      </c>
      <c r="FB55" s="66" t="str">
        <f t="shared" ref="FB55:FB56" si="491">IF(BV55="","","|n"&amp;FB$2&amp;"+"&amp;BV55&amp;FB$1)</f>
        <v/>
      </c>
      <c r="FC55" s="66" t="str">
        <f t="shared" ref="FC55:FC56" si="492">IF(BW55="","","|n"&amp;FC$2&amp;"+"&amp;BW55&amp;FC$1)</f>
        <v/>
      </c>
      <c r="FD55" s="66" t="str">
        <f t="shared" ref="FD55:FD56" si="493">IF(BX55="","","|n"&amp;FD$2&amp;"+"&amp;BX55&amp;FD$1)</f>
        <v/>
      </c>
      <c r="FE55" s="66" t="str">
        <f t="shared" ref="FE55:FE56" si="494">IF(BY55="","","|n"&amp;FE$2&amp;"+"&amp;BY55&amp;FE$1)</f>
        <v/>
      </c>
      <c r="FF55" s="66" t="str">
        <f t="shared" ref="FF55:FF56" si="495">IF(BZ55="","","|n"&amp;FF$2&amp;"+"&amp;BZ55&amp;FF$1)</f>
        <v/>
      </c>
      <c r="FG55" s="66" t="str">
        <f t="shared" ref="FG55:FG56" si="496">IF(CA55="","","|n"&amp;FG$2&amp;"+"&amp;CA55&amp;FG$1)</f>
        <v/>
      </c>
      <c r="FH55" s="66" t="str">
        <f t="shared" ref="FH55:FH56" si="497">IF(CB55="","","|n"&amp;FH$2&amp;"+"&amp;CB55&amp;FH$1)</f>
        <v/>
      </c>
      <c r="FI55" s="66" t="str">
        <f t="shared" ref="FI55:FI56" si="498">IF(CC55="","","|n"&amp;FI$2&amp;"+"&amp;CC55&amp;FI$1)</f>
        <v/>
      </c>
      <c r="FJ55" s="66" t="str">
        <f t="shared" ref="FJ55:FJ56" si="499">IF(CD55="","","|n"&amp;FJ$2&amp;"+"&amp;CD55&amp;FJ$1)</f>
        <v/>
      </c>
      <c r="FK55" s="66" t="str">
        <f t="shared" ref="FK55:FK56" si="500">IF(CE55="","","|n"&amp;FK$2&amp;"+"&amp;CE55&amp;FK$1)</f>
        <v/>
      </c>
      <c r="FL55" s="66" t="str">
        <f t="shared" ref="FL55:FL56" si="501">IF(CF55="","","|n"&amp;FL$2&amp;"+"&amp;CF55&amp;FL$1)</f>
        <v/>
      </c>
      <c r="FM55" s="66" t="str">
        <f t="shared" ref="FM55:FM56" si="502">IF(CG55="","","|n"&amp;FM$2&amp;"+"&amp;CG55&amp;FM$1)</f>
        <v/>
      </c>
      <c r="FN55" s="66" t="str">
        <f t="shared" ref="FN55:FN56" si="503">IF(CH55="","","|n"&amp;FN$2&amp;"+"&amp;CH55&amp;FN$1)</f>
        <v/>
      </c>
      <c r="FO55" s="66" t="str">
        <f t="shared" ref="FO55:FO56" si="504">IF(CI55="","","|n"&amp;FO$2&amp;"+"&amp;CI55&amp;FO$1)</f>
        <v/>
      </c>
      <c r="FP55" s="66" t="str">
        <f t="shared" ref="FP55:FP56" si="505">IF(CJ55="","","|n"&amp;FP$2&amp;"+"&amp;CJ55&amp;FP$1)</f>
        <v/>
      </c>
      <c r="FQ55" s="66" t="str">
        <f t="shared" ref="FQ55:FQ56" si="506">IF(CK55="","","|n"&amp;FQ$2&amp;"+"&amp;CK55&amp;FQ$1)</f>
        <v/>
      </c>
      <c r="FR55" s="66" t="str">
        <f t="shared" ref="FR55:FR56" si="507">IF(CL55="","","|n"&amp;FR$2&amp;"+"&amp;CL55&amp;FR$1)</f>
        <v/>
      </c>
      <c r="FS55" s="66" t="str">
        <f t="shared" ref="FS55:FS56" si="508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37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/>
      <c r="Y56" s="78"/>
      <c r="Z56" s="78">
        <v>80000</v>
      </c>
      <c r="AA56" s="78"/>
      <c r="AB56" s="78">
        <v>2000</v>
      </c>
      <c r="AC56" s="78"/>
      <c r="AD56" s="78"/>
      <c r="AE56" s="78"/>
      <c r="AF56" s="78"/>
      <c r="AG56" s="81"/>
      <c r="AH56" s="78"/>
      <c r="AI56" s="78"/>
      <c r="AJ56" s="78"/>
      <c r="AK56" s="78"/>
      <c r="AL56" s="81"/>
      <c r="AM56" s="78"/>
      <c r="AN56" s="78"/>
      <c r="AO56" s="78"/>
      <c r="AP56" s="83"/>
      <c r="AQ56" s="83"/>
      <c r="AR56" s="84"/>
      <c r="AS56" s="84"/>
      <c r="AT56" s="83"/>
      <c r="AU56" s="83"/>
      <c r="AV56" s="83"/>
      <c r="AW56" s="83"/>
      <c r="AX56" s="83"/>
      <c r="AY56" s="83"/>
      <c r="AZ56" s="83"/>
      <c r="BA56" s="83"/>
      <c r="BB56" s="8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3"/>
      <c r="CF56" s="83"/>
      <c r="CG56" s="83"/>
      <c r="CH56" s="83"/>
      <c r="CI56" s="83"/>
      <c r="CJ56" s="83"/>
      <c r="CK56" s="83"/>
      <c r="CL56" s="83"/>
      <c r="CM56" s="83"/>
      <c r="CN56" s="86" t="str">
        <f t="shared" si="291"/>
        <v>InitUnitState('E204',,,,,80000,,2000,,,)</v>
      </c>
      <c r="CO56" s="86" t="str">
        <f t="shared" si="292"/>
        <v>InitUnitNormal('E204',,,,,,,,,,)</v>
      </c>
      <c r="CP56" s="86" t="str">
        <f t="shared" si="293"/>
        <v>InitUnitMagic('E204',,,,,,,,,,)</v>
      </c>
      <c r="CQ56" s="86" t="str">
        <f t="shared" si="294"/>
        <v>InitUnitAdd('E204',,,,,,,,,,)</v>
      </c>
      <c r="CR56" s="86" t="str">
        <f t="shared" si="438"/>
        <v>InitEquipData('E204',,"",,E205,800,100,'','','','','','',"ReplaceableTextures\\CommandButtons\\BTNZ13.blp")</v>
      </c>
      <c r="CS56" s="86"/>
      <c r="CT56" s="86"/>
      <c r="CU56" s="88" t="str">
        <f t="shared" si="78"/>
        <v>|n生命值+80000|n生命回复+2000|n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66" t="str">
        <f t="shared" si="439"/>
        <v/>
      </c>
      <c r="DC56" s="66" t="str">
        <f t="shared" si="440"/>
        <v/>
      </c>
      <c r="DD56" s="66" t="str">
        <f t="shared" si="441"/>
        <v/>
      </c>
      <c r="DE56" s="66" t="str">
        <f t="shared" si="442"/>
        <v/>
      </c>
      <c r="DF56" s="66" t="str">
        <f t="shared" si="443"/>
        <v>|n生命值+80000</v>
      </c>
      <c r="DG56" s="66" t="str">
        <f t="shared" si="444"/>
        <v/>
      </c>
      <c r="DH56" s="66" t="str">
        <f t="shared" si="445"/>
        <v>|n生命回复+2000</v>
      </c>
      <c r="DI56" s="66" t="str">
        <f t="shared" si="446"/>
        <v/>
      </c>
      <c r="DJ56" s="66" t="str">
        <f t="shared" si="447"/>
        <v/>
      </c>
      <c r="DK56" s="66" t="str">
        <f t="shared" si="448"/>
        <v/>
      </c>
      <c r="DL56" s="66" t="str">
        <f t="shared" si="449"/>
        <v/>
      </c>
      <c r="DM56" s="66" t="str">
        <f t="shared" si="450"/>
        <v/>
      </c>
      <c r="DN56" s="66" t="str">
        <f t="shared" si="451"/>
        <v/>
      </c>
      <c r="DO56" s="66" t="str">
        <f t="shared" si="452"/>
        <v/>
      </c>
      <c r="DP56" s="66" t="str">
        <f t="shared" si="453"/>
        <v/>
      </c>
      <c r="DQ56" s="66" t="str">
        <f t="shared" si="454"/>
        <v/>
      </c>
      <c r="DR56" s="66" t="str">
        <f t="shared" si="455"/>
        <v/>
      </c>
      <c r="DS56" s="66" t="str">
        <f t="shared" si="456"/>
        <v/>
      </c>
      <c r="DT56" s="66" t="str">
        <f t="shared" si="457"/>
        <v/>
      </c>
      <c r="DU56" s="66" t="str">
        <f t="shared" si="458"/>
        <v/>
      </c>
      <c r="DV56" s="66" t="str">
        <f t="shared" si="459"/>
        <v/>
      </c>
      <c r="DW56" s="66" t="str">
        <f t="shared" si="460"/>
        <v/>
      </c>
      <c r="DX56" s="66" t="str">
        <f t="shared" si="461"/>
        <v/>
      </c>
      <c r="DY56" s="66" t="str">
        <f t="shared" si="462"/>
        <v/>
      </c>
      <c r="DZ56" s="66" t="str">
        <f t="shared" si="463"/>
        <v/>
      </c>
      <c r="EA56" s="66" t="str">
        <f t="shared" si="464"/>
        <v/>
      </c>
      <c r="EB56" s="66" t="str">
        <f t="shared" si="465"/>
        <v/>
      </c>
      <c r="EC56" s="66" t="str">
        <f t="shared" si="466"/>
        <v/>
      </c>
      <c r="ED56" s="66" t="str">
        <f t="shared" si="467"/>
        <v/>
      </c>
      <c r="EE56" s="66" t="str">
        <f t="shared" si="468"/>
        <v/>
      </c>
      <c r="EF56" s="66" t="str">
        <f t="shared" si="469"/>
        <v/>
      </c>
      <c r="EG56" s="66" t="str">
        <f t="shared" si="470"/>
        <v/>
      </c>
      <c r="EH56" s="66" t="str">
        <f t="shared" si="471"/>
        <v/>
      </c>
      <c r="EI56" s="66" t="str">
        <f t="shared" si="472"/>
        <v/>
      </c>
      <c r="EJ56" s="66" t="str">
        <f t="shared" si="473"/>
        <v/>
      </c>
      <c r="EK56" s="66" t="str">
        <f t="shared" si="474"/>
        <v/>
      </c>
      <c r="EL56" s="66" t="str">
        <f t="shared" si="475"/>
        <v/>
      </c>
      <c r="EM56" s="66" t="str">
        <f t="shared" si="476"/>
        <v/>
      </c>
      <c r="EN56" s="66" t="str">
        <f t="shared" si="477"/>
        <v/>
      </c>
      <c r="EO56" s="66" t="str">
        <f t="shared" si="478"/>
        <v/>
      </c>
      <c r="EP56" s="66" t="str">
        <f t="shared" si="479"/>
        <v/>
      </c>
      <c r="EQ56" s="66" t="str">
        <f t="shared" si="480"/>
        <v/>
      </c>
      <c r="ER56" s="66" t="str">
        <f t="shared" si="481"/>
        <v/>
      </c>
      <c r="ES56" s="66" t="str">
        <f t="shared" si="482"/>
        <v/>
      </c>
      <c r="ET56" s="66" t="str">
        <f t="shared" si="483"/>
        <v/>
      </c>
      <c r="EU56" s="66" t="str">
        <f t="shared" si="484"/>
        <v/>
      </c>
      <c r="EV56" s="66" t="str">
        <f t="shared" si="485"/>
        <v/>
      </c>
      <c r="EW56" s="66" t="str">
        <f t="shared" si="486"/>
        <v/>
      </c>
      <c r="EX56" s="66" t="str">
        <f t="shared" si="487"/>
        <v/>
      </c>
      <c r="EY56" s="66" t="str">
        <f t="shared" si="488"/>
        <v/>
      </c>
      <c r="EZ56" s="66" t="str">
        <f t="shared" si="489"/>
        <v/>
      </c>
      <c r="FA56" s="66" t="str">
        <f t="shared" si="490"/>
        <v/>
      </c>
      <c r="FB56" s="66" t="str">
        <f t="shared" si="491"/>
        <v/>
      </c>
      <c r="FC56" s="66" t="str">
        <f t="shared" si="492"/>
        <v/>
      </c>
      <c r="FD56" s="66" t="str">
        <f t="shared" si="493"/>
        <v/>
      </c>
      <c r="FE56" s="66" t="str">
        <f t="shared" si="494"/>
        <v/>
      </c>
      <c r="FF56" s="66" t="str">
        <f t="shared" si="495"/>
        <v/>
      </c>
      <c r="FG56" s="66" t="str">
        <f t="shared" si="496"/>
        <v/>
      </c>
      <c r="FH56" s="66" t="str">
        <f t="shared" si="497"/>
        <v/>
      </c>
      <c r="FI56" s="66" t="str">
        <f t="shared" si="498"/>
        <v/>
      </c>
      <c r="FJ56" s="66" t="str">
        <f t="shared" si="499"/>
        <v/>
      </c>
      <c r="FK56" s="66" t="str">
        <f t="shared" si="500"/>
        <v/>
      </c>
      <c r="FL56" s="66" t="str">
        <f t="shared" si="501"/>
        <v/>
      </c>
      <c r="FM56" s="66" t="str">
        <f t="shared" si="502"/>
        <v/>
      </c>
      <c r="FN56" s="66" t="str">
        <f t="shared" si="503"/>
        <v/>
      </c>
      <c r="FO56" s="66" t="str">
        <f t="shared" si="504"/>
        <v/>
      </c>
      <c r="FP56" s="66" t="str">
        <f t="shared" si="505"/>
        <v/>
      </c>
      <c r="FQ56" s="66" t="str">
        <f t="shared" si="506"/>
        <v/>
      </c>
      <c r="FR56" s="66" t="str">
        <f t="shared" si="507"/>
        <v/>
      </c>
      <c r="FS56" s="66" t="str">
        <f t="shared" si="508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37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/>
      <c r="Y57" s="78"/>
      <c r="Z57" s="78">
        <v>100000</v>
      </c>
      <c r="AA57" s="78"/>
      <c r="AB57" s="78">
        <v>2500</v>
      </c>
      <c r="AC57" s="78"/>
      <c r="AD57" s="78"/>
      <c r="AE57" s="78"/>
      <c r="AF57" s="78"/>
      <c r="AG57" s="81"/>
      <c r="AH57" s="78"/>
      <c r="AI57" s="78"/>
      <c r="AJ57" s="78"/>
      <c r="AK57" s="78"/>
      <c r="AL57" s="81"/>
      <c r="AM57" s="78"/>
      <c r="AN57" s="78"/>
      <c r="AO57" s="78"/>
      <c r="AP57" s="83"/>
      <c r="AQ57" s="83"/>
      <c r="AR57" s="84"/>
      <c r="AS57" s="84"/>
      <c r="AT57" s="83"/>
      <c r="AU57" s="83"/>
      <c r="AV57" s="83"/>
      <c r="AW57" s="83"/>
      <c r="AX57" s="83"/>
      <c r="AY57" s="83"/>
      <c r="AZ57" s="83"/>
      <c r="BA57" s="83"/>
      <c r="BB57" s="8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3"/>
      <c r="CF57" s="83"/>
      <c r="CG57" s="83"/>
      <c r="CH57" s="83"/>
      <c r="CI57" s="83"/>
      <c r="CJ57" s="83"/>
      <c r="CK57" s="83"/>
      <c r="CL57" s="83"/>
      <c r="CM57" s="83"/>
      <c r="CN57" s="86" t="str">
        <f t="shared" si="291"/>
        <v>InitUnitState('E205',,,,,100000,,2500,,,)</v>
      </c>
      <c r="CO57" s="86" t="str">
        <f t="shared" si="292"/>
        <v>InitUnitNormal('E205',,,,,,,,,,)</v>
      </c>
      <c r="CP57" s="86" t="str">
        <f t="shared" si="293"/>
        <v>InitUnitMagic('E205',,,,,,,,,,)</v>
      </c>
      <c r="CQ57" s="86" t="str">
        <f t="shared" si="294"/>
        <v>InitUnitAdd('E205',,,,,,,,,,)</v>
      </c>
      <c r="CR57" s="86" t="str">
        <f t="shared" si="438"/>
        <v>InitEquipData('E205',,"",,E206,2500,100,'','','','','','',"ReplaceableTextures\\CommandButtons\\BTNZ13.blp")</v>
      </c>
      <c r="CS57" s="86"/>
      <c r="CT57" s="86"/>
      <c r="CU57" s="88" t="str">
        <f t="shared" si="78"/>
        <v>|n生命值+100000|n生命回复+2500|n</v>
      </c>
      <c r="CV57" s="19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66" t="str">
        <f t="shared" ref="DB57" si="509">IF(V57="","","|n"&amp;DB$2&amp;"+"&amp;V57&amp;DB$1)</f>
        <v/>
      </c>
      <c r="DC57" s="66" t="str">
        <f t="shared" ref="DC57" si="510">IF(W57="","","|n"&amp;DC$2&amp;"+"&amp;W57&amp;DC$1)</f>
        <v/>
      </c>
      <c r="DD57" s="66" t="str">
        <f t="shared" ref="DD57" si="511">IF(X57="","","|n"&amp;DD$2&amp;"+"&amp;X57&amp;DD$1)</f>
        <v/>
      </c>
      <c r="DE57" s="66" t="str">
        <f t="shared" ref="DE57" si="512">IF(Y57="","","|n"&amp;DE$2&amp;"+"&amp;Y57&amp;DE$1)</f>
        <v/>
      </c>
      <c r="DF57" s="66" t="str">
        <f t="shared" ref="DF57" si="513">IF(Z57="","","|n"&amp;DF$2&amp;"+"&amp;Z57&amp;DF$1)</f>
        <v>|n生命值+100000</v>
      </c>
      <c r="DG57" s="66" t="str">
        <f t="shared" ref="DG57" si="514">IF(AA57="","","|n"&amp;DG$2&amp;"+"&amp;AA57&amp;DG$1)</f>
        <v/>
      </c>
      <c r="DH57" s="66" t="str">
        <f t="shared" ref="DH57" si="515">IF(AB57="","","|n"&amp;DH$2&amp;"+"&amp;AB57&amp;DH$1)</f>
        <v>|n生命回复+2500</v>
      </c>
      <c r="DI57" s="66" t="str">
        <f t="shared" ref="DI57" si="516">IF(AC57="","","|n"&amp;DI$2&amp;"+"&amp;AC57&amp;DI$1)</f>
        <v/>
      </c>
      <c r="DJ57" s="66" t="str">
        <f t="shared" ref="DJ57" si="517">IF(AD57="","","|n"&amp;DJ$2&amp;"+"&amp;AD57&amp;DJ$1)</f>
        <v/>
      </c>
      <c r="DK57" s="66" t="str">
        <f t="shared" ref="DK57" si="518">IF(AE57="","","|n"&amp;DK$2&amp;"+"&amp;AE57&amp;DK$1)</f>
        <v/>
      </c>
      <c r="DL57" s="66" t="str">
        <f t="shared" ref="DL57" si="519">IF(AF57="","","|n"&amp;DL$2&amp;"+"&amp;AF57&amp;DL$1)</f>
        <v/>
      </c>
      <c r="DM57" s="66" t="str">
        <f t="shared" ref="DM57" si="520">IF(AG57="","","|n"&amp;DM$2&amp;"+"&amp;AG57&amp;DM$1)</f>
        <v/>
      </c>
      <c r="DN57" s="66" t="str">
        <f t="shared" ref="DN57" si="521">IF(AH57="","","|n"&amp;DN$2&amp;"+"&amp;AH57&amp;DN$1)</f>
        <v/>
      </c>
      <c r="DO57" s="66" t="str">
        <f t="shared" ref="DO57" si="522">IF(AI57="","","|n"&amp;DO$2&amp;"+"&amp;AI57&amp;DO$1)</f>
        <v/>
      </c>
      <c r="DP57" s="66" t="str">
        <f t="shared" ref="DP57" si="523">IF(AJ57="","","|n"&amp;DP$2&amp;"+"&amp;AJ57&amp;DP$1)</f>
        <v/>
      </c>
      <c r="DQ57" s="66" t="str">
        <f t="shared" ref="DQ57" si="524">IF(AK57="","","|n"&amp;DQ$2&amp;"+"&amp;AK57&amp;DQ$1)</f>
        <v/>
      </c>
      <c r="DR57" s="66" t="str">
        <f t="shared" ref="DR57" si="525">IF(AL57="","","|n"&amp;DR$2&amp;"+"&amp;AL57&amp;DR$1)</f>
        <v/>
      </c>
      <c r="DS57" s="66" t="str">
        <f t="shared" ref="DS57" si="526">IF(AM57="","","|n"&amp;DS$2&amp;"+"&amp;AM57&amp;DS$1)</f>
        <v/>
      </c>
      <c r="DT57" s="66" t="str">
        <f t="shared" ref="DT57" si="527">IF(AN57="","","|n"&amp;DT$2&amp;"+"&amp;AN57&amp;DT$1)</f>
        <v/>
      </c>
      <c r="DU57" s="66" t="str">
        <f t="shared" ref="DU57" si="528">IF(AO57="","","|n"&amp;DU$2&amp;"+"&amp;AO57&amp;DU$1)</f>
        <v/>
      </c>
      <c r="DV57" s="66" t="str">
        <f t="shared" ref="DV57" si="529">IF(AP57="","","|n"&amp;DV$2&amp;"+"&amp;AP57&amp;DV$1)</f>
        <v/>
      </c>
      <c r="DW57" s="66" t="str">
        <f t="shared" ref="DW57" si="530">IF(AQ57="","","|n"&amp;DW$2&amp;"+"&amp;AQ57&amp;DW$1)</f>
        <v/>
      </c>
      <c r="DX57" s="66" t="str">
        <f t="shared" ref="DX57" si="531">IF(AR57="","","|n"&amp;DX$2&amp;"+"&amp;AR57&amp;DX$1)</f>
        <v/>
      </c>
      <c r="DY57" s="66" t="str">
        <f t="shared" ref="DY57" si="532">IF(AS57="","","|n"&amp;DY$2&amp;"+"&amp;AS57&amp;DY$1)</f>
        <v/>
      </c>
      <c r="DZ57" s="66" t="str">
        <f t="shared" ref="DZ57" si="533">IF(AT57="","","|n"&amp;DZ$2&amp;"+"&amp;AT57&amp;DZ$1)</f>
        <v/>
      </c>
      <c r="EA57" s="66" t="str">
        <f t="shared" ref="EA57" si="534">IF(AU57="","","|n"&amp;EA$2&amp;"+"&amp;AU57&amp;EA$1)</f>
        <v/>
      </c>
      <c r="EB57" s="66" t="str">
        <f t="shared" ref="EB57" si="535">IF(AV57="","","|n"&amp;EB$2&amp;"+"&amp;AV57&amp;EB$1)</f>
        <v/>
      </c>
      <c r="EC57" s="66" t="str">
        <f t="shared" ref="EC57" si="536">IF(AW57="","","|n"&amp;EC$2&amp;"+"&amp;AW57&amp;EC$1)</f>
        <v/>
      </c>
      <c r="ED57" s="66" t="str">
        <f t="shared" ref="ED57" si="537">IF(AX57="","","|n"&amp;ED$2&amp;"+"&amp;AX57&amp;ED$1)</f>
        <v/>
      </c>
      <c r="EE57" s="66" t="str">
        <f t="shared" ref="EE57" si="538">IF(AY57="","","|n"&amp;EE$2&amp;"+"&amp;AY57&amp;EE$1)</f>
        <v/>
      </c>
      <c r="EF57" s="66" t="str">
        <f t="shared" ref="EF57" si="539">IF(AZ57="","","|n"&amp;EF$2&amp;"+"&amp;AZ57&amp;EF$1)</f>
        <v/>
      </c>
      <c r="EG57" s="66" t="str">
        <f t="shared" ref="EG57" si="540">IF(BA57="","","|n"&amp;EG$2&amp;"+"&amp;BA57&amp;EG$1)</f>
        <v/>
      </c>
      <c r="EH57" s="66" t="str">
        <f t="shared" ref="EH57" si="541">IF(BB57="","","|n"&amp;EH$2&amp;"+"&amp;BB57&amp;EH$1)</f>
        <v/>
      </c>
      <c r="EI57" s="66" t="str">
        <f t="shared" ref="EI57" si="542">IF(BC57="","","|n"&amp;EI$2&amp;"+"&amp;BC57&amp;EI$1)</f>
        <v/>
      </c>
      <c r="EJ57" s="66" t="str">
        <f t="shared" ref="EJ57" si="543">IF(BD57="","","|n"&amp;EJ$2&amp;"+"&amp;BD57&amp;EJ$1)</f>
        <v/>
      </c>
      <c r="EK57" s="66" t="str">
        <f t="shared" ref="EK57" si="544">IF(BE57="","","|n"&amp;EK$2&amp;"+"&amp;BE57&amp;EK$1)</f>
        <v/>
      </c>
      <c r="EL57" s="66" t="str">
        <f t="shared" ref="EL57" si="545">IF(BF57="","","|n"&amp;EL$2&amp;"+"&amp;BF57&amp;EL$1)</f>
        <v/>
      </c>
      <c r="EM57" s="66" t="str">
        <f t="shared" ref="EM57" si="546">IF(BG57="","","|n"&amp;EM$2&amp;"+"&amp;BG57&amp;EM$1)</f>
        <v/>
      </c>
      <c r="EN57" s="66" t="str">
        <f t="shared" ref="EN57" si="547">IF(BH57="","","|n"&amp;EN$2&amp;"+"&amp;BH57&amp;EN$1)</f>
        <v/>
      </c>
      <c r="EO57" s="66" t="str">
        <f t="shared" ref="EO57" si="548">IF(BI57="","","|n"&amp;EO$2&amp;"+"&amp;BI57&amp;EO$1)</f>
        <v/>
      </c>
      <c r="EP57" s="66" t="str">
        <f t="shared" ref="EP57" si="549">IF(BJ57="","","|n"&amp;EP$2&amp;"+"&amp;BJ57&amp;EP$1)</f>
        <v/>
      </c>
      <c r="EQ57" s="66" t="str">
        <f t="shared" ref="EQ57" si="550">IF(BK57="","","|n"&amp;EQ$2&amp;"+"&amp;BK57&amp;EQ$1)</f>
        <v/>
      </c>
      <c r="ER57" s="66" t="str">
        <f t="shared" ref="ER57" si="551">IF(BL57="","","|n"&amp;ER$2&amp;"+"&amp;BL57&amp;ER$1)</f>
        <v/>
      </c>
      <c r="ES57" s="66" t="str">
        <f t="shared" ref="ES57" si="552">IF(BM57="","","|n"&amp;ES$2&amp;"+"&amp;BM57&amp;ES$1)</f>
        <v/>
      </c>
      <c r="ET57" s="66" t="str">
        <f t="shared" ref="ET57" si="553">IF(BN57="","","|n"&amp;ET$2&amp;"+"&amp;BN57&amp;ET$1)</f>
        <v/>
      </c>
      <c r="EU57" s="66" t="str">
        <f t="shared" ref="EU57" si="554">IF(BO57="","","|n"&amp;EU$2&amp;"+"&amp;BO57&amp;EU$1)</f>
        <v/>
      </c>
      <c r="EV57" s="66" t="str">
        <f t="shared" ref="EV57" si="555">IF(BP57="","","|n"&amp;EV$2&amp;"+"&amp;BP57&amp;EV$1)</f>
        <v/>
      </c>
      <c r="EW57" s="66" t="str">
        <f t="shared" ref="EW57" si="556">IF(BQ57="","","|n"&amp;EW$2&amp;"+"&amp;BQ57&amp;EW$1)</f>
        <v/>
      </c>
      <c r="EX57" s="66" t="str">
        <f t="shared" ref="EX57" si="557">IF(BR57="","","|n"&amp;EX$2&amp;"+"&amp;BR57&amp;EX$1)</f>
        <v/>
      </c>
      <c r="EY57" s="66" t="str">
        <f t="shared" ref="EY57" si="558">IF(BS57="","","|n"&amp;EY$2&amp;"+"&amp;BS57&amp;EY$1)</f>
        <v/>
      </c>
      <c r="EZ57" s="66" t="str">
        <f t="shared" ref="EZ57" si="559">IF(BT57="","","|n"&amp;EZ$2&amp;"+"&amp;BT57&amp;EZ$1)</f>
        <v/>
      </c>
      <c r="FA57" s="66" t="str">
        <f t="shared" ref="FA57" si="560">IF(BU57="","","|n"&amp;FA$2&amp;"+"&amp;BU57&amp;FA$1)</f>
        <v/>
      </c>
      <c r="FB57" s="66" t="str">
        <f t="shared" ref="FB57" si="561">IF(BV57="","","|n"&amp;FB$2&amp;"+"&amp;BV57&amp;FB$1)</f>
        <v/>
      </c>
      <c r="FC57" s="66" t="str">
        <f t="shared" ref="FC57" si="562">IF(BW57="","","|n"&amp;FC$2&amp;"+"&amp;BW57&amp;FC$1)</f>
        <v/>
      </c>
      <c r="FD57" s="66" t="str">
        <f t="shared" ref="FD57" si="563">IF(BX57="","","|n"&amp;FD$2&amp;"+"&amp;BX57&amp;FD$1)</f>
        <v/>
      </c>
      <c r="FE57" s="66" t="str">
        <f t="shared" ref="FE57" si="564">IF(BY57="","","|n"&amp;FE$2&amp;"+"&amp;BY57&amp;FE$1)</f>
        <v/>
      </c>
      <c r="FF57" s="66" t="str">
        <f t="shared" ref="FF57" si="565">IF(BZ57="","","|n"&amp;FF$2&amp;"+"&amp;BZ57&amp;FF$1)</f>
        <v/>
      </c>
      <c r="FG57" s="66" t="str">
        <f t="shared" ref="FG57" si="566">IF(CA57="","","|n"&amp;FG$2&amp;"+"&amp;CA57&amp;FG$1)</f>
        <v/>
      </c>
      <c r="FH57" s="66" t="str">
        <f t="shared" ref="FH57" si="567">IF(CB57="","","|n"&amp;FH$2&amp;"+"&amp;CB57&amp;FH$1)</f>
        <v/>
      </c>
      <c r="FI57" s="66" t="str">
        <f t="shared" ref="FI57" si="568">IF(CC57="","","|n"&amp;FI$2&amp;"+"&amp;CC57&amp;FI$1)</f>
        <v/>
      </c>
      <c r="FJ57" s="66" t="str">
        <f t="shared" ref="FJ57" si="569">IF(CD57="","","|n"&amp;FJ$2&amp;"+"&amp;CD57&amp;FJ$1)</f>
        <v/>
      </c>
      <c r="FK57" s="66" t="str">
        <f t="shared" ref="FK57" si="570">IF(CE57="","","|n"&amp;FK$2&amp;"+"&amp;CE57&amp;FK$1)</f>
        <v/>
      </c>
      <c r="FL57" s="66" t="str">
        <f t="shared" ref="FL57" si="571">IF(CF57="","","|n"&amp;FL$2&amp;"+"&amp;CF57&amp;FL$1)</f>
        <v/>
      </c>
      <c r="FM57" s="66" t="str">
        <f t="shared" ref="FM57" si="572">IF(CG57="","","|n"&amp;FM$2&amp;"+"&amp;CG57&amp;FM$1)</f>
        <v/>
      </c>
      <c r="FN57" s="66" t="str">
        <f t="shared" ref="FN57" si="573">IF(CH57="","","|n"&amp;FN$2&amp;"+"&amp;CH57&amp;FN$1)</f>
        <v/>
      </c>
      <c r="FO57" s="66" t="str">
        <f t="shared" ref="FO57" si="574">IF(CI57="","","|n"&amp;FO$2&amp;"+"&amp;CI57&amp;FO$1)</f>
        <v/>
      </c>
      <c r="FP57" s="66" t="str">
        <f t="shared" ref="FP57" si="575">IF(CJ57="","","|n"&amp;FP$2&amp;"+"&amp;CJ57&amp;FP$1)</f>
        <v/>
      </c>
      <c r="FQ57" s="66" t="str">
        <f t="shared" ref="FQ57" si="576">IF(CK57="","","|n"&amp;FQ$2&amp;"+"&amp;CK57&amp;FQ$1)</f>
        <v/>
      </c>
      <c r="FR57" s="66" t="str">
        <f t="shared" ref="FR57" si="577">IF(CL57="","","|n"&amp;FR$2&amp;"+"&amp;CL57&amp;FR$1)</f>
        <v/>
      </c>
      <c r="FS57" s="66" t="str">
        <f t="shared" ref="FS57" si="578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37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50</v>
      </c>
      <c r="Y58" s="78"/>
      <c r="Z58" s="78">
        <v>200000</v>
      </c>
      <c r="AA58" s="78"/>
      <c r="AB58" s="78">
        <v>5000</v>
      </c>
      <c r="AC58" s="78"/>
      <c r="AD58" s="78"/>
      <c r="AE58" s="78"/>
      <c r="AF58" s="78"/>
      <c r="AG58" s="81"/>
      <c r="AH58" s="78"/>
      <c r="AI58" s="78"/>
      <c r="AJ58" s="78"/>
      <c r="AK58" s="78"/>
      <c r="AL58" s="81"/>
      <c r="AM58" s="78"/>
      <c r="AN58" s="78"/>
      <c r="AO58" s="78"/>
      <c r="AP58" s="83"/>
      <c r="AQ58" s="83"/>
      <c r="AR58" s="84"/>
      <c r="AS58" s="84"/>
      <c r="AT58" s="83"/>
      <c r="AU58" s="83"/>
      <c r="AV58" s="83"/>
      <c r="AW58" s="83">
        <v>1</v>
      </c>
      <c r="AX58" s="83"/>
      <c r="AY58" s="83"/>
      <c r="AZ58" s="83"/>
      <c r="BA58" s="83"/>
      <c r="BB58" s="8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3"/>
      <c r="CF58" s="83"/>
      <c r="CG58" s="83"/>
      <c r="CH58" s="83"/>
      <c r="CI58" s="83"/>
      <c r="CJ58" s="83"/>
      <c r="CK58" s="83"/>
      <c r="CL58" s="83"/>
      <c r="CM58" s="83"/>
      <c r="CN58" s="86" t="str">
        <f t="shared" si="291"/>
        <v>InitUnitState('E206',,,50,,200000,,5000,,,)</v>
      </c>
      <c r="CO58" s="86" t="str">
        <f t="shared" si="292"/>
        <v>InitUnitNormal('E206',,,,,,,,,,)</v>
      </c>
      <c r="CP58" s="86" t="str">
        <f t="shared" si="293"/>
        <v>InitUnitMagic('E206',,,,,,,,1,,)</v>
      </c>
      <c r="CQ58" s="86" t="str">
        <f t="shared" si="294"/>
        <v>InitUnitAdd('E206',,,,,,,,,,)</v>
      </c>
      <c r="CR58" s="86" t="str">
        <f t="shared" si="438"/>
        <v>InitEquipData('E206',,"",,E207,2500,85,'','','','','','',"ReplaceableTextures\\CommandButtons\\BTNZ13.blp")</v>
      </c>
      <c r="CS58" s="86"/>
      <c r="CT58" s="86"/>
      <c r="CU58" s="88" t="str">
        <f t="shared" si="78"/>
        <v>|n护甲+50|n生命值+200000|n生命回复+5000|n生命恢复%+1|n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|Cffbbbbbb属性：|r|n护甲+50|n生命值+200000|n生命回复+5000|n生命恢复%+1|n|n|Cff00ff7f点击消耗2500金币进行强化|n成功率85%</v>
      </c>
      <c r="DB58" s="66" t="str">
        <f t="shared" ref="DB58:DB62" si="579">IF(V58="","","|n"&amp;DB$2&amp;"+"&amp;V58&amp;DB$1)</f>
        <v/>
      </c>
      <c r="DC58" s="66" t="str">
        <f t="shared" ref="DC58:DC62" si="580">IF(W58="","","|n"&amp;DC$2&amp;"+"&amp;W58&amp;DC$1)</f>
        <v/>
      </c>
      <c r="DD58" s="66" t="str">
        <f t="shared" ref="DD58:DD62" si="581">IF(X58="","","|n"&amp;DD$2&amp;"+"&amp;X58&amp;DD$1)</f>
        <v>|n护甲+50</v>
      </c>
      <c r="DE58" s="66" t="str">
        <f t="shared" ref="DE58:DE62" si="582">IF(Y58="","","|n"&amp;DE$2&amp;"+"&amp;Y58&amp;DE$1)</f>
        <v/>
      </c>
      <c r="DF58" s="66" t="str">
        <f t="shared" ref="DF58:DF62" si="583">IF(Z58="","","|n"&amp;DF$2&amp;"+"&amp;Z58&amp;DF$1)</f>
        <v>|n生命值+200000</v>
      </c>
      <c r="DG58" s="66" t="str">
        <f t="shared" ref="DG58:DG62" si="584">IF(AA58="","","|n"&amp;DG$2&amp;"+"&amp;AA58&amp;DG$1)</f>
        <v/>
      </c>
      <c r="DH58" s="66" t="str">
        <f t="shared" ref="DH58:DH62" si="585">IF(AB58="","","|n"&amp;DH$2&amp;"+"&amp;AB58&amp;DH$1)</f>
        <v>|n生命回复+5000</v>
      </c>
      <c r="DI58" s="66" t="str">
        <f t="shared" ref="DI58:DI62" si="586">IF(AC58="","","|n"&amp;DI$2&amp;"+"&amp;AC58&amp;DI$1)</f>
        <v/>
      </c>
      <c r="DJ58" s="66" t="str">
        <f t="shared" ref="DJ58:DJ62" si="587">IF(AD58="","","|n"&amp;DJ$2&amp;"+"&amp;AD58&amp;DJ$1)</f>
        <v/>
      </c>
      <c r="DK58" s="66" t="str">
        <f t="shared" ref="DK58:DK62" si="588">IF(AE58="","","|n"&amp;DK$2&amp;"+"&amp;AE58&amp;DK$1)</f>
        <v/>
      </c>
      <c r="DL58" s="66" t="str">
        <f t="shared" ref="DL58:DL62" si="589">IF(AF58="","","|n"&amp;DL$2&amp;"+"&amp;AF58&amp;DL$1)</f>
        <v/>
      </c>
      <c r="DM58" s="66" t="str">
        <f t="shared" ref="DM58:DM62" si="590">IF(AG58="","","|n"&amp;DM$2&amp;"+"&amp;AG58&amp;DM$1)</f>
        <v/>
      </c>
      <c r="DN58" s="66" t="str">
        <f t="shared" ref="DN58:DN62" si="591">IF(AH58="","","|n"&amp;DN$2&amp;"+"&amp;AH58&amp;DN$1)</f>
        <v/>
      </c>
      <c r="DO58" s="66" t="str">
        <f t="shared" ref="DO58:DO62" si="592">IF(AI58="","","|n"&amp;DO$2&amp;"+"&amp;AI58&amp;DO$1)</f>
        <v/>
      </c>
      <c r="DP58" s="66" t="str">
        <f t="shared" ref="DP58:DP62" si="593">IF(AJ58="","","|n"&amp;DP$2&amp;"+"&amp;AJ58&amp;DP$1)</f>
        <v/>
      </c>
      <c r="DQ58" s="66" t="str">
        <f t="shared" ref="DQ58:DQ62" si="594">IF(AK58="","","|n"&amp;DQ$2&amp;"+"&amp;AK58&amp;DQ$1)</f>
        <v/>
      </c>
      <c r="DR58" s="66" t="str">
        <f t="shared" ref="DR58:DR62" si="595">IF(AL58="","","|n"&amp;DR$2&amp;"+"&amp;AL58&amp;DR$1)</f>
        <v/>
      </c>
      <c r="DS58" s="66" t="str">
        <f t="shared" ref="DS58:DS62" si="596">IF(AM58="","","|n"&amp;DS$2&amp;"+"&amp;AM58&amp;DS$1)</f>
        <v/>
      </c>
      <c r="DT58" s="66" t="str">
        <f t="shared" ref="DT58:DT62" si="597">IF(AN58="","","|n"&amp;DT$2&amp;"+"&amp;AN58&amp;DT$1)</f>
        <v/>
      </c>
      <c r="DU58" s="66" t="str">
        <f t="shared" ref="DU58:DU62" si="598">IF(AO58="","","|n"&amp;DU$2&amp;"+"&amp;AO58&amp;DU$1)</f>
        <v/>
      </c>
      <c r="DV58" s="66" t="str">
        <f t="shared" ref="DV58:DV62" si="599">IF(AP58="","","|n"&amp;DV$2&amp;"+"&amp;AP58&amp;DV$1)</f>
        <v/>
      </c>
      <c r="DW58" s="66" t="str">
        <f t="shared" ref="DW58:DW62" si="600">IF(AQ58="","","|n"&amp;DW$2&amp;"+"&amp;AQ58&amp;DW$1)</f>
        <v/>
      </c>
      <c r="DX58" s="66" t="str">
        <f t="shared" ref="DX58:DX62" si="601">IF(AR58="","","|n"&amp;DX$2&amp;"+"&amp;AR58&amp;DX$1)</f>
        <v/>
      </c>
      <c r="DY58" s="66" t="str">
        <f t="shared" ref="DY58:DY62" si="602">IF(AS58="","","|n"&amp;DY$2&amp;"+"&amp;AS58&amp;DY$1)</f>
        <v/>
      </c>
      <c r="DZ58" s="66" t="str">
        <f t="shared" ref="DZ58:DZ62" si="603">IF(AT58="","","|n"&amp;DZ$2&amp;"+"&amp;AT58&amp;DZ$1)</f>
        <v/>
      </c>
      <c r="EA58" s="66" t="str">
        <f t="shared" ref="EA58:EA62" si="604">IF(AU58="","","|n"&amp;EA$2&amp;"+"&amp;AU58&amp;EA$1)</f>
        <v/>
      </c>
      <c r="EB58" s="66" t="str">
        <f t="shared" ref="EB58:EB62" si="605">IF(AV58="","","|n"&amp;EB$2&amp;"+"&amp;AV58&amp;EB$1)</f>
        <v/>
      </c>
      <c r="EC58" s="66" t="str">
        <f t="shared" ref="EC58:EC62" si="606">IF(AW58="","","|n"&amp;EC$2&amp;"+"&amp;AW58&amp;EC$1)</f>
        <v>|n生命恢复%+1</v>
      </c>
      <c r="ED58" s="66" t="str">
        <f t="shared" ref="ED58:ED62" si="607">IF(AX58="","","|n"&amp;ED$2&amp;"+"&amp;AX58&amp;ED$1)</f>
        <v/>
      </c>
      <c r="EE58" s="66" t="str">
        <f t="shared" ref="EE58:EE62" si="608">IF(AY58="","","|n"&amp;EE$2&amp;"+"&amp;AY58&amp;EE$1)</f>
        <v/>
      </c>
      <c r="EF58" s="66" t="str">
        <f t="shared" ref="EF58:EF62" si="609">IF(AZ58="","","|n"&amp;EF$2&amp;"+"&amp;AZ58&amp;EF$1)</f>
        <v/>
      </c>
      <c r="EG58" s="66" t="str">
        <f t="shared" ref="EG58:EG62" si="610">IF(BA58="","","|n"&amp;EG$2&amp;"+"&amp;BA58&amp;EG$1)</f>
        <v/>
      </c>
      <c r="EH58" s="66" t="str">
        <f t="shared" ref="EH58:EH62" si="611">IF(BB58="","","|n"&amp;EH$2&amp;"+"&amp;BB58&amp;EH$1)</f>
        <v/>
      </c>
      <c r="EI58" s="66" t="str">
        <f t="shared" ref="EI58:EI62" si="612">IF(BC58="","","|n"&amp;EI$2&amp;"+"&amp;BC58&amp;EI$1)</f>
        <v/>
      </c>
      <c r="EJ58" s="66" t="str">
        <f t="shared" ref="EJ58:EJ62" si="613">IF(BD58="","","|n"&amp;EJ$2&amp;"+"&amp;BD58&amp;EJ$1)</f>
        <v/>
      </c>
      <c r="EK58" s="66" t="str">
        <f t="shared" ref="EK58:EK62" si="614">IF(BE58="","","|n"&amp;EK$2&amp;"+"&amp;BE58&amp;EK$1)</f>
        <v/>
      </c>
      <c r="EL58" s="66" t="str">
        <f t="shared" ref="EL58:EL62" si="615">IF(BF58="","","|n"&amp;EL$2&amp;"+"&amp;BF58&amp;EL$1)</f>
        <v/>
      </c>
      <c r="EM58" s="66" t="str">
        <f t="shared" ref="EM58:EM62" si="616">IF(BG58="","","|n"&amp;EM$2&amp;"+"&amp;BG58&amp;EM$1)</f>
        <v/>
      </c>
      <c r="EN58" s="66" t="str">
        <f t="shared" ref="EN58:EN62" si="617">IF(BH58="","","|n"&amp;EN$2&amp;"+"&amp;BH58&amp;EN$1)</f>
        <v/>
      </c>
      <c r="EO58" s="66" t="str">
        <f t="shared" ref="EO58:EO62" si="618">IF(BI58="","","|n"&amp;EO$2&amp;"+"&amp;BI58&amp;EO$1)</f>
        <v/>
      </c>
      <c r="EP58" s="66" t="str">
        <f t="shared" ref="EP58:EP62" si="619">IF(BJ58="","","|n"&amp;EP$2&amp;"+"&amp;BJ58&amp;EP$1)</f>
        <v/>
      </c>
      <c r="EQ58" s="66" t="str">
        <f t="shared" ref="EQ58:EQ62" si="620">IF(BK58="","","|n"&amp;EQ$2&amp;"+"&amp;BK58&amp;EQ$1)</f>
        <v/>
      </c>
      <c r="ER58" s="66" t="str">
        <f t="shared" ref="ER58:ER62" si="621">IF(BL58="","","|n"&amp;ER$2&amp;"+"&amp;BL58&amp;ER$1)</f>
        <v/>
      </c>
      <c r="ES58" s="66" t="str">
        <f t="shared" ref="ES58:ES62" si="622">IF(BM58="","","|n"&amp;ES$2&amp;"+"&amp;BM58&amp;ES$1)</f>
        <v/>
      </c>
      <c r="ET58" s="66" t="str">
        <f t="shared" ref="ET58:ET62" si="623">IF(BN58="","","|n"&amp;ET$2&amp;"+"&amp;BN58&amp;ET$1)</f>
        <v/>
      </c>
      <c r="EU58" s="66" t="str">
        <f t="shared" ref="EU58:EU62" si="624">IF(BO58="","","|n"&amp;EU$2&amp;"+"&amp;BO58&amp;EU$1)</f>
        <v/>
      </c>
      <c r="EV58" s="66" t="str">
        <f t="shared" ref="EV58:EV62" si="625">IF(BP58="","","|n"&amp;EV$2&amp;"+"&amp;BP58&amp;EV$1)</f>
        <v/>
      </c>
      <c r="EW58" s="66" t="str">
        <f t="shared" ref="EW58:EW62" si="626">IF(BQ58="","","|n"&amp;EW$2&amp;"+"&amp;BQ58&amp;EW$1)</f>
        <v/>
      </c>
      <c r="EX58" s="66" t="str">
        <f t="shared" ref="EX58:EX62" si="627">IF(BR58="","","|n"&amp;EX$2&amp;"+"&amp;BR58&amp;EX$1)</f>
        <v/>
      </c>
      <c r="EY58" s="66" t="str">
        <f t="shared" ref="EY58:EY62" si="628">IF(BS58="","","|n"&amp;EY$2&amp;"+"&amp;BS58&amp;EY$1)</f>
        <v/>
      </c>
      <c r="EZ58" s="66" t="str">
        <f t="shared" ref="EZ58:EZ62" si="629">IF(BT58="","","|n"&amp;EZ$2&amp;"+"&amp;BT58&amp;EZ$1)</f>
        <v/>
      </c>
      <c r="FA58" s="66" t="str">
        <f t="shared" ref="FA58:FA62" si="630">IF(BU58="","","|n"&amp;FA$2&amp;"+"&amp;BU58&amp;FA$1)</f>
        <v/>
      </c>
      <c r="FB58" s="66" t="str">
        <f t="shared" ref="FB58:FB62" si="631">IF(BV58="","","|n"&amp;FB$2&amp;"+"&amp;BV58&amp;FB$1)</f>
        <v/>
      </c>
      <c r="FC58" s="66" t="str">
        <f t="shared" ref="FC58:FC62" si="632">IF(BW58="","","|n"&amp;FC$2&amp;"+"&amp;BW58&amp;FC$1)</f>
        <v/>
      </c>
      <c r="FD58" s="66" t="str">
        <f t="shared" ref="FD58:FD62" si="633">IF(BX58="","","|n"&amp;FD$2&amp;"+"&amp;BX58&amp;FD$1)</f>
        <v/>
      </c>
      <c r="FE58" s="66" t="str">
        <f t="shared" ref="FE58:FE62" si="634">IF(BY58="","","|n"&amp;FE$2&amp;"+"&amp;BY58&amp;FE$1)</f>
        <v/>
      </c>
      <c r="FF58" s="66" t="str">
        <f t="shared" ref="FF58:FF62" si="635">IF(BZ58="","","|n"&amp;FF$2&amp;"+"&amp;BZ58&amp;FF$1)</f>
        <v/>
      </c>
      <c r="FG58" s="66" t="str">
        <f t="shared" ref="FG58:FG62" si="636">IF(CA58="","","|n"&amp;FG$2&amp;"+"&amp;CA58&amp;FG$1)</f>
        <v/>
      </c>
      <c r="FH58" s="66" t="str">
        <f t="shared" ref="FH58:FH62" si="637">IF(CB58="","","|n"&amp;FH$2&amp;"+"&amp;CB58&amp;FH$1)</f>
        <v/>
      </c>
      <c r="FI58" s="66" t="str">
        <f t="shared" ref="FI58:FI62" si="638">IF(CC58="","","|n"&amp;FI$2&amp;"+"&amp;CC58&amp;FI$1)</f>
        <v/>
      </c>
      <c r="FJ58" s="66" t="str">
        <f t="shared" ref="FJ58:FJ62" si="639">IF(CD58="","","|n"&amp;FJ$2&amp;"+"&amp;CD58&amp;FJ$1)</f>
        <v/>
      </c>
      <c r="FK58" s="66" t="str">
        <f t="shared" ref="FK58:FK62" si="640">IF(CE58="","","|n"&amp;FK$2&amp;"+"&amp;CE58&amp;FK$1)</f>
        <v/>
      </c>
      <c r="FL58" s="66" t="str">
        <f t="shared" ref="FL58:FL62" si="641">IF(CF58="","","|n"&amp;FL$2&amp;"+"&amp;CF58&amp;FL$1)</f>
        <v/>
      </c>
      <c r="FM58" s="66" t="str">
        <f t="shared" ref="FM58:FM62" si="642">IF(CG58="","","|n"&amp;FM$2&amp;"+"&amp;CG58&amp;FM$1)</f>
        <v/>
      </c>
      <c r="FN58" s="66" t="str">
        <f t="shared" ref="FN58:FN62" si="643">IF(CH58="","","|n"&amp;FN$2&amp;"+"&amp;CH58&amp;FN$1)</f>
        <v/>
      </c>
      <c r="FO58" s="66" t="str">
        <f t="shared" ref="FO58:FO62" si="644">IF(CI58="","","|n"&amp;FO$2&amp;"+"&amp;CI58&amp;FO$1)</f>
        <v/>
      </c>
      <c r="FP58" s="66" t="str">
        <f t="shared" ref="FP58:FP62" si="645">IF(CJ58="","","|n"&amp;FP$2&amp;"+"&amp;CJ58&amp;FP$1)</f>
        <v/>
      </c>
      <c r="FQ58" s="66" t="str">
        <f t="shared" ref="FQ58:FQ62" si="646">IF(CK58="","","|n"&amp;FQ$2&amp;"+"&amp;CK58&amp;FQ$1)</f>
        <v/>
      </c>
      <c r="FR58" s="66" t="str">
        <f t="shared" ref="FR58:FR62" si="647">IF(CL58="","","|n"&amp;FR$2&amp;"+"&amp;CL58&amp;FR$1)</f>
        <v/>
      </c>
      <c r="FS58" s="66" t="str">
        <f t="shared" ref="FS58:FS62" si="648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37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50</v>
      </c>
      <c r="Y59" s="78"/>
      <c r="Z59" s="78">
        <v>240000</v>
      </c>
      <c r="AA59" s="78"/>
      <c r="AB59" s="78">
        <v>6000</v>
      </c>
      <c r="AC59" s="78"/>
      <c r="AD59" s="78"/>
      <c r="AE59" s="78"/>
      <c r="AF59" s="78"/>
      <c r="AG59" s="81"/>
      <c r="AH59" s="78"/>
      <c r="AI59" s="78"/>
      <c r="AJ59" s="78"/>
      <c r="AK59" s="78"/>
      <c r="AL59" s="81"/>
      <c r="AM59" s="78"/>
      <c r="AN59" s="78"/>
      <c r="AO59" s="78"/>
      <c r="AP59" s="83"/>
      <c r="AQ59" s="83"/>
      <c r="AR59" s="84"/>
      <c r="AS59" s="84"/>
      <c r="AT59" s="83"/>
      <c r="AU59" s="83"/>
      <c r="AV59" s="83"/>
      <c r="AW59" s="83">
        <v>1</v>
      </c>
      <c r="AX59" s="83"/>
      <c r="AY59" s="83"/>
      <c r="AZ59" s="83"/>
      <c r="BA59" s="83"/>
      <c r="BB59" s="8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3"/>
      <c r="CF59" s="83"/>
      <c r="CG59" s="83"/>
      <c r="CH59" s="83"/>
      <c r="CI59" s="83"/>
      <c r="CJ59" s="83"/>
      <c r="CK59" s="83"/>
      <c r="CL59" s="83"/>
      <c r="CM59" s="83"/>
      <c r="CN59" s="86" t="str">
        <f t="shared" si="291"/>
        <v>InitUnitState('E207',,,50,,240000,,6000,,,)</v>
      </c>
      <c r="CO59" s="86" t="str">
        <f t="shared" si="292"/>
        <v>InitUnitNormal('E207',,,,,,,,,,)</v>
      </c>
      <c r="CP59" s="86" t="str">
        <f t="shared" si="293"/>
        <v>InitUnitMagic('E207',,,,,,,,1,,)</v>
      </c>
      <c r="CQ59" s="86" t="str">
        <f t="shared" si="294"/>
        <v>InitUnitAdd('E207',,,,,,,,,,)</v>
      </c>
      <c r="CR59" s="86" t="str">
        <f t="shared" si="438"/>
        <v>InitEquipData('E207',,"",,E208,2500,85,'','','','','','',"ReplaceableTextures\\CommandButtons\\BTNZ14.blp")</v>
      </c>
      <c r="CS59" s="86"/>
      <c r="CT59" s="86"/>
      <c r="CU59" s="88" t="str">
        <f t="shared" si="78"/>
        <v>|n护甲+50|n生命值+240000|n生命回复+6000|n生命恢复%+1|n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|Cffbbbbbb属性：|r|n护甲+50|n生命值+240000|n生命回复+6000|n生命恢复%+1|n|n|Cff00ff7f点击消耗2500金币进行强化|n成功率85%</v>
      </c>
      <c r="DB59" s="66" t="str">
        <f t="shared" si="579"/>
        <v/>
      </c>
      <c r="DC59" s="66" t="str">
        <f t="shared" si="580"/>
        <v/>
      </c>
      <c r="DD59" s="66" t="str">
        <f t="shared" si="581"/>
        <v>|n护甲+50</v>
      </c>
      <c r="DE59" s="66" t="str">
        <f t="shared" si="582"/>
        <v/>
      </c>
      <c r="DF59" s="66" t="str">
        <f t="shared" si="583"/>
        <v>|n生命值+240000</v>
      </c>
      <c r="DG59" s="66" t="str">
        <f t="shared" si="584"/>
        <v/>
      </c>
      <c r="DH59" s="66" t="str">
        <f t="shared" si="585"/>
        <v>|n生命回复+6000</v>
      </c>
      <c r="DI59" s="66" t="str">
        <f t="shared" si="586"/>
        <v/>
      </c>
      <c r="DJ59" s="66" t="str">
        <f t="shared" si="587"/>
        <v/>
      </c>
      <c r="DK59" s="66" t="str">
        <f t="shared" si="588"/>
        <v/>
      </c>
      <c r="DL59" s="66" t="str">
        <f t="shared" si="589"/>
        <v/>
      </c>
      <c r="DM59" s="66" t="str">
        <f t="shared" si="590"/>
        <v/>
      </c>
      <c r="DN59" s="66" t="str">
        <f t="shared" si="591"/>
        <v/>
      </c>
      <c r="DO59" s="66" t="str">
        <f t="shared" si="592"/>
        <v/>
      </c>
      <c r="DP59" s="66" t="str">
        <f t="shared" si="593"/>
        <v/>
      </c>
      <c r="DQ59" s="66" t="str">
        <f t="shared" si="594"/>
        <v/>
      </c>
      <c r="DR59" s="66" t="str">
        <f t="shared" si="595"/>
        <v/>
      </c>
      <c r="DS59" s="66" t="str">
        <f t="shared" si="596"/>
        <v/>
      </c>
      <c r="DT59" s="66" t="str">
        <f t="shared" si="597"/>
        <v/>
      </c>
      <c r="DU59" s="66" t="str">
        <f t="shared" si="598"/>
        <v/>
      </c>
      <c r="DV59" s="66" t="str">
        <f t="shared" si="599"/>
        <v/>
      </c>
      <c r="DW59" s="66" t="str">
        <f t="shared" si="600"/>
        <v/>
      </c>
      <c r="DX59" s="66" t="str">
        <f t="shared" si="601"/>
        <v/>
      </c>
      <c r="DY59" s="66" t="str">
        <f t="shared" si="602"/>
        <v/>
      </c>
      <c r="DZ59" s="66" t="str">
        <f t="shared" si="603"/>
        <v/>
      </c>
      <c r="EA59" s="66" t="str">
        <f t="shared" si="604"/>
        <v/>
      </c>
      <c r="EB59" s="66" t="str">
        <f t="shared" si="605"/>
        <v/>
      </c>
      <c r="EC59" s="66" t="str">
        <f t="shared" si="606"/>
        <v>|n生命恢复%+1</v>
      </c>
      <c r="ED59" s="66" t="str">
        <f t="shared" si="607"/>
        <v/>
      </c>
      <c r="EE59" s="66" t="str">
        <f t="shared" si="608"/>
        <v/>
      </c>
      <c r="EF59" s="66" t="str">
        <f t="shared" si="609"/>
        <v/>
      </c>
      <c r="EG59" s="66" t="str">
        <f t="shared" si="610"/>
        <v/>
      </c>
      <c r="EH59" s="66" t="str">
        <f t="shared" si="611"/>
        <v/>
      </c>
      <c r="EI59" s="66" t="str">
        <f t="shared" si="612"/>
        <v/>
      </c>
      <c r="EJ59" s="66" t="str">
        <f t="shared" si="613"/>
        <v/>
      </c>
      <c r="EK59" s="66" t="str">
        <f t="shared" si="614"/>
        <v/>
      </c>
      <c r="EL59" s="66" t="str">
        <f t="shared" si="615"/>
        <v/>
      </c>
      <c r="EM59" s="66" t="str">
        <f t="shared" si="616"/>
        <v/>
      </c>
      <c r="EN59" s="66" t="str">
        <f t="shared" si="617"/>
        <v/>
      </c>
      <c r="EO59" s="66" t="str">
        <f t="shared" si="618"/>
        <v/>
      </c>
      <c r="EP59" s="66" t="str">
        <f t="shared" si="619"/>
        <v/>
      </c>
      <c r="EQ59" s="66" t="str">
        <f t="shared" si="620"/>
        <v/>
      </c>
      <c r="ER59" s="66" t="str">
        <f t="shared" si="621"/>
        <v/>
      </c>
      <c r="ES59" s="66" t="str">
        <f t="shared" si="622"/>
        <v/>
      </c>
      <c r="ET59" s="66" t="str">
        <f t="shared" si="623"/>
        <v/>
      </c>
      <c r="EU59" s="66" t="str">
        <f t="shared" si="624"/>
        <v/>
      </c>
      <c r="EV59" s="66" t="str">
        <f t="shared" si="625"/>
        <v/>
      </c>
      <c r="EW59" s="66" t="str">
        <f t="shared" si="626"/>
        <v/>
      </c>
      <c r="EX59" s="66" t="str">
        <f t="shared" si="627"/>
        <v/>
      </c>
      <c r="EY59" s="66" t="str">
        <f t="shared" si="628"/>
        <v/>
      </c>
      <c r="EZ59" s="66" t="str">
        <f t="shared" si="629"/>
        <v/>
      </c>
      <c r="FA59" s="66" t="str">
        <f t="shared" si="630"/>
        <v/>
      </c>
      <c r="FB59" s="66" t="str">
        <f t="shared" si="631"/>
        <v/>
      </c>
      <c r="FC59" s="66" t="str">
        <f t="shared" si="632"/>
        <v/>
      </c>
      <c r="FD59" s="66" t="str">
        <f t="shared" si="633"/>
        <v/>
      </c>
      <c r="FE59" s="66" t="str">
        <f t="shared" si="634"/>
        <v/>
      </c>
      <c r="FF59" s="66" t="str">
        <f t="shared" si="635"/>
        <v/>
      </c>
      <c r="FG59" s="66" t="str">
        <f t="shared" si="636"/>
        <v/>
      </c>
      <c r="FH59" s="66" t="str">
        <f t="shared" si="637"/>
        <v/>
      </c>
      <c r="FI59" s="66" t="str">
        <f t="shared" si="638"/>
        <v/>
      </c>
      <c r="FJ59" s="66" t="str">
        <f t="shared" si="639"/>
        <v/>
      </c>
      <c r="FK59" s="66" t="str">
        <f t="shared" si="640"/>
        <v/>
      </c>
      <c r="FL59" s="66" t="str">
        <f t="shared" si="641"/>
        <v/>
      </c>
      <c r="FM59" s="66" t="str">
        <f t="shared" si="642"/>
        <v/>
      </c>
      <c r="FN59" s="66" t="str">
        <f t="shared" si="643"/>
        <v/>
      </c>
      <c r="FO59" s="66" t="str">
        <f t="shared" si="644"/>
        <v/>
      </c>
      <c r="FP59" s="66" t="str">
        <f t="shared" si="645"/>
        <v/>
      </c>
      <c r="FQ59" s="66" t="str">
        <f t="shared" si="646"/>
        <v/>
      </c>
      <c r="FR59" s="66" t="str">
        <f t="shared" si="647"/>
        <v/>
      </c>
      <c r="FS59" s="66" t="str">
        <f t="shared" si="648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37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50</v>
      </c>
      <c r="Y60" s="78"/>
      <c r="Z60" s="78">
        <v>280000</v>
      </c>
      <c r="AA60" s="78"/>
      <c r="AB60" s="78">
        <v>7000</v>
      </c>
      <c r="AC60" s="78"/>
      <c r="AD60" s="78"/>
      <c r="AE60" s="78"/>
      <c r="AF60" s="78"/>
      <c r="AG60" s="81"/>
      <c r="AH60" s="78"/>
      <c r="AI60" s="78"/>
      <c r="AJ60" s="78"/>
      <c r="AK60" s="78"/>
      <c r="AL60" s="81"/>
      <c r="AM60" s="78"/>
      <c r="AN60" s="78"/>
      <c r="AO60" s="78"/>
      <c r="AP60" s="83"/>
      <c r="AQ60" s="83"/>
      <c r="AR60" s="84"/>
      <c r="AS60" s="84"/>
      <c r="AT60" s="83"/>
      <c r="AU60" s="83"/>
      <c r="AV60" s="83"/>
      <c r="AW60" s="83">
        <v>1</v>
      </c>
      <c r="AX60" s="83"/>
      <c r="AY60" s="83"/>
      <c r="AZ60" s="83"/>
      <c r="BA60" s="83"/>
      <c r="BB60" s="8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3"/>
      <c r="CF60" s="83"/>
      <c r="CG60" s="83"/>
      <c r="CH60" s="83"/>
      <c r="CI60" s="83"/>
      <c r="CJ60" s="83"/>
      <c r="CK60" s="83"/>
      <c r="CL60" s="83"/>
      <c r="CM60" s="83"/>
      <c r="CN60" s="86" t="str">
        <f t="shared" si="291"/>
        <v>InitUnitState('E208',,,50,,280000,,7000,,,)</v>
      </c>
      <c r="CO60" s="86" t="str">
        <f t="shared" si="292"/>
        <v>InitUnitNormal('E208',,,,,,,,,,)</v>
      </c>
      <c r="CP60" s="86" t="str">
        <f t="shared" si="293"/>
        <v>InitUnitMagic('E208',,,,,,,,1,,)</v>
      </c>
      <c r="CQ60" s="86" t="str">
        <f t="shared" si="294"/>
        <v>InitUnitAdd('E208',,,,,,,,,,)</v>
      </c>
      <c r="CR60" s="86" t="str">
        <f t="shared" si="438"/>
        <v>InitEquipData('E208',,"",,E209,2500,85,'','','','','','',"ReplaceableTextures\\CommandButtons\\BTNZ14.blp")</v>
      </c>
      <c r="CS60" s="86"/>
      <c r="CT60" s="86"/>
      <c r="CU60" s="88" t="str">
        <f t="shared" si="78"/>
        <v>|n护甲+50|n生命值+280000|n生命回复+7000|n生命恢复%+1|n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|Cffbbbbbb属性：|r|n护甲+50|n生命值+280000|n生命回复+7000|n生命恢复%+1|n|n|Cff00ff7f点击消耗2500金币进行强化|n成功率85%</v>
      </c>
      <c r="DB60" s="66" t="str">
        <f t="shared" si="579"/>
        <v/>
      </c>
      <c r="DC60" s="66" t="str">
        <f t="shared" si="580"/>
        <v/>
      </c>
      <c r="DD60" s="66" t="str">
        <f t="shared" si="581"/>
        <v>|n护甲+50</v>
      </c>
      <c r="DE60" s="66" t="str">
        <f t="shared" si="582"/>
        <v/>
      </c>
      <c r="DF60" s="66" t="str">
        <f t="shared" si="583"/>
        <v>|n生命值+280000</v>
      </c>
      <c r="DG60" s="66" t="str">
        <f t="shared" si="584"/>
        <v/>
      </c>
      <c r="DH60" s="66" t="str">
        <f t="shared" si="585"/>
        <v>|n生命回复+7000</v>
      </c>
      <c r="DI60" s="66" t="str">
        <f t="shared" si="586"/>
        <v/>
      </c>
      <c r="DJ60" s="66" t="str">
        <f t="shared" si="587"/>
        <v/>
      </c>
      <c r="DK60" s="66" t="str">
        <f t="shared" si="588"/>
        <v/>
      </c>
      <c r="DL60" s="66" t="str">
        <f t="shared" si="589"/>
        <v/>
      </c>
      <c r="DM60" s="66" t="str">
        <f t="shared" si="590"/>
        <v/>
      </c>
      <c r="DN60" s="66" t="str">
        <f t="shared" si="591"/>
        <v/>
      </c>
      <c r="DO60" s="66" t="str">
        <f t="shared" si="592"/>
        <v/>
      </c>
      <c r="DP60" s="66" t="str">
        <f t="shared" si="593"/>
        <v/>
      </c>
      <c r="DQ60" s="66" t="str">
        <f t="shared" si="594"/>
        <v/>
      </c>
      <c r="DR60" s="66" t="str">
        <f t="shared" si="595"/>
        <v/>
      </c>
      <c r="DS60" s="66" t="str">
        <f t="shared" si="596"/>
        <v/>
      </c>
      <c r="DT60" s="66" t="str">
        <f t="shared" si="597"/>
        <v/>
      </c>
      <c r="DU60" s="66" t="str">
        <f t="shared" si="598"/>
        <v/>
      </c>
      <c r="DV60" s="66" t="str">
        <f t="shared" si="599"/>
        <v/>
      </c>
      <c r="DW60" s="66" t="str">
        <f t="shared" si="600"/>
        <v/>
      </c>
      <c r="DX60" s="66" t="str">
        <f t="shared" si="601"/>
        <v/>
      </c>
      <c r="DY60" s="66" t="str">
        <f t="shared" si="602"/>
        <v/>
      </c>
      <c r="DZ60" s="66" t="str">
        <f t="shared" si="603"/>
        <v/>
      </c>
      <c r="EA60" s="66" t="str">
        <f t="shared" si="604"/>
        <v/>
      </c>
      <c r="EB60" s="66" t="str">
        <f t="shared" si="605"/>
        <v/>
      </c>
      <c r="EC60" s="66" t="str">
        <f t="shared" si="606"/>
        <v>|n生命恢复%+1</v>
      </c>
      <c r="ED60" s="66" t="str">
        <f t="shared" si="607"/>
        <v/>
      </c>
      <c r="EE60" s="66" t="str">
        <f t="shared" si="608"/>
        <v/>
      </c>
      <c r="EF60" s="66" t="str">
        <f t="shared" si="609"/>
        <v/>
      </c>
      <c r="EG60" s="66" t="str">
        <f t="shared" si="610"/>
        <v/>
      </c>
      <c r="EH60" s="66" t="str">
        <f t="shared" si="611"/>
        <v/>
      </c>
      <c r="EI60" s="66" t="str">
        <f t="shared" si="612"/>
        <v/>
      </c>
      <c r="EJ60" s="66" t="str">
        <f t="shared" si="613"/>
        <v/>
      </c>
      <c r="EK60" s="66" t="str">
        <f t="shared" si="614"/>
        <v/>
      </c>
      <c r="EL60" s="66" t="str">
        <f t="shared" si="615"/>
        <v/>
      </c>
      <c r="EM60" s="66" t="str">
        <f t="shared" si="616"/>
        <v/>
      </c>
      <c r="EN60" s="66" t="str">
        <f t="shared" si="617"/>
        <v/>
      </c>
      <c r="EO60" s="66" t="str">
        <f t="shared" si="618"/>
        <v/>
      </c>
      <c r="EP60" s="66" t="str">
        <f t="shared" si="619"/>
        <v/>
      </c>
      <c r="EQ60" s="66" t="str">
        <f t="shared" si="620"/>
        <v/>
      </c>
      <c r="ER60" s="66" t="str">
        <f t="shared" si="621"/>
        <v/>
      </c>
      <c r="ES60" s="66" t="str">
        <f t="shared" si="622"/>
        <v/>
      </c>
      <c r="ET60" s="66" t="str">
        <f t="shared" si="623"/>
        <v/>
      </c>
      <c r="EU60" s="66" t="str">
        <f t="shared" si="624"/>
        <v/>
      </c>
      <c r="EV60" s="66" t="str">
        <f t="shared" si="625"/>
        <v/>
      </c>
      <c r="EW60" s="66" t="str">
        <f t="shared" si="626"/>
        <v/>
      </c>
      <c r="EX60" s="66" t="str">
        <f t="shared" si="627"/>
        <v/>
      </c>
      <c r="EY60" s="66" t="str">
        <f t="shared" si="628"/>
        <v/>
      </c>
      <c r="EZ60" s="66" t="str">
        <f t="shared" si="629"/>
        <v/>
      </c>
      <c r="FA60" s="66" t="str">
        <f t="shared" si="630"/>
        <v/>
      </c>
      <c r="FB60" s="66" t="str">
        <f t="shared" si="631"/>
        <v/>
      </c>
      <c r="FC60" s="66" t="str">
        <f t="shared" si="632"/>
        <v/>
      </c>
      <c r="FD60" s="66" t="str">
        <f t="shared" si="633"/>
        <v/>
      </c>
      <c r="FE60" s="66" t="str">
        <f t="shared" si="634"/>
        <v/>
      </c>
      <c r="FF60" s="66" t="str">
        <f t="shared" si="635"/>
        <v/>
      </c>
      <c r="FG60" s="66" t="str">
        <f t="shared" si="636"/>
        <v/>
      </c>
      <c r="FH60" s="66" t="str">
        <f t="shared" si="637"/>
        <v/>
      </c>
      <c r="FI60" s="66" t="str">
        <f t="shared" si="638"/>
        <v/>
      </c>
      <c r="FJ60" s="66" t="str">
        <f t="shared" si="639"/>
        <v/>
      </c>
      <c r="FK60" s="66" t="str">
        <f t="shared" si="640"/>
        <v/>
      </c>
      <c r="FL60" s="66" t="str">
        <f t="shared" si="641"/>
        <v/>
      </c>
      <c r="FM60" s="66" t="str">
        <f t="shared" si="642"/>
        <v/>
      </c>
      <c r="FN60" s="66" t="str">
        <f t="shared" si="643"/>
        <v/>
      </c>
      <c r="FO60" s="66" t="str">
        <f t="shared" si="644"/>
        <v/>
      </c>
      <c r="FP60" s="66" t="str">
        <f t="shared" si="645"/>
        <v/>
      </c>
      <c r="FQ60" s="66" t="str">
        <f t="shared" si="646"/>
        <v/>
      </c>
      <c r="FR60" s="66" t="str">
        <f t="shared" si="647"/>
        <v/>
      </c>
      <c r="FS60" s="66" t="str">
        <f t="shared" si="648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37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50</v>
      </c>
      <c r="Y61" s="78"/>
      <c r="Z61" s="78">
        <v>340000</v>
      </c>
      <c r="AA61" s="78"/>
      <c r="AB61" s="78">
        <v>8500</v>
      </c>
      <c r="AC61" s="78"/>
      <c r="AD61" s="78"/>
      <c r="AE61" s="78"/>
      <c r="AF61" s="78"/>
      <c r="AG61" s="81"/>
      <c r="AH61" s="78"/>
      <c r="AI61" s="78"/>
      <c r="AJ61" s="78"/>
      <c r="AK61" s="78"/>
      <c r="AL61" s="81"/>
      <c r="AM61" s="78"/>
      <c r="AN61" s="78"/>
      <c r="AO61" s="78"/>
      <c r="AP61" s="83"/>
      <c r="AQ61" s="83"/>
      <c r="AR61" s="84"/>
      <c r="AS61" s="84"/>
      <c r="AT61" s="83"/>
      <c r="AU61" s="83"/>
      <c r="AV61" s="83"/>
      <c r="AW61" s="83">
        <v>1</v>
      </c>
      <c r="AX61" s="83"/>
      <c r="AY61" s="83"/>
      <c r="AZ61" s="83"/>
      <c r="BA61" s="83"/>
      <c r="BB61" s="8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3"/>
      <c r="CF61" s="83"/>
      <c r="CG61" s="83"/>
      <c r="CH61" s="83"/>
      <c r="CI61" s="83"/>
      <c r="CJ61" s="83"/>
      <c r="CK61" s="83"/>
      <c r="CL61" s="83"/>
      <c r="CM61" s="83"/>
      <c r="CN61" s="86" t="str">
        <f t="shared" si="291"/>
        <v>InitUnitState('E209',,,50,,340000,,8500,,,)</v>
      </c>
      <c r="CO61" s="86" t="str">
        <f t="shared" si="292"/>
        <v>InitUnitNormal('E209',,,,,,,,,,)</v>
      </c>
      <c r="CP61" s="86" t="str">
        <f t="shared" si="293"/>
        <v>InitUnitMagic('E209',,,,,,,,1,,)</v>
      </c>
      <c r="CQ61" s="86" t="str">
        <f t="shared" si="294"/>
        <v>InitUnitAdd('E209',,,,,,,,,,)</v>
      </c>
      <c r="CR61" s="86" t="str">
        <f t="shared" si="438"/>
        <v>InitEquipData('E209',,"",,E210,2500,85,'','','','','','',"ReplaceableTextures\\CommandButtons\\BTNZ14.blp")</v>
      </c>
      <c r="CS61" s="86"/>
      <c r="CT61" s="86"/>
      <c r="CU61" s="88" t="str">
        <f t="shared" si="78"/>
        <v>|n护甲+50|n生命值+340000|n生命回复+8500|n生命恢复%+1|n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|Cffbbbbbb属性：|r|n护甲+50|n生命值+340000|n生命回复+8500|n生命恢复%+1|n|n|Cff00ff7f点击消耗2500金币进行强化|n成功率85%</v>
      </c>
      <c r="DB61" s="66" t="str">
        <f t="shared" si="579"/>
        <v/>
      </c>
      <c r="DC61" s="66" t="str">
        <f t="shared" si="580"/>
        <v/>
      </c>
      <c r="DD61" s="66" t="str">
        <f t="shared" si="581"/>
        <v>|n护甲+50</v>
      </c>
      <c r="DE61" s="66" t="str">
        <f t="shared" si="582"/>
        <v/>
      </c>
      <c r="DF61" s="66" t="str">
        <f t="shared" si="583"/>
        <v>|n生命值+340000</v>
      </c>
      <c r="DG61" s="66" t="str">
        <f t="shared" si="584"/>
        <v/>
      </c>
      <c r="DH61" s="66" t="str">
        <f t="shared" si="585"/>
        <v>|n生命回复+8500</v>
      </c>
      <c r="DI61" s="66" t="str">
        <f t="shared" si="586"/>
        <v/>
      </c>
      <c r="DJ61" s="66" t="str">
        <f t="shared" si="587"/>
        <v/>
      </c>
      <c r="DK61" s="66" t="str">
        <f t="shared" si="588"/>
        <v/>
      </c>
      <c r="DL61" s="66" t="str">
        <f t="shared" si="589"/>
        <v/>
      </c>
      <c r="DM61" s="66" t="str">
        <f t="shared" si="590"/>
        <v/>
      </c>
      <c r="DN61" s="66" t="str">
        <f t="shared" si="591"/>
        <v/>
      </c>
      <c r="DO61" s="66" t="str">
        <f t="shared" si="592"/>
        <v/>
      </c>
      <c r="DP61" s="66" t="str">
        <f t="shared" si="593"/>
        <v/>
      </c>
      <c r="DQ61" s="66" t="str">
        <f t="shared" si="594"/>
        <v/>
      </c>
      <c r="DR61" s="66" t="str">
        <f t="shared" si="595"/>
        <v/>
      </c>
      <c r="DS61" s="66" t="str">
        <f t="shared" si="596"/>
        <v/>
      </c>
      <c r="DT61" s="66" t="str">
        <f t="shared" si="597"/>
        <v/>
      </c>
      <c r="DU61" s="66" t="str">
        <f t="shared" si="598"/>
        <v/>
      </c>
      <c r="DV61" s="66" t="str">
        <f t="shared" si="599"/>
        <v/>
      </c>
      <c r="DW61" s="66" t="str">
        <f t="shared" si="600"/>
        <v/>
      </c>
      <c r="DX61" s="66" t="str">
        <f t="shared" si="601"/>
        <v/>
      </c>
      <c r="DY61" s="66" t="str">
        <f t="shared" si="602"/>
        <v/>
      </c>
      <c r="DZ61" s="66" t="str">
        <f t="shared" si="603"/>
        <v/>
      </c>
      <c r="EA61" s="66" t="str">
        <f t="shared" si="604"/>
        <v/>
      </c>
      <c r="EB61" s="66" t="str">
        <f t="shared" si="605"/>
        <v/>
      </c>
      <c r="EC61" s="66" t="str">
        <f t="shared" si="606"/>
        <v>|n生命恢复%+1</v>
      </c>
      <c r="ED61" s="66" t="str">
        <f t="shared" si="607"/>
        <v/>
      </c>
      <c r="EE61" s="66" t="str">
        <f t="shared" si="608"/>
        <v/>
      </c>
      <c r="EF61" s="66" t="str">
        <f t="shared" si="609"/>
        <v/>
      </c>
      <c r="EG61" s="66" t="str">
        <f t="shared" si="610"/>
        <v/>
      </c>
      <c r="EH61" s="66" t="str">
        <f t="shared" si="611"/>
        <v/>
      </c>
      <c r="EI61" s="66" t="str">
        <f t="shared" si="612"/>
        <v/>
      </c>
      <c r="EJ61" s="66" t="str">
        <f t="shared" si="613"/>
        <v/>
      </c>
      <c r="EK61" s="66" t="str">
        <f t="shared" si="614"/>
        <v/>
      </c>
      <c r="EL61" s="66" t="str">
        <f t="shared" si="615"/>
        <v/>
      </c>
      <c r="EM61" s="66" t="str">
        <f t="shared" si="616"/>
        <v/>
      </c>
      <c r="EN61" s="66" t="str">
        <f t="shared" si="617"/>
        <v/>
      </c>
      <c r="EO61" s="66" t="str">
        <f t="shared" si="618"/>
        <v/>
      </c>
      <c r="EP61" s="66" t="str">
        <f t="shared" si="619"/>
        <v/>
      </c>
      <c r="EQ61" s="66" t="str">
        <f t="shared" si="620"/>
        <v/>
      </c>
      <c r="ER61" s="66" t="str">
        <f t="shared" si="621"/>
        <v/>
      </c>
      <c r="ES61" s="66" t="str">
        <f t="shared" si="622"/>
        <v/>
      </c>
      <c r="ET61" s="66" t="str">
        <f t="shared" si="623"/>
        <v/>
      </c>
      <c r="EU61" s="66" t="str">
        <f t="shared" si="624"/>
        <v/>
      </c>
      <c r="EV61" s="66" t="str">
        <f t="shared" si="625"/>
        <v/>
      </c>
      <c r="EW61" s="66" t="str">
        <f t="shared" si="626"/>
        <v/>
      </c>
      <c r="EX61" s="66" t="str">
        <f t="shared" si="627"/>
        <v/>
      </c>
      <c r="EY61" s="66" t="str">
        <f t="shared" si="628"/>
        <v/>
      </c>
      <c r="EZ61" s="66" t="str">
        <f t="shared" si="629"/>
        <v/>
      </c>
      <c r="FA61" s="66" t="str">
        <f t="shared" si="630"/>
        <v/>
      </c>
      <c r="FB61" s="66" t="str">
        <f t="shared" si="631"/>
        <v/>
      </c>
      <c r="FC61" s="66" t="str">
        <f t="shared" si="632"/>
        <v/>
      </c>
      <c r="FD61" s="66" t="str">
        <f t="shared" si="633"/>
        <v/>
      </c>
      <c r="FE61" s="66" t="str">
        <f t="shared" si="634"/>
        <v/>
      </c>
      <c r="FF61" s="66" t="str">
        <f t="shared" si="635"/>
        <v/>
      </c>
      <c r="FG61" s="66" t="str">
        <f t="shared" si="636"/>
        <v/>
      </c>
      <c r="FH61" s="66" t="str">
        <f t="shared" si="637"/>
        <v/>
      </c>
      <c r="FI61" s="66" t="str">
        <f t="shared" si="638"/>
        <v/>
      </c>
      <c r="FJ61" s="66" t="str">
        <f t="shared" si="639"/>
        <v/>
      </c>
      <c r="FK61" s="66" t="str">
        <f t="shared" si="640"/>
        <v/>
      </c>
      <c r="FL61" s="66" t="str">
        <f t="shared" si="641"/>
        <v/>
      </c>
      <c r="FM61" s="66" t="str">
        <f t="shared" si="642"/>
        <v/>
      </c>
      <c r="FN61" s="66" t="str">
        <f t="shared" si="643"/>
        <v/>
      </c>
      <c r="FO61" s="66" t="str">
        <f t="shared" si="644"/>
        <v/>
      </c>
      <c r="FP61" s="66" t="str">
        <f t="shared" si="645"/>
        <v/>
      </c>
      <c r="FQ61" s="66" t="str">
        <f t="shared" si="646"/>
        <v/>
      </c>
      <c r="FR61" s="66" t="str">
        <f t="shared" si="647"/>
        <v/>
      </c>
      <c r="FS61" s="66" t="str">
        <f t="shared" si="648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37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50</v>
      </c>
      <c r="Y62" s="78"/>
      <c r="Z62" s="78">
        <v>400000</v>
      </c>
      <c r="AA62" s="78"/>
      <c r="AB62" s="78">
        <v>10000</v>
      </c>
      <c r="AC62" s="78"/>
      <c r="AD62" s="78"/>
      <c r="AE62" s="78"/>
      <c r="AF62" s="78"/>
      <c r="AG62" s="81"/>
      <c r="AH62" s="78"/>
      <c r="AI62" s="78"/>
      <c r="AJ62" s="78"/>
      <c r="AK62" s="78"/>
      <c r="AL62" s="81"/>
      <c r="AM62" s="78"/>
      <c r="AN62" s="78"/>
      <c r="AO62" s="78"/>
      <c r="AP62" s="83"/>
      <c r="AQ62" s="83"/>
      <c r="AR62" s="84"/>
      <c r="AS62" s="84"/>
      <c r="AT62" s="83"/>
      <c r="AU62" s="83"/>
      <c r="AV62" s="83"/>
      <c r="AW62" s="83">
        <v>1</v>
      </c>
      <c r="AX62" s="83"/>
      <c r="AY62" s="83"/>
      <c r="AZ62" s="83"/>
      <c r="BA62" s="83"/>
      <c r="BB62" s="8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3"/>
      <c r="CF62" s="83"/>
      <c r="CG62" s="83"/>
      <c r="CH62" s="83"/>
      <c r="CI62" s="83"/>
      <c r="CJ62" s="83"/>
      <c r="CK62" s="83"/>
      <c r="CL62" s="83"/>
      <c r="CM62" s="83"/>
      <c r="CN62" s="86" t="str">
        <f t="shared" si="291"/>
        <v>InitUnitState('E210',,,50,,400000,,10000,,,)</v>
      </c>
      <c r="CO62" s="86" t="str">
        <f t="shared" si="292"/>
        <v>InitUnitNormal('E210',,,,,,,,,,)</v>
      </c>
      <c r="CP62" s="86" t="str">
        <f t="shared" si="293"/>
        <v>InitUnitMagic('E210',,,,,,,,1,,)</v>
      </c>
      <c r="CQ62" s="86" t="str">
        <f t="shared" si="294"/>
        <v>InitUnitAdd('E210',,,,,,,,,,)</v>
      </c>
      <c r="CR62" s="86" t="str">
        <f t="shared" si="438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|n护甲+50|n生命值+400000|n生命回复+10000|n生命恢复%+1|n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|Cffbbbbbb属性：|r|n护甲+50|n生命值+400000|n生命回复+10000|n生命恢复%+1|n|n|Cff00ff7f点击消耗10000金币进行晋阶挑战</v>
      </c>
      <c r="DB62" s="66" t="str">
        <f t="shared" si="579"/>
        <v/>
      </c>
      <c r="DC62" s="66" t="str">
        <f t="shared" si="580"/>
        <v/>
      </c>
      <c r="DD62" s="66" t="str">
        <f t="shared" si="581"/>
        <v>|n护甲+50</v>
      </c>
      <c r="DE62" s="66" t="str">
        <f t="shared" si="582"/>
        <v/>
      </c>
      <c r="DF62" s="66" t="str">
        <f t="shared" si="583"/>
        <v>|n生命值+400000</v>
      </c>
      <c r="DG62" s="66" t="str">
        <f t="shared" si="584"/>
        <v/>
      </c>
      <c r="DH62" s="66" t="str">
        <f t="shared" si="585"/>
        <v>|n生命回复+10000</v>
      </c>
      <c r="DI62" s="66" t="str">
        <f t="shared" si="586"/>
        <v/>
      </c>
      <c r="DJ62" s="66" t="str">
        <f t="shared" si="587"/>
        <v/>
      </c>
      <c r="DK62" s="66" t="str">
        <f t="shared" si="588"/>
        <v/>
      </c>
      <c r="DL62" s="66" t="str">
        <f t="shared" si="589"/>
        <v/>
      </c>
      <c r="DM62" s="66" t="str">
        <f t="shared" si="590"/>
        <v/>
      </c>
      <c r="DN62" s="66" t="str">
        <f t="shared" si="591"/>
        <v/>
      </c>
      <c r="DO62" s="66" t="str">
        <f t="shared" si="592"/>
        <v/>
      </c>
      <c r="DP62" s="66" t="str">
        <f t="shared" si="593"/>
        <v/>
      </c>
      <c r="DQ62" s="66" t="str">
        <f t="shared" si="594"/>
        <v/>
      </c>
      <c r="DR62" s="66" t="str">
        <f t="shared" si="595"/>
        <v/>
      </c>
      <c r="DS62" s="66" t="str">
        <f t="shared" si="596"/>
        <v/>
      </c>
      <c r="DT62" s="66" t="str">
        <f t="shared" si="597"/>
        <v/>
      </c>
      <c r="DU62" s="66" t="str">
        <f t="shared" si="598"/>
        <v/>
      </c>
      <c r="DV62" s="66" t="str">
        <f t="shared" si="599"/>
        <v/>
      </c>
      <c r="DW62" s="66" t="str">
        <f t="shared" si="600"/>
        <v/>
      </c>
      <c r="DX62" s="66" t="str">
        <f t="shared" si="601"/>
        <v/>
      </c>
      <c r="DY62" s="66" t="str">
        <f t="shared" si="602"/>
        <v/>
      </c>
      <c r="DZ62" s="66" t="str">
        <f t="shared" si="603"/>
        <v/>
      </c>
      <c r="EA62" s="66" t="str">
        <f t="shared" si="604"/>
        <v/>
      </c>
      <c r="EB62" s="66" t="str">
        <f t="shared" si="605"/>
        <v/>
      </c>
      <c r="EC62" s="66" t="str">
        <f t="shared" si="606"/>
        <v>|n生命恢复%+1</v>
      </c>
      <c r="ED62" s="66" t="str">
        <f t="shared" si="607"/>
        <v/>
      </c>
      <c r="EE62" s="66" t="str">
        <f t="shared" si="608"/>
        <v/>
      </c>
      <c r="EF62" s="66" t="str">
        <f t="shared" si="609"/>
        <v/>
      </c>
      <c r="EG62" s="66" t="str">
        <f t="shared" si="610"/>
        <v/>
      </c>
      <c r="EH62" s="66" t="str">
        <f t="shared" si="611"/>
        <v/>
      </c>
      <c r="EI62" s="66" t="str">
        <f t="shared" si="612"/>
        <v/>
      </c>
      <c r="EJ62" s="66" t="str">
        <f t="shared" si="613"/>
        <v/>
      </c>
      <c r="EK62" s="66" t="str">
        <f t="shared" si="614"/>
        <v/>
      </c>
      <c r="EL62" s="66" t="str">
        <f t="shared" si="615"/>
        <v/>
      </c>
      <c r="EM62" s="66" t="str">
        <f t="shared" si="616"/>
        <v/>
      </c>
      <c r="EN62" s="66" t="str">
        <f t="shared" si="617"/>
        <v/>
      </c>
      <c r="EO62" s="66" t="str">
        <f t="shared" si="618"/>
        <v/>
      </c>
      <c r="EP62" s="66" t="str">
        <f t="shared" si="619"/>
        <v/>
      </c>
      <c r="EQ62" s="66" t="str">
        <f t="shared" si="620"/>
        <v/>
      </c>
      <c r="ER62" s="66" t="str">
        <f t="shared" si="621"/>
        <v/>
      </c>
      <c r="ES62" s="66" t="str">
        <f t="shared" si="622"/>
        <v/>
      </c>
      <c r="ET62" s="66" t="str">
        <f t="shared" si="623"/>
        <v/>
      </c>
      <c r="EU62" s="66" t="str">
        <f t="shared" si="624"/>
        <v/>
      </c>
      <c r="EV62" s="66" t="str">
        <f t="shared" si="625"/>
        <v/>
      </c>
      <c r="EW62" s="66" t="str">
        <f t="shared" si="626"/>
        <v/>
      </c>
      <c r="EX62" s="66" t="str">
        <f t="shared" si="627"/>
        <v/>
      </c>
      <c r="EY62" s="66" t="str">
        <f t="shared" si="628"/>
        <v/>
      </c>
      <c r="EZ62" s="66" t="str">
        <f t="shared" si="629"/>
        <v/>
      </c>
      <c r="FA62" s="66" t="str">
        <f t="shared" si="630"/>
        <v/>
      </c>
      <c r="FB62" s="66" t="str">
        <f t="shared" si="631"/>
        <v/>
      </c>
      <c r="FC62" s="66" t="str">
        <f t="shared" si="632"/>
        <v/>
      </c>
      <c r="FD62" s="66" t="str">
        <f t="shared" si="633"/>
        <v/>
      </c>
      <c r="FE62" s="66" t="str">
        <f t="shared" si="634"/>
        <v/>
      </c>
      <c r="FF62" s="66" t="str">
        <f t="shared" si="635"/>
        <v/>
      </c>
      <c r="FG62" s="66" t="str">
        <f t="shared" si="636"/>
        <v/>
      </c>
      <c r="FH62" s="66" t="str">
        <f t="shared" si="637"/>
        <v/>
      </c>
      <c r="FI62" s="66" t="str">
        <f t="shared" si="638"/>
        <v/>
      </c>
      <c r="FJ62" s="66" t="str">
        <f t="shared" si="639"/>
        <v/>
      </c>
      <c r="FK62" s="66" t="str">
        <f t="shared" si="640"/>
        <v/>
      </c>
      <c r="FL62" s="66" t="str">
        <f t="shared" si="641"/>
        <v/>
      </c>
      <c r="FM62" s="66" t="str">
        <f t="shared" si="642"/>
        <v/>
      </c>
      <c r="FN62" s="66" t="str">
        <f t="shared" si="643"/>
        <v/>
      </c>
      <c r="FO62" s="66" t="str">
        <f t="shared" si="644"/>
        <v/>
      </c>
      <c r="FP62" s="66" t="str">
        <f t="shared" si="645"/>
        <v/>
      </c>
      <c r="FQ62" s="66" t="str">
        <f t="shared" si="646"/>
        <v/>
      </c>
      <c r="FR62" s="66" t="str">
        <f t="shared" si="647"/>
        <v/>
      </c>
      <c r="FS62" s="66" t="str">
        <f t="shared" si="648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37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100</v>
      </c>
      <c r="Y63" s="78"/>
      <c r="Z63" s="78">
        <v>600000</v>
      </c>
      <c r="AA63" s="78"/>
      <c r="AB63" s="78">
        <v>15000</v>
      </c>
      <c r="AC63" s="78"/>
      <c r="AD63" s="78"/>
      <c r="AE63" s="78"/>
      <c r="AF63" s="78"/>
      <c r="AG63" s="81"/>
      <c r="AH63" s="78"/>
      <c r="AI63" s="78"/>
      <c r="AJ63" s="78"/>
      <c r="AK63" s="78"/>
      <c r="AL63" s="81"/>
      <c r="AM63" s="78"/>
      <c r="AN63" s="78"/>
      <c r="AO63" s="78"/>
      <c r="AP63" s="83"/>
      <c r="AQ63" s="83"/>
      <c r="AR63" s="84"/>
      <c r="AS63" s="84"/>
      <c r="AT63" s="83"/>
      <c r="AU63" s="83"/>
      <c r="AV63" s="83"/>
      <c r="AW63" s="83">
        <v>1</v>
      </c>
      <c r="AX63" s="83"/>
      <c r="AY63" s="83"/>
      <c r="AZ63" s="83"/>
      <c r="BA63" s="83"/>
      <c r="BB63" s="8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3"/>
      <c r="CF63" s="83"/>
      <c r="CG63" s="83"/>
      <c r="CH63" s="83"/>
      <c r="CI63" s="83"/>
      <c r="CJ63" s="83"/>
      <c r="CK63" s="83"/>
      <c r="CL63" s="83"/>
      <c r="CM63" s="83"/>
      <c r="CN63" s="86" t="str">
        <f t="shared" si="291"/>
        <v>InitUnitState('E211',,,100,,600000,,15000,,,)</v>
      </c>
      <c r="CO63" s="86" t="str">
        <f t="shared" si="292"/>
        <v>InitUnitNormal('E211',,,,,,,,,,)</v>
      </c>
      <c r="CP63" s="86" t="str">
        <f t="shared" si="293"/>
        <v>InitUnitMagic('E211',,,,,,,,1,,)</v>
      </c>
      <c r="CQ63" s="86" t="str">
        <f t="shared" si="294"/>
        <v>InitUnitAdd('E211',,,,,,,,,,)</v>
      </c>
      <c r="CR63" s="8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|n护甲+100|n生命值+600000|n生命回复+15000|n生命恢复%+1|n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|Cffbbbbbb属性：|r|n护甲+100|n生命值+600000|n生命回复+15000|n生命恢复%+1|n|n|Cff00ff7f点击消耗8000金币进行强化|n成功率70%</v>
      </c>
      <c r="DB63" s="66" t="str">
        <f t="shared" ref="DB63:DB101" si="650">IF(V63="","","|n"&amp;DB$2&amp;"+"&amp;V63&amp;DB$1)</f>
        <v/>
      </c>
      <c r="DC63" s="66" t="str">
        <f t="shared" ref="DC63:DC101" si="651">IF(W63="","","|n"&amp;DC$2&amp;"+"&amp;W63&amp;DC$1)</f>
        <v/>
      </c>
      <c r="DD63" s="66" t="str">
        <f t="shared" ref="DD63:DD101" si="652">IF(X63="","","|n"&amp;DD$2&amp;"+"&amp;X63&amp;DD$1)</f>
        <v>|n护甲+100</v>
      </c>
      <c r="DE63" s="66" t="str">
        <f t="shared" ref="DE63:DE101" si="653">IF(Y63="","","|n"&amp;DE$2&amp;"+"&amp;Y63&amp;DE$1)</f>
        <v/>
      </c>
      <c r="DF63" s="66" t="str">
        <f t="shared" ref="DF63:DF101" si="654">IF(Z63="","","|n"&amp;DF$2&amp;"+"&amp;Z63&amp;DF$1)</f>
        <v>|n生命值+600000</v>
      </c>
      <c r="DG63" s="66" t="str">
        <f t="shared" ref="DG63:DG101" si="655">IF(AA63="","","|n"&amp;DG$2&amp;"+"&amp;AA63&amp;DG$1)</f>
        <v/>
      </c>
      <c r="DH63" s="66" t="str">
        <f t="shared" ref="DH63:DH101" si="656">IF(AB63="","","|n"&amp;DH$2&amp;"+"&amp;AB63&amp;DH$1)</f>
        <v>|n生命回复+15000</v>
      </c>
      <c r="DI63" s="66" t="str">
        <f t="shared" ref="DI63:DI101" si="657">IF(AC63="","","|n"&amp;DI$2&amp;"+"&amp;AC63&amp;DI$1)</f>
        <v/>
      </c>
      <c r="DJ63" s="66" t="str">
        <f t="shared" ref="DJ63:DJ101" si="658">IF(AD63="","","|n"&amp;DJ$2&amp;"+"&amp;AD63&amp;DJ$1)</f>
        <v/>
      </c>
      <c r="DK63" s="66" t="str">
        <f t="shared" ref="DK63:DK101" si="659">IF(AE63="","","|n"&amp;DK$2&amp;"+"&amp;AE63&amp;DK$1)</f>
        <v/>
      </c>
      <c r="DL63" s="66" t="str">
        <f t="shared" ref="DL63:DL101" si="660">IF(AF63="","","|n"&amp;DL$2&amp;"+"&amp;AF63&amp;DL$1)</f>
        <v/>
      </c>
      <c r="DM63" s="66" t="str">
        <f t="shared" ref="DM63:DM101" si="661">IF(AG63="","","|n"&amp;DM$2&amp;"+"&amp;AG63&amp;DM$1)</f>
        <v/>
      </c>
      <c r="DN63" s="66" t="str">
        <f t="shared" ref="DN63:DN101" si="662">IF(AH63="","","|n"&amp;DN$2&amp;"+"&amp;AH63&amp;DN$1)</f>
        <v/>
      </c>
      <c r="DO63" s="66" t="str">
        <f t="shared" ref="DO63:DO101" si="663">IF(AI63="","","|n"&amp;DO$2&amp;"+"&amp;AI63&amp;DO$1)</f>
        <v/>
      </c>
      <c r="DP63" s="66" t="str">
        <f t="shared" ref="DP63:DP101" si="664">IF(AJ63="","","|n"&amp;DP$2&amp;"+"&amp;AJ63&amp;DP$1)</f>
        <v/>
      </c>
      <c r="DQ63" s="66" t="str">
        <f t="shared" ref="DQ63:DQ101" si="665">IF(AK63="","","|n"&amp;DQ$2&amp;"+"&amp;AK63&amp;DQ$1)</f>
        <v/>
      </c>
      <c r="DR63" s="66" t="str">
        <f t="shared" ref="DR63:DR101" si="666">IF(AL63="","","|n"&amp;DR$2&amp;"+"&amp;AL63&amp;DR$1)</f>
        <v/>
      </c>
      <c r="DS63" s="66" t="str">
        <f t="shared" ref="DS63:DS101" si="667">IF(AM63="","","|n"&amp;DS$2&amp;"+"&amp;AM63&amp;DS$1)</f>
        <v/>
      </c>
      <c r="DT63" s="66" t="str">
        <f t="shared" ref="DT63:DT101" si="668">IF(AN63="","","|n"&amp;DT$2&amp;"+"&amp;AN63&amp;DT$1)</f>
        <v/>
      </c>
      <c r="DU63" s="66" t="str">
        <f t="shared" ref="DU63:DU101" si="669">IF(AO63="","","|n"&amp;DU$2&amp;"+"&amp;AO63&amp;DU$1)</f>
        <v/>
      </c>
      <c r="DV63" s="66" t="str">
        <f t="shared" ref="DV63:DV101" si="670">IF(AP63="","","|n"&amp;DV$2&amp;"+"&amp;AP63&amp;DV$1)</f>
        <v/>
      </c>
      <c r="DW63" s="66" t="str">
        <f t="shared" ref="DW63:DW101" si="671">IF(AQ63="","","|n"&amp;DW$2&amp;"+"&amp;AQ63&amp;DW$1)</f>
        <v/>
      </c>
      <c r="DX63" s="66" t="str">
        <f t="shared" ref="DX63:DX101" si="672">IF(AR63="","","|n"&amp;DX$2&amp;"+"&amp;AR63&amp;DX$1)</f>
        <v/>
      </c>
      <c r="DY63" s="66" t="str">
        <f t="shared" ref="DY63:DY101" si="673">IF(AS63="","","|n"&amp;DY$2&amp;"+"&amp;AS63&amp;DY$1)</f>
        <v/>
      </c>
      <c r="DZ63" s="66" t="str">
        <f t="shared" ref="DZ63:DZ101" si="674">IF(AT63="","","|n"&amp;DZ$2&amp;"+"&amp;AT63&amp;DZ$1)</f>
        <v/>
      </c>
      <c r="EA63" s="66" t="str">
        <f t="shared" ref="EA63:EA101" si="675">IF(AU63="","","|n"&amp;EA$2&amp;"+"&amp;AU63&amp;EA$1)</f>
        <v/>
      </c>
      <c r="EB63" s="66" t="str">
        <f t="shared" ref="EB63:EB101" si="676">IF(AV63="","","|n"&amp;EB$2&amp;"+"&amp;AV63&amp;EB$1)</f>
        <v/>
      </c>
      <c r="EC63" s="66" t="str">
        <f t="shared" ref="EC63:EC101" si="677">IF(AW63="","","|n"&amp;EC$2&amp;"+"&amp;AW63&amp;EC$1)</f>
        <v>|n生命恢复%+1</v>
      </c>
      <c r="ED63" s="66" t="str">
        <f t="shared" ref="ED63:ED101" si="678">IF(AX63="","","|n"&amp;ED$2&amp;"+"&amp;AX63&amp;ED$1)</f>
        <v/>
      </c>
      <c r="EE63" s="66" t="str">
        <f t="shared" ref="EE63:EE101" si="679">IF(AY63="","","|n"&amp;EE$2&amp;"+"&amp;AY63&amp;EE$1)</f>
        <v/>
      </c>
      <c r="EF63" s="66" t="str">
        <f t="shared" ref="EF63:EF101" si="680">IF(AZ63="","","|n"&amp;EF$2&amp;"+"&amp;AZ63&amp;EF$1)</f>
        <v/>
      </c>
      <c r="EG63" s="66" t="str">
        <f t="shared" ref="EG63:EG101" si="681">IF(BA63="","","|n"&amp;EG$2&amp;"+"&amp;BA63&amp;EG$1)</f>
        <v/>
      </c>
      <c r="EH63" s="66" t="str">
        <f t="shared" ref="EH63:EH101" si="682">IF(BB63="","","|n"&amp;EH$2&amp;"+"&amp;BB63&amp;EH$1)</f>
        <v/>
      </c>
      <c r="EI63" s="66" t="str">
        <f t="shared" ref="EI63:EI101" si="683">IF(BC63="","","|n"&amp;EI$2&amp;"+"&amp;BC63&amp;EI$1)</f>
        <v/>
      </c>
      <c r="EJ63" s="66" t="str">
        <f t="shared" ref="EJ63:EJ101" si="684">IF(BD63="","","|n"&amp;EJ$2&amp;"+"&amp;BD63&amp;EJ$1)</f>
        <v/>
      </c>
      <c r="EK63" s="66" t="str">
        <f t="shared" ref="EK63:EK101" si="685">IF(BE63="","","|n"&amp;EK$2&amp;"+"&amp;BE63&amp;EK$1)</f>
        <v/>
      </c>
      <c r="EL63" s="66" t="str">
        <f t="shared" ref="EL63:EL101" si="686">IF(BF63="","","|n"&amp;EL$2&amp;"+"&amp;BF63&amp;EL$1)</f>
        <v/>
      </c>
      <c r="EM63" s="66" t="str">
        <f t="shared" ref="EM63:EM101" si="687">IF(BG63="","","|n"&amp;EM$2&amp;"+"&amp;BG63&amp;EM$1)</f>
        <v/>
      </c>
      <c r="EN63" s="66" t="str">
        <f t="shared" ref="EN63:EN101" si="688">IF(BH63="","","|n"&amp;EN$2&amp;"+"&amp;BH63&amp;EN$1)</f>
        <v/>
      </c>
      <c r="EO63" s="66" t="str">
        <f t="shared" ref="EO63:EO101" si="689">IF(BI63="","","|n"&amp;EO$2&amp;"+"&amp;BI63&amp;EO$1)</f>
        <v/>
      </c>
      <c r="EP63" s="66" t="str">
        <f t="shared" ref="EP63:EP101" si="690">IF(BJ63="","","|n"&amp;EP$2&amp;"+"&amp;BJ63&amp;EP$1)</f>
        <v/>
      </c>
      <c r="EQ63" s="66" t="str">
        <f t="shared" ref="EQ63:EQ101" si="691">IF(BK63="","","|n"&amp;EQ$2&amp;"+"&amp;BK63&amp;EQ$1)</f>
        <v/>
      </c>
      <c r="ER63" s="66" t="str">
        <f t="shared" ref="ER63:ER101" si="692">IF(BL63="","","|n"&amp;ER$2&amp;"+"&amp;BL63&amp;ER$1)</f>
        <v/>
      </c>
      <c r="ES63" s="66" t="str">
        <f t="shared" ref="ES63:ES101" si="693">IF(BM63="","","|n"&amp;ES$2&amp;"+"&amp;BM63&amp;ES$1)</f>
        <v/>
      </c>
      <c r="ET63" s="66" t="str">
        <f t="shared" ref="ET63:ET101" si="694">IF(BN63="","","|n"&amp;ET$2&amp;"+"&amp;BN63&amp;ET$1)</f>
        <v/>
      </c>
      <c r="EU63" s="66" t="str">
        <f t="shared" ref="EU63:EU101" si="695">IF(BO63="","","|n"&amp;EU$2&amp;"+"&amp;BO63&amp;EU$1)</f>
        <v/>
      </c>
      <c r="EV63" s="66" t="str">
        <f t="shared" ref="EV63:EV101" si="696">IF(BP63="","","|n"&amp;EV$2&amp;"+"&amp;BP63&amp;EV$1)</f>
        <v/>
      </c>
      <c r="EW63" s="66" t="str">
        <f t="shared" ref="EW63:EW101" si="697">IF(BQ63="","","|n"&amp;EW$2&amp;"+"&amp;BQ63&amp;EW$1)</f>
        <v/>
      </c>
      <c r="EX63" s="66" t="str">
        <f t="shared" ref="EX63:EX101" si="698">IF(BR63="","","|n"&amp;EX$2&amp;"+"&amp;BR63&amp;EX$1)</f>
        <v/>
      </c>
      <c r="EY63" s="66" t="str">
        <f t="shared" ref="EY63:EY101" si="699">IF(BS63="","","|n"&amp;EY$2&amp;"+"&amp;BS63&amp;EY$1)</f>
        <v/>
      </c>
      <c r="EZ63" s="66" t="str">
        <f t="shared" ref="EZ63:EZ101" si="700">IF(BT63="","","|n"&amp;EZ$2&amp;"+"&amp;BT63&amp;EZ$1)</f>
        <v/>
      </c>
      <c r="FA63" s="66" t="str">
        <f t="shared" ref="FA63:FA101" si="701">IF(BU63="","","|n"&amp;FA$2&amp;"+"&amp;BU63&amp;FA$1)</f>
        <v/>
      </c>
      <c r="FB63" s="66" t="str">
        <f t="shared" ref="FB63:FB101" si="702">IF(BV63="","","|n"&amp;FB$2&amp;"+"&amp;BV63&amp;FB$1)</f>
        <v/>
      </c>
      <c r="FC63" s="66" t="str">
        <f t="shared" ref="FC63:FC101" si="703">IF(BW63="","","|n"&amp;FC$2&amp;"+"&amp;BW63&amp;FC$1)</f>
        <v/>
      </c>
      <c r="FD63" s="66" t="str">
        <f t="shared" ref="FD63:FD101" si="704">IF(BX63="","","|n"&amp;FD$2&amp;"+"&amp;BX63&amp;FD$1)</f>
        <v/>
      </c>
      <c r="FE63" s="66" t="str">
        <f t="shared" ref="FE63:FE101" si="705">IF(BY63="","","|n"&amp;FE$2&amp;"+"&amp;BY63&amp;FE$1)</f>
        <v/>
      </c>
      <c r="FF63" s="66" t="str">
        <f t="shared" ref="FF63:FF101" si="706">IF(BZ63="","","|n"&amp;FF$2&amp;"+"&amp;BZ63&amp;FF$1)</f>
        <v/>
      </c>
      <c r="FG63" s="66" t="str">
        <f t="shared" ref="FG63:FG101" si="707">IF(CA63="","","|n"&amp;FG$2&amp;"+"&amp;CA63&amp;FG$1)</f>
        <v/>
      </c>
      <c r="FH63" s="66" t="str">
        <f t="shared" ref="FH63:FH101" si="708">IF(CB63="","","|n"&amp;FH$2&amp;"+"&amp;CB63&amp;FH$1)</f>
        <v/>
      </c>
      <c r="FI63" s="66" t="str">
        <f t="shared" ref="FI63:FI101" si="709">IF(CC63="","","|n"&amp;FI$2&amp;"+"&amp;CC63&amp;FI$1)</f>
        <v/>
      </c>
      <c r="FJ63" s="66" t="str">
        <f t="shared" ref="FJ63:FJ101" si="710">IF(CD63="","","|n"&amp;FJ$2&amp;"+"&amp;CD63&amp;FJ$1)</f>
        <v/>
      </c>
      <c r="FK63" s="66" t="str">
        <f t="shared" ref="FK63:FK101" si="711">IF(CE63="","","|n"&amp;FK$2&amp;"+"&amp;CE63&amp;FK$1)</f>
        <v/>
      </c>
      <c r="FL63" s="66" t="str">
        <f t="shared" ref="FL63:FL101" si="712">IF(CF63="","","|n"&amp;FL$2&amp;"+"&amp;CF63&amp;FL$1)</f>
        <v/>
      </c>
      <c r="FM63" s="66" t="str">
        <f t="shared" ref="FM63:FM101" si="713">IF(CG63="","","|n"&amp;FM$2&amp;"+"&amp;CG63&amp;FM$1)</f>
        <v/>
      </c>
      <c r="FN63" s="66" t="str">
        <f t="shared" ref="FN63:FN101" si="714">IF(CH63="","","|n"&amp;FN$2&amp;"+"&amp;CH63&amp;FN$1)</f>
        <v/>
      </c>
      <c r="FO63" s="66" t="str">
        <f t="shared" ref="FO63:FO101" si="715">IF(CI63="","","|n"&amp;FO$2&amp;"+"&amp;CI63&amp;FO$1)</f>
        <v/>
      </c>
      <c r="FP63" s="66" t="str">
        <f t="shared" ref="FP63:FP101" si="716">IF(CJ63="","","|n"&amp;FP$2&amp;"+"&amp;CJ63&amp;FP$1)</f>
        <v/>
      </c>
      <c r="FQ63" s="66" t="str">
        <f t="shared" ref="FQ63:FQ101" si="717">IF(CK63="","","|n"&amp;FQ$2&amp;"+"&amp;CK63&amp;FQ$1)</f>
        <v/>
      </c>
      <c r="FR63" s="66" t="str">
        <f t="shared" ref="FR63:FR101" si="718">IF(CL63="","","|n"&amp;FR$2&amp;"+"&amp;CL63&amp;FR$1)</f>
        <v/>
      </c>
      <c r="FS63" s="66" t="str">
        <f t="shared" ref="FS63:FS101" si="719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37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100</v>
      </c>
      <c r="Y64" s="78"/>
      <c r="Z64" s="78">
        <v>720000</v>
      </c>
      <c r="AA64" s="78"/>
      <c r="AB64" s="78">
        <v>18000</v>
      </c>
      <c r="AC64" s="78"/>
      <c r="AD64" s="78"/>
      <c r="AE64" s="78"/>
      <c r="AF64" s="78"/>
      <c r="AG64" s="81"/>
      <c r="AH64" s="78"/>
      <c r="AI64" s="78"/>
      <c r="AJ64" s="78"/>
      <c r="AK64" s="78"/>
      <c r="AL64" s="81"/>
      <c r="AM64" s="78"/>
      <c r="AN64" s="78"/>
      <c r="AO64" s="78"/>
      <c r="AP64" s="83"/>
      <c r="AQ64" s="83"/>
      <c r="AR64" s="84"/>
      <c r="AS64" s="84"/>
      <c r="AT64" s="83"/>
      <c r="AU64" s="83"/>
      <c r="AV64" s="83"/>
      <c r="AW64" s="83">
        <v>1</v>
      </c>
      <c r="AX64" s="83"/>
      <c r="AY64" s="83"/>
      <c r="AZ64" s="83"/>
      <c r="BA64" s="83"/>
      <c r="BB64" s="8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3"/>
      <c r="CF64" s="83"/>
      <c r="CG64" s="83"/>
      <c r="CH64" s="83"/>
      <c r="CI64" s="83"/>
      <c r="CJ64" s="83"/>
      <c r="CK64" s="83"/>
      <c r="CL64" s="83"/>
      <c r="CM64" s="83"/>
      <c r="CN64" s="86" t="str">
        <f t="shared" si="291"/>
        <v>InitUnitState('E212',,,100,,720000,,18000,,,)</v>
      </c>
      <c r="CO64" s="86" t="str">
        <f t="shared" si="292"/>
        <v>InitUnitNormal('E212',,,,,,,,,,)</v>
      </c>
      <c r="CP64" s="86" t="str">
        <f t="shared" si="293"/>
        <v>InitUnitMagic('E212',,,,,,,,1,,)</v>
      </c>
      <c r="CQ64" s="86" t="str">
        <f t="shared" si="294"/>
        <v>InitUnitAdd('E212',,,,,,,,,,)</v>
      </c>
      <c r="CR64" s="86" t="str">
        <f t="shared" si="649"/>
        <v>InitEquipData('E212',,"",,E213,8000,70,'','','','','','',"ReplaceableTextures\\CommandButtons\\BTNZ13.blp")</v>
      </c>
      <c r="CS64" s="86"/>
      <c r="CT64" s="86"/>
      <c r="CU64" s="88" t="str">
        <f t="shared" si="78"/>
        <v>|n护甲+100|n生命值+720000|n生命回复+18000|n生命恢复%+1|n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|Cffbbbbbb属性：|r|n护甲+100|n生命值+720000|n生命回复+18000|n生命恢复%+1|n|n|Cff00ff7f点击消耗8000金币进行强化|n成功率70%</v>
      </c>
      <c r="DB64" s="66" t="str">
        <f t="shared" ref="DB64:DB65" si="720">IF(V64="","","|n"&amp;DB$2&amp;"+"&amp;V64&amp;DB$1)</f>
        <v/>
      </c>
      <c r="DC64" s="66" t="str">
        <f t="shared" ref="DC64:DC65" si="721">IF(W64="","","|n"&amp;DC$2&amp;"+"&amp;W64&amp;DC$1)</f>
        <v/>
      </c>
      <c r="DD64" s="66" t="str">
        <f t="shared" ref="DD64:DD65" si="722">IF(X64="","","|n"&amp;DD$2&amp;"+"&amp;X64&amp;DD$1)</f>
        <v>|n护甲+100</v>
      </c>
      <c r="DE64" s="66" t="str">
        <f t="shared" ref="DE64:DE65" si="723">IF(Y64="","","|n"&amp;DE$2&amp;"+"&amp;Y64&amp;DE$1)</f>
        <v/>
      </c>
      <c r="DF64" s="66" t="str">
        <f t="shared" ref="DF64:DF65" si="724">IF(Z64="","","|n"&amp;DF$2&amp;"+"&amp;Z64&amp;DF$1)</f>
        <v>|n生命值+720000</v>
      </c>
      <c r="DG64" s="66" t="str">
        <f t="shared" ref="DG64:DG65" si="725">IF(AA64="","","|n"&amp;DG$2&amp;"+"&amp;AA64&amp;DG$1)</f>
        <v/>
      </c>
      <c r="DH64" s="66" t="str">
        <f t="shared" ref="DH64:DH65" si="726">IF(AB64="","","|n"&amp;DH$2&amp;"+"&amp;AB64&amp;DH$1)</f>
        <v>|n生命回复+18000</v>
      </c>
      <c r="DI64" s="66" t="str">
        <f t="shared" ref="DI64:DI65" si="727">IF(AC64="","","|n"&amp;DI$2&amp;"+"&amp;AC64&amp;DI$1)</f>
        <v/>
      </c>
      <c r="DJ64" s="66" t="str">
        <f t="shared" ref="DJ64:DJ65" si="728">IF(AD64="","","|n"&amp;DJ$2&amp;"+"&amp;AD64&amp;DJ$1)</f>
        <v/>
      </c>
      <c r="DK64" s="66" t="str">
        <f t="shared" ref="DK64:DK65" si="729">IF(AE64="","","|n"&amp;DK$2&amp;"+"&amp;AE64&amp;DK$1)</f>
        <v/>
      </c>
      <c r="DL64" s="66" t="str">
        <f t="shared" ref="DL64:DL65" si="730">IF(AF64="","","|n"&amp;DL$2&amp;"+"&amp;AF64&amp;DL$1)</f>
        <v/>
      </c>
      <c r="DM64" s="66" t="str">
        <f t="shared" ref="DM64:DM65" si="731">IF(AG64="","","|n"&amp;DM$2&amp;"+"&amp;AG64&amp;DM$1)</f>
        <v/>
      </c>
      <c r="DN64" s="66" t="str">
        <f t="shared" ref="DN64:DN65" si="732">IF(AH64="","","|n"&amp;DN$2&amp;"+"&amp;AH64&amp;DN$1)</f>
        <v/>
      </c>
      <c r="DO64" s="66" t="str">
        <f t="shared" ref="DO64:DO65" si="733">IF(AI64="","","|n"&amp;DO$2&amp;"+"&amp;AI64&amp;DO$1)</f>
        <v/>
      </c>
      <c r="DP64" s="66" t="str">
        <f t="shared" ref="DP64:DP65" si="734">IF(AJ64="","","|n"&amp;DP$2&amp;"+"&amp;AJ64&amp;DP$1)</f>
        <v/>
      </c>
      <c r="DQ64" s="66" t="str">
        <f t="shared" ref="DQ64:DQ65" si="735">IF(AK64="","","|n"&amp;DQ$2&amp;"+"&amp;AK64&amp;DQ$1)</f>
        <v/>
      </c>
      <c r="DR64" s="66" t="str">
        <f t="shared" ref="DR64:DR65" si="736">IF(AL64="","","|n"&amp;DR$2&amp;"+"&amp;AL64&amp;DR$1)</f>
        <v/>
      </c>
      <c r="DS64" s="66" t="str">
        <f t="shared" ref="DS64:DS65" si="737">IF(AM64="","","|n"&amp;DS$2&amp;"+"&amp;AM64&amp;DS$1)</f>
        <v/>
      </c>
      <c r="DT64" s="66" t="str">
        <f t="shared" ref="DT64:DT65" si="738">IF(AN64="","","|n"&amp;DT$2&amp;"+"&amp;AN64&amp;DT$1)</f>
        <v/>
      </c>
      <c r="DU64" s="66" t="str">
        <f t="shared" ref="DU64:DU65" si="739">IF(AO64="","","|n"&amp;DU$2&amp;"+"&amp;AO64&amp;DU$1)</f>
        <v/>
      </c>
      <c r="DV64" s="66" t="str">
        <f t="shared" ref="DV64:DV65" si="740">IF(AP64="","","|n"&amp;DV$2&amp;"+"&amp;AP64&amp;DV$1)</f>
        <v/>
      </c>
      <c r="DW64" s="66" t="str">
        <f t="shared" ref="DW64:DW65" si="741">IF(AQ64="","","|n"&amp;DW$2&amp;"+"&amp;AQ64&amp;DW$1)</f>
        <v/>
      </c>
      <c r="DX64" s="66" t="str">
        <f t="shared" ref="DX64:DX65" si="742">IF(AR64="","","|n"&amp;DX$2&amp;"+"&amp;AR64&amp;DX$1)</f>
        <v/>
      </c>
      <c r="DY64" s="66" t="str">
        <f t="shared" ref="DY64:DY65" si="743">IF(AS64="","","|n"&amp;DY$2&amp;"+"&amp;AS64&amp;DY$1)</f>
        <v/>
      </c>
      <c r="DZ64" s="66" t="str">
        <f t="shared" ref="DZ64:DZ65" si="744">IF(AT64="","","|n"&amp;DZ$2&amp;"+"&amp;AT64&amp;DZ$1)</f>
        <v/>
      </c>
      <c r="EA64" s="66" t="str">
        <f t="shared" ref="EA64:EA65" si="745">IF(AU64="","","|n"&amp;EA$2&amp;"+"&amp;AU64&amp;EA$1)</f>
        <v/>
      </c>
      <c r="EB64" s="66" t="str">
        <f t="shared" ref="EB64:EB65" si="746">IF(AV64="","","|n"&amp;EB$2&amp;"+"&amp;AV64&amp;EB$1)</f>
        <v/>
      </c>
      <c r="EC64" s="66" t="str">
        <f t="shared" ref="EC64:EC65" si="747">IF(AW64="","","|n"&amp;EC$2&amp;"+"&amp;AW64&amp;EC$1)</f>
        <v>|n生命恢复%+1</v>
      </c>
      <c r="ED64" s="66" t="str">
        <f t="shared" ref="ED64:ED65" si="748">IF(AX64="","","|n"&amp;ED$2&amp;"+"&amp;AX64&amp;ED$1)</f>
        <v/>
      </c>
      <c r="EE64" s="66" t="str">
        <f t="shared" ref="EE64:EE65" si="749">IF(AY64="","","|n"&amp;EE$2&amp;"+"&amp;AY64&amp;EE$1)</f>
        <v/>
      </c>
      <c r="EF64" s="66" t="str">
        <f t="shared" ref="EF64:EF65" si="750">IF(AZ64="","","|n"&amp;EF$2&amp;"+"&amp;AZ64&amp;EF$1)</f>
        <v/>
      </c>
      <c r="EG64" s="66" t="str">
        <f t="shared" ref="EG64:EG65" si="751">IF(BA64="","","|n"&amp;EG$2&amp;"+"&amp;BA64&amp;EG$1)</f>
        <v/>
      </c>
      <c r="EH64" s="66" t="str">
        <f t="shared" ref="EH64:EH65" si="752">IF(BB64="","","|n"&amp;EH$2&amp;"+"&amp;BB64&amp;EH$1)</f>
        <v/>
      </c>
      <c r="EI64" s="66" t="str">
        <f t="shared" ref="EI64:EI65" si="753">IF(BC64="","","|n"&amp;EI$2&amp;"+"&amp;BC64&amp;EI$1)</f>
        <v/>
      </c>
      <c r="EJ64" s="66" t="str">
        <f t="shared" ref="EJ64:EJ65" si="754">IF(BD64="","","|n"&amp;EJ$2&amp;"+"&amp;BD64&amp;EJ$1)</f>
        <v/>
      </c>
      <c r="EK64" s="66" t="str">
        <f t="shared" ref="EK64:EK65" si="755">IF(BE64="","","|n"&amp;EK$2&amp;"+"&amp;BE64&amp;EK$1)</f>
        <v/>
      </c>
      <c r="EL64" s="66" t="str">
        <f t="shared" ref="EL64:EL65" si="756">IF(BF64="","","|n"&amp;EL$2&amp;"+"&amp;BF64&amp;EL$1)</f>
        <v/>
      </c>
      <c r="EM64" s="66" t="str">
        <f t="shared" ref="EM64:EM65" si="757">IF(BG64="","","|n"&amp;EM$2&amp;"+"&amp;BG64&amp;EM$1)</f>
        <v/>
      </c>
      <c r="EN64" s="66" t="str">
        <f t="shared" ref="EN64:EN65" si="758">IF(BH64="","","|n"&amp;EN$2&amp;"+"&amp;BH64&amp;EN$1)</f>
        <v/>
      </c>
      <c r="EO64" s="66" t="str">
        <f t="shared" ref="EO64:EO65" si="759">IF(BI64="","","|n"&amp;EO$2&amp;"+"&amp;BI64&amp;EO$1)</f>
        <v/>
      </c>
      <c r="EP64" s="66" t="str">
        <f t="shared" ref="EP64:EP65" si="760">IF(BJ64="","","|n"&amp;EP$2&amp;"+"&amp;BJ64&amp;EP$1)</f>
        <v/>
      </c>
      <c r="EQ64" s="66" t="str">
        <f t="shared" ref="EQ64:EQ65" si="761">IF(BK64="","","|n"&amp;EQ$2&amp;"+"&amp;BK64&amp;EQ$1)</f>
        <v/>
      </c>
      <c r="ER64" s="66" t="str">
        <f t="shared" ref="ER64:ER65" si="762">IF(BL64="","","|n"&amp;ER$2&amp;"+"&amp;BL64&amp;ER$1)</f>
        <v/>
      </c>
      <c r="ES64" s="66" t="str">
        <f t="shared" ref="ES64:ES65" si="763">IF(BM64="","","|n"&amp;ES$2&amp;"+"&amp;BM64&amp;ES$1)</f>
        <v/>
      </c>
      <c r="ET64" s="66" t="str">
        <f t="shared" ref="ET64:ET65" si="764">IF(BN64="","","|n"&amp;ET$2&amp;"+"&amp;BN64&amp;ET$1)</f>
        <v/>
      </c>
      <c r="EU64" s="66" t="str">
        <f t="shared" ref="EU64:EU65" si="765">IF(BO64="","","|n"&amp;EU$2&amp;"+"&amp;BO64&amp;EU$1)</f>
        <v/>
      </c>
      <c r="EV64" s="66" t="str">
        <f t="shared" ref="EV64:EV65" si="766">IF(BP64="","","|n"&amp;EV$2&amp;"+"&amp;BP64&amp;EV$1)</f>
        <v/>
      </c>
      <c r="EW64" s="66" t="str">
        <f t="shared" ref="EW64:EW65" si="767">IF(BQ64="","","|n"&amp;EW$2&amp;"+"&amp;BQ64&amp;EW$1)</f>
        <v/>
      </c>
      <c r="EX64" s="66" t="str">
        <f t="shared" ref="EX64:EX65" si="768">IF(BR64="","","|n"&amp;EX$2&amp;"+"&amp;BR64&amp;EX$1)</f>
        <v/>
      </c>
      <c r="EY64" s="66" t="str">
        <f t="shared" ref="EY64:EY65" si="769">IF(BS64="","","|n"&amp;EY$2&amp;"+"&amp;BS64&amp;EY$1)</f>
        <v/>
      </c>
      <c r="EZ64" s="66" t="str">
        <f t="shared" ref="EZ64:EZ65" si="770">IF(BT64="","","|n"&amp;EZ$2&amp;"+"&amp;BT64&amp;EZ$1)</f>
        <v/>
      </c>
      <c r="FA64" s="66" t="str">
        <f t="shared" ref="FA64:FA65" si="771">IF(BU64="","","|n"&amp;FA$2&amp;"+"&amp;BU64&amp;FA$1)</f>
        <v/>
      </c>
      <c r="FB64" s="66" t="str">
        <f t="shared" ref="FB64:FB65" si="772">IF(BV64="","","|n"&amp;FB$2&amp;"+"&amp;BV64&amp;FB$1)</f>
        <v/>
      </c>
      <c r="FC64" s="66" t="str">
        <f t="shared" ref="FC64:FC65" si="773">IF(BW64="","","|n"&amp;FC$2&amp;"+"&amp;BW64&amp;FC$1)</f>
        <v/>
      </c>
      <c r="FD64" s="66" t="str">
        <f t="shared" ref="FD64:FD65" si="774">IF(BX64="","","|n"&amp;FD$2&amp;"+"&amp;BX64&amp;FD$1)</f>
        <v/>
      </c>
      <c r="FE64" s="66" t="str">
        <f t="shared" ref="FE64:FE65" si="775">IF(BY64="","","|n"&amp;FE$2&amp;"+"&amp;BY64&amp;FE$1)</f>
        <v/>
      </c>
      <c r="FF64" s="66" t="str">
        <f t="shared" ref="FF64:FF65" si="776">IF(BZ64="","","|n"&amp;FF$2&amp;"+"&amp;BZ64&amp;FF$1)</f>
        <v/>
      </c>
      <c r="FG64" s="66" t="str">
        <f t="shared" ref="FG64:FG65" si="777">IF(CA64="","","|n"&amp;FG$2&amp;"+"&amp;CA64&amp;FG$1)</f>
        <v/>
      </c>
      <c r="FH64" s="66" t="str">
        <f t="shared" ref="FH64:FH65" si="778">IF(CB64="","","|n"&amp;FH$2&amp;"+"&amp;CB64&amp;FH$1)</f>
        <v/>
      </c>
      <c r="FI64" s="66" t="str">
        <f t="shared" ref="FI64:FI65" si="779">IF(CC64="","","|n"&amp;FI$2&amp;"+"&amp;CC64&amp;FI$1)</f>
        <v/>
      </c>
      <c r="FJ64" s="66" t="str">
        <f t="shared" ref="FJ64:FJ65" si="780">IF(CD64="","","|n"&amp;FJ$2&amp;"+"&amp;CD64&amp;FJ$1)</f>
        <v/>
      </c>
      <c r="FK64" s="66" t="str">
        <f t="shared" ref="FK64:FK65" si="781">IF(CE64="","","|n"&amp;FK$2&amp;"+"&amp;CE64&amp;FK$1)</f>
        <v/>
      </c>
      <c r="FL64" s="66" t="str">
        <f t="shared" ref="FL64:FL65" si="782">IF(CF64="","","|n"&amp;FL$2&amp;"+"&amp;CF64&amp;FL$1)</f>
        <v/>
      </c>
      <c r="FM64" s="66" t="str">
        <f t="shared" ref="FM64:FM65" si="783">IF(CG64="","","|n"&amp;FM$2&amp;"+"&amp;CG64&amp;FM$1)</f>
        <v/>
      </c>
      <c r="FN64" s="66" t="str">
        <f t="shared" ref="FN64:FN65" si="784">IF(CH64="","","|n"&amp;FN$2&amp;"+"&amp;CH64&amp;FN$1)</f>
        <v/>
      </c>
      <c r="FO64" s="66" t="str">
        <f t="shared" ref="FO64:FO65" si="785">IF(CI64="","","|n"&amp;FO$2&amp;"+"&amp;CI64&amp;FO$1)</f>
        <v/>
      </c>
      <c r="FP64" s="66" t="str">
        <f t="shared" ref="FP64:FP65" si="786">IF(CJ64="","","|n"&amp;FP$2&amp;"+"&amp;CJ64&amp;FP$1)</f>
        <v/>
      </c>
      <c r="FQ64" s="66" t="str">
        <f t="shared" ref="FQ64:FQ65" si="787">IF(CK64="","","|n"&amp;FQ$2&amp;"+"&amp;CK64&amp;FQ$1)</f>
        <v/>
      </c>
      <c r="FR64" s="66" t="str">
        <f t="shared" ref="FR64:FR65" si="788">IF(CL64="","","|n"&amp;FR$2&amp;"+"&amp;CL64&amp;FR$1)</f>
        <v/>
      </c>
      <c r="FS64" s="66" t="str">
        <f t="shared" ref="FS64:FS65" si="789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37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100</v>
      </c>
      <c r="Y65" s="78"/>
      <c r="Z65" s="78">
        <v>840000</v>
      </c>
      <c r="AA65" s="78"/>
      <c r="AB65" s="78">
        <v>21000</v>
      </c>
      <c r="AC65" s="78"/>
      <c r="AD65" s="78"/>
      <c r="AE65" s="78"/>
      <c r="AF65" s="78"/>
      <c r="AG65" s="81"/>
      <c r="AH65" s="78"/>
      <c r="AI65" s="78"/>
      <c r="AJ65" s="78"/>
      <c r="AK65" s="78"/>
      <c r="AL65" s="81"/>
      <c r="AM65" s="78"/>
      <c r="AN65" s="78"/>
      <c r="AO65" s="78"/>
      <c r="AP65" s="83"/>
      <c r="AQ65" s="83"/>
      <c r="AR65" s="84"/>
      <c r="AS65" s="84"/>
      <c r="AT65" s="83"/>
      <c r="AU65" s="83"/>
      <c r="AV65" s="83"/>
      <c r="AW65" s="83">
        <v>1</v>
      </c>
      <c r="AX65" s="83"/>
      <c r="AY65" s="83"/>
      <c r="AZ65" s="83"/>
      <c r="BA65" s="83"/>
      <c r="BB65" s="8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3"/>
      <c r="CF65" s="83"/>
      <c r="CG65" s="83"/>
      <c r="CH65" s="83"/>
      <c r="CI65" s="83"/>
      <c r="CJ65" s="83"/>
      <c r="CK65" s="83"/>
      <c r="CL65" s="83"/>
      <c r="CM65" s="83"/>
      <c r="CN65" s="86" t="str">
        <f t="shared" si="291"/>
        <v>InitUnitState('E213',,,100,,840000,,21000,,,)</v>
      </c>
      <c r="CO65" s="86" t="str">
        <f t="shared" si="292"/>
        <v>InitUnitNormal('E213',,,,,,,,,,)</v>
      </c>
      <c r="CP65" s="86" t="str">
        <f t="shared" si="293"/>
        <v>InitUnitMagic('E213',,,,,,,,1,,)</v>
      </c>
      <c r="CQ65" s="86" t="str">
        <f t="shared" si="294"/>
        <v>InitUnitAdd('E213',,,,,,,,,,)</v>
      </c>
      <c r="CR65" s="86" t="str">
        <f t="shared" si="649"/>
        <v>InitEquipData('E213',,"",,E214,8000,70,'','','','','','',"ReplaceableTextures\\CommandButtons\\BTNZ13.blp")</v>
      </c>
      <c r="CS65" s="86"/>
      <c r="CT65" s="86"/>
      <c r="CU65" s="88" t="str">
        <f t="shared" si="78"/>
        <v>|n护甲+100|n生命值+840000|n生命回复+21000|n生命恢复%+1|n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|Cffbbbbbb属性：|r|n护甲+100|n生命值+840000|n生命回复+21000|n生命恢复%+1|n|n|Cff00ff7f点击消耗8000金币进行强化|n成功率70%</v>
      </c>
      <c r="DB65" s="66" t="str">
        <f t="shared" si="720"/>
        <v/>
      </c>
      <c r="DC65" s="66" t="str">
        <f t="shared" si="721"/>
        <v/>
      </c>
      <c r="DD65" s="66" t="str">
        <f t="shared" si="722"/>
        <v>|n护甲+100</v>
      </c>
      <c r="DE65" s="66" t="str">
        <f t="shared" si="723"/>
        <v/>
      </c>
      <c r="DF65" s="66" t="str">
        <f t="shared" si="724"/>
        <v>|n生命值+840000</v>
      </c>
      <c r="DG65" s="66" t="str">
        <f t="shared" si="725"/>
        <v/>
      </c>
      <c r="DH65" s="66" t="str">
        <f t="shared" si="726"/>
        <v>|n生命回复+21000</v>
      </c>
      <c r="DI65" s="66" t="str">
        <f t="shared" si="727"/>
        <v/>
      </c>
      <c r="DJ65" s="66" t="str">
        <f t="shared" si="728"/>
        <v/>
      </c>
      <c r="DK65" s="66" t="str">
        <f t="shared" si="729"/>
        <v/>
      </c>
      <c r="DL65" s="66" t="str">
        <f t="shared" si="730"/>
        <v/>
      </c>
      <c r="DM65" s="66" t="str">
        <f t="shared" si="731"/>
        <v/>
      </c>
      <c r="DN65" s="66" t="str">
        <f t="shared" si="732"/>
        <v/>
      </c>
      <c r="DO65" s="66" t="str">
        <f t="shared" si="733"/>
        <v/>
      </c>
      <c r="DP65" s="66" t="str">
        <f t="shared" si="734"/>
        <v/>
      </c>
      <c r="DQ65" s="66" t="str">
        <f t="shared" si="735"/>
        <v/>
      </c>
      <c r="DR65" s="66" t="str">
        <f t="shared" si="736"/>
        <v/>
      </c>
      <c r="DS65" s="66" t="str">
        <f t="shared" si="737"/>
        <v/>
      </c>
      <c r="DT65" s="66" t="str">
        <f t="shared" si="738"/>
        <v/>
      </c>
      <c r="DU65" s="66" t="str">
        <f t="shared" si="739"/>
        <v/>
      </c>
      <c r="DV65" s="66" t="str">
        <f t="shared" si="740"/>
        <v/>
      </c>
      <c r="DW65" s="66" t="str">
        <f t="shared" si="741"/>
        <v/>
      </c>
      <c r="DX65" s="66" t="str">
        <f t="shared" si="742"/>
        <v/>
      </c>
      <c r="DY65" s="66" t="str">
        <f t="shared" si="743"/>
        <v/>
      </c>
      <c r="DZ65" s="66" t="str">
        <f t="shared" si="744"/>
        <v/>
      </c>
      <c r="EA65" s="66" t="str">
        <f t="shared" si="745"/>
        <v/>
      </c>
      <c r="EB65" s="66" t="str">
        <f t="shared" si="746"/>
        <v/>
      </c>
      <c r="EC65" s="66" t="str">
        <f t="shared" si="747"/>
        <v>|n生命恢复%+1</v>
      </c>
      <c r="ED65" s="66" t="str">
        <f t="shared" si="748"/>
        <v/>
      </c>
      <c r="EE65" s="66" t="str">
        <f t="shared" si="749"/>
        <v/>
      </c>
      <c r="EF65" s="66" t="str">
        <f t="shared" si="750"/>
        <v/>
      </c>
      <c r="EG65" s="66" t="str">
        <f t="shared" si="751"/>
        <v/>
      </c>
      <c r="EH65" s="66" t="str">
        <f t="shared" si="752"/>
        <v/>
      </c>
      <c r="EI65" s="66" t="str">
        <f t="shared" si="753"/>
        <v/>
      </c>
      <c r="EJ65" s="66" t="str">
        <f t="shared" si="754"/>
        <v/>
      </c>
      <c r="EK65" s="66" t="str">
        <f t="shared" si="755"/>
        <v/>
      </c>
      <c r="EL65" s="66" t="str">
        <f t="shared" si="756"/>
        <v/>
      </c>
      <c r="EM65" s="66" t="str">
        <f t="shared" si="757"/>
        <v/>
      </c>
      <c r="EN65" s="66" t="str">
        <f t="shared" si="758"/>
        <v/>
      </c>
      <c r="EO65" s="66" t="str">
        <f t="shared" si="759"/>
        <v/>
      </c>
      <c r="EP65" s="66" t="str">
        <f t="shared" si="760"/>
        <v/>
      </c>
      <c r="EQ65" s="66" t="str">
        <f t="shared" si="761"/>
        <v/>
      </c>
      <c r="ER65" s="66" t="str">
        <f t="shared" si="762"/>
        <v/>
      </c>
      <c r="ES65" s="66" t="str">
        <f t="shared" si="763"/>
        <v/>
      </c>
      <c r="ET65" s="66" t="str">
        <f t="shared" si="764"/>
        <v/>
      </c>
      <c r="EU65" s="66" t="str">
        <f t="shared" si="765"/>
        <v/>
      </c>
      <c r="EV65" s="66" t="str">
        <f t="shared" si="766"/>
        <v/>
      </c>
      <c r="EW65" s="66" t="str">
        <f t="shared" si="767"/>
        <v/>
      </c>
      <c r="EX65" s="66" t="str">
        <f t="shared" si="768"/>
        <v/>
      </c>
      <c r="EY65" s="66" t="str">
        <f t="shared" si="769"/>
        <v/>
      </c>
      <c r="EZ65" s="66" t="str">
        <f t="shared" si="770"/>
        <v/>
      </c>
      <c r="FA65" s="66" t="str">
        <f t="shared" si="771"/>
        <v/>
      </c>
      <c r="FB65" s="66" t="str">
        <f t="shared" si="772"/>
        <v/>
      </c>
      <c r="FC65" s="66" t="str">
        <f t="shared" si="773"/>
        <v/>
      </c>
      <c r="FD65" s="66" t="str">
        <f t="shared" si="774"/>
        <v/>
      </c>
      <c r="FE65" s="66" t="str">
        <f t="shared" si="775"/>
        <v/>
      </c>
      <c r="FF65" s="66" t="str">
        <f t="shared" si="776"/>
        <v/>
      </c>
      <c r="FG65" s="66" t="str">
        <f t="shared" si="777"/>
        <v/>
      </c>
      <c r="FH65" s="66" t="str">
        <f t="shared" si="778"/>
        <v/>
      </c>
      <c r="FI65" s="66" t="str">
        <f t="shared" si="779"/>
        <v/>
      </c>
      <c r="FJ65" s="66" t="str">
        <f t="shared" si="780"/>
        <v/>
      </c>
      <c r="FK65" s="66" t="str">
        <f t="shared" si="781"/>
        <v/>
      </c>
      <c r="FL65" s="66" t="str">
        <f t="shared" si="782"/>
        <v/>
      </c>
      <c r="FM65" s="66" t="str">
        <f t="shared" si="783"/>
        <v/>
      </c>
      <c r="FN65" s="66" t="str">
        <f t="shared" si="784"/>
        <v/>
      </c>
      <c r="FO65" s="66" t="str">
        <f t="shared" si="785"/>
        <v/>
      </c>
      <c r="FP65" s="66" t="str">
        <f t="shared" si="786"/>
        <v/>
      </c>
      <c r="FQ65" s="66" t="str">
        <f t="shared" si="787"/>
        <v/>
      </c>
      <c r="FR65" s="66" t="str">
        <f t="shared" si="788"/>
        <v/>
      </c>
      <c r="FS65" s="66" t="str">
        <f t="shared" si="789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37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100</v>
      </c>
      <c r="Y66" s="78"/>
      <c r="Z66" s="78">
        <v>1000000</v>
      </c>
      <c r="AA66" s="78"/>
      <c r="AB66" s="78">
        <v>25000</v>
      </c>
      <c r="AC66" s="78"/>
      <c r="AD66" s="78"/>
      <c r="AE66" s="78"/>
      <c r="AF66" s="78"/>
      <c r="AG66" s="81"/>
      <c r="AH66" s="78"/>
      <c r="AI66" s="78"/>
      <c r="AJ66" s="78"/>
      <c r="AK66" s="78"/>
      <c r="AL66" s="81"/>
      <c r="AM66" s="78"/>
      <c r="AN66" s="78"/>
      <c r="AO66" s="78"/>
      <c r="AP66" s="83"/>
      <c r="AQ66" s="83"/>
      <c r="AR66" s="84"/>
      <c r="AS66" s="84"/>
      <c r="AT66" s="83"/>
      <c r="AU66" s="83"/>
      <c r="AV66" s="83"/>
      <c r="AW66" s="83">
        <v>1</v>
      </c>
      <c r="AX66" s="83"/>
      <c r="AY66" s="83"/>
      <c r="AZ66" s="83"/>
      <c r="BA66" s="83"/>
      <c r="BB66" s="8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3"/>
      <c r="CF66" s="83"/>
      <c r="CG66" s="83"/>
      <c r="CH66" s="83"/>
      <c r="CI66" s="83"/>
      <c r="CJ66" s="83"/>
      <c r="CK66" s="83"/>
      <c r="CL66" s="83"/>
      <c r="CM66" s="83"/>
      <c r="CN66" s="86" t="str">
        <f t="shared" si="291"/>
        <v>InitUnitState('E214',,,100,,1000000,,25000,,,)</v>
      </c>
      <c r="CO66" s="86" t="str">
        <f t="shared" si="292"/>
        <v>InitUnitNormal('E214',,,,,,,,,,)</v>
      </c>
      <c r="CP66" s="86" t="str">
        <f t="shared" si="293"/>
        <v>InitUnitMagic('E214',,,,,,,,1,,)</v>
      </c>
      <c r="CQ66" s="86" t="str">
        <f t="shared" si="294"/>
        <v>InitUnitAdd('E214',,,,,,,,,,)</v>
      </c>
      <c r="CR66" s="86" t="str">
        <f t="shared" si="649"/>
        <v>InitEquipData('E214',,"",,E215,8000,70,'','','','','','',"ReplaceableTextures\\CommandButtons\\BTNZ13.blp")</v>
      </c>
      <c r="CS66" s="86"/>
      <c r="CT66" s="86"/>
      <c r="CU66" s="88" t="str">
        <f t="shared" si="78"/>
        <v>|n护甲+100|n生命值+1000000|n生命回复+25000|n生命恢复%+1|n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|Cffbbbbbb属性：|r|n护甲+100|n生命值+1000000|n生命回复+25000|n生命恢复%+1|n|n|Cff00ff7f点击消耗8000金币进行强化|n成功率70%</v>
      </c>
      <c r="DB66" s="66" t="str">
        <f t="shared" ref="DB66:DB69" si="790">IF(V66="","","|n"&amp;DB$2&amp;"+"&amp;V66&amp;DB$1)</f>
        <v/>
      </c>
      <c r="DC66" s="66" t="str">
        <f t="shared" ref="DC66:DC69" si="791">IF(W66="","","|n"&amp;DC$2&amp;"+"&amp;W66&amp;DC$1)</f>
        <v/>
      </c>
      <c r="DD66" s="66" t="str">
        <f t="shared" ref="DD66:DD69" si="792">IF(X66="","","|n"&amp;DD$2&amp;"+"&amp;X66&amp;DD$1)</f>
        <v>|n护甲+100</v>
      </c>
      <c r="DE66" s="66" t="str">
        <f t="shared" ref="DE66:DE69" si="793">IF(Y66="","","|n"&amp;DE$2&amp;"+"&amp;Y66&amp;DE$1)</f>
        <v/>
      </c>
      <c r="DF66" s="66" t="str">
        <f t="shared" ref="DF66:DF69" si="794">IF(Z66="","","|n"&amp;DF$2&amp;"+"&amp;Z66&amp;DF$1)</f>
        <v>|n生命值+1000000</v>
      </c>
      <c r="DG66" s="66" t="str">
        <f t="shared" ref="DG66:DG69" si="795">IF(AA66="","","|n"&amp;DG$2&amp;"+"&amp;AA66&amp;DG$1)</f>
        <v/>
      </c>
      <c r="DH66" s="66" t="str">
        <f t="shared" ref="DH66:DH69" si="796">IF(AB66="","","|n"&amp;DH$2&amp;"+"&amp;AB66&amp;DH$1)</f>
        <v>|n生命回复+25000</v>
      </c>
      <c r="DI66" s="66" t="str">
        <f t="shared" ref="DI66:DI69" si="797">IF(AC66="","","|n"&amp;DI$2&amp;"+"&amp;AC66&amp;DI$1)</f>
        <v/>
      </c>
      <c r="DJ66" s="66" t="str">
        <f t="shared" ref="DJ66:DJ69" si="798">IF(AD66="","","|n"&amp;DJ$2&amp;"+"&amp;AD66&amp;DJ$1)</f>
        <v/>
      </c>
      <c r="DK66" s="66" t="str">
        <f t="shared" ref="DK66:DK69" si="799">IF(AE66="","","|n"&amp;DK$2&amp;"+"&amp;AE66&amp;DK$1)</f>
        <v/>
      </c>
      <c r="DL66" s="66" t="str">
        <f t="shared" ref="DL66:DL69" si="800">IF(AF66="","","|n"&amp;DL$2&amp;"+"&amp;AF66&amp;DL$1)</f>
        <v/>
      </c>
      <c r="DM66" s="66" t="str">
        <f t="shared" ref="DM66:DM69" si="801">IF(AG66="","","|n"&amp;DM$2&amp;"+"&amp;AG66&amp;DM$1)</f>
        <v/>
      </c>
      <c r="DN66" s="66" t="str">
        <f t="shared" ref="DN66:DN69" si="802">IF(AH66="","","|n"&amp;DN$2&amp;"+"&amp;AH66&amp;DN$1)</f>
        <v/>
      </c>
      <c r="DO66" s="66" t="str">
        <f t="shared" ref="DO66:DO69" si="803">IF(AI66="","","|n"&amp;DO$2&amp;"+"&amp;AI66&amp;DO$1)</f>
        <v/>
      </c>
      <c r="DP66" s="66" t="str">
        <f t="shared" ref="DP66:DP69" si="804">IF(AJ66="","","|n"&amp;DP$2&amp;"+"&amp;AJ66&amp;DP$1)</f>
        <v/>
      </c>
      <c r="DQ66" s="66" t="str">
        <f t="shared" ref="DQ66:DQ69" si="805">IF(AK66="","","|n"&amp;DQ$2&amp;"+"&amp;AK66&amp;DQ$1)</f>
        <v/>
      </c>
      <c r="DR66" s="66" t="str">
        <f t="shared" ref="DR66:DR69" si="806">IF(AL66="","","|n"&amp;DR$2&amp;"+"&amp;AL66&amp;DR$1)</f>
        <v/>
      </c>
      <c r="DS66" s="66" t="str">
        <f t="shared" ref="DS66:DS69" si="807">IF(AM66="","","|n"&amp;DS$2&amp;"+"&amp;AM66&amp;DS$1)</f>
        <v/>
      </c>
      <c r="DT66" s="66" t="str">
        <f t="shared" ref="DT66:DT69" si="808">IF(AN66="","","|n"&amp;DT$2&amp;"+"&amp;AN66&amp;DT$1)</f>
        <v/>
      </c>
      <c r="DU66" s="66" t="str">
        <f t="shared" ref="DU66:DU69" si="809">IF(AO66="","","|n"&amp;DU$2&amp;"+"&amp;AO66&amp;DU$1)</f>
        <v/>
      </c>
      <c r="DV66" s="66" t="str">
        <f t="shared" ref="DV66:DV69" si="810">IF(AP66="","","|n"&amp;DV$2&amp;"+"&amp;AP66&amp;DV$1)</f>
        <v/>
      </c>
      <c r="DW66" s="66" t="str">
        <f t="shared" ref="DW66:DW69" si="811">IF(AQ66="","","|n"&amp;DW$2&amp;"+"&amp;AQ66&amp;DW$1)</f>
        <v/>
      </c>
      <c r="DX66" s="66" t="str">
        <f t="shared" ref="DX66:DX69" si="812">IF(AR66="","","|n"&amp;DX$2&amp;"+"&amp;AR66&amp;DX$1)</f>
        <v/>
      </c>
      <c r="DY66" s="66" t="str">
        <f t="shared" ref="DY66:DY69" si="813">IF(AS66="","","|n"&amp;DY$2&amp;"+"&amp;AS66&amp;DY$1)</f>
        <v/>
      </c>
      <c r="DZ66" s="66" t="str">
        <f t="shared" ref="DZ66:DZ69" si="814">IF(AT66="","","|n"&amp;DZ$2&amp;"+"&amp;AT66&amp;DZ$1)</f>
        <v/>
      </c>
      <c r="EA66" s="66" t="str">
        <f t="shared" ref="EA66:EA69" si="815">IF(AU66="","","|n"&amp;EA$2&amp;"+"&amp;AU66&amp;EA$1)</f>
        <v/>
      </c>
      <c r="EB66" s="66" t="str">
        <f t="shared" ref="EB66:EB69" si="816">IF(AV66="","","|n"&amp;EB$2&amp;"+"&amp;AV66&amp;EB$1)</f>
        <v/>
      </c>
      <c r="EC66" s="66" t="str">
        <f t="shared" ref="EC66:EC69" si="817">IF(AW66="","","|n"&amp;EC$2&amp;"+"&amp;AW66&amp;EC$1)</f>
        <v>|n生命恢复%+1</v>
      </c>
      <c r="ED66" s="66" t="str">
        <f t="shared" ref="ED66:ED69" si="818">IF(AX66="","","|n"&amp;ED$2&amp;"+"&amp;AX66&amp;ED$1)</f>
        <v/>
      </c>
      <c r="EE66" s="66" t="str">
        <f t="shared" ref="EE66:EE69" si="819">IF(AY66="","","|n"&amp;EE$2&amp;"+"&amp;AY66&amp;EE$1)</f>
        <v/>
      </c>
      <c r="EF66" s="66" t="str">
        <f t="shared" ref="EF66:EF69" si="820">IF(AZ66="","","|n"&amp;EF$2&amp;"+"&amp;AZ66&amp;EF$1)</f>
        <v/>
      </c>
      <c r="EG66" s="66" t="str">
        <f t="shared" ref="EG66:EG69" si="821">IF(BA66="","","|n"&amp;EG$2&amp;"+"&amp;BA66&amp;EG$1)</f>
        <v/>
      </c>
      <c r="EH66" s="66" t="str">
        <f t="shared" ref="EH66:EH69" si="822">IF(BB66="","","|n"&amp;EH$2&amp;"+"&amp;BB66&amp;EH$1)</f>
        <v/>
      </c>
      <c r="EI66" s="66" t="str">
        <f t="shared" ref="EI66:EI69" si="823">IF(BC66="","","|n"&amp;EI$2&amp;"+"&amp;BC66&amp;EI$1)</f>
        <v/>
      </c>
      <c r="EJ66" s="66" t="str">
        <f t="shared" ref="EJ66:EJ69" si="824">IF(BD66="","","|n"&amp;EJ$2&amp;"+"&amp;BD66&amp;EJ$1)</f>
        <v/>
      </c>
      <c r="EK66" s="66" t="str">
        <f t="shared" ref="EK66:EK69" si="825">IF(BE66="","","|n"&amp;EK$2&amp;"+"&amp;BE66&amp;EK$1)</f>
        <v/>
      </c>
      <c r="EL66" s="66" t="str">
        <f t="shared" ref="EL66:EL69" si="826">IF(BF66="","","|n"&amp;EL$2&amp;"+"&amp;BF66&amp;EL$1)</f>
        <v/>
      </c>
      <c r="EM66" s="66" t="str">
        <f t="shared" ref="EM66:EM69" si="827">IF(BG66="","","|n"&amp;EM$2&amp;"+"&amp;BG66&amp;EM$1)</f>
        <v/>
      </c>
      <c r="EN66" s="66" t="str">
        <f t="shared" ref="EN66:EN69" si="828">IF(BH66="","","|n"&amp;EN$2&amp;"+"&amp;BH66&amp;EN$1)</f>
        <v/>
      </c>
      <c r="EO66" s="66" t="str">
        <f t="shared" ref="EO66:EO69" si="829">IF(BI66="","","|n"&amp;EO$2&amp;"+"&amp;BI66&amp;EO$1)</f>
        <v/>
      </c>
      <c r="EP66" s="66" t="str">
        <f t="shared" ref="EP66:EP69" si="830">IF(BJ66="","","|n"&amp;EP$2&amp;"+"&amp;BJ66&amp;EP$1)</f>
        <v/>
      </c>
      <c r="EQ66" s="66" t="str">
        <f t="shared" ref="EQ66:EQ69" si="831">IF(BK66="","","|n"&amp;EQ$2&amp;"+"&amp;BK66&amp;EQ$1)</f>
        <v/>
      </c>
      <c r="ER66" s="66" t="str">
        <f t="shared" ref="ER66:ER69" si="832">IF(BL66="","","|n"&amp;ER$2&amp;"+"&amp;BL66&amp;ER$1)</f>
        <v/>
      </c>
      <c r="ES66" s="66" t="str">
        <f t="shared" ref="ES66:ES69" si="833">IF(BM66="","","|n"&amp;ES$2&amp;"+"&amp;BM66&amp;ES$1)</f>
        <v/>
      </c>
      <c r="ET66" s="66" t="str">
        <f t="shared" ref="ET66:ET69" si="834">IF(BN66="","","|n"&amp;ET$2&amp;"+"&amp;BN66&amp;ET$1)</f>
        <v/>
      </c>
      <c r="EU66" s="66" t="str">
        <f t="shared" ref="EU66:EU69" si="835">IF(BO66="","","|n"&amp;EU$2&amp;"+"&amp;BO66&amp;EU$1)</f>
        <v/>
      </c>
      <c r="EV66" s="66" t="str">
        <f t="shared" ref="EV66:EV69" si="836">IF(BP66="","","|n"&amp;EV$2&amp;"+"&amp;BP66&amp;EV$1)</f>
        <v/>
      </c>
      <c r="EW66" s="66" t="str">
        <f t="shared" ref="EW66:EW69" si="837">IF(BQ66="","","|n"&amp;EW$2&amp;"+"&amp;BQ66&amp;EW$1)</f>
        <v/>
      </c>
      <c r="EX66" s="66" t="str">
        <f t="shared" ref="EX66:EX69" si="838">IF(BR66="","","|n"&amp;EX$2&amp;"+"&amp;BR66&amp;EX$1)</f>
        <v/>
      </c>
      <c r="EY66" s="66" t="str">
        <f t="shared" ref="EY66:EY69" si="839">IF(BS66="","","|n"&amp;EY$2&amp;"+"&amp;BS66&amp;EY$1)</f>
        <v/>
      </c>
      <c r="EZ66" s="66" t="str">
        <f t="shared" ref="EZ66:EZ69" si="840">IF(BT66="","","|n"&amp;EZ$2&amp;"+"&amp;BT66&amp;EZ$1)</f>
        <v/>
      </c>
      <c r="FA66" s="66" t="str">
        <f t="shared" ref="FA66:FA69" si="841">IF(BU66="","","|n"&amp;FA$2&amp;"+"&amp;BU66&amp;FA$1)</f>
        <v/>
      </c>
      <c r="FB66" s="66" t="str">
        <f t="shared" ref="FB66:FB69" si="842">IF(BV66="","","|n"&amp;FB$2&amp;"+"&amp;BV66&amp;FB$1)</f>
        <v/>
      </c>
      <c r="FC66" s="66" t="str">
        <f t="shared" ref="FC66:FC69" si="843">IF(BW66="","","|n"&amp;FC$2&amp;"+"&amp;BW66&amp;FC$1)</f>
        <v/>
      </c>
      <c r="FD66" s="66" t="str">
        <f t="shared" ref="FD66:FD69" si="844">IF(BX66="","","|n"&amp;FD$2&amp;"+"&amp;BX66&amp;FD$1)</f>
        <v/>
      </c>
      <c r="FE66" s="66" t="str">
        <f t="shared" ref="FE66:FE69" si="845">IF(BY66="","","|n"&amp;FE$2&amp;"+"&amp;BY66&amp;FE$1)</f>
        <v/>
      </c>
      <c r="FF66" s="66" t="str">
        <f t="shared" ref="FF66:FF69" si="846">IF(BZ66="","","|n"&amp;FF$2&amp;"+"&amp;BZ66&amp;FF$1)</f>
        <v/>
      </c>
      <c r="FG66" s="66" t="str">
        <f t="shared" ref="FG66:FG69" si="847">IF(CA66="","","|n"&amp;FG$2&amp;"+"&amp;CA66&amp;FG$1)</f>
        <v/>
      </c>
      <c r="FH66" s="66" t="str">
        <f t="shared" ref="FH66:FH69" si="848">IF(CB66="","","|n"&amp;FH$2&amp;"+"&amp;CB66&amp;FH$1)</f>
        <v/>
      </c>
      <c r="FI66" s="66" t="str">
        <f t="shared" ref="FI66:FI69" si="849">IF(CC66="","","|n"&amp;FI$2&amp;"+"&amp;CC66&amp;FI$1)</f>
        <v/>
      </c>
      <c r="FJ66" s="66" t="str">
        <f t="shared" ref="FJ66:FJ69" si="850">IF(CD66="","","|n"&amp;FJ$2&amp;"+"&amp;CD66&amp;FJ$1)</f>
        <v/>
      </c>
      <c r="FK66" s="66" t="str">
        <f t="shared" ref="FK66:FK69" si="851">IF(CE66="","","|n"&amp;FK$2&amp;"+"&amp;CE66&amp;FK$1)</f>
        <v/>
      </c>
      <c r="FL66" s="66" t="str">
        <f t="shared" ref="FL66:FL69" si="852">IF(CF66="","","|n"&amp;FL$2&amp;"+"&amp;CF66&amp;FL$1)</f>
        <v/>
      </c>
      <c r="FM66" s="66" t="str">
        <f t="shared" ref="FM66:FM69" si="853">IF(CG66="","","|n"&amp;FM$2&amp;"+"&amp;CG66&amp;FM$1)</f>
        <v/>
      </c>
      <c r="FN66" s="66" t="str">
        <f t="shared" ref="FN66:FN69" si="854">IF(CH66="","","|n"&amp;FN$2&amp;"+"&amp;CH66&amp;FN$1)</f>
        <v/>
      </c>
      <c r="FO66" s="66" t="str">
        <f t="shared" ref="FO66:FO69" si="855">IF(CI66="","","|n"&amp;FO$2&amp;"+"&amp;CI66&amp;FO$1)</f>
        <v/>
      </c>
      <c r="FP66" s="66" t="str">
        <f t="shared" ref="FP66:FP69" si="856">IF(CJ66="","","|n"&amp;FP$2&amp;"+"&amp;CJ66&amp;FP$1)</f>
        <v/>
      </c>
      <c r="FQ66" s="66" t="str">
        <f t="shared" ref="FQ66:FQ69" si="857">IF(CK66="","","|n"&amp;FQ$2&amp;"+"&amp;CK66&amp;FQ$1)</f>
        <v/>
      </c>
      <c r="FR66" s="66" t="str">
        <f t="shared" ref="FR66:FR69" si="858">IF(CL66="","","|n"&amp;FR$2&amp;"+"&amp;CL66&amp;FR$1)</f>
        <v/>
      </c>
      <c r="FS66" s="66" t="str">
        <f t="shared" ref="FS66:FS69" si="859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37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100</v>
      </c>
      <c r="Y67" s="78"/>
      <c r="Z67" s="78">
        <v>1200000</v>
      </c>
      <c r="AA67" s="78"/>
      <c r="AB67" s="78">
        <v>30000</v>
      </c>
      <c r="AC67" s="78"/>
      <c r="AD67" s="78"/>
      <c r="AE67" s="78"/>
      <c r="AF67" s="78"/>
      <c r="AG67" s="81"/>
      <c r="AH67" s="78"/>
      <c r="AI67" s="78"/>
      <c r="AJ67" s="78"/>
      <c r="AK67" s="78"/>
      <c r="AL67" s="81"/>
      <c r="AM67" s="78"/>
      <c r="AN67" s="78"/>
      <c r="AO67" s="78"/>
      <c r="AP67" s="83"/>
      <c r="AQ67" s="83"/>
      <c r="AR67" s="84"/>
      <c r="AS67" s="84"/>
      <c r="AT67" s="83"/>
      <c r="AU67" s="83"/>
      <c r="AV67" s="83"/>
      <c r="AW67" s="83">
        <v>1</v>
      </c>
      <c r="AX67" s="83"/>
      <c r="AY67" s="83"/>
      <c r="AZ67" s="83"/>
      <c r="BA67" s="83"/>
      <c r="BB67" s="8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3"/>
      <c r="CF67" s="83"/>
      <c r="CG67" s="83"/>
      <c r="CH67" s="83"/>
      <c r="CI67" s="83"/>
      <c r="CJ67" s="83"/>
      <c r="CK67" s="83"/>
      <c r="CL67" s="83"/>
      <c r="CM67" s="83"/>
      <c r="CN67" s="8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8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49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|n护甲+100|n生命值+1200000|n生命回复+30000|n生命恢复%+1|n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|Cffbbbbbb属性：|r|n护甲+100|n生命值+1200000|n生命回复+30000|n生命恢复%+1|n|n|Cff00ff7f点击消耗30000金币进行晋阶挑战</v>
      </c>
      <c r="DB67" s="66" t="str">
        <f t="shared" si="790"/>
        <v/>
      </c>
      <c r="DC67" s="66" t="str">
        <f t="shared" si="791"/>
        <v/>
      </c>
      <c r="DD67" s="66" t="str">
        <f t="shared" si="792"/>
        <v>|n护甲+100</v>
      </c>
      <c r="DE67" s="66" t="str">
        <f t="shared" si="793"/>
        <v/>
      </c>
      <c r="DF67" s="66" t="str">
        <f t="shared" si="794"/>
        <v>|n生命值+1200000</v>
      </c>
      <c r="DG67" s="66" t="str">
        <f t="shared" si="795"/>
        <v/>
      </c>
      <c r="DH67" s="66" t="str">
        <f t="shared" si="796"/>
        <v>|n生命回复+30000</v>
      </c>
      <c r="DI67" s="66" t="str">
        <f t="shared" si="797"/>
        <v/>
      </c>
      <c r="DJ67" s="66" t="str">
        <f t="shared" si="798"/>
        <v/>
      </c>
      <c r="DK67" s="66" t="str">
        <f t="shared" si="799"/>
        <v/>
      </c>
      <c r="DL67" s="66" t="str">
        <f t="shared" si="800"/>
        <v/>
      </c>
      <c r="DM67" s="66" t="str">
        <f t="shared" si="801"/>
        <v/>
      </c>
      <c r="DN67" s="66" t="str">
        <f t="shared" si="802"/>
        <v/>
      </c>
      <c r="DO67" s="66" t="str">
        <f t="shared" si="803"/>
        <v/>
      </c>
      <c r="DP67" s="66" t="str">
        <f t="shared" si="804"/>
        <v/>
      </c>
      <c r="DQ67" s="66" t="str">
        <f t="shared" si="805"/>
        <v/>
      </c>
      <c r="DR67" s="66" t="str">
        <f t="shared" si="806"/>
        <v/>
      </c>
      <c r="DS67" s="66" t="str">
        <f t="shared" si="807"/>
        <v/>
      </c>
      <c r="DT67" s="66" t="str">
        <f t="shared" si="808"/>
        <v/>
      </c>
      <c r="DU67" s="66" t="str">
        <f t="shared" si="809"/>
        <v/>
      </c>
      <c r="DV67" s="66" t="str">
        <f t="shared" si="810"/>
        <v/>
      </c>
      <c r="DW67" s="66" t="str">
        <f t="shared" si="811"/>
        <v/>
      </c>
      <c r="DX67" s="66" t="str">
        <f t="shared" si="812"/>
        <v/>
      </c>
      <c r="DY67" s="66" t="str">
        <f t="shared" si="813"/>
        <v/>
      </c>
      <c r="DZ67" s="66" t="str">
        <f t="shared" si="814"/>
        <v/>
      </c>
      <c r="EA67" s="66" t="str">
        <f t="shared" si="815"/>
        <v/>
      </c>
      <c r="EB67" s="66" t="str">
        <f t="shared" si="816"/>
        <v/>
      </c>
      <c r="EC67" s="66" t="str">
        <f t="shared" si="817"/>
        <v>|n生命恢复%+1</v>
      </c>
      <c r="ED67" s="66" t="str">
        <f t="shared" si="818"/>
        <v/>
      </c>
      <c r="EE67" s="66" t="str">
        <f t="shared" si="819"/>
        <v/>
      </c>
      <c r="EF67" s="66" t="str">
        <f t="shared" si="820"/>
        <v/>
      </c>
      <c r="EG67" s="66" t="str">
        <f t="shared" si="821"/>
        <v/>
      </c>
      <c r="EH67" s="66" t="str">
        <f t="shared" si="822"/>
        <v/>
      </c>
      <c r="EI67" s="66" t="str">
        <f t="shared" si="823"/>
        <v/>
      </c>
      <c r="EJ67" s="66" t="str">
        <f t="shared" si="824"/>
        <v/>
      </c>
      <c r="EK67" s="66" t="str">
        <f t="shared" si="825"/>
        <v/>
      </c>
      <c r="EL67" s="66" t="str">
        <f t="shared" si="826"/>
        <v/>
      </c>
      <c r="EM67" s="66" t="str">
        <f t="shared" si="827"/>
        <v/>
      </c>
      <c r="EN67" s="66" t="str">
        <f t="shared" si="828"/>
        <v/>
      </c>
      <c r="EO67" s="66" t="str">
        <f t="shared" si="829"/>
        <v/>
      </c>
      <c r="EP67" s="66" t="str">
        <f t="shared" si="830"/>
        <v/>
      </c>
      <c r="EQ67" s="66" t="str">
        <f t="shared" si="831"/>
        <v/>
      </c>
      <c r="ER67" s="66" t="str">
        <f t="shared" si="832"/>
        <v/>
      </c>
      <c r="ES67" s="66" t="str">
        <f t="shared" si="833"/>
        <v/>
      </c>
      <c r="ET67" s="66" t="str">
        <f t="shared" si="834"/>
        <v/>
      </c>
      <c r="EU67" s="66" t="str">
        <f t="shared" si="835"/>
        <v/>
      </c>
      <c r="EV67" s="66" t="str">
        <f t="shared" si="836"/>
        <v/>
      </c>
      <c r="EW67" s="66" t="str">
        <f t="shared" si="837"/>
        <v/>
      </c>
      <c r="EX67" s="66" t="str">
        <f t="shared" si="838"/>
        <v/>
      </c>
      <c r="EY67" s="66" t="str">
        <f t="shared" si="839"/>
        <v/>
      </c>
      <c r="EZ67" s="66" t="str">
        <f t="shared" si="840"/>
        <v/>
      </c>
      <c r="FA67" s="66" t="str">
        <f t="shared" si="841"/>
        <v/>
      </c>
      <c r="FB67" s="66" t="str">
        <f t="shared" si="842"/>
        <v/>
      </c>
      <c r="FC67" s="66" t="str">
        <f t="shared" si="843"/>
        <v/>
      </c>
      <c r="FD67" s="66" t="str">
        <f t="shared" si="844"/>
        <v/>
      </c>
      <c r="FE67" s="66" t="str">
        <f t="shared" si="845"/>
        <v/>
      </c>
      <c r="FF67" s="66" t="str">
        <f t="shared" si="846"/>
        <v/>
      </c>
      <c r="FG67" s="66" t="str">
        <f t="shared" si="847"/>
        <v/>
      </c>
      <c r="FH67" s="66" t="str">
        <f t="shared" si="848"/>
        <v/>
      </c>
      <c r="FI67" s="66" t="str">
        <f t="shared" si="849"/>
        <v/>
      </c>
      <c r="FJ67" s="66" t="str">
        <f t="shared" si="850"/>
        <v/>
      </c>
      <c r="FK67" s="66" t="str">
        <f t="shared" si="851"/>
        <v/>
      </c>
      <c r="FL67" s="66" t="str">
        <f t="shared" si="852"/>
        <v/>
      </c>
      <c r="FM67" s="66" t="str">
        <f t="shared" si="853"/>
        <v/>
      </c>
      <c r="FN67" s="66" t="str">
        <f t="shared" si="854"/>
        <v/>
      </c>
      <c r="FO67" s="66" t="str">
        <f t="shared" si="855"/>
        <v/>
      </c>
      <c r="FP67" s="66" t="str">
        <f t="shared" si="856"/>
        <v/>
      </c>
      <c r="FQ67" s="66" t="str">
        <f t="shared" si="857"/>
        <v/>
      </c>
      <c r="FR67" s="66" t="str">
        <f t="shared" si="858"/>
        <v/>
      </c>
      <c r="FS67" s="66" t="str">
        <f t="shared" si="859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37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150</v>
      </c>
      <c r="Y68" s="78"/>
      <c r="Z68" s="78">
        <v>2000000</v>
      </c>
      <c r="AA68" s="78"/>
      <c r="AB68" s="78">
        <v>50000</v>
      </c>
      <c r="AC68" s="78"/>
      <c r="AD68" s="78"/>
      <c r="AE68" s="78"/>
      <c r="AF68" s="78"/>
      <c r="AG68" s="81"/>
      <c r="AH68" s="78"/>
      <c r="AI68" s="78"/>
      <c r="AJ68" s="78"/>
      <c r="AK68" s="78"/>
      <c r="AL68" s="81"/>
      <c r="AM68" s="78"/>
      <c r="AN68" s="78"/>
      <c r="AO68" s="78"/>
      <c r="AP68" s="83"/>
      <c r="AQ68" s="83"/>
      <c r="AR68" s="84"/>
      <c r="AS68" s="84"/>
      <c r="AT68" s="83"/>
      <c r="AU68" s="83"/>
      <c r="AV68" s="83"/>
      <c r="AW68" s="83">
        <f t="shared" ref="AW68:AW76" si="864">AW63+1</f>
        <v>2</v>
      </c>
      <c r="AX68" s="83"/>
      <c r="AY68" s="83"/>
      <c r="AZ68" s="83"/>
      <c r="BA68" s="83"/>
      <c r="BB68" s="8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3"/>
      <c r="CF68" s="83"/>
      <c r="CG68" s="83"/>
      <c r="CH68" s="83"/>
      <c r="CI68" s="83"/>
      <c r="CJ68" s="83"/>
      <c r="CK68" s="83"/>
      <c r="CL68" s="83"/>
      <c r="CM68" s="83"/>
      <c r="CN68" s="86" t="str">
        <f t="shared" si="860"/>
        <v>InitUnitState('E216',,,150,,2000000,,50000,,,)</v>
      </c>
      <c r="CO68" s="86" t="str">
        <f t="shared" si="861"/>
        <v>InitUnitNormal('E216',,,,,,,,,,)</v>
      </c>
      <c r="CP68" s="86" t="str">
        <f t="shared" si="862"/>
        <v>InitUnitMagic('E216',,,,,,,,2,,)</v>
      </c>
      <c r="CQ68" s="86" t="str">
        <f t="shared" si="863"/>
        <v>InitUnitAdd('E216',,,,,,,,,,)</v>
      </c>
      <c r="CR68" s="86" t="str">
        <f t="shared" si="649"/>
        <v>InitEquipData('E216',,"",,E217,20000,60,'','','','','','',"ReplaceableTextures\\CommandButtons\\BTNZ14.blp")</v>
      </c>
      <c r="CS68" s="86"/>
      <c r="CT68" s="86"/>
      <c r="CU68" s="88" t="str">
        <f t="shared" ref="CU68:CU87" si="865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|Cffbbbbbb属性：|r|n护甲+150|n生命值+2000000|n生命回复+50000|n生命恢复%+2|n|n|Cff00ff7f点击消耗20000金币进行强化|n成功率60%</v>
      </c>
      <c r="DB68" s="66" t="str">
        <f t="shared" si="790"/>
        <v/>
      </c>
      <c r="DC68" s="66" t="str">
        <f t="shared" si="791"/>
        <v/>
      </c>
      <c r="DD68" s="66" t="str">
        <f t="shared" si="792"/>
        <v>|n护甲+150</v>
      </c>
      <c r="DE68" s="66" t="str">
        <f t="shared" si="793"/>
        <v/>
      </c>
      <c r="DF68" s="66" t="str">
        <f t="shared" si="794"/>
        <v>|n生命值+2000000</v>
      </c>
      <c r="DG68" s="66" t="str">
        <f t="shared" si="795"/>
        <v/>
      </c>
      <c r="DH68" s="66" t="str">
        <f t="shared" si="796"/>
        <v>|n生命回复+50000</v>
      </c>
      <c r="DI68" s="66" t="str">
        <f t="shared" si="797"/>
        <v/>
      </c>
      <c r="DJ68" s="66" t="str">
        <f t="shared" si="798"/>
        <v/>
      </c>
      <c r="DK68" s="66" t="str">
        <f t="shared" si="799"/>
        <v/>
      </c>
      <c r="DL68" s="66" t="str">
        <f t="shared" si="800"/>
        <v/>
      </c>
      <c r="DM68" s="66" t="str">
        <f t="shared" si="801"/>
        <v/>
      </c>
      <c r="DN68" s="66" t="str">
        <f t="shared" si="802"/>
        <v/>
      </c>
      <c r="DO68" s="66" t="str">
        <f t="shared" si="803"/>
        <v/>
      </c>
      <c r="DP68" s="66" t="str">
        <f t="shared" si="804"/>
        <v/>
      </c>
      <c r="DQ68" s="66" t="str">
        <f t="shared" si="805"/>
        <v/>
      </c>
      <c r="DR68" s="66" t="str">
        <f t="shared" si="806"/>
        <v/>
      </c>
      <c r="DS68" s="66" t="str">
        <f t="shared" si="807"/>
        <v/>
      </c>
      <c r="DT68" s="66" t="str">
        <f t="shared" si="808"/>
        <v/>
      </c>
      <c r="DU68" s="66" t="str">
        <f t="shared" si="809"/>
        <v/>
      </c>
      <c r="DV68" s="66" t="str">
        <f t="shared" si="810"/>
        <v/>
      </c>
      <c r="DW68" s="66" t="str">
        <f t="shared" si="811"/>
        <v/>
      </c>
      <c r="DX68" s="66" t="str">
        <f t="shared" si="812"/>
        <v/>
      </c>
      <c r="DY68" s="66" t="str">
        <f t="shared" si="813"/>
        <v/>
      </c>
      <c r="DZ68" s="66" t="str">
        <f t="shared" si="814"/>
        <v/>
      </c>
      <c r="EA68" s="66" t="str">
        <f t="shared" si="815"/>
        <v/>
      </c>
      <c r="EB68" s="66" t="str">
        <f t="shared" si="816"/>
        <v/>
      </c>
      <c r="EC68" s="66" t="str">
        <f t="shared" si="817"/>
        <v>|n生命恢复%+2</v>
      </c>
      <c r="ED68" s="66" t="str">
        <f t="shared" si="818"/>
        <v/>
      </c>
      <c r="EE68" s="66" t="str">
        <f t="shared" si="819"/>
        <v/>
      </c>
      <c r="EF68" s="66" t="str">
        <f t="shared" si="820"/>
        <v/>
      </c>
      <c r="EG68" s="66" t="str">
        <f t="shared" si="821"/>
        <v/>
      </c>
      <c r="EH68" s="66" t="str">
        <f t="shared" si="822"/>
        <v/>
      </c>
      <c r="EI68" s="66" t="str">
        <f t="shared" si="823"/>
        <v/>
      </c>
      <c r="EJ68" s="66" t="str">
        <f t="shared" si="824"/>
        <v/>
      </c>
      <c r="EK68" s="66" t="str">
        <f t="shared" si="825"/>
        <v/>
      </c>
      <c r="EL68" s="66" t="str">
        <f t="shared" si="826"/>
        <v/>
      </c>
      <c r="EM68" s="66" t="str">
        <f t="shared" si="827"/>
        <v/>
      </c>
      <c r="EN68" s="66" t="str">
        <f t="shared" si="828"/>
        <v/>
      </c>
      <c r="EO68" s="66" t="str">
        <f t="shared" si="829"/>
        <v/>
      </c>
      <c r="EP68" s="66" t="str">
        <f t="shared" si="830"/>
        <v/>
      </c>
      <c r="EQ68" s="66" t="str">
        <f t="shared" si="831"/>
        <v/>
      </c>
      <c r="ER68" s="66" t="str">
        <f t="shared" si="832"/>
        <v/>
      </c>
      <c r="ES68" s="66" t="str">
        <f t="shared" si="833"/>
        <v/>
      </c>
      <c r="ET68" s="66" t="str">
        <f t="shared" si="834"/>
        <v/>
      </c>
      <c r="EU68" s="66" t="str">
        <f t="shared" si="835"/>
        <v/>
      </c>
      <c r="EV68" s="66" t="str">
        <f t="shared" si="836"/>
        <v/>
      </c>
      <c r="EW68" s="66" t="str">
        <f t="shared" si="837"/>
        <v/>
      </c>
      <c r="EX68" s="66" t="str">
        <f t="shared" si="838"/>
        <v/>
      </c>
      <c r="EY68" s="66" t="str">
        <f t="shared" si="839"/>
        <v/>
      </c>
      <c r="EZ68" s="66" t="str">
        <f t="shared" si="840"/>
        <v/>
      </c>
      <c r="FA68" s="66" t="str">
        <f t="shared" si="841"/>
        <v/>
      </c>
      <c r="FB68" s="66" t="str">
        <f t="shared" si="842"/>
        <v/>
      </c>
      <c r="FC68" s="66" t="str">
        <f t="shared" si="843"/>
        <v/>
      </c>
      <c r="FD68" s="66" t="str">
        <f t="shared" si="844"/>
        <v/>
      </c>
      <c r="FE68" s="66" t="str">
        <f t="shared" si="845"/>
        <v/>
      </c>
      <c r="FF68" s="66" t="str">
        <f t="shared" si="846"/>
        <v/>
      </c>
      <c r="FG68" s="66" t="str">
        <f t="shared" si="847"/>
        <v/>
      </c>
      <c r="FH68" s="66" t="str">
        <f t="shared" si="848"/>
        <v/>
      </c>
      <c r="FI68" s="66" t="str">
        <f t="shared" si="849"/>
        <v/>
      </c>
      <c r="FJ68" s="66" t="str">
        <f t="shared" si="850"/>
        <v/>
      </c>
      <c r="FK68" s="66" t="str">
        <f t="shared" si="851"/>
        <v/>
      </c>
      <c r="FL68" s="66" t="str">
        <f t="shared" si="852"/>
        <v/>
      </c>
      <c r="FM68" s="66" t="str">
        <f t="shared" si="853"/>
        <v/>
      </c>
      <c r="FN68" s="66" t="str">
        <f t="shared" si="854"/>
        <v/>
      </c>
      <c r="FO68" s="66" t="str">
        <f t="shared" si="855"/>
        <v/>
      </c>
      <c r="FP68" s="66" t="str">
        <f t="shared" si="856"/>
        <v/>
      </c>
      <c r="FQ68" s="66" t="str">
        <f t="shared" si="857"/>
        <v/>
      </c>
      <c r="FR68" s="66" t="str">
        <f t="shared" si="858"/>
        <v/>
      </c>
      <c r="FS68" s="66" t="str">
        <f t="shared" si="859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37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150</v>
      </c>
      <c r="Y69" s="78"/>
      <c r="Z69" s="78">
        <v>2400000</v>
      </c>
      <c r="AA69" s="78"/>
      <c r="AB69" s="78">
        <v>60000</v>
      </c>
      <c r="AC69" s="78"/>
      <c r="AD69" s="78"/>
      <c r="AE69" s="78"/>
      <c r="AF69" s="78"/>
      <c r="AG69" s="81"/>
      <c r="AH69" s="78"/>
      <c r="AI69" s="78"/>
      <c r="AJ69" s="78"/>
      <c r="AK69" s="78"/>
      <c r="AL69" s="81"/>
      <c r="AM69" s="78"/>
      <c r="AN69" s="78"/>
      <c r="AO69" s="78"/>
      <c r="AP69" s="83"/>
      <c r="AQ69" s="83"/>
      <c r="AR69" s="84"/>
      <c r="AS69" s="84"/>
      <c r="AT69" s="83"/>
      <c r="AU69" s="83"/>
      <c r="AV69" s="83"/>
      <c r="AW69" s="83">
        <f t="shared" si="864"/>
        <v>2</v>
      </c>
      <c r="AX69" s="83"/>
      <c r="AY69" s="83"/>
      <c r="AZ69" s="83"/>
      <c r="BA69" s="83"/>
      <c r="BB69" s="8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3"/>
      <c r="CF69" s="83"/>
      <c r="CG69" s="83"/>
      <c r="CH69" s="83"/>
      <c r="CI69" s="83"/>
      <c r="CJ69" s="83"/>
      <c r="CK69" s="83"/>
      <c r="CL69" s="83"/>
      <c r="CM69" s="83"/>
      <c r="CN69" s="86" t="str">
        <f t="shared" si="860"/>
        <v>InitUnitState('E217',,,150,,2400000,,60000,,,)</v>
      </c>
      <c r="CO69" s="86" t="str">
        <f t="shared" si="861"/>
        <v>InitUnitNormal('E217',,,,,,,,,,)</v>
      </c>
      <c r="CP69" s="86" t="str">
        <f t="shared" si="862"/>
        <v>InitUnitMagic('E217',,,,,,,,2,,)</v>
      </c>
      <c r="CQ69" s="86" t="str">
        <f t="shared" si="863"/>
        <v>InitUnitAdd('E217',,,,,,,,,,)</v>
      </c>
      <c r="CR69" s="86" t="str">
        <f t="shared" si="649"/>
        <v>InitEquipData('E217',,"",,E218,20000,60,'','','','','','',"ReplaceableTextures\\CommandButtons\\BTNZ14.blp")</v>
      </c>
      <c r="CS69" s="86"/>
      <c r="CT69" s="86"/>
      <c r="CU69" s="88" t="str">
        <f t="shared" si="865"/>
        <v>|n护甲+150|n生命值+2400000|n生命回复+60000|n生命恢复%+2|n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|Cffbbbbbb属性：|r|n护甲+150|n生命值+2400000|n生命回复+60000|n生命恢复%+2|n|n|Cff00ff7f点击消耗20000金币进行强化|n成功率60%</v>
      </c>
      <c r="DB69" s="66" t="str">
        <f t="shared" si="790"/>
        <v/>
      </c>
      <c r="DC69" s="66" t="str">
        <f t="shared" si="791"/>
        <v/>
      </c>
      <c r="DD69" s="66" t="str">
        <f t="shared" si="792"/>
        <v>|n护甲+150</v>
      </c>
      <c r="DE69" s="66" t="str">
        <f t="shared" si="793"/>
        <v/>
      </c>
      <c r="DF69" s="66" t="str">
        <f t="shared" si="794"/>
        <v>|n生命值+2400000</v>
      </c>
      <c r="DG69" s="66" t="str">
        <f t="shared" si="795"/>
        <v/>
      </c>
      <c r="DH69" s="66" t="str">
        <f t="shared" si="796"/>
        <v>|n生命回复+60000</v>
      </c>
      <c r="DI69" s="66" t="str">
        <f t="shared" si="797"/>
        <v/>
      </c>
      <c r="DJ69" s="66" t="str">
        <f t="shared" si="798"/>
        <v/>
      </c>
      <c r="DK69" s="66" t="str">
        <f t="shared" si="799"/>
        <v/>
      </c>
      <c r="DL69" s="66" t="str">
        <f t="shared" si="800"/>
        <v/>
      </c>
      <c r="DM69" s="66" t="str">
        <f t="shared" si="801"/>
        <v/>
      </c>
      <c r="DN69" s="66" t="str">
        <f t="shared" si="802"/>
        <v/>
      </c>
      <c r="DO69" s="66" t="str">
        <f t="shared" si="803"/>
        <v/>
      </c>
      <c r="DP69" s="66" t="str">
        <f t="shared" si="804"/>
        <v/>
      </c>
      <c r="DQ69" s="66" t="str">
        <f t="shared" si="805"/>
        <v/>
      </c>
      <c r="DR69" s="66" t="str">
        <f t="shared" si="806"/>
        <v/>
      </c>
      <c r="DS69" s="66" t="str">
        <f t="shared" si="807"/>
        <v/>
      </c>
      <c r="DT69" s="66" t="str">
        <f t="shared" si="808"/>
        <v/>
      </c>
      <c r="DU69" s="66" t="str">
        <f t="shared" si="809"/>
        <v/>
      </c>
      <c r="DV69" s="66" t="str">
        <f t="shared" si="810"/>
        <v/>
      </c>
      <c r="DW69" s="66" t="str">
        <f t="shared" si="811"/>
        <v/>
      </c>
      <c r="DX69" s="66" t="str">
        <f t="shared" si="812"/>
        <v/>
      </c>
      <c r="DY69" s="66" t="str">
        <f t="shared" si="813"/>
        <v/>
      </c>
      <c r="DZ69" s="66" t="str">
        <f t="shared" si="814"/>
        <v/>
      </c>
      <c r="EA69" s="66" t="str">
        <f t="shared" si="815"/>
        <v/>
      </c>
      <c r="EB69" s="66" t="str">
        <f t="shared" si="816"/>
        <v/>
      </c>
      <c r="EC69" s="66" t="str">
        <f t="shared" si="817"/>
        <v>|n生命恢复%+2</v>
      </c>
      <c r="ED69" s="66" t="str">
        <f t="shared" si="818"/>
        <v/>
      </c>
      <c r="EE69" s="66" t="str">
        <f t="shared" si="819"/>
        <v/>
      </c>
      <c r="EF69" s="66" t="str">
        <f t="shared" si="820"/>
        <v/>
      </c>
      <c r="EG69" s="66" t="str">
        <f t="shared" si="821"/>
        <v/>
      </c>
      <c r="EH69" s="66" t="str">
        <f t="shared" si="822"/>
        <v/>
      </c>
      <c r="EI69" s="66" t="str">
        <f t="shared" si="823"/>
        <v/>
      </c>
      <c r="EJ69" s="66" t="str">
        <f t="shared" si="824"/>
        <v/>
      </c>
      <c r="EK69" s="66" t="str">
        <f t="shared" si="825"/>
        <v/>
      </c>
      <c r="EL69" s="66" t="str">
        <f t="shared" si="826"/>
        <v/>
      </c>
      <c r="EM69" s="66" t="str">
        <f t="shared" si="827"/>
        <v/>
      </c>
      <c r="EN69" s="66" t="str">
        <f t="shared" si="828"/>
        <v/>
      </c>
      <c r="EO69" s="66" t="str">
        <f t="shared" si="829"/>
        <v/>
      </c>
      <c r="EP69" s="66" t="str">
        <f t="shared" si="830"/>
        <v/>
      </c>
      <c r="EQ69" s="66" t="str">
        <f t="shared" si="831"/>
        <v/>
      </c>
      <c r="ER69" s="66" t="str">
        <f t="shared" si="832"/>
        <v/>
      </c>
      <c r="ES69" s="66" t="str">
        <f t="shared" si="833"/>
        <v/>
      </c>
      <c r="ET69" s="66" t="str">
        <f t="shared" si="834"/>
        <v/>
      </c>
      <c r="EU69" s="66" t="str">
        <f t="shared" si="835"/>
        <v/>
      </c>
      <c r="EV69" s="66" t="str">
        <f t="shared" si="836"/>
        <v/>
      </c>
      <c r="EW69" s="66" t="str">
        <f t="shared" si="837"/>
        <v/>
      </c>
      <c r="EX69" s="66" t="str">
        <f t="shared" si="838"/>
        <v/>
      </c>
      <c r="EY69" s="66" t="str">
        <f t="shared" si="839"/>
        <v/>
      </c>
      <c r="EZ69" s="66" t="str">
        <f t="shared" si="840"/>
        <v/>
      </c>
      <c r="FA69" s="66" t="str">
        <f t="shared" si="841"/>
        <v/>
      </c>
      <c r="FB69" s="66" t="str">
        <f t="shared" si="842"/>
        <v/>
      </c>
      <c r="FC69" s="66" t="str">
        <f t="shared" si="843"/>
        <v/>
      </c>
      <c r="FD69" s="66" t="str">
        <f t="shared" si="844"/>
        <v/>
      </c>
      <c r="FE69" s="66" t="str">
        <f t="shared" si="845"/>
        <v/>
      </c>
      <c r="FF69" s="66" t="str">
        <f t="shared" si="846"/>
        <v/>
      </c>
      <c r="FG69" s="66" t="str">
        <f t="shared" si="847"/>
        <v/>
      </c>
      <c r="FH69" s="66" t="str">
        <f t="shared" si="848"/>
        <v/>
      </c>
      <c r="FI69" s="66" t="str">
        <f t="shared" si="849"/>
        <v/>
      </c>
      <c r="FJ69" s="66" t="str">
        <f t="shared" si="850"/>
        <v/>
      </c>
      <c r="FK69" s="66" t="str">
        <f t="shared" si="851"/>
        <v/>
      </c>
      <c r="FL69" s="66" t="str">
        <f t="shared" si="852"/>
        <v/>
      </c>
      <c r="FM69" s="66" t="str">
        <f t="shared" si="853"/>
        <v/>
      </c>
      <c r="FN69" s="66" t="str">
        <f t="shared" si="854"/>
        <v/>
      </c>
      <c r="FO69" s="66" t="str">
        <f t="shared" si="855"/>
        <v/>
      </c>
      <c r="FP69" s="66" t="str">
        <f t="shared" si="856"/>
        <v/>
      </c>
      <c r="FQ69" s="66" t="str">
        <f t="shared" si="857"/>
        <v/>
      </c>
      <c r="FR69" s="66" t="str">
        <f t="shared" si="858"/>
        <v/>
      </c>
      <c r="FS69" s="66" t="str">
        <f t="shared" si="859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37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150</v>
      </c>
      <c r="Y70" s="78"/>
      <c r="Z70" s="78">
        <v>2800000</v>
      </c>
      <c r="AA70" s="78"/>
      <c r="AB70" s="78">
        <v>70000</v>
      </c>
      <c r="AC70" s="78"/>
      <c r="AD70" s="78"/>
      <c r="AE70" s="78"/>
      <c r="AF70" s="78"/>
      <c r="AG70" s="81"/>
      <c r="AH70" s="78"/>
      <c r="AI70" s="78"/>
      <c r="AJ70" s="78"/>
      <c r="AK70" s="78"/>
      <c r="AL70" s="81"/>
      <c r="AM70" s="78"/>
      <c r="AN70" s="78"/>
      <c r="AO70" s="78"/>
      <c r="AP70" s="83"/>
      <c r="AQ70" s="83"/>
      <c r="AR70" s="84"/>
      <c r="AS70" s="84"/>
      <c r="AT70" s="83"/>
      <c r="AU70" s="83"/>
      <c r="AV70" s="83"/>
      <c r="AW70" s="83">
        <f t="shared" si="864"/>
        <v>2</v>
      </c>
      <c r="AX70" s="83"/>
      <c r="AY70" s="83"/>
      <c r="AZ70" s="83"/>
      <c r="BA70" s="83"/>
      <c r="BB70" s="8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3"/>
      <c r="CF70" s="83"/>
      <c r="CG70" s="83"/>
      <c r="CH70" s="83"/>
      <c r="CI70" s="83"/>
      <c r="CJ70" s="83"/>
      <c r="CK70" s="83"/>
      <c r="CL70" s="83"/>
      <c r="CM70" s="83"/>
      <c r="CN70" s="86" t="str">
        <f t="shared" si="860"/>
        <v>InitUnitState('E218',,,150,,2800000,,70000,,,)</v>
      </c>
      <c r="CO70" s="86" t="str">
        <f t="shared" si="861"/>
        <v>InitUnitNormal('E218',,,,,,,,,,)</v>
      </c>
      <c r="CP70" s="86" t="str">
        <f t="shared" si="862"/>
        <v>InitUnitMagic('E218',,,,,,,,2,,)</v>
      </c>
      <c r="CQ70" s="86" t="str">
        <f t="shared" si="863"/>
        <v>InitUnitAdd('E218',,,,,,,,,,)</v>
      </c>
      <c r="CR70" s="86" t="str">
        <f t="shared" si="649"/>
        <v>InitEquipData('E218',,"",,E219,20000,60,'','','','','','',"ReplaceableTextures\\CommandButtons\\BTNZ14.blp")</v>
      </c>
      <c r="CS70" s="86"/>
      <c r="CT70" s="86"/>
      <c r="CU70" s="88" t="str">
        <f t="shared" si="865"/>
        <v>|n护甲+150|n生命值+2800000|n生命回复+70000|n生命恢复%+2|n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|Cffbbbbbb属性：|r|n护甲+150|n生命值+2800000|n生命回复+70000|n生命恢复%+2|n|n|Cff00ff7f点击消耗20000金币进行强化|n成功率60%</v>
      </c>
      <c r="DB70" s="66" t="str">
        <f t="shared" ref="DB70:DB77" si="866">IF(V70="","","|n"&amp;DB$2&amp;"+"&amp;V70&amp;DB$1)</f>
        <v/>
      </c>
      <c r="DC70" s="66" t="str">
        <f t="shared" ref="DC70:DC77" si="867">IF(W70="","","|n"&amp;DC$2&amp;"+"&amp;W70&amp;DC$1)</f>
        <v/>
      </c>
      <c r="DD70" s="66" t="str">
        <f t="shared" ref="DD70:DD77" si="868">IF(X70="","","|n"&amp;DD$2&amp;"+"&amp;X70&amp;DD$1)</f>
        <v>|n护甲+150</v>
      </c>
      <c r="DE70" s="66" t="str">
        <f t="shared" ref="DE70:DE77" si="869">IF(Y70="","","|n"&amp;DE$2&amp;"+"&amp;Y70&amp;DE$1)</f>
        <v/>
      </c>
      <c r="DF70" s="66" t="str">
        <f t="shared" ref="DF70:DF77" si="870">IF(Z70="","","|n"&amp;DF$2&amp;"+"&amp;Z70&amp;DF$1)</f>
        <v>|n生命值+2800000</v>
      </c>
      <c r="DG70" s="66" t="str">
        <f t="shared" ref="DG70:DG77" si="871">IF(AA70="","","|n"&amp;DG$2&amp;"+"&amp;AA70&amp;DG$1)</f>
        <v/>
      </c>
      <c r="DH70" s="66" t="str">
        <f t="shared" ref="DH70:DH77" si="872">IF(AB70="","","|n"&amp;DH$2&amp;"+"&amp;AB70&amp;DH$1)</f>
        <v>|n生命回复+70000</v>
      </c>
      <c r="DI70" s="66" t="str">
        <f t="shared" ref="DI70:DI77" si="873">IF(AC70="","","|n"&amp;DI$2&amp;"+"&amp;AC70&amp;DI$1)</f>
        <v/>
      </c>
      <c r="DJ70" s="66" t="str">
        <f t="shared" ref="DJ70:DJ77" si="874">IF(AD70="","","|n"&amp;DJ$2&amp;"+"&amp;AD70&amp;DJ$1)</f>
        <v/>
      </c>
      <c r="DK70" s="66" t="str">
        <f t="shared" ref="DK70:DK77" si="875">IF(AE70="","","|n"&amp;DK$2&amp;"+"&amp;AE70&amp;DK$1)</f>
        <v/>
      </c>
      <c r="DL70" s="66" t="str">
        <f t="shared" ref="DL70:DL77" si="876">IF(AF70="","","|n"&amp;DL$2&amp;"+"&amp;AF70&amp;DL$1)</f>
        <v/>
      </c>
      <c r="DM70" s="66" t="str">
        <f t="shared" ref="DM70:DM77" si="877">IF(AG70="","","|n"&amp;DM$2&amp;"+"&amp;AG70&amp;DM$1)</f>
        <v/>
      </c>
      <c r="DN70" s="66" t="str">
        <f t="shared" ref="DN70:DN77" si="878">IF(AH70="","","|n"&amp;DN$2&amp;"+"&amp;AH70&amp;DN$1)</f>
        <v/>
      </c>
      <c r="DO70" s="66" t="str">
        <f t="shared" ref="DO70:DO77" si="879">IF(AI70="","","|n"&amp;DO$2&amp;"+"&amp;AI70&amp;DO$1)</f>
        <v/>
      </c>
      <c r="DP70" s="66" t="str">
        <f t="shared" ref="DP70:DP77" si="880">IF(AJ70="","","|n"&amp;DP$2&amp;"+"&amp;AJ70&amp;DP$1)</f>
        <v/>
      </c>
      <c r="DQ70" s="66" t="str">
        <f t="shared" ref="DQ70:DQ77" si="881">IF(AK70="","","|n"&amp;DQ$2&amp;"+"&amp;AK70&amp;DQ$1)</f>
        <v/>
      </c>
      <c r="DR70" s="66" t="str">
        <f t="shared" ref="DR70:DR77" si="882">IF(AL70="","","|n"&amp;DR$2&amp;"+"&amp;AL70&amp;DR$1)</f>
        <v/>
      </c>
      <c r="DS70" s="66" t="str">
        <f t="shared" ref="DS70:DS77" si="883">IF(AM70="","","|n"&amp;DS$2&amp;"+"&amp;AM70&amp;DS$1)</f>
        <v/>
      </c>
      <c r="DT70" s="66" t="str">
        <f t="shared" ref="DT70:DT77" si="884">IF(AN70="","","|n"&amp;DT$2&amp;"+"&amp;AN70&amp;DT$1)</f>
        <v/>
      </c>
      <c r="DU70" s="66" t="str">
        <f t="shared" ref="DU70:DU77" si="885">IF(AO70="","","|n"&amp;DU$2&amp;"+"&amp;AO70&amp;DU$1)</f>
        <v/>
      </c>
      <c r="DV70" s="66" t="str">
        <f t="shared" ref="DV70:DV77" si="886">IF(AP70="","","|n"&amp;DV$2&amp;"+"&amp;AP70&amp;DV$1)</f>
        <v/>
      </c>
      <c r="DW70" s="66" t="str">
        <f t="shared" ref="DW70:DW77" si="887">IF(AQ70="","","|n"&amp;DW$2&amp;"+"&amp;AQ70&amp;DW$1)</f>
        <v/>
      </c>
      <c r="DX70" s="66" t="str">
        <f t="shared" ref="DX70:DX77" si="888">IF(AR70="","","|n"&amp;DX$2&amp;"+"&amp;AR70&amp;DX$1)</f>
        <v/>
      </c>
      <c r="DY70" s="66" t="str">
        <f t="shared" ref="DY70:DY77" si="889">IF(AS70="","","|n"&amp;DY$2&amp;"+"&amp;AS70&amp;DY$1)</f>
        <v/>
      </c>
      <c r="DZ70" s="66" t="str">
        <f t="shared" ref="DZ70:DZ77" si="890">IF(AT70="","","|n"&amp;DZ$2&amp;"+"&amp;AT70&amp;DZ$1)</f>
        <v/>
      </c>
      <c r="EA70" s="66" t="str">
        <f t="shared" ref="EA70:EA77" si="891">IF(AU70="","","|n"&amp;EA$2&amp;"+"&amp;AU70&amp;EA$1)</f>
        <v/>
      </c>
      <c r="EB70" s="66" t="str">
        <f t="shared" ref="EB70:EB77" si="892">IF(AV70="","","|n"&amp;EB$2&amp;"+"&amp;AV70&amp;EB$1)</f>
        <v/>
      </c>
      <c r="EC70" s="66" t="str">
        <f t="shared" ref="EC70:EC77" si="893">IF(AW70="","","|n"&amp;EC$2&amp;"+"&amp;AW70&amp;EC$1)</f>
        <v>|n生命恢复%+2</v>
      </c>
      <c r="ED70" s="66" t="str">
        <f t="shared" ref="ED70:ED77" si="894">IF(AX70="","","|n"&amp;ED$2&amp;"+"&amp;AX70&amp;ED$1)</f>
        <v/>
      </c>
      <c r="EE70" s="66" t="str">
        <f t="shared" ref="EE70:EE77" si="895">IF(AY70="","","|n"&amp;EE$2&amp;"+"&amp;AY70&amp;EE$1)</f>
        <v/>
      </c>
      <c r="EF70" s="66" t="str">
        <f t="shared" ref="EF70:EF77" si="896">IF(AZ70="","","|n"&amp;EF$2&amp;"+"&amp;AZ70&amp;EF$1)</f>
        <v/>
      </c>
      <c r="EG70" s="66" t="str">
        <f t="shared" ref="EG70:EG77" si="897">IF(BA70="","","|n"&amp;EG$2&amp;"+"&amp;BA70&amp;EG$1)</f>
        <v/>
      </c>
      <c r="EH70" s="66" t="str">
        <f t="shared" ref="EH70:EH77" si="898">IF(BB70="","","|n"&amp;EH$2&amp;"+"&amp;BB70&amp;EH$1)</f>
        <v/>
      </c>
      <c r="EI70" s="66" t="str">
        <f t="shared" ref="EI70:EI77" si="899">IF(BC70="","","|n"&amp;EI$2&amp;"+"&amp;BC70&amp;EI$1)</f>
        <v/>
      </c>
      <c r="EJ70" s="66" t="str">
        <f t="shared" ref="EJ70:EJ77" si="900">IF(BD70="","","|n"&amp;EJ$2&amp;"+"&amp;BD70&amp;EJ$1)</f>
        <v/>
      </c>
      <c r="EK70" s="66" t="str">
        <f t="shared" ref="EK70:EK77" si="901">IF(BE70="","","|n"&amp;EK$2&amp;"+"&amp;BE70&amp;EK$1)</f>
        <v/>
      </c>
      <c r="EL70" s="66" t="str">
        <f t="shared" ref="EL70:EL77" si="902">IF(BF70="","","|n"&amp;EL$2&amp;"+"&amp;BF70&amp;EL$1)</f>
        <v/>
      </c>
      <c r="EM70" s="66" t="str">
        <f t="shared" ref="EM70:EM77" si="903">IF(BG70="","","|n"&amp;EM$2&amp;"+"&amp;BG70&amp;EM$1)</f>
        <v/>
      </c>
      <c r="EN70" s="66" t="str">
        <f t="shared" ref="EN70:EN77" si="904">IF(BH70="","","|n"&amp;EN$2&amp;"+"&amp;BH70&amp;EN$1)</f>
        <v/>
      </c>
      <c r="EO70" s="66" t="str">
        <f t="shared" ref="EO70:EO77" si="905">IF(BI70="","","|n"&amp;EO$2&amp;"+"&amp;BI70&amp;EO$1)</f>
        <v/>
      </c>
      <c r="EP70" s="66" t="str">
        <f t="shared" ref="EP70:EP77" si="906">IF(BJ70="","","|n"&amp;EP$2&amp;"+"&amp;BJ70&amp;EP$1)</f>
        <v/>
      </c>
      <c r="EQ70" s="66" t="str">
        <f t="shared" ref="EQ70:EQ77" si="907">IF(BK70="","","|n"&amp;EQ$2&amp;"+"&amp;BK70&amp;EQ$1)</f>
        <v/>
      </c>
      <c r="ER70" s="66" t="str">
        <f t="shared" ref="ER70:ER77" si="908">IF(BL70="","","|n"&amp;ER$2&amp;"+"&amp;BL70&amp;ER$1)</f>
        <v/>
      </c>
      <c r="ES70" s="66" t="str">
        <f t="shared" ref="ES70:ES77" si="909">IF(BM70="","","|n"&amp;ES$2&amp;"+"&amp;BM70&amp;ES$1)</f>
        <v/>
      </c>
      <c r="ET70" s="66" t="str">
        <f t="shared" ref="ET70:ET77" si="910">IF(BN70="","","|n"&amp;ET$2&amp;"+"&amp;BN70&amp;ET$1)</f>
        <v/>
      </c>
      <c r="EU70" s="66" t="str">
        <f t="shared" ref="EU70:EU77" si="911">IF(BO70="","","|n"&amp;EU$2&amp;"+"&amp;BO70&amp;EU$1)</f>
        <v/>
      </c>
      <c r="EV70" s="66" t="str">
        <f t="shared" ref="EV70:EV77" si="912">IF(BP70="","","|n"&amp;EV$2&amp;"+"&amp;BP70&amp;EV$1)</f>
        <v/>
      </c>
      <c r="EW70" s="66" t="str">
        <f t="shared" ref="EW70:EW77" si="913">IF(BQ70="","","|n"&amp;EW$2&amp;"+"&amp;BQ70&amp;EW$1)</f>
        <v/>
      </c>
      <c r="EX70" s="66" t="str">
        <f t="shared" ref="EX70:EX77" si="914">IF(BR70="","","|n"&amp;EX$2&amp;"+"&amp;BR70&amp;EX$1)</f>
        <v/>
      </c>
      <c r="EY70" s="66" t="str">
        <f t="shared" ref="EY70:EY77" si="915">IF(BS70="","","|n"&amp;EY$2&amp;"+"&amp;BS70&amp;EY$1)</f>
        <v/>
      </c>
      <c r="EZ70" s="66" t="str">
        <f t="shared" ref="EZ70:EZ77" si="916">IF(BT70="","","|n"&amp;EZ$2&amp;"+"&amp;BT70&amp;EZ$1)</f>
        <v/>
      </c>
      <c r="FA70" s="66" t="str">
        <f t="shared" ref="FA70:FA77" si="917">IF(BU70="","","|n"&amp;FA$2&amp;"+"&amp;BU70&amp;FA$1)</f>
        <v/>
      </c>
      <c r="FB70" s="66" t="str">
        <f t="shared" ref="FB70:FB77" si="918">IF(BV70="","","|n"&amp;FB$2&amp;"+"&amp;BV70&amp;FB$1)</f>
        <v/>
      </c>
      <c r="FC70" s="66" t="str">
        <f t="shared" ref="FC70:FC77" si="919">IF(BW70="","","|n"&amp;FC$2&amp;"+"&amp;BW70&amp;FC$1)</f>
        <v/>
      </c>
      <c r="FD70" s="66" t="str">
        <f t="shared" ref="FD70:FD77" si="920">IF(BX70="","","|n"&amp;FD$2&amp;"+"&amp;BX70&amp;FD$1)</f>
        <v/>
      </c>
      <c r="FE70" s="66" t="str">
        <f t="shared" ref="FE70:FE77" si="921">IF(BY70="","","|n"&amp;FE$2&amp;"+"&amp;BY70&amp;FE$1)</f>
        <v/>
      </c>
      <c r="FF70" s="66" t="str">
        <f t="shared" ref="FF70:FF77" si="922">IF(BZ70="","","|n"&amp;FF$2&amp;"+"&amp;BZ70&amp;FF$1)</f>
        <v/>
      </c>
      <c r="FG70" s="66" t="str">
        <f t="shared" ref="FG70:FG77" si="923">IF(CA70="","","|n"&amp;FG$2&amp;"+"&amp;CA70&amp;FG$1)</f>
        <v/>
      </c>
      <c r="FH70" s="66" t="str">
        <f t="shared" ref="FH70:FH77" si="924">IF(CB70="","","|n"&amp;FH$2&amp;"+"&amp;CB70&amp;FH$1)</f>
        <v/>
      </c>
      <c r="FI70" s="66" t="str">
        <f t="shared" ref="FI70:FI77" si="925">IF(CC70="","","|n"&amp;FI$2&amp;"+"&amp;CC70&amp;FI$1)</f>
        <v/>
      </c>
      <c r="FJ70" s="66" t="str">
        <f t="shared" ref="FJ70:FJ77" si="926">IF(CD70="","","|n"&amp;FJ$2&amp;"+"&amp;CD70&amp;FJ$1)</f>
        <v/>
      </c>
      <c r="FK70" s="66" t="str">
        <f t="shared" ref="FK70:FK77" si="927">IF(CE70="","","|n"&amp;FK$2&amp;"+"&amp;CE70&amp;FK$1)</f>
        <v/>
      </c>
      <c r="FL70" s="66" t="str">
        <f t="shared" ref="FL70:FL77" si="928">IF(CF70="","","|n"&amp;FL$2&amp;"+"&amp;CF70&amp;FL$1)</f>
        <v/>
      </c>
      <c r="FM70" s="66" t="str">
        <f t="shared" ref="FM70:FM77" si="929">IF(CG70="","","|n"&amp;FM$2&amp;"+"&amp;CG70&amp;FM$1)</f>
        <v/>
      </c>
      <c r="FN70" s="66" t="str">
        <f t="shared" ref="FN70:FN77" si="930">IF(CH70="","","|n"&amp;FN$2&amp;"+"&amp;CH70&amp;FN$1)</f>
        <v/>
      </c>
      <c r="FO70" s="66" t="str">
        <f t="shared" ref="FO70:FO77" si="931">IF(CI70="","","|n"&amp;FO$2&amp;"+"&amp;CI70&amp;FO$1)</f>
        <v/>
      </c>
      <c r="FP70" s="66" t="str">
        <f t="shared" ref="FP70:FP77" si="932">IF(CJ70="","","|n"&amp;FP$2&amp;"+"&amp;CJ70&amp;FP$1)</f>
        <v/>
      </c>
      <c r="FQ70" s="66" t="str">
        <f t="shared" ref="FQ70:FQ77" si="933">IF(CK70="","","|n"&amp;FQ$2&amp;"+"&amp;CK70&amp;FQ$1)</f>
        <v/>
      </c>
      <c r="FR70" s="66" t="str">
        <f t="shared" ref="FR70:FR77" si="934">IF(CL70="","","|n"&amp;FR$2&amp;"+"&amp;CL70&amp;FR$1)</f>
        <v/>
      </c>
      <c r="FS70" s="66" t="str">
        <f t="shared" ref="FS70:FS77" si="935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37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150</v>
      </c>
      <c r="Y71" s="78"/>
      <c r="Z71" s="78">
        <v>3400000</v>
      </c>
      <c r="AA71" s="78"/>
      <c r="AB71" s="78">
        <v>85000</v>
      </c>
      <c r="AC71" s="78"/>
      <c r="AD71" s="78"/>
      <c r="AE71" s="78"/>
      <c r="AF71" s="78"/>
      <c r="AG71" s="81"/>
      <c r="AH71" s="78"/>
      <c r="AI71" s="78"/>
      <c r="AJ71" s="78"/>
      <c r="AK71" s="78"/>
      <c r="AL71" s="81"/>
      <c r="AM71" s="78"/>
      <c r="AN71" s="78"/>
      <c r="AO71" s="78"/>
      <c r="AP71" s="83"/>
      <c r="AQ71" s="83"/>
      <c r="AR71" s="84"/>
      <c r="AS71" s="84"/>
      <c r="AT71" s="83"/>
      <c r="AU71" s="83"/>
      <c r="AV71" s="83"/>
      <c r="AW71" s="83">
        <f t="shared" si="864"/>
        <v>2</v>
      </c>
      <c r="AX71" s="83"/>
      <c r="AY71" s="83"/>
      <c r="AZ71" s="83"/>
      <c r="BA71" s="83"/>
      <c r="BB71" s="8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3"/>
      <c r="CF71" s="83"/>
      <c r="CG71" s="83"/>
      <c r="CH71" s="83"/>
      <c r="CI71" s="83"/>
      <c r="CJ71" s="83"/>
      <c r="CK71" s="83"/>
      <c r="CL71" s="83"/>
      <c r="CM71" s="83"/>
      <c r="CN71" s="86" t="str">
        <f t="shared" si="860"/>
        <v>InitUnitState('E219',,,150,,3400000,,85000,,,)</v>
      </c>
      <c r="CO71" s="86" t="str">
        <f t="shared" si="861"/>
        <v>InitUnitNormal('E219',,,,,,,,,,)</v>
      </c>
      <c r="CP71" s="86" t="str">
        <f t="shared" si="862"/>
        <v>InitUnitMagic('E219',,,,,,,,2,,)</v>
      </c>
      <c r="CQ71" s="86" t="str">
        <f t="shared" si="863"/>
        <v>InitUnitAdd('E219',,,,,,,,,,)</v>
      </c>
      <c r="CR71" s="86" t="str">
        <f t="shared" si="649"/>
        <v>InitEquipData('E219',,"",,E220,20000,60,'','','','','','',"ReplaceableTextures\\CommandButtons\\BTNZ14.blp")</v>
      </c>
      <c r="CS71" s="86"/>
      <c r="CT71" s="86"/>
      <c r="CU71" s="88" t="str">
        <f t="shared" si="865"/>
        <v>|n护甲+150|n生命值+3400000|n生命回复+85000|n生命恢复%+2|n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|Cffbbbbbb属性：|r|n护甲+150|n生命值+3400000|n生命回复+85000|n生命恢复%+2|n|n|Cff00ff7f点击消耗20000金币进行强化|n成功率60%</v>
      </c>
      <c r="DB71" s="66" t="str">
        <f t="shared" si="866"/>
        <v/>
      </c>
      <c r="DC71" s="66" t="str">
        <f t="shared" si="867"/>
        <v/>
      </c>
      <c r="DD71" s="66" t="str">
        <f t="shared" si="868"/>
        <v>|n护甲+150</v>
      </c>
      <c r="DE71" s="66" t="str">
        <f t="shared" si="869"/>
        <v/>
      </c>
      <c r="DF71" s="66" t="str">
        <f t="shared" si="870"/>
        <v>|n生命值+3400000</v>
      </c>
      <c r="DG71" s="66" t="str">
        <f t="shared" si="871"/>
        <v/>
      </c>
      <c r="DH71" s="66" t="str">
        <f t="shared" si="872"/>
        <v>|n生命回复+85000</v>
      </c>
      <c r="DI71" s="66" t="str">
        <f t="shared" si="873"/>
        <v/>
      </c>
      <c r="DJ71" s="66" t="str">
        <f t="shared" si="874"/>
        <v/>
      </c>
      <c r="DK71" s="66" t="str">
        <f t="shared" si="875"/>
        <v/>
      </c>
      <c r="DL71" s="66" t="str">
        <f t="shared" si="876"/>
        <v/>
      </c>
      <c r="DM71" s="66" t="str">
        <f t="shared" si="877"/>
        <v/>
      </c>
      <c r="DN71" s="66" t="str">
        <f t="shared" si="878"/>
        <v/>
      </c>
      <c r="DO71" s="66" t="str">
        <f t="shared" si="879"/>
        <v/>
      </c>
      <c r="DP71" s="66" t="str">
        <f t="shared" si="880"/>
        <v/>
      </c>
      <c r="DQ71" s="66" t="str">
        <f t="shared" si="881"/>
        <v/>
      </c>
      <c r="DR71" s="66" t="str">
        <f t="shared" si="882"/>
        <v/>
      </c>
      <c r="DS71" s="66" t="str">
        <f t="shared" si="883"/>
        <v/>
      </c>
      <c r="DT71" s="66" t="str">
        <f t="shared" si="884"/>
        <v/>
      </c>
      <c r="DU71" s="66" t="str">
        <f t="shared" si="885"/>
        <v/>
      </c>
      <c r="DV71" s="66" t="str">
        <f t="shared" si="886"/>
        <v/>
      </c>
      <c r="DW71" s="66" t="str">
        <f t="shared" si="887"/>
        <v/>
      </c>
      <c r="DX71" s="66" t="str">
        <f t="shared" si="888"/>
        <v/>
      </c>
      <c r="DY71" s="66" t="str">
        <f t="shared" si="889"/>
        <v/>
      </c>
      <c r="DZ71" s="66" t="str">
        <f t="shared" si="890"/>
        <v/>
      </c>
      <c r="EA71" s="66" t="str">
        <f t="shared" si="891"/>
        <v/>
      </c>
      <c r="EB71" s="66" t="str">
        <f t="shared" si="892"/>
        <v/>
      </c>
      <c r="EC71" s="66" t="str">
        <f t="shared" si="893"/>
        <v>|n生命恢复%+2</v>
      </c>
      <c r="ED71" s="66" t="str">
        <f t="shared" si="894"/>
        <v/>
      </c>
      <c r="EE71" s="66" t="str">
        <f t="shared" si="895"/>
        <v/>
      </c>
      <c r="EF71" s="66" t="str">
        <f t="shared" si="896"/>
        <v/>
      </c>
      <c r="EG71" s="66" t="str">
        <f t="shared" si="897"/>
        <v/>
      </c>
      <c r="EH71" s="66" t="str">
        <f t="shared" si="898"/>
        <v/>
      </c>
      <c r="EI71" s="66" t="str">
        <f t="shared" si="899"/>
        <v/>
      </c>
      <c r="EJ71" s="66" t="str">
        <f t="shared" si="900"/>
        <v/>
      </c>
      <c r="EK71" s="66" t="str">
        <f t="shared" si="901"/>
        <v/>
      </c>
      <c r="EL71" s="66" t="str">
        <f t="shared" si="902"/>
        <v/>
      </c>
      <c r="EM71" s="66" t="str">
        <f t="shared" si="903"/>
        <v/>
      </c>
      <c r="EN71" s="66" t="str">
        <f t="shared" si="904"/>
        <v/>
      </c>
      <c r="EO71" s="66" t="str">
        <f t="shared" si="905"/>
        <v/>
      </c>
      <c r="EP71" s="66" t="str">
        <f t="shared" si="906"/>
        <v/>
      </c>
      <c r="EQ71" s="66" t="str">
        <f t="shared" si="907"/>
        <v/>
      </c>
      <c r="ER71" s="66" t="str">
        <f t="shared" si="908"/>
        <v/>
      </c>
      <c r="ES71" s="66" t="str">
        <f t="shared" si="909"/>
        <v/>
      </c>
      <c r="ET71" s="66" t="str">
        <f t="shared" si="910"/>
        <v/>
      </c>
      <c r="EU71" s="66" t="str">
        <f t="shared" si="911"/>
        <v/>
      </c>
      <c r="EV71" s="66" t="str">
        <f t="shared" si="912"/>
        <v/>
      </c>
      <c r="EW71" s="66" t="str">
        <f t="shared" si="913"/>
        <v/>
      </c>
      <c r="EX71" s="66" t="str">
        <f t="shared" si="914"/>
        <v/>
      </c>
      <c r="EY71" s="66" t="str">
        <f t="shared" si="915"/>
        <v/>
      </c>
      <c r="EZ71" s="66" t="str">
        <f t="shared" si="916"/>
        <v/>
      </c>
      <c r="FA71" s="66" t="str">
        <f t="shared" si="917"/>
        <v/>
      </c>
      <c r="FB71" s="66" t="str">
        <f t="shared" si="918"/>
        <v/>
      </c>
      <c r="FC71" s="66" t="str">
        <f t="shared" si="919"/>
        <v/>
      </c>
      <c r="FD71" s="66" t="str">
        <f t="shared" si="920"/>
        <v/>
      </c>
      <c r="FE71" s="66" t="str">
        <f t="shared" si="921"/>
        <v/>
      </c>
      <c r="FF71" s="66" t="str">
        <f t="shared" si="922"/>
        <v/>
      </c>
      <c r="FG71" s="66" t="str">
        <f t="shared" si="923"/>
        <v/>
      </c>
      <c r="FH71" s="66" t="str">
        <f t="shared" si="924"/>
        <v/>
      </c>
      <c r="FI71" s="66" t="str">
        <f t="shared" si="925"/>
        <v/>
      </c>
      <c r="FJ71" s="66" t="str">
        <f t="shared" si="926"/>
        <v/>
      </c>
      <c r="FK71" s="66" t="str">
        <f t="shared" si="927"/>
        <v/>
      </c>
      <c r="FL71" s="66" t="str">
        <f t="shared" si="928"/>
        <v/>
      </c>
      <c r="FM71" s="66" t="str">
        <f t="shared" si="929"/>
        <v/>
      </c>
      <c r="FN71" s="66" t="str">
        <f t="shared" si="930"/>
        <v/>
      </c>
      <c r="FO71" s="66" t="str">
        <f t="shared" si="931"/>
        <v/>
      </c>
      <c r="FP71" s="66" t="str">
        <f t="shared" si="932"/>
        <v/>
      </c>
      <c r="FQ71" s="66" t="str">
        <f t="shared" si="933"/>
        <v/>
      </c>
      <c r="FR71" s="66" t="str">
        <f t="shared" si="934"/>
        <v/>
      </c>
      <c r="FS71" s="66" t="str">
        <f t="shared" si="935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37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150</v>
      </c>
      <c r="Y72" s="78"/>
      <c r="Z72" s="78">
        <v>4000000</v>
      </c>
      <c r="AA72" s="78"/>
      <c r="AB72" s="78">
        <v>100000</v>
      </c>
      <c r="AC72" s="78"/>
      <c r="AD72" s="78"/>
      <c r="AE72" s="78"/>
      <c r="AF72" s="78"/>
      <c r="AG72" s="81"/>
      <c r="AH72" s="78"/>
      <c r="AI72" s="78"/>
      <c r="AJ72" s="78"/>
      <c r="AK72" s="78"/>
      <c r="AL72" s="81"/>
      <c r="AM72" s="78"/>
      <c r="AN72" s="78"/>
      <c r="AO72" s="78"/>
      <c r="AP72" s="83"/>
      <c r="AQ72" s="83"/>
      <c r="AR72" s="84"/>
      <c r="AS72" s="84"/>
      <c r="AT72" s="83"/>
      <c r="AU72" s="83"/>
      <c r="AV72" s="83"/>
      <c r="AW72" s="83">
        <f t="shared" si="864"/>
        <v>2</v>
      </c>
      <c r="AX72" s="83"/>
      <c r="AY72" s="83"/>
      <c r="AZ72" s="83"/>
      <c r="BA72" s="83"/>
      <c r="BB72" s="8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3"/>
      <c r="CF72" s="83"/>
      <c r="CG72" s="83"/>
      <c r="CH72" s="83"/>
      <c r="CI72" s="83"/>
      <c r="CJ72" s="83"/>
      <c r="CK72" s="83"/>
      <c r="CL72" s="83"/>
      <c r="CM72" s="83"/>
      <c r="CN72" s="86" t="str">
        <f t="shared" si="860"/>
        <v>InitUnitState('E220',,,150,,4000000,,100000,,,)</v>
      </c>
      <c r="CO72" s="86" t="str">
        <f t="shared" si="861"/>
        <v>InitUnitNormal('E220',,,,,,,,,,)</v>
      </c>
      <c r="CP72" s="86" t="str">
        <f t="shared" si="862"/>
        <v>InitUnitMagic('E220',,,,,,,,2,,)</v>
      </c>
      <c r="CQ72" s="86" t="str">
        <f t="shared" si="863"/>
        <v>InitUnitAdd('E220',,,,,,,,,,)</v>
      </c>
      <c r="CR72" s="86" t="str">
        <f t="shared" si="649"/>
        <v>InitEquipData('E220',,"",,E221,35000,100,'','','','','','',"ReplaceableTextures\\CommandButtons\\BTNZ15.blp")</v>
      </c>
      <c r="CS72" s="86"/>
      <c r="CT72" s="86"/>
      <c r="CU72" s="88" t="str">
        <f t="shared" si="865"/>
        <v>|n护甲+150|n生命值+4000000|n生命回复+100000|n生命恢复%+2|n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|Cffbbbbbb属性：|r|n护甲+150|n生命值+4000000|n生命回复+100000|n生命恢复%+2|n|n|Cff00ff7f点击消耗35000金币进行晋阶挑战</v>
      </c>
      <c r="DB72" s="66" t="str">
        <f t="shared" si="866"/>
        <v/>
      </c>
      <c r="DC72" s="66" t="str">
        <f t="shared" si="867"/>
        <v/>
      </c>
      <c r="DD72" s="66" t="str">
        <f t="shared" si="868"/>
        <v>|n护甲+150</v>
      </c>
      <c r="DE72" s="66" t="str">
        <f t="shared" si="869"/>
        <v/>
      </c>
      <c r="DF72" s="66" t="str">
        <f t="shared" si="870"/>
        <v>|n生命值+4000000</v>
      </c>
      <c r="DG72" s="66" t="str">
        <f t="shared" si="871"/>
        <v/>
      </c>
      <c r="DH72" s="66" t="str">
        <f t="shared" si="872"/>
        <v>|n生命回复+100000</v>
      </c>
      <c r="DI72" s="66" t="str">
        <f t="shared" si="873"/>
        <v/>
      </c>
      <c r="DJ72" s="66" t="str">
        <f t="shared" si="874"/>
        <v/>
      </c>
      <c r="DK72" s="66" t="str">
        <f t="shared" si="875"/>
        <v/>
      </c>
      <c r="DL72" s="66" t="str">
        <f t="shared" si="876"/>
        <v/>
      </c>
      <c r="DM72" s="66" t="str">
        <f t="shared" si="877"/>
        <v/>
      </c>
      <c r="DN72" s="66" t="str">
        <f t="shared" si="878"/>
        <v/>
      </c>
      <c r="DO72" s="66" t="str">
        <f t="shared" si="879"/>
        <v/>
      </c>
      <c r="DP72" s="66" t="str">
        <f t="shared" si="880"/>
        <v/>
      </c>
      <c r="DQ72" s="66" t="str">
        <f t="shared" si="881"/>
        <v/>
      </c>
      <c r="DR72" s="66" t="str">
        <f t="shared" si="882"/>
        <v/>
      </c>
      <c r="DS72" s="66" t="str">
        <f t="shared" si="883"/>
        <v/>
      </c>
      <c r="DT72" s="66" t="str">
        <f t="shared" si="884"/>
        <v/>
      </c>
      <c r="DU72" s="66" t="str">
        <f t="shared" si="885"/>
        <v/>
      </c>
      <c r="DV72" s="66" t="str">
        <f t="shared" si="886"/>
        <v/>
      </c>
      <c r="DW72" s="66" t="str">
        <f t="shared" si="887"/>
        <v/>
      </c>
      <c r="DX72" s="66" t="str">
        <f t="shared" si="888"/>
        <v/>
      </c>
      <c r="DY72" s="66" t="str">
        <f t="shared" si="889"/>
        <v/>
      </c>
      <c r="DZ72" s="66" t="str">
        <f t="shared" si="890"/>
        <v/>
      </c>
      <c r="EA72" s="66" t="str">
        <f t="shared" si="891"/>
        <v/>
      </c>
      <c r="EB72" s="66" t="str">
        <f t="shared" si="892"/>
        <v/>
      </c>
      <c r="EC72" s="66" t="str">
        <f t="shared" si="893"/>
        <v>|n生命恢复%+2</v>
      </c>
      <c r="ED72" s="66" t="str">
        <f t="shared" si="894"/>
        <v/>
      </c>
      <c r="EE72" s="66" t="str">
        <f t="shared" si="895"/>
        <v/>
      </c>
      <c r="EF72" s="66" t="str">
        <f t="shared" si="896"/>
        <v/>
      </c>
      <c r="EG72" s="66" t="str">
        <f t="shared" si="897"/>
        <v/>
      </c>
      <c r="EH72" s="66" t="str">
        <f t="shared" si="898"/>
        <v/>
      </c>
      <c r="EI72" s="66" t="str">
        <f t="shared" si="899"/>
        <v/>
      </c>
      <c r="EJ72" s="66" t="str">
        <f t="shared" si="900"/>
        <v/>
      </c>
      <c r="EK72" s="66" t="str">
        <f t="shared" si="901"/>
        <v/>
      </c>
      <c r="EL72" s="66" t="str">
        <f t="shared" si="902"/>
        <v/>
      </c>
      <c r="EM72" s="66" t="str">
        <f t="shared" si="903"/>
        <v/>
      </c>
      <c r="EN72" s="66" t="str">
        <f t="shared" si="904"/>
        <v/>
      </c>
      <c r="EO72" s="66" t="str">
        <f t="shared" si="905"/>
        <v/>
      </c>
      <c r="EP72" s="66" t="str">
        <f t="shared" si="906"/>
        <v/>
      </c>
      <c r="EQ72" s="66" t="str">
        <f t="shared" si="907"/>
        <v/>
      </c>
      <c r="ER72" s="66" t="str">
        <f t="shared" si="908"/>
        <v/>
      </c>
      <c r="ES72" s="66" t="str">
        <f t="shared" si="909"/>
        <v/>
      </c>
      <c r="ET72" s="66" t="str">
        <f t="shared" si="910"/>
        <v/>
      </c>
      <c r="EU72" s="66" t="str">
        <f t="shared" si="911"/>
        <v/>
      </c>
      <c r="EV72" s="66" t="str">
        <f t="shared" si="912"/>
        <v/>
      </c>
      <c r="EW72" s="66" t="str">
        <f t="shared" si="913"/>
        <v/>
      </c>
      <c r="EX72" s="66" t="str">
        <f t="shared" si="914"/>
        <v/>
      </c>
      <c r="EY72" s="66" t="str">
        <f t="shared" si="915"/>
        <v/>
      </c>
      <c r="EZ72" s="66" t="str">
        <f t="shared" si="916"/>
        <v/>
      </c>
      <c r="FA72" s="66" t="str">
        <f t="shared" si="917"/>
        <v/>
      </c>
      <c r="FB72" s="66" t="str">
        <f t="shared" si="918"/>
        <v/>
      </c>
      <c r="FC72" s="66" t="str">
        <f t="shared" si="919"/>
        <v/>
      </c>
      <c r="FD72" s="66" t="str">
        <f t="shared" si="920"/>
        <v/>
      </c>
      <c r="FE72" s="66" t="str">
        <f t="shared" si="921"/>
        <v/>
      </c>
      <c r="FF72" s="66" t="str">
        <f t="shared" si="922"/>
        <v/>
      </c>
      <c r="FG72" s="66" t="str">
        <f t="shared" si="923"/>
        <v/>
      </c>
      <c r="FH72" s="66" t="str">
        <f t="shared" si="924"/>
        <v/>
      </c>
      <c r="FI72" s="66" t="str">
        <f t="shared" si="925"/>
        <v/>
      </c>
      <c r="FJ72" s="66" t="str">
        <f t="shared" si="926"/>
        <v/>
      </c>
      <c r="FK72" s="66" t="str">
        <f t="shared" si="927"/>
        <v/>
      </c>
      <c r="FL72" s="66" t="str">
        <f t="shared" si="928"/>
        <v/>
      </c>
      <c r="FM72" s="66" t="str">
        <f t="shared" si="929"/>
        <v/>
      </c>
      <c r="FN72" s="66" t="str">
        <f t="shared" si="930"/>
        <v/>
      </c>
      <c r="FO72" s="66" t="str">
        <f t="shared" si="931"/>
        <v/>
      </c>
      <c r="FP72" s="66" t="str">
        <f t="shared" si="932"/>
        <v/>
      </c>
      <c r="FQ72" s="66" t="str">
        <f t="shared" si="933"/>
        <v/>
      </c>
      <c r="FR72" s="66" t="str">
        <f t="shared" si="934"/>
        <v/>
      </c>
      <c r="FS72" s="66" t="str">
        <f t="shared" si="935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37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200</v>
      </c>
      <c r="Y73" s="78"/>
      <c r="Z73" s="78">
        <v>6000000</v>
      </c>
      <c r="AA73" s="78"/>
      <c r="AB73" s="78">
        <v>150000</v>
      </c>
      <c r="AC73" s="78"/>
      <c r="AD73" s="78"/>
      <c r="AE73" s="78"/>
      <c r="AF73" s="78"/>
      <c r="AG73" s="81"/>
      <c r="AH73" s="78"/>
      <c r="AI73" s="78"/>
      <c r="AJ73" s="78"/>
      <c r="AK73" s="78"/>
      <c r="AL73" s="81"/>
      <c r="AM73" s="78"/>
      <c r="AN73" s="78"/>
      <c r="AO73" s="78"/>
      <c r="AP73" s="83"/>
      <c r="AQ73" s="83"/>
      <c r="AR73" s="84"/>
      <c r="AS73" s="84"/>
      <c r="AT73" s="83"/>
      <c r="AU73" s="83"/>
      <c r="AV73" s="83"/>
      <c r="AW73" s="83">
        <f t="shared" si="864"/>
        <v>3</v>
      </c>
      <c r="AX73" s="83"/>
      <c r="AY73" s="83"/>
      <c r="AZ73" s="83"/>
      <c r="BA73" s="83"/>
      <c r="BB73" s="8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3"/>
      <c r="CF73" s="83"/>
      <c r="CG73" s="83"/>
      <c r="CH73" s="83"/>
      <c r="CI73" s="83"/>
      <c r="CJ73" s="83"/>
      <c r="CK73" s="83"/>
      <c r="CL73" s="83"/>
      <c r="CM73" s="83"/>
      <c r="CN73" s="86" t="str">
        <f t="shared" si="860"/>
        <v>InitUnitState('E221',,,200,,6000000,,150000,,,)</v>
      </c>
      <c r="CO73" s="86" t="str">
        <f t="shared" si="861"/>
        <v>InitUnitNormal('E221',,,,,,,,,,)</v>
      </c>
      <c r="CP73" s="86" t="str">
        <f t="shared" si="862"/>
        <v>InitUnitMagic('E221',,,,,,,,3,,)</v>
      </c>
      <c r="CQ73" s="86" t="str">
        <f t="shared" si="863"/>
        <v>InitUnitAdd('E221',,,,,,,,,,)</v>
      </c>
      <c r="CR73" s="86" t="str">
        <f t="shared" si="649"/>
        <v>InitEquipData('E221',,"",,E222,35000,50,'','','','','','',"ReplaceableTextures\\CommandButtons\\BTNZ15.blp")</v>
      </c>
      <c r="CS73" s="86"/>
      <c r="CT73" s="86"/>
      <c r="CU73" s="88" t="str">
        <f t="shared" si="865"/>
        <v>|n护甲+200|n生命值+6000000|n生命回复+150000|n生命恢复%+3|n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|Cffbbbbbb属性：|r|n护甲+200|n生命值+6000000|n生命回复+150000|n生命恢复%+3|n|n|Cff00ff7f点击消耗35000金币进行强化|n成功率50%</v>
      </c>
      <c r="DB73" s="66" t="str">
        <f t="shared" si="866"/>
        <v/>
      </c>
      <c r="DC73" s="66" t="str">
        <f t="shared" si="867"/>
        <v/>
      </c>
      <c r="DD73" s="66" t="str">
        <f t="shared" si="868"/>
        <v>|n护甲+200</v>
      </c>
      <c r="DE73" s="66" t="str">
        <f t="shared" si="869"/>
        <v/>
      </c>
      <c r="DF73" s="66" t="str">
        <f t="shared" si="870"/>
        <v>|n生命值+6000000</v>
      </c>
      <c r="DG73" s="66" t="str">
        <f t="shared" si="871"/>
        <v/>
      </c>
      <c r="DH73" s="66" t="str">
        <f t="shared" si="872"/>
        <v>|n生命回复+150000</v>
      </c>
      <c r="DI73" s="66" t="str">
        <f t="shared" si="873"/>
        <v/>
      </c>
      <c r="DJ73" s="66" t="str">
        <f t="shared" si="874"/>
        <v/>
      </c>
      <c r="DK73" s="66" t="str">
        <f t="shared" si="875"/>
        <v/>
      </c>
      <c r="DL73" s="66" t="str">
        <f t="shared" si="876"/>
        <v/>
      </c>
      <c r="DM73" s="66" t="str">
        <f t="shared" si="877"/>
        <v/>
      </c>
      <c r="DN73" s="66" t="str">
        <f t="shared" si="878"/>
        <v/>
      </c>
      <c r="DO73" s="66" t="str">
        <f t="shared" si="879"/>
        <v/>
      </c>
      <c r="DP73" s="66" t="str">
        <f t="shared" si="880"/>
        <v/>
      </c>
      <c r="DQ73" s="66" t="str">
        <f t="shared" si="881"/>
        <v/>
      </c>
      <c r="DR73" s="66" t="str">
        <f t="shared" si="882"/>
        <v/>
      </c>
      <c r="DS73" s="66" t="str">
        <f t="shared" si="883"/>
        <v/>
      </c>
      <c r="DT73" s="66" t="str">
        <f t="shared" si="884"/>
        <v/>
      </c>
      <c r="DU73" s="66" t="str">
        <f t="shared" si="885"/>
        <v/>
      </c>
      <c r="DV73" s="66" t="str">
        <f t="shared" si="886"/>
        <v/>
      </c>
      <c r="DW73" s="66" t="str">
        <f t="shared" si="887"/>
        <v/>
      </c>
      <c r="DX73" s="66" t="str">
        <f t="shared" si="888"/>
        <v/>
      </c>
      <c r="DY73" s="66" t="str">
        <f t="shared" si="889"/>
        <v/>
      </c>
      <c r="DZ73" s="66" t="str">
        <f t="shared" si="890"/>
        <v/>
      </c>
      <c r="EA73" s="66" t="str">
        <f t="shared" si="891"/>
        <v/>
      </c>
      <c r="EB73" s="66" t="str">
        <f t="shared" si="892"/>
        <v/>
      </c>
      <c r="EC73" s="66" t="str">
        <f t="shared" si="893"/>
        <v>|n生命恢复%+3</v>
      </c>
      <c r="ED73" s="66" t="str">
        <f t="shared" si="894"/>
        <v/>
      </c>
      <c r="EE73" s="66" t="str">
        <f t="shared" si="895"/>
        <v/>
      </c>
      <c r="EF73" s="66" t="str">
        <f t="shared" si="896"/>
        <v/>
      </c>
      <c r="EG73" s="66" t="str">
        <f t="shared" si="897"/>
        <v/>
      </c>
      <c r="EH73" s="66" t="str">
        <f t="shared" si="898"/>
        <v/>
      </c>
      <c r="EI73" s="66" t="str">
        <f t="shared" si="899"/>
        <v/>
      </c>
      <c r="EJ73" s="66" t="str">
        <f t="shared" si="900"/>
        <v/>
      </c>
      <c r="EK73" s="66" t="str">
        <f t="shared" si="901"/>
        <v/>
      </c>
      <c r="EL73" s="66" t="str">
        <f t="shared" si="902"/>
        <v/>
      </c>
      <c r="EM73" s="66" t="str">
        <f t="shared" si="903"/>
        <v/>
      </c>
      <c r="EN73" s="66" t="str">
        <f t="shared" si="904"/>
        <v/>
      </c>
      <c r="EO73" s="66" t="str">
        <f t="shared" si="905"/>
        <v/>
      </c>
      <c r="EP73" s="66" t="str">
        <f t="shared" si="906"/>
        <v/>
      </c>
      <c r="EQ73" s="66" t="str">
        <f t="shared" si="907"/>
        <v/>
      </c>
      <c r="ER73" s="66" t="str">
        <f t="shared" si="908"/>
        <v/>
      </c>
      <c r="ES73" s="66" t="str">
        <f t="shared" si="909"/>
        <v/>
      </c>
      <c r="ET73" s="66" t="str">
        <f t="shared" si="910"/>
        <v/>
      </c>
      <c r="EU73" s="66" t="str">
        <f t="shared" si="911"/>
        <v/>
      </c>
      <c r="EV73" s="66" t="str">
        <f t="shared" si="912"/>
        <v/>
      </c>
      <c r="EW73" s="66" t="str">
        <f t="shared" si="913"/>
        <v/>
      </c>
      <c r="EX73" s="66" t="str">
        <f t="shared" si="914"/>
        <v/>
      </c>
      <c r="EY73" s="66" t="str">
        <f t="shared" si="915"/>
        <v/>
      </c>
      <c r="EZ73" s="66" t="str">
        <f t="shared" si="916"/>
        <v/>
      </c>
      <c r="FA73" s="66" t="str">
        <f t="shared" si="917"/>
        <v/>
      </c>
      <c r="FB73" s="66" t="str">
        <f t="shared" si="918"/>
        <v/>
      </c>
      <c r="FC73" s="66" t="str">
        <f t="shared" si="919"/>
        <v/>
      </c>
      <c r="FD73" s="66" t="str">
        <f t="shared" si="920"/>
        <v/>
      </c>
      <c r="FE73" s="66" t="str">
        <f t="shared" si="921"/>
        <v/>
      </c>
      <c r="FF73" s="66" t="str">
        <f t="shared" si="922"/>
        <v/>
      </c>
      <c r="FG73" s="66" t="str">
        <f t="shared" si="923"/>
        <v/>
      </c>
      <c r="FH73" s="66" t="str">
        <f t="shared" si="924"/>
        <v/>
      </c>
      <c r="FI73" s="66" t="str">
        <f t="shared" si="925"/>
        <v/>
      </c>
      <c r="FJ73" s="66" t="str">
        <f t="shared" si="926"/>
        <v/>
      </c>
      <c r="FK73" s="66" t="str">
        <f t="shared" si="927"/>
        <v/>
      </c>
      <c r="FL73" s="66" t="str">
        <f t="shared" si="928"/>
        <v/>
      </c>
      <c r="FM73" s="66" t="str">
        <f t="shared" si="929"/>
        <v/>
      </c>
      <c r="FN73" s="66" t="str">
        <f t="shared" si="930"/>
        <v/>
      </c>
      <c r="FO73" s="66" t="str">
        <f t="shared" si="931"/>
        <v/>
      </c>
      <c r="FP73" s="66" t="str">
        <f t="shared" si="932"/>
        <v/>
      </c>
      <c r="FQ73" s="66" t="str">
        <f t="shared" si="933"/>
        <v/>
      </c>
      <c r="FR73" s="66" t="str">
        <f t="shared" si="934"/>
        <v/>
      </c>
      <c r="FS73" s="66" t="str">
        <f t="shared" si="935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37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</v>
      </c>
      <c r="Y74" s="78"/>
      <c r="Z74" s="78">
        <v>7200000</v>
      </c>
      <c r="AA74" s="78"/>
      <c r="AB74" s="78">
        <v>180000</v>
      </c>
      <c r="AC74" s="78"/>
      <c r="AD74" s="78"/>
      <c r="AE74" s="78"/>
      <c r="AF74" s="78"/>
      <c r="AG74" s="81"/>
      <c r="AH74" s="78"/>
      <c r="AI74" s="78"/>
      <c r="AJ74" s="78"/>
      <c r="AK74" s="78"/>
      <c r="AL74" s="81"/>
      <c r="AM74" s="78"/>
      <c r="AN74" s="78"/>
      <c r="AO74" s="78"/>
      <c r="AP74" s="83"/>
      <c r="AQ74" s="83"/>
      <c r="AR74" s="84"/>
      <c r="AS74" s="84"/>
      <c r="AT74" s="83"/>
      <c r="AU74" s="83"/>
      <c r="AV74" s="83"/>
      <c r="AW74" s="83">
        <f t="shared" si="864"/>
        <v>3</v>
      </c>
      <c r="AX74" s="83"/>
      <c r="AY74" s="83"/>
      <c r="AZ74" s="83"/>
      <c r="BA74" s="83"/>
      <c r="BB74" s="8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3"/>
      <c r="CF74" s="83"/>
      <c r="CG74" s="83"/>
      <c r="CH74" s="83"/>
      <c r="CI74" s="83"/>
      <c r="CJ74" s="83"/>
      <c r="CK74" s="83"/>
      <c r="CL74" s="83"/>
      <c r="CM74" s="83"/>
      <c r="CN74" s="86" t="str">
        <f t="shared" si="860"/>
        <v>InitUnitState('E222',,,200,,7200000,,180000,,,)</v>
      </c>
      <c r="CO74" s="86" t="str">
        <f t="shared" si="861"/>
        <v>InitUnitNormal('E222',,,,,,,,,,)</v>
      </c>
      <c r="CP74" s="86" t="str">
        <f t="shared" si="862"/>
        <v>InitUnitMagic('E222',,,,,,,,3,,)</v>
      </c>
      <c r="CQ74" s="86" t="str">
        <f t="shared" si="863"/>
        <v>InitUnitAdd('E222',,,,,,,,,,)</v>
      </c>
      <c r="CR74" s="86" t="str">
        <f t="shared" si="649"/>
        <v>InitEquipData('E222',,"",,E223,35000,50,'','','','','','',"ReplaceableTextures\\CommandButtons\\BTNZ15.blp")</v>
      </c>
      <c r="CS74" s="86"/>
      <c r="CT74" s="86"/>
      <c r="CU74" s="88" t="str">
        <f t="shared" si="865"/>
        <v>|n护甲+200|n生命值+7200000|n生命回复+180000|n生命恢复%+3|n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|Cffbbbbbb属性：|r|n护甲+200|n生命值+7200000|n生命回复+180000|n生命恢复%+3|n|n|Cff00ff7f点击消耗35000金币进行强化|n成功率50%</v>
      </c>
      <c r="DB74" s="66" t="str">
        <f t="shared" si="866"/>
        <v/>
      </c>
      <c r="DC74" s="66" t="str">
        <f t="shared" si="867"/>
        <v/>
      </c>
      <c r="DD74" s="66" t="str">
        <f t="shared" si="868"/>
        <v>|n护甲+200</v>
      </c>
      <c r="DE74" s="66" t="str">
        <f t="shared" si="869"/>
        <v/>
      </c>
      <c r="DF74" s="66" t="str">
        <f t="shared" si="870"/>
        <v>|n生命值+7200000</v>
      </c>
      <c r="DG74" s="66" t="str">
        <f t="shared" si="871"/>
        <v/>
      </c>
      <c r="DH74" s="66" t="str">
        <f t="shared" si="872"/>
        <v>|n生命回复+180000</v>
      </c>
      <c r="DI74" s="66" t="str">
        <f t="shared" si="873"/>
        <v/>
      </c>
      <c r="DJ74" s="66" t="str">
        <f t="shared" si="874"/>
        <v/>
      </c>
      <c r="DK74" s="66" t="str">
        <f t="shared" si="875"/>
        <v/>
      </c>
      <c r="DL74" s="66" t="str">
        <f t="shared" si="876"/>
        <v/>
      </c>
      <c r="DM74" s="66" t="str">
        <f t="shared" si="877"/>
        <v/>
      </c>
      <c r="DN74" s="66" t="str">
        <f t="shared" si="878"/>
        <v/>
      </c>
      <c r="DO74" s="66" t="str">
        <f t="shared" si="879"/>
        <v/>
      </c>
      <c r="DP74" s="66" t="str">
        <f t="shared" si="880"/>
        <v/>
      </c>
      <c r="DQ74" s="66" t="str">
        <f t="shared" si="881"/>
        <v/>
      </c>
      <c r="DR74" s="66" t="str">
        <f t="shared" si="882"/>
        <v/>
      </c>
      <c r="DS74" s="66" t="str">
        <f t="shared" si="883"/>
        <v/>
      </c>
      <c r="DT74" s="66" t="str">
        <f t="shared" si="884"/>
        <v/>
      </c>
      <c r="DU74" s="66" t="str">
        <f t="shared" si="885"/>
        <v/>
      </c>
      <c r="DV74" s="66" t="str">
        <f t="shared" si="886"/>
        <v/>
      </c>
      <c r="DW74" s="66" t="str">
        <f t="shared" si="887"/>
        <v/>
      </c>
      <c r="DX74" s="66" t="str">
        <f t="shared" si="888"/>
        <v/>
      </c>
      <c r="DY74" s="66" t="str">
        <f t="shared" si="889"/>
        <v/>
      </c>
      <c r="DZ74" s="66" t="str">
        <f t="shared" si="890"/>
        <v/>
      </c>
      <c r="EA74" s="66" t="str">
        <f t="shared" si="891"/>
        <v/>
      </c>
      <c r="EB74" s="66" t="str">
        <f t="shared" si="892"/>
        <v/>
      </c>
      <c r="EC74" s="66" t="str">
        <f t="shared" si="893"/>
        <v>|n生命恢复%+3</v>
      </c>
      <c r="ED74" s="66" t="str">
        <f t="shared" si="894"/>
        <v/>
      </c>
      <c r="EE74" s="66" t="str">
        <f t="shared" si="895"/>
        <v/>
      </c>
      <c r="EF74" s="66" t="str">
        <f t="shared" si="896"/>
        <v/>
      </c>
      <c r="EG74" s="66" t="str">
        <f t="shared" si="897"/>
        <v/>
      </c>
      <c r="EH74" s="66" t="str">
        <f t="shared" si="898"/>
        <v/>
      </c>
      <c r="EI74" s="66" t="str">
        <f t="shared" si="899"/>
        <v/>
      </c>
      <c r="EJ74" s="66" t="str">
        <f t="shared" si="900"/>
        <v/>
      </c>
      <c r="EK74" s="66" t="str">
        <f t="shared" si="901"/>
        <v/>
      </c>
      <c r="EL74" s="66" t="str">
        <f t="shared" si="902"/>
        <v/>
      </c>
      <c r="EM74" s="66" t="str">
        <f t="shared" si="903"/>
        <v/>
      </c>
      <c r="EN74" s="66" t="str">
        <f t="shared" si="904"/>
        <v/>
      </c>
      <c r="EO74" s="66" t="str">
        <f t="shared" si="905"/>
        <v/>
      </c>
      <c r="EP74" s="66" t="str">
        <f t="shared" si="906"/>
        <v/>
      </c>
      <c r="EQ74" s="66" t="str">
        <f t="shared" si="907"/>
        <v/>
      </c>
      <c r="ER74" s="66" t="str">
        <f t="shared" si="908"/>
        <v/>
      </c>
      <c r="ES74" s="66" t="str">
        <f t="shared" si="909"/>
        <v/>
      </c>
      <c r="ET74" s="66" t="str">
        <f t="shared" si="910"/>
        <v/>
      </c>
      <c r="EU74" s="66" t="str">
        <f t="shared" si="911"/>
        <v/>
      </c>
      <c r="EV74" s="66" t="str">
        <f t="shared" si="912"/>
        <v/>
      </c>
      <c r="EW74" s="66" t="str">
        <f t="shared" si="913"/>
        <v/>
      </c>
      <c r="EX74" s="66" t="str">
        <f t="shared" si="914"/>
        <v/>
      </c>
      <c r="EY74" s="66" t="str">
        <f t="shared" si="915"/>
        <v/>
      </c>
      <c r="EZ74" s="66" t="str">
        <f t="shared" si="916"/>
        <v/>
      </c>
      <c r="FA74" s="66" t="str">
        <f t="shared" si="917"/>
        <v/>
      </c>
      <c r="FB74" s="66" t="str">
        <f t="shared" si="918"/>
        <v/>
      </c>
      <c r="FC74" s="66" t="str">
        <f t="shared" si="919"/>
        <v/>
      </c>
      <c r="FD74" s="66" t="str">
        <f t="shared" si="920"/>
        <v/>
      </c>
      <c r="FE74" s="66" t="str">
        <f t="shared" si="921"/>
        <v/>
      </c>
      <c r="FF74" s="66" t="str">
        <f t="shared" si="922"/>
        <v/>
      </c>
      <c r="FG74" s="66" t="str">
        <f t="shared" si="923"/>
        <v/>
      </c>
      <c r="FH74" s="66" t="str">
        <f t="shared" si="924"/>
        <v/>
      </c>
      <c r="FI74" s="66" t="str">
        <f t="shared" si="925"/>
        <v/>
      </c>
      <c r="FJ74" s="66" t="str">
        <f t="shared" si="926"/>
        <v/>
      </c>
      <c r="FK74" s="66" t="str">
        <f t="shared" si="927"/>
        <v/>
      </c>
      <c r="FL74" s="66" t="str">
        <f t="shared" si="928"/>
        <v/>
      </c>
      <c r="FM74" s="66" t="str">
        <f t="shared" si="929"/>
        <v/>
      </c>
      <c r="FN74" s="66" t="str">
        <f t="shared" si="930"/>
        <v/>
      </c>
      <c r="FO74" s="66" t="str">
        <f t="shared" si="931"/>
        <v/>
      </c>
      <c r="FP74" s="66" t="str">
        <f t="shared" si="932"/>
        <v/>
      </c>
      <c r="FQ74" s="66" t="str">
        <f t="shared" si="933"/>
        <v/>
      </c>
      <c r="FR74" s="66" t="str">
        <f t="shared" si="934"/>
        <v/>
      </c>
      <c r="FS74" s="66" t="str">
        <f t="shared" si="935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37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200</v>
      </c>
      <c r="Y75" s="78"/>
      <c r="Z75" s="78">
        <v>8400000</v>
      </c>
      <c r="AA75" s="78"/>
      <c r="AB75" s="78">
        <v>210000</v>
      </c>
      <c r="AC75" s="78"/>
      <c r="AD75" s="78"/>
      <c r="AE75" s="78"/>
      <c r="AF75" s="78"/>
      <c r="AG75" s="81"/>
      <c r="AH75" s="78"/>
      <c r="AI75" s="78"/>
      <c r="AJ75" s="78"/>
      <c r="AK75" s="78"/>
      <c r="AL75" s="81"/>
      <c r="AM75" s="78"/>
      <c r="AN75" s="78"/>
      <c r="AO75" s="78"/>
      <c r="AP75" s="83"/>
      <c r="AQ75" s="83"/>
      <c r="AR75" s="84"/>
      <c r="AS75" s="84"/>
      <c r="AT75" s="83"/>
      <c r="AU75" s="83"/>
      <c r="AV75" s="83"/>
      <c r="AW75" s="83">
        <f t="shared" si="864"/>
        <v>3</v>
      </c>
      <c r="AX75" s="83"/>
      <c r="AY75" s="83"/>
      <c r="AZ75" s="83"/>
      <c r="BA75" s="83"/>
      <c r="BB75" s="8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3"/>
      <c r="CF75" s="83"/>
      <c r="CG75" s="83"/>
      <c r="CH75" s="83"/>
      <c r="CI75" s="83"/>
      <c r="CJ75" s="83"/>
      <c r="CK75" s="83"/>
      <c r="CL75" s="83"/>
      <c r="CM75" s="83"/>
      <c r="CN75" s="86" t="str">
        <f t="shared" si="860"/>
        <v>InitUnitState('E223',,,200,,8400000,,210000,,,)</v>
      </c>
      <c r="CO75" s="86" t="str">
        <f t="shared" si="861"/>
        <v>InitUnitNormal('E223',,,,,,,,,,)</v>
      </c>
      <c r="CP75" s="86" t="str">
        <f t="shared" si="862"/>
        <v>InitUnitMagic('E223',,,,,,,,3,,)</v>
      </c>
      <c r="CQ75" s="86" t="str">
        <f t="shared" si="863"/>
        <v>InitUnitAdd('E223',,,,,,,,,,)</v>
      </c>
      <c r="CR75" s="86" t="str">
        <f t="shared" si="649"/>
        <v>InitEquipData('E223',,"",,E224,35000,50,'','','','','','',"ReplaceableTextures\\CommandButtons\\BTNZ15.blp")</v>
      </c>
      <c r="CS75" s="86"/>
      <c r="CT75" s="86"/>
      <c r="CU75" s="88" t="str">
        <f t="shared" si="865"/>
        <v>|n护甲+200|n生命值+8400000|n生命回复+210000|n生命恢复%+3|n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|Cffbbbbbb属性：|r|n护甲+200|n生命值+8400000|n生命回复+210000|n生命恢复%+3|n|n|Cff00ff7f点击消耗35000金币进行强化|n成功率50%</v>
      </c>
      <c r="DB75" s="66" t="str">
        <f t="shared" si="866"/>
        <v/>
      </c>
      <c r="DC75" s="66" t="str">
        <f t="shared" si="867"/>
        <v/>
      </c>
      <c r="DD75" s="66" t="str">
        <f t="shared" si="868"/>
        <v>|n护甲+200</v>
      </c>
      <c r="DE75" s="66" t="str">
        <f t="shared" si="869"/>
        <v/>
      </c>
      <c r="DF75" s="66" t="str">
        <f t="shared" si="870"/>
        <v>|n生命值+8400000</v>
      </c>
      <c r="DG75" s="66" t="str">
        <f t="shared" si="871"/>
        <v/>
      </c>
      <c r="DH75" s="66" t="str">
        <f t="shared" si="872"/>
        <v>|n生命回复+210000</v>
      </c>
      <c r="DI75" s="66" t="str">
        <f t="shared" si="873"/>
        <v/>
      </c>
      <c r="DJ75" s="66" t="str">
        <f t="shared" si="874"/>
        <v/>
      </c>
      <c r="DK75" s="66" t="str">
        <f t="shared" si="875"/>
        <v/>
      </c>
      <c r="DL75" s="66" t="str">
        <f t="shared" si="876"/>
        <v/>
      </c>
      <c r="DM75" s="66" t="str">
        <f t="shared" si="877"/>
        <v/>
      </c>
      <c r="DN75" s="66" t="str">
        <f t="shared" si="878"/>
        <v/>
      </c>
      <c r="DO75" s="66" t="str">
        <f t="shared" si="879"/>
        <v/>
      </c>
      <c r="DP75" s="66" t="str">
        <f t="shared" si="880"/>
        <v/>
      </c>
      <c r="DQ75" s="66" t="str">
        <f t="shared" si="881"/>
        <v/>
      </c>
      <c r="DR75" s="66" t="str">
        <f t="shared" si="882"/>
        <v/>
      </c>
      <c r="DS75" s="66" t="str">
        <f t="shared" si="883"/>
        <v/>
      </c>
      <c r="DT75" s="66" t="str">
        <f t="shared" si="884"/>
        <v/>
      </c>
      <c r="DU75" s="66" t="str">
        <f t="shared" si="885"/>
        <v/>
      </c>
      <c r="DV75" s="66" t="str">
        <f t="shared" si="886"/>
        <v/>
      </c>
      <c r="DW75" s="66" t="str">
        <f t="shared" si="887"/>
        <v/>
      </c>
      <c r="DX75" s="66" t="str">
        <f t="shared" si="888"/>
        <v/>
      </c>
      <c r="DY75" s="66" t="str">
        <f t="shared" si="889"/>
        <v/>
      </c>
      <c r="DZ75" s="66" t="str">
        <f t="shared" si="890"/>
        <v/>
      </c>
      <c r="EA75" s="66" t="str">
        <f t="shared" si="891"/>
        <v/>
      </c>
      <c r="EB75" s="66" t="str">
        <f t="shared" si="892"/>
        <v/>
      </c>
      <c r="EC75" s="66" t="str">
        <f t="shared" si="893"/>
        <v>|n生命恢复%+3</v>
      </c>
      <c r="ED75" s="66" t="str">
        <f t="shared" si="894"/>
        <v/>
      </c>
      <c r="EE75" s="66" t="str">
        <f t="shared" si="895"/>
        <v/>
      </c>
      <c r="EF75" s="66" t="str">
        <f t="shared" si="896"/>
        <v/>
      </c>
      <c r="EG75" s="66" t="str">
        <f t="shared" si="897"/>
        <v/>
      </c>
      <c r="EH75" s="66" t="str">
        <f t="shared" si="898"/>
        <v/>
      </c>
      <c r="EI75" s="66" t="str">
        <f t="shared" si="899"/>
        <v/>
      </c>
      <c r="EJ75" s="66" t="str">
        <f t="shared" si="900"/>
        <v/>
      </c>
      <c r="EK75" s="66" t="str">
        <f t="shared" si="901"/>
        <v/>
      </c>
      <c r="EL75" s="66" t="str">
        <f t="shared" si="902"/>
        <v/>
      </c>
      <c r="EM75" s="66" t="str">
        <f t="shared" si="903"/>
        <v/>
      </c>
      <c r="EN75" s="66" t="str">
        <f t="shared" si="904"/>
        <v/>
      </c>
      <c r="EO75" s="66" t="str">
        <f t="shared" si="905"/>
        <v/>
      </c>
      <c r="EP75" s="66" t="str">
        <f t="shared" si="906"/>
        <v/>
      </c>
      <c r="EQ75" s="66" t="str">
        <f t="shared" si="907"/>
        <v/>
      </c>
      <c r="ER75" s="66" t="str">
        <f t="shared" si="908"/>
        <v/>
      </c>
      <c r="ES75" s="66" t="str">
        <f t="shared" si="909"/>
        <v/>
      </c>
      <c r="ET75" s="66" t="str">
        <f t="shared" si="910"/>
        <v/>
      </c>
      <c r="EU75" s="66" t="str">
        <f t="shared" si="911"/>
        <v/>
      </c>
      <c r="EV75" s="66" t="str">
        <f t="shared" si="912"/>
        <v/>
      </c>
      <c r="EW75" s="66" t="str">
        <f t="shared" si="913"/>
        <v/>
      </c>
      <c r="EX75" s="66" t="str">
        <f t="shared" si="914"/>
        <v/>
      </c>
      <c r="EY75" s="66" t="str">
        <f t="shared" si="915"/>
        <v/>
      </c>
      <c r="EZ75" s="66" t="str">
        <f t="shared" si="916"/>
        <v/>
      </c>
      <c r="FA75" s="66" t="str">
        <f t="shared" si="917"/>
        <v/>
      </c>
      <c r="FB75" s="66" t="str">
        <f t="shared" si="918"/>
        <v/>
      </c>
      <c r="FC75" s="66" t="str">
        <f t="shared" si="919"/>
        <v/>
      </c>
      <c r="FD75" s="66" t="str">
        <f t="shared" si="920"/>
        <v/>
      </c>
      <c r="FE75" s="66" t="str">
        <f t="shared" si="921"/>
        <v/>
      </c>
      <c r="FF75" s="66" t="str">
        <f t="shared" si="922"/>
        <v/>
      </c>
      <c r="FG75" s="66" t="str">
        <f t="shared" si="923"/>
        <v/>
      </c>
      <c r="FH75" s="66" t="str">
        <f t="shared" si="924"/>
        <v/>
      </c>
      <c r="FI75" s="66" t="str">
        <f t="shared" si="925"/>
        <v/>
      </c>
      <c r="FJ75" s="66" t="str">
        <f t="shared" si="926"/>
        <v/>
      </c>
      <c r="FK75" s="66" t="str">
        <f t="shared" si="927"/>
        <v/>
      </c>
      <c r="FL75" s="66" t="str">
        <f t="shared" si="928"/>
        <v/>
      </c>
      <c r="FM75" s="66" t="str">
        <f t="shared" si="929"/>
        <v/>
      </c>
      <c r="FN75" s="66" t="str">
        <f t="shared" si="930"/>
        <v/>
      </c>
      <c r="FO75" s="66" t="str">
        <f t="shared" si="931"/>
        <v/>
      </c>
      <c r="FP75" s="66" t="str">
        <f t="shared" si="932"/>
        <v/>
      </c>
      <c r="FQ75" s="66" t="str">
        <f t="shared" si="933"/>
        <v/>
      </c>
      <c r="FR75" s="66" t="str">
        <f t="shared" si="934"/>
        <v/>
      </c>
      <c r="FS75" s="66" t="str">
        <f t="shared" si="935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37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200</v>
      </c>
      <c r="Y76" s="78"/>
      <c r="Z76" s="78">
        <v>10000000</v>
      </c>
      <c r="AA76" s="78"/>
      <c r="AB76" s="78">
        <v>250000</v>
      </c>
      <c r="AC76" s="78"/>
      <c r="AD76" s="78"/>
      <c r="AE76" s="78"/>
      <c r="AF76" s="78"/>
      <c r="AG76" s="81"/>
      <c r="AH76" s="78"/>
      <c r="AI76" s="78"/>
      <c r="AJ76" s="78"/>
      <c r="AK76" s="78"/>
      <c r="AL76" s="81"/>
      <c r="AM76" s="78"/>
      <c r="AN76" s="78"/>
      <c r="AO76" s="78"/>
      <c r="AP76" s="83"/>
      <c r="AQ76" s="83"/>
      <c r="AR76" s="84"/>
      <c r="AS76" s="84"/>
      <c r="AT76" s="83"/>
      <c r="AU76" s="83"/>
      <c r="AV76" s="83"/>
      <c r="AW76" s="83">
        <f t="shared" si="864"/>
        <v>3</v>
      </c>
      <c r="AX76" s="83"/>
      <c r="AY76" s="83"/>
      <c r="AZ76" s="83"/>
      <c r="BA76" s="83"/>
      <c r="BB76" s="8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3"/>
      <c r="CF76" s="83"/>
      <c r="CG76" s="83"/>
      <c r="CH76" s="83"/>
      <c r="CI76" s="83"/>
      <c r="CJ76" s="83"/>
      <c r="CK76" s="83"/>
      <c r="CL76" s="83"/>
      <c r="CM76" s="83"/>
      <c r="CN76" s="86" t="str">
        <f t="shared" si="860"/>
        <v>InitUnitState('E224',,,200,,10000000,,250000,,,)</v>
      </c>
      <c r="CO76" s="86" t="str">
        <f t="shared" si="861"/>
        <v>InitUnitNormal('E224',,,,,,,,,,)</v>
      </c>
      <c r="CP76" s="86" t="str">
        <f t="shared" si="862"/>
        <v>InitUnitMagic('E224',,,,,,,,3,,)</v>
      </c>
      <c r="CQ76" s="86" t="str">
        <f t="shared" si="863"/>
        <v>InitUnitAdd('E224',,,,,,,,,,)</v>
      </c>
      <c r="CR76" s="86" t="str">
        <f t="shared" si="649"/>
        <v>InitEquipData('E224',,"",,E225,35000,50,'','','','','','',"ReplaceableTextures\\CommandButtons\\BTNZ15.blp")</v>
      </c>
      <c r="CS76" s="86"/>
      <c r="CT76" s="86"/>
      <c r="CU76" s="88" t="str">
        <f t="shared" si="865"/>
        <v>|n护甲+200|n生命值+10000000|n生命回复+250000|n生命恢复%+3|n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|Cffbbbbbb属性：|r|n护甲+200|n生命值+10000000|n生命回复+250000|n生命恢复%+3|n|n|Cff00ff7f点击消耗35000金币进行强化|n成功率50%</v>
      </c>
      <c r="DB76" s="66" t="str">
        <f t="shared" si="866"/>
        <v/>
      </c>
      <c r="DC76" s="66" t="str">
        <f t="shared" si="867"/>
        <v/>
      </c>
      <c r="DD76" s="66" t="str">
        <f t="shared" si="868"/>
        <v>|n护甲+200</v>
      </c>
      <c r="DE76" s="66" t="str">
        <f t="shared" si="869"/>
        <v/>
      </c>
      <c r="DF76" s="66" t="str">
        <f t="shared" si="870"/>
        <v>|n生命值+10000000</v>
      </c>
      <c r="DG76" s="66" t="str">
        <f t="shared" si="871"/>
        <v/>
      </c>
      <c r="DH76" s="66" t="str">
        <f t="shared" si="872"/>
        <v>|n生命回复+250000</v>
      </c>
      <c r="DI76" s="66" t="str">
        <f t="shared" si="873"/>
        <v/>
      </c>
      <c r="DJ76" s="66" t="str">
        <f t="shared" si="874"/>
        <v/>
      </c>
      <c r="DK76" s="66" t="str">
        <f t="shared" si="875"/>
        <v/>
      </c>
      <c r="DL76" s="66" t="str">
        <f t="shared" si="876"/>
        <v/>
      </c>
      <c r="DM76" s="66" t="str">
        <f t="shared" si="877"/>
        <v/>
      </c>
      <c r="DN76" s="66" t="str">
        <f t="shared" si="878"/>
        <v/>
      </c>
      <c r="DO76" s="66" t="str">
        <f t="shared" si="879"/>
        <v/>
      </c>
      <c r="DP76" s="66" t="str">
        <f t="shared" si="880"/>
        <v/>
      </c>
      <c r="DQ76" s="66" t="str">
        <f t="shared" si="881"/>
        <v/>
      </c>
      <c r="DR76" s="66" t="str">
        <f t="shared" si="882"/>
        <v/>
      </c>
      <c r="DS76" s="66" t="str">
        <f t="shared" si="883"/>
        <v/>
      </c>
      <c r="DT76" s="66" t="str">
        <f t="shared" si="884"/>
        <v/>
      </c>
      <c r="DU76" s="66" t="str">
        <f t="shared" si="885"/>
        <v/>
      </c>
      <c r="DV76" s="66" t="str">
        <f t="shared" si="886"/>
        <v/>
      </c>
      <c r="DW76" s="66" t="str">
        <f t="shared" si="887"/>
        <v/>
      </c>
      <c r="DX76" s="66" t="str">
        <f t="shared" si="888"/>
        <v/>
      </c>
      <c r="DY76" s="66" t="str">
        <f t="shared" si="889"/>
        <v/>
      </c>
      <c r="DZ76" s="66" t="str">
        <f t="shared" si="890"/>
        <v/>
      </c>
      <c r="EA76" s="66" t="str">
        <f t="shared" si="891"/>
        <v/>
      </c>
      <c r="EB76" s="66" t="str">
        <f t="shared" si="892"/>
        <v/>
      </c>
      <c r="EC76" s="66" t="str">
        <f t="shared" si="893"/>
        <v>|n生命恢复%+3</v>
      </c>
      <c r="ED76" s="66" t="str">
        <f t="shared" si="894"/>
        <v/>
      </c>
      <c r="EE76" s="66" t="str">
        <f t="shared" si="895"/>
        <v/>
      </c>
      <c r="EF76" s="66" t="str">
        <f t="shared" si="896"/>
        <v/>
      </c>
      <c r="EG76" s="66" t="str">
        <f t="shared" si="897"/>
        <v/>
      </c>
      <c r="EH76" s="66" t="str">
        <f t="shared" si="898"/>
        <v/>
      </c>
      <c r="EI76" s="66" t="str">
        <f t="shared" si="899"/>
        <v/>
      </c>
      <c r="EJ76" s="66" t="str">
        <f t="shared" si="900"/>
        <v/>
      </c>
      <c r="EK76" s="66" t="str">
        <f t="shared" si="901"/>
        <v/>
      </c>
      <c r="EL76" s="66" t="str">
        <f t="shared" si="902"/>
        <v/>
      </c>
      <c r="EM76" s="66" t="str">
        <f t="shared" si="903"/>
        <v/>
      </c>
      <c r="EN76" s="66" t="str">
        <f t="shared" si="904"/>
        <v/>
      </c>
      <c r="EO76" s="66" t="str">
        <f t="shared" si="905"/>
        <v/>
      </c>
      <c r="EP76" s="66" t="str">
        <f t="shared" si="906"/>
        <v/>
      </c>
      <c r="EQ76" s="66" t="str">
        <f t="shared" si="907"/>
        <v/>
      </c>
      <c r="ER76" s="66" t="str">
        <f t="shared" si="908"/>
        <v/>
      </c>
      <c r="ES76" s="66" t="str">
        <f t="shared" si="909"/>
        <v/>
      </c>
      <c r="ET76" s="66" t="str">
        <f t="shared" si="910"/>
        <v/>
      </c>
      <c r="EU76" s="66" t="str">
        <f t="shared" si="911"/>
        <v/>
      </c>
      <c r="EV76" s="66" t="str">
        <f t="shared" si="912"/>
        <v/>
      </c>
      <c r="EW76" s="66" t="str">
        <f t="shared" si="913"/>
        <v/>
      </c>
      <c r="EX76" s="66" t="str">
        <f t="shared" si="914"/>
        <v/>
      </c>
      <c r="EY76" s="66" t="str">
        <f t="shared" si="915"/>
        <v/>
      </c>
      <c r="EZ76" s="66" t="str">
        <f t="shared" si="916"/>
        <v/>
      </c>
      <c r="FA76" s="66" t="str">
        <f t="shared" si="917"/>
        <v/>
      </c>
      <c r="FB76" s="66" t="str">
        <f t="shared" si="918"/>
        <v/>
      </c>
      <c r="FC76" s="66" t="str">
        <f t="shared" si="919"/>
        <v/>
      </c>
      <c r="FD76" s="66" t="str">
        <f t="shared" si="920"/>
        <v/>
      </c>
      <c r="FE76" s="66" t="str">
        <f t="shared" si="921"/>
        <v/>
      </c>
      <c r="FF76" s="66" t="str">
        <f t="shared" si="922"/>
        <v/>
      </c>
      <c r="FG76" s="66" t="str">
        <f t="shared" si="923"/>
        <v/>
      </c>
      <c r="FH76" s="66" t="str">
        <f t="shared" si="924"/>
        <v/>
      </c>
      <c r="FI76" s="66" t="str">
        <f t="shared" si="925"/>
        <v/>
      </c>
      <c r="FJ76" s="66" t="str">
        <f t="shared" si="926"/>
        <v/>
      </c>
      <c r="FK76" s="66" t="str">
        <f t="shared" si="927"/>
        <v/>
      </c>
      <c r="FL76" s="66" t="str">
        <f t="shared" si="928"/>
        <v/>
      </c>
      <c r="FM76" s="66" t="str">
        <f t="shared" si="929"/>
        <v/>
      </c>
      <c r="FN76" s="66" t="str">
        <f t="shared" si="930"/>
        <v/>
      </c>
      <c r="FO76" s="66" t="str">
        <f t="shared" si="931"/>
        <v/>
      </c>
      <c r="FP76" s="66" t="str">
        <f t="shared" si="932"/>
        <v/>
      </c>
      <c r="FQ76" s="66" t="str">
        <f t="shared" si="933"/>
        <v/>
      </c>
      <c r="FR76" s="66" t="str">
        <f t="shared" si="934"/>
        <v/>
      </c>
      <c r="FS76" s="66" t="str">
        <f t="shared" si="935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200</v>
      </c>
      <c r="Y77" s="78"/>
      <c r="Z77" s="78">
        <v>12000000</v>
      </c>
      <c r="AA77" s="78"/>
      <c r="AB77" s="78">
        <v>300000</v>
      </c>
      <c r="AC77" s="78"/>
      <c r="AD77" s="78"/>
      <c r="AE77" s="78"/>
      <c r="AF77" s="78"/>
      <c r="AG77" s="81"/>
      <c r="AH77" s="78"/>
      <c r="AI77" s="78"/>
      <c r="AJ77" s="78"/>
      <c r="AK77" s="78"/>
      <c r="AL77" s="81"/>
      <c r="AM77" s="78"/>
      <c r="AN77" s="78"/>
      <c r="AO77" s="78"/>
      <c r="AP77" s="83"/>
      <c r="AQ77" s="83"/>
      <c r="AR77" s="84"/>
      <c r="AS77" s="84"/>
      <c r="AT77" s="83"/>
      <c r="AU77" s="83"/>
      <c r="AV77" s="83"/>
      <c r="AW77" s="83">
        <v>5</v>
      </c>
      <c r="AX77" s="83"/>
      <c r="AY77" s="83"/>
      <c r="AZ77" s="83"/>
      <c r="BA77" s="83"/>
      <c r="BB77" s="8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3"/>
      <c r="CF77" s="83"/>
      <c r="CG77" s="83"/>
      <c r="CH77" s="83"/>
      <c r="CI77" s="83"/>
      <c r="CJ77" s="83"/>
      <c r="CK77" s="83"/>
      <c r="CL77" s="83"/>
      <c r="CM77" s="83"/>
      <c r="CN77" s="86" t="str">
        <f t="shared" si="860"/>
        <v>InitUnitState('E225',,,200,,12000000,,300000,,,)</v>
      </c>
      <c r="CO77" s="86" t="str">
        <f t="shared" si="861"/>
        <v>InitUnitNormal('E225',,,,,,,,,,)</v>
      </c>
      <c r="CP77" s="86" t="str">
        <f t="shared" si="862"/>
        <v>InitUnitMagic('E225',,,,,,,,5,,)</v>
      </c>
      <c r="CQ77" s="86" t="str">
        <f t="shared" si="863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5"/>
        <v>|n护甲+200|n生命值+12000000|n生命回复+300000|n生命恢复%+5|n</v>
      </c>
      <c r="CV77" s="19" t="str">
        <f>"|Cffbbbbbb属性：|r"&amp;CU77&amp;VLOOKUP(A77,合成公式!A:P,16,FALSE)&amp;T77</f>
        <v>|Cffbbbbbb属性：|r|n护甲+200|n生命值+12000000|n生命回复+300000|n生命恢复%+5|n|Cff999999装备进化：未开放|r</v>
      </c>
      <c r="DB77" s="66" t="str">
        <f t="shared" si="866"/>
        <v/>
      </c>
      <c r="DC77" s="66" t="str">
        <f t="shared" si="867"/>
        <v/>
      </c>
      <c r="DD77" s="66" t="str">
        <f t="shared" si="868"/>
        <v>|n护甲+200</v>
      </c>
      <c r="DE77" s="66" t="str">
        <f t="shared" si="869"/>
        <v/>
      </c>
      <c r="DF77" s="66" t="str">
        <f t="shared" si="870"/>
        <v>|n生命值+12000000</v>
      </c>
      <c r="DG77" s="66" t="str">
        <f t="shared" si="871"/>
        <v/>
      </c>
      <c r="DH77" s="66" t="str">
        <f t="shared" si="872"/>
        <v>|n生命回复+300000</v>
      </c>
      <c r="DI77" s="66" t="str">
        <f t="shared" si="873"/>
        <v/>
      </c>
      <c r="DJ77" s="66" t="str">
        <f t="shared" si="874"/>
        <v/>
      </c>
      <c r="DK77" s="66" t="str">
        <f t="shared" si="875"/>
        <v/>
      </c>
      <c r="DL77" s="66" t="str">
        <f t="shared" si="876"/>
        <v/>
      </c>
      <c r="DM77" s="66" t="str">
        <f t="shared" si="877"/>
        <v/>
      </c>
      <c r="DN77" s="66" t="str">
        <f t="shared" si="878"/>
        <v/>
      </c>
      <c r="DO77" s="66" t="str">
        <f t="shared" si="879"/>
        <v/>
      </c>
      <c r="DP77" s="66" t="str">
        <f t="shared" si="880"/>
        <v/>
      </c>
      <c r="DQ77" s="66" t="str">
        <f t="shared" si="881"/>
        <v/>
      </c>
      <c r="DR77" s="66" t="str">
        <f t="shared" si="882"/>
        <v/>
      </c>
      <c r="DS77" s="66" t="str">
        <f t="shared" si="883"/>
        <v/>
      </c>
      <c r="DT77" s="66" t="str">
        <f t="shared" si="884"/>
        <v/>
      </c>
      <c r="DU77" s="66" t="str">
        <f t="shared" si="885"/>
        <v/>
      </c>
      <c r="DV77" s="66" t="str">
        <f t="shared" si="886"/>
        <v/>
      </c>
      <c r="DW77" s="66" t="str">
        <f t="shared" si="887"/>
        <v/>
      </c>
      <c r="DX77" s="66" t="str">
        <f t="shared" si="888"/>
        <v/>
      </c>
      <c r="DY77" s="66" t="str">
        <f t="shared" si="889"/>
        <v/>
      </c>
      <c r="DZ77" s="66" t="str">
        <f t="shared" si="890"/>
        <v/>
      </c>
      <c r="EA77" s="66" t="str">
        <f t="shared" si="891"/>
        <v/>
      </c>
      <c r="EB77" s="66" t="str">
        <f t="shared" si="892"/>
        <v/>
      </c>
      <c r="EC77" s="66" t="str">
        <f t="shared" si="893"/>
        <v>|n生命恢复%+5</v>
      </c>
      <c r="ED77" s="66" t="str">
        <f t="shared" si="894"/>
        <v/>
      </c>
      <c r="EE77" s="66" t="str">
        <f t="shared" si="895"/>
        <v/>
      </c>
      <c r="EF77" s="66" t="str">
        <f t="shared" si="896"/>
        <v/>
      </c>
      <c r="EG77" s="66" t="str">
        <f t="shared" si="897"/>
        <v/>
      </c>
      <c r="EH77" s="66" t="str">
        <f t="shared" si="898"/>
        <v/>
      </c>
      <c r="EI77" s="66" t="str">
        <f t="shared" si="899"/>
        <v/>
      </c>
      <c r="EJ77" s="66" t="str">
        <f t="shared" si="900"/>
        <v/>
      </c>
      <c r="EK77" s="66" t="str">
        <f t="shared" si="901"/>
        <v/>
      </c>
      <c r="EL77" s="66" t="str">
        <f t="shared" si="902"/>
        <v/>
      </c>
      <c r="EM77" s="66" t="str">
        <f t="shared" si="903"/>
        <v/>
      </c>
      <c r="EN77" s="66" t="str">
        <f t="shared" si="904"/>
        <v/>
      </c>
      <c r="EO77" s="66" t="str">
        <f t="shared" si="905"/>
        <v/>
      </c>
      <c r="EP77" s="66" t="str">
        <f t="shared" si="906"/>
        <v/>
      </c>
      <c r="EQ77" s="66" t="str">
        <f t="shared" si="907"/>
        <v/>
      </c>
      <c r="ER77" s="66" t="str">
        <f t="shared" si="908"/>
        <v/>
      </c>
      <c r="ES77" s="66" t="str">
        <f t="shared" si="909"/>
        <v/>
      </c>
      <c r="ET77" s="66" t="str">
        <f t="shared" si="910"/>
        <v/>
      </c>
      <c r="EU77" s="66" t="str">
        <f t="shared" si="911"/>
        <v/>
      </c>
      <c r="EV77" s="66" t="str">
        <f t="shared" si="912"/>
        <v/>
      </c>
      <c r="EW77" s="66" t="str">
        <f t="shared" si="913"/>
        <v/>
      </c>
      <c r="EX77" s="66" t="str">
        <f t="shared" si="914"/>
        <v/>
      </c>
      <c r="EY77" s="66" t="str">
        <f t="shared" si="915"/>
        <v/>
      </c>
      <c r="EZ77" s="66" t="str">
        <f t="shared" si="916"/>
        <v/>
      </c>
      <c r="FA77" s="66" t="str">
        <f t="shared" si="917"/>
        <v/>
      </c>
      <c r="FB77" s="66" t="str">
        <f t="shared" si="918"/>
        <v/>
      </c>
      <c r="FC77" s="66" t="str">
        <f t="shared" si="919"/>
        <v/>
      </c>
      <c r="FD77" s="66" t="str">
        <f t="shared" si="920"/>
        <v/>
      </c>
      <c r="FE77" s="66" t="str">
        <f t="shared" si="921"/>
        <v/>
      </c>
      <c r="FF77" s="66" t="str">
        <f t="shared" si="922"/>
        <v/>
      </c>
      <c r="FG77" s="66" t="str">
        <f t="shared" si="923"/>
        <v/>
      </c>
      <c r="FH77" s="66" t="str">
        <f t="shared" si="924"/>
        <v/>
      </c>
      <c r="FI77" s="66" t="str">
        <f t="shared" si="925"/>
        <v/>
      </c>
      <c r="FJ77" s="66" t="str">
        <f t="shared" si="926"/>
        <v/>
      </c>
      <c r="FK77" s="66" t="str">
        <f t="shared" si="927"/>
        <v/>
      </c>
      <c r="FL77" s="66" t="str">
        <f t="shared" si="928"/>
        <v/>
      </c>
      <c r="FM77" s="66" t="str">
        <f t="shared" si="929"/>
        <v/>
      </c>
      <c r="FN77" s="66" t="str">
        <f t="shared" si="930"/>
        <v/>
      </c>
      <c r="FO77" s="66" t="str">
        <f t="shared" si="931"/>
        <v/>
      </c>
      <c r="FP77" s="66" t="str">
        <f t="shared" si="932"/>
        <v/>
      </c>
      <c r="FQ77" s="66" t="str">
        <f t="shared" si="933"/>
        <v/>
      </c>
      <c r="FR77" s="66" t="str">
        <f t="shared" si="934"/>
        <v/>
      </c>
      <c r="FS77" s="66" t="str">
        <f t="shared" si="935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95">
        <v>5000</v>
      </c>
      <c r="W78" s="78">
        <v>4000</v>
      </c>
      <c r="X78" s="78"/>
      <c r="Y78" s="78"/>
      <c r="Z78" s="95">
        <v>100000</v>
      </c>
      <c r="AA78" s="78"/>
      <c r="AB78" s="78">
        <v>2000</v>
      </c>
      <c r="AC78" s="78"/>
      <c r="AD78" s="78"/>
      <c r="AE78" s="78"/>
      <c r="AF78" s="78"/>
      <c r="AG78" s="81"/>
      <c r="AH78" s="78"/>
      <c r="AI78" s="78"/>
      <c r="AJ78" s="78">
        <v>12</v>
      </c>
      <c r="AK78" s="78">
        <v>10</v>
      </c>
      <c r="AL78" s="99"/>
      <c r="BC78" s="100"/>
      <c r="BD78" s="100"/>
      <c r="BL78" s="64">
        <v>8</v>
      </c>
      <c r="BM78" s="64">
        <v>1</v>
      </c>
      <c r="BN78" s="64">
        <v>30</v>
      </c>
      <c r="CP78" s="36" t="str">
        <f t="shared" si="862"/>
        <v>InitUnitMagic('IJ01',,,,,,,,,,)</v>
      </c>
      <c r="CQ78" s="36" t="str">
        <f t="shared" si="863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5"/>
        <v>|n攻击+5000|n业力+4000|n生命值+100000|n生命回复+2000|n物理伤害+12%|n法术伤害+10%|n杀敌攻击+8|n杀敌业力+1|n杀敌生命+30|n</v>
      </c>
      <c r="CV78" s="19" t="str">
        <f>"|Cffbbbbbb属性：|r"&amp;CU78&amp;VLOOKUP(A78,合成公式!A:P,16,FALSE)&amp;T78</f>
        <v>|Cffbbbbbb属性：|r|n攻击+5000|n业力+4000|n生命值+100000|n生命回复+2000|n物理伤害+12%|n法术伤害+10%|n杀敌攻击+8|n杀敌业力+1|n杀敌生命+30|n</v>
      </c>
      <c r="CW78" s="33"/>
      <c r="CX78" s="33"/>
      <c r="CY78" s="33"/>
      <c r="CZ78" s="33"/>
      <c r="DA78" s="33"/>
      <c r="DB78" s="66" t="str">
        <f t="shared" si="650"/>
        <v>|n攻击+5000</v>
      </c>
      <c r="DC78" s="66" t="str">
        <f t="shared" si="651"/>
        <v>|n业力+4000</v>
      </c>
      <c r="DD78" s="66" t="str">
        <f t="shared" si="652"/>
        <v/>
      </c>
      <c r="DE78" s="66" t="str">
        <f t="shared" si="653"/>
        <v/>
      </c>
      <c r="DF78" s="66" t="str">
        <f t="shared" si="654"/>
        <v>|n生命值+100000</v>
      </c>
      <c r="DG78" s="66" t="str">
        <f t="shared" si="655"/>
        <v/>
      </c>
      <c r="DH78" s="66" t="str">
        <f t="shared" si="656"/>
        <v>|n生命回复+2000</v>
      </c>
      <c r="DI78" s="66" t="str">
        <f t="shared" si="657"/>
        <v/>
      </c>
      <c r="DJ78" s="66" t="str">
        <f t="shared" si="658"/>
        <v/>
      </c>
      <c r="DK78" s="66" t="str">
        <f t="shared" si="659"/>
        <v/>
      </c>
      <c r="DL78" s="66" t="str">
        <f t="shared" si="660"/>
        <v/>
      </c>
      <c r="DM78" s="66" t="str">
        <f t="shared" si="661"/>
        <v/>
      </c>
      <c r="DN78" s="66" t="str">
        <f t="shared" si="662"/>
        <v/>
      </c>
      <c r="DO78" s="66" t="str">
        <f t="shared" si="663"/>
        <v/>
      </c>
      <c r="DP78" s="66" t="str">
        <f t="shared" si="664"/>
        <v>|n物理伤害+12%</v>
      </c>
      <c r="DQ78" s="66" t="str">
        <f t="shared" si="665"/>
        <v>|n法术伤害+10%</v>
      </c>
      <c r="DR78" s="66" t="str">
        <f t="shared" si="666"/>
        <v/>
      </c>
      <c r="DS78" s="66" t="str">
        <f t="shared" si="667"/>
        <v/>
      </c>
      <c r="DT78" s="66" t="str">
        <f t="shared" si="668"/>
        <v/>
      </c>
      <c r="DU78" s="66" t="str">
        <f t="shared" si="669"/>
        <v/>
      </c>
      <c r="DV78" s="66" t="str">
        <f t="shared" si="670"/>
        <v/>
      </c>
      <c r="DW78" s="66" t="str">
        <f t="shared" si="671"/>
        <v/>
      </c>
      <c r="DX78" s="66" t="str">
        <f t="shared" si="672"/>
        <v/>
      </c>
      <c r="DY78" s="66" t="str">
        <f t="shared" si="673"/>
        <v/>
      </c>
      <c r="DZ78" s="66" t="str">
        <f t="shared" si="674"/>
        <v/>
      </c>
      <c r="EA78" s="66" t="str">
        <f t="shared" si="675"/>
        <v/>
      </c>
      <c r="EB78" s="66" t="str">
        <f t="shared" si="676"/>
        <v/>
      </c>
      <c r="EC78" s="66" t="str">
        <f t="shared" si="677"/>
        <v/>
      </c>
      <c r="ED78" s="66" t="str">
        <f t="shared" si="678"/>
        <v/>
      </c>
      <c r="EE78" s="66" t="str">
        <f t="shared" si="679"/>
        <v/>
      </c>
      <c r="EF78" s="66" t="str">
        <f t="shared" si="680"/>
        <v/>
      </c>
      <c r="EG78" s="66" t="str">
        <f t="shared" si="681"/>
        <v/>
      </c>
      <c r="EH78" s="66" t="str">
        <f t="shared" si="682"/>
        <v/>
      </c>
      <c r="EI78" s="66" t="str">
        <f t="shared" si="683"/>
        <v/>
      </c>
      <c r="EJ78" s="66" t="str">
        <f t="shared" si="684"/>
        <v/>
      </c>
      <c r="EK78" s="66" t="str">
        <f t="shared" si="685"/>
        <v/>
      </c>
      <c r="EL78" s="66" t="str">
        <f t="shared" si="686"/>
        <v/>
      </c>
      <c r="EM78" s="66" t="str">
        <f t="shared" si="687"/>
        <v/>
      </c>
      <c r="EN78" s="66" t="str">
        <f t="shared" si="688"/>
        <v/>
      </c>
      <c r="EO78" s="66" t="str">
        <f t="shared" si="689"/>
        <v/>
      </c>
      <c r="EP78" s="66" t="str">
        <f t="shared" si="690"/>
        <v/>
      </c>
      <c r="EQ78" s="66" t="str">
        <f t="shared" si="691"/>
        <v/>
      </c>
      <c r="ER78" s="66" t="str">
        <f t="shared" si="692"/>
        <v>|n杀敌攻击+8</v>
      </c>
      <c r="ES78" s="66" t="str">
        <f t="shared" si="693"/>
        <v>|n杀敌业力+1</v>
      </c>
      <c r="ET78" s="66" t="str">
        <f t="shared" si="694"/>
        <v>|n杀敌生命+30</v>
      </c>
      <c r="EU78" s="66" t="str">
        <f t="shared" si="695"/>
        <v/>
      </c>
      <c r="EV78" s="66" t="str">
        <f t="shared" si="696"/>
        <v/>
      </c>
      <c r="EW78" s="66" t="str">
        <f t="shared" si="697"/>
        <v/>
      </c>
      <c r="EX78" s="66" t="str">
        <f t="shared" si="698"/>
        <v/>
      </c>
      <c r="EY78" s="66" t="str">
        <f t="shared" si="699"/>
        <v/>
      </c>
      <c r="EZ78" s="66" t="str">
        <f t="shared" si="700"/>
        <v/>
      </c>
      <c r="FA78" s="66" t="str">
        <f t="shared" si="701"/>
        <v/>
      </c>
      <c r="FB78" s="66" t="str">
        <f t="shared" si="702"/>
        <v/>
      </c>
      <c r="FC78" s="66" t="str">
        <f t="shared" si="703"/>
        <v/>
      </c>
      <c r="FD78" s="66" t="str">
        <f t="shared" si="704"/>
        <v/>
      </c>
      <c r="FE78" s="66" t="str">
        <f t="shared" si="705"/>
        <v/>
      </c>
      <c r="FF78" s="66" t="str">
        <f t="shared" si="706"/>
        <v/>
      </c>
      <c r="FG78" s="66" t="str">
        <f t="shared" si="707"/>
        <v/>
      </c>
      <c r="FH78" s="66" t="str">
        <f t="shared" si="708"/>
        <v/>
      </c>
      <c r="FI78" s="66" t="str">
        <f t="shared" si="709"/>
        <v/>
      </c>
      <c r="FJ78" s="66" t="str">
        <f t="shared" si="710"/>
        <v/>
      </c>
      <c r="FK78" s="66" t="str">
        <f t="shared" si="711"/>
        <v/>
      </c>
      <c r="FL78" s="66" t="str">
        <f t="shared" si="712"/>
        <v/>
      </c>
      <c r="FM78" s="66" t="str">
        <f t="shared" si="713"/>
        <v/>
      </c>
      <c r="FN78" s="66" t="str">
        <f t="shared" si="714"/>
        <v/>
      </c>
      <c r="FO78" s="66" t="str">
        <f t="shared" si="715"/>
        <v/>
      </c>
      <c r="FP78" s="66" t="str">
        <f t="shared" si="716"/>
        <v/>
      </c>
      <c r="FQ78" s="66" t="str">
        <f t="shared" si="717"/>
        <v/>
      </c>
      <c r="FR78" s="66" t="str">
        <f t="shared" si="718"/>
        <v/>
      </c>
      <c r="FS78" s="66" t="str">
        <f t="shared" si="719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95">
        <v>7500</v>
      </c>
      <c r="W79" s="78">
        <v>6000</v>
      </c>
      <c r="X79" s="78"/>
      <c r="Y79" s="78"/>
      <c r="Z79" s="95">
        <v>150000</v>
      </c>
      <c r="AA79" s="78"/>
      <c r="AB79" s="78">
        <v>3000</v>
      </c>
      <c r="AC79" s="78"/>
      <c r="AD79" s="78"/>
      <c r="AE79" s="78"/>
      <c r="AF79" s="78"/>
      <c r="AG79" s="81"/>
      <c r="AH79" s="78"/>
      <c r="AI79" s="78"/>
      <c r="AJ79" s="78">
        <v>12</v>
      </c>
      <c r="AK79" s="78">
        <v>10</v>
      </c>
      <c r="AL79" s="99"/>
      <c r="BC79" s="100"/>
      <c r="BD79" s="100"/>
      <c r="BL79" s="64">
        <v>8</v>
      </c>
      <c r="BM79" s="64">
        <v>1</v>
      </c>
      <c r="BN79" s="64">
        <v>30</v>
      </c>
      <c r="CU79" s="88" t="str">
        <f t="shared" si="865"/>
        <v>|n攻击+7500|n业力+6000|n生命值+150000|n生命回复+3000|n物理伤害+12%|n法术伤害+10%|n杀敌攻击+8|n杀敌业力+1|n杀敌生命+30|n</v>
      </c>
      <c r="CV79" s="19" t="str">
        <f>"|Cffbbbbbb属性：|r"&amp;CU79&amp;VLOOKUP(A79,合成公式!A:P,16,FALSE)&amp;T79</f>
        <v>|Cffbbbbbb属性：|r|n攻击+7500|n业力+6000|n生命值+150000|n生命回复+3000|n物理伤害+12%|n法术伤害+10%|n杀敌攻击+8|n杀敌业力+1|n杀敌生命+30|n</v>
      </c>
      <c r="CW79" s="33"/>
      <c r="CX79" s="33"/>
      <c r="CY79" s="33"/>
      <c r="CZ79" s="33"/>
      <c r="DA79" s="33"/>
      <c r="DB79" s="66" t="str">
        <f t="shared" si="650"/>
        <v>|n攻击+7500</v>
      </c>
      <c r="DC79" s="66" t="str">
        <f t="shared" si="651"/>
        <v>|n业力+6000</v>
      </c>
      <c r="DD79" s="66" t="str">
        <f t="shared" si="652"/>
        <v/>
      </c>
      <c r="DE79" s="66" t="str">
        <f t="shared" si="653"/>
        <v/>
      </c>
      <c r="DF79" s="66" t="str">
        <f t="shared" si="654"/>
        <v>|n生命值+150000</v>
      </c>
      <c r="DG79" s="66" t="str">
        <f t="shared" si="655"/>
        <v/>
      </c>
      <c r="DH79" s="66" t="str">
        <f t="shared" si="656"/>
        <v>|n生命回复+3000</v>
      </c>
      <c r="DI79" s="66" t="str">
        <f t="shared" si="657"/>
        <v/>
      </c>
      <c r="DJ79" s="66" t="str">
        <f t="shared" si="658"/>
        <v/>
      </c>
      <c r="DK79" s="66" t="str">
        <f t="shared" si="659"/>
        <v/>
      </c>
      <c r="DL79" s="66" t="str">
        <f t="shared" si="660"/>
        <v/>
      </c>
      <c r="DM79" s="66" t="str">
        <f t="shared" si="661"/>
        <v/>
      </c>
      <c r="DN79" s="66" t="str">
        <f t="shared" si="662"/>
        <v/>
      </c>
      <c r="DO79" s="66" t="str">
        <f t="shared" si="663"/>
        <v/>
      </c>
      <c r="DP79" s="66" t="str">
        <f t="shared" si="664"/>
        <v>|n物理伤害+12%</v>
      </c>
      <c r="DQ79" s="66" t="str">
        <f t="shared" si="665"/>
        <v>|n法术伤害+10%</v>
      </c>
      <c r="DR79" s="66" t="str">
        <f t="shared" si="666"/>
        <v/>
      </c>
      <c r="DS79" s="66" t="str">
        <f t="shared" si="667"/>
        <v/>
      </c>
      <c r="DT79" s="66" t="str">
        <f t="shared" si="668"/>
        <v/>
      </c>
      <c r="DU79" s="66" t="str">
        <f t="shared" si="669"/>
        <v/>
      </c>
      <c r="DV79" s="66" t="str">
        <f t="shared" si="670"/>
        <v/>
      </c>
      <c r="DW79" s="66" t="str">
        <f t="shared" si="671"/>
        <v/>
      </c>
      <c r="DX79" s="66" t="str">
        <f t="shared" si="672"/>
        <v/>
      </c>
      <c r="DY79" s="66" t="str">
        <f t="shared" si="673"/>
        <v/>
      </c>
      <c r="DZ79" s="66" t="str">
        <f t="shared" si="674"/>
        <v/>
      </c>
      <c r="EA79" s="66" t="str">
        <f t="shared" si="675"/>
        <v/>
      </c>
      <c r="EB79" s="66" t="str">
        <f t="shared" si="676"/>
        <v/>
      </c>
      <c r="EC79" s="66" t="str">
        <f t="shared" si="677"/>
        <v/>
      </c>
      <c r="ED79" s="66" t="str">
        <f t="shared" si="678"/>
        <v/>
      </c>
      <c r="EE79" s="66" t="str">
        <f t="shared" si="679"/>
        <v/>
      </c>
      <c r="EF79" s="66" t="str">
        <f t="shared" si="680"/>
        <v/>
      </c>
      <c r="EG79" s="66" t="str">
        <f t="shared" si="681"/>
        <v/>
      </c>
      <c r="EH79" s="66" t="str">
        <f t="shared" si="682"/>
        <v/>
      </c>
      <c r="EI79" s="66" t="str">
        <f t="shared" si="683"/>
        <v/>
      </c>
      <c r="EJ79" s="66" t="str">
        <f t="shared" si="684"/>
        <v/>
      </c>
      <c r="EK79" s="66" t="str">
        <f t="shared" si="685"/>
        <v/>
      </c>
      <c r="EL79" s="66" t="str">
        <f t="shared" si="686"/>
        <v/>
      </c>
      <c r="EM79" s="66" t="str">
        <f t="shared" si="687"/>
        <v/>
      </c>
      <c r="EN79" s="66" t="str">
        <f t="shared" si="688"/>
        <v/>
      </c>
      <c r="EO79" s="66" t="str">
        <f t="shared" si="689"/>
        <v/>
      </c>
      <c r="EP79" s="66" t="str">
        <f t="shared" si="690"/>
        <v/>
      </c>
      <c r="EQ79" s="66" t="str">
        <f t="shared" si="691"/>
        <v/>
      </c>
      <c r="ER79" s="66" t="str">
        <f t="shared" si="692"/>
        <v>|n杀敌攻击+8</v>
      </c>
      <c r="ES79" s="66" t="str">
        <f t="shared" si="693"/>
        <v>|n杀敌业力+1</v>
      </c>
      <c r="ET79" s="66" t="str">
        <f t="shared" si="694"/>
        <v>|n杀敌生命+30</v>
      </c>
      <c r="EU79" s="66" t="str">
        <f t="shared" si="695"/>
        <v/>
      </c>
      <c r="EV79" s="66" t="str">
        <f t="shared" si="696"/>
        <v/>
      </c>
      <c r="EW79" s="66" t="str">
        <f t="shared" si="697"/>
        <v/>
      </c>
      <c r="EX79" s="66" t="str">
        <f t="shared" si="698"/>
        <v/>
      </c>
      <c r="EY79" s="66" t="str">
        <f t="shared" si="699"/>
        <v/>
      </c>
      <c r="EZ79" s="66" t="str">
        <f t="shared" si="700"/>
        <v/>
      </c>
      <c r="FA79" s="66" t="str">
        <f t="shared" si="701"/>
        <v/>
      </c>
      <c r="FB79" s="66" t="str">
        <f t="shared" si="702"/>
        <v/>
      </c>
      <c r="FC79" s="66" t="str">
        <f t="shared" si="703"/>
        <v/>
      </c>
      <c r="FD79" s="66" t="str">
        <f t="shared" si="704"/>
        <v/>
      </c>
      <c r="FE79" s="66" t="str">
        <f t="shared" si="705"/>
        <v/>
      </c>
      <c r="FF79" s="66" t="str">
        <f t="shared" si="706"/>
        <v/>
      </c>
      <c r="FG79" s="66" t="str">
        <f t="shared" si="707"/>
        <v/>
      </c>
      <c r="FH79" s="66" t="str">
        <f t="shared" si="708"/>
        <v/>
      </c>
      <c r="FI79" s="66" t="str">
        <f t="shared" si="709"/>
        <v/>
      </c>
      <c r="FJ79" s="66" t="str">
        <f t="shared" si="710"/>
        <v/>
      </c>
      <c r="FK79" s="66" t="str">
        <f t="shared" si="711"/>
        <v/>
      </c>
      <c r="FL79" s="66" t="str">
        <f t="shared" si="712"/>
        <v/>
      </c>
      <c r="FM79" s="66" t="str">
        <f t="shared" si="713"/>
        <v/>
      </c>
      <c r="FN79" s="66" t="str">
        <f t="shared" si="714"/>
        <v/>
      </c>
      <c r="FO79" s="66" t="str">
        <f t="shared" si="715"/>
        <v/>
      </c>
      <c r="FP79" s="66" t="str">
        <f t="shared" si="716"/>
        <v/>
      </c>
      <c r="FQ79" s="66" t="str">
        <f t="shared" si="717"/>
        <v/>
      </c>
      <c r="FR79" s="66" t="str">
        <f t="shared" si="718"/>
        <v/>
      </c>
      <c r="FS79" s="66" t="str">
        <f t="shared" si="719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6"/>
      <c r="T80" s="93"/>
      <c r="U80" s="94" t="s">
        <v>362</v>
      </c>
      <c r="V80" s="95">
        <v>12500</v>
      </c>
      <c r="W80" s="78">
        <v>10000</v>
      </c>
      <c r="X80" s="78"/>
      <c r="Y80" s="78"/>
      <c r="Z80" s="95">
        <v>250000</v>
      </c>
      <c r="AA80" s="78"/>
      <c r="AB80" s="78">
        <v>5000</v>
      </c>
      <c r="AC80" s="78"/>
      <c r="AD80" s="78"/>
      <c r="AE80" s="78"/>
      <c r="AF80" s="78"/>
      <c r="AG80" s="81"/>
      <c r="AH80" s="78"/>
      <c r="AI80" s="78"/>
      <c r="AJ80" s="78">
        <v>12</v>
      </c>
      <c r="AK80" s="78">
        <v>10</v>
      </c>
      <c r="AL80" s="99"/>
      <c r="BC80" s="100"/>
      <c r="BD80" s="100"/>
      <c r="BL80" s="64">
        <v>8</v>
      </c>
      <c r="BM80" s="64">
        <v>1</v>
      </c>
      <c r="BN80" s="64">
        <v>30</v>
      </c>
      <c r="CU80" s="88" t="str">
        <f t="shared" si="865"/>
        <v>|n攻击+12500|n业力+10000|n生命值+250000|n生命回复+5000|n物理伤害+12%|n法术伤害+10%|n杀敌攻击+8|n杀敌业力+1|n杀敌生命+30|n</v>
      </c>
      <c r="CV80" s="19" t="str">
        <f>"|Cffbbbbbb属性：|r"&amp;CU80&amp;VLOOKUP(A80,合成公式!A:P,16,FALSE)&amp;T80</f>
        <v>|Cffbbbbbb属性：|r|n攻击+12500|n业力+10000|n生命值+250000|n生命回复+5000|n物理伤害+12%|n法术伤害+10%|n杀敌攻击+8|n杀敌业力+1|n杀敌生命+30|n</v>
      </c>
      <c r="CW80" s="33"/>
      <c r="CX80" s="33"/>
      <c r="CY80" s="33"/>
      <c r="CZ80" s="33"/>
      <c r="DA80" s="33"/>
      <c r="DB80" s="66" t="str">
        <f t="shared" si="650"/>
        <v>|n攻击+12500</v>
      </c>
      <c r="DC80" s="66" t="str">
        <f t="shared" si="651"/>
        <v>|n业力+10000</v>
      </c>
      <c r="DD80" s="66" t="str">
        <f t="shared" si="652"/>
        <v/>
      </c>
      <c r="DE80" s="66" t="str">
        <f t="shared" si="653"/>
        <v/>
      </c>
      <c r="DF80" s="66" t="str">
        <f t="shared" si="654"/>
        <v>|n生命值+250000</v>
      </c>
      <c r="DG80" s="66" t="str">
        <f t="shared" si="655"/>
        <v/>
      </c>
      <c r="DH80" s="66" t="str">
        <f t="shared" si="656"/>
        <v>|n生命回复+5000</v>
      </c>
      <c r="DI80" s="66" t="str">
        <f t="shared" si="657"/>
        <v/>
      </c>
      <c r="DJ80" s="66" t="str">
        <f t="shared" si="658"/>
        <v/>
      </c>
      <c r="DK80" s="66" t="str">
        <f t="shared" si="659"/>
        <v/>
      </c>
      <c r="DL80" s="66" t="str">
        <f t="shared" si="660"/>
        <v/>
      </c>
      <c r="DM80" s="66" t="str">
        <f t="shared" si="661"/>
        <v/>
      </c>
      <c r="DN80" s="66" t="str">
        <f t="shared" si="662"/>
        <v/>
      </c>
      <c r="DO80" s="66" t="str">
        <f t="shared" si="663"/>
        <v/>
      </c>
      <c r="DP80" s="66" t="str">
        <f t="shared" si="664"/>
        <v>|n物理伤害+12%</v>
      </c>
      <c r="DQ80" s="66" t="str">
        <f t="shared" si="665"/>
        <v>|n法术伤害+10%</v>
      </c>
      <c r="DR80" s="66" t="str">
        <f t="shared" si="666"/>
        <v/>
      </c>
      <c r="DS80" s="66" t="str">
        <f t="shared" si="667"/>
        <v/>
      </c>
      <c r="DT80" s="66" t="str">
        <f t="shared" si="668"/>
        <v/>
      </c>
      <c r="DU80" s="66" t="str">
        <f t="shared" si="669"/>
        <v/>
      </c>
      <c r="DV80" s="66" t="str">
        <f t="shared" si="670"/>
        <v/>
      </c>
      <c r="DW80" s="66" t="str">
        <f t="shared" si="671"/>
        <v/>
      </c>
      <c r="DX80" s="66" t="str">
        <f t="shared" si="672"/>
        <v/>
      </c>
      <c r="DY80" s="66" t="str">
        <f t="shared" si="673"/>
        <v/>
      </c>
      <c r="DZ80" s="66" t="str">
        <f t="shared" si="674"/>
        <v/>
      </c>
      <c r="EA80" s="66" t="str">
        <f t="shared" si="675"/>
        <v/>
      </c>
      <c r="EB80" s="66" t="str">
        <f t="shared" si="676"/>
        <v/>
      </c>
      <c r="EC80" s="66" t="str">
        <f t="shared" si="677"/>
        <v/>
      </c>
      <c r="ED80" s="66" t="str">
        <f t="shared" si="678"/>
        <v/>
      </c>
      <c r="EE80" s="66" t="str">
        <f t="shared" si="679"/>
        <v/>
      </c>
      <c r="EF80" s="66" t="str">
        <f t="shared" si="680"/>
        <v/>
      </c>
      <c r="EG80" s="66" t="str">
        <f t="shared" si="681"/>
        <v/>
      </c>
      <c r="EH80" s="66" t="str">
        <f t="shared" si="682"/>
        <v/>
      </c>
      <c r="EI80" s="66" t="str">
        <f t="shared" si="683"/>
        <v/>
      </c>
      <c r="EJ80" s="66" t="str">
        <f t="shared" si="684"/>
        <v/>
      </c>
      <c r="EK80" s="66" t="str">
        <f t="shared" si="685"/>
        <v/>
      </c>
      <c r="EL80" s="66" t="str">
        <f t="shared" si="686"/>
        <v/>
      </c>
      <c r="EM80" s="66" t="str">
        <f t="shared" si="687"/>
        <v/>
      </c>
      <c r="EN80" s="66" t="str">
        <f t="shared" si="688"/>
        <v/>
      </c>
      <c r="EO80" s="66" t="str">
        <f t="shared" si="689"/>
        <v/>
      </c>
      <c r="EP80" s="66" t="str">
        <f t="shared" si="690"/>
        <v/>
      </c>
      <c r="EQ80" s="66" t="str">
        <f t="shared" si="691"/>
        <v/>
      </c>
      <c r="ER80" s="66" t="str">
        <f t="shared" si="692"/>
        <v>|n杀敌攻击+8</v>
      </c>
      <c r="ES80" s="66" t="str">
        <f t="shared" si="693"/>
        <v>|n杀敌业力+1</v>
      </c>
      <c r="ET80" s="66" t="str">
        <f t="shared" si="694"/>
        <v>|n杀敌生命+30</v>
      </c>
      <c r="EU80" s="66" t="str">
        <f t="shared" si="695"/>
        <v/>
      </c>
      <c r="EV80" s="66" t="str">
        <f t="shared" si="696"/>
        <v/>
      </c>
      <c r="EW80" s="66" t="str">
        <f t="shared" si="697"/>
        <v/>
      </c>
      <c r="EX80" s="66" t="str">
        <f t="shared" si="698"/>
        <v/>
      </c>
      <c r="EY80" s="66" t="str">
        <f t="shared" si="699"/>
        <v/>
      </c>
      <c r="EZ80" s="66" t="str">
        <f t="shared" si="700"/>
        <v/>
      </c>
      <c r="FA80" s="66" t="str">
        <f t="shared" si="701"/>
        <v/>
      </c>
      <c r="FB80" s="66" t="str">
        <f t="shared" si="702"/>
        <v/>
      </c>
      <c r="FC80" s="66" t="str">
        <f t="shared" si="703"/>
        <v/>
      </c>
      <c r="FD80" s="66" t="str">
        <f t="shared" si="704"/>
        <v/>
      </c>
      <c r="FE80" s="66" t="str">
        <f t="shared" si="705"/>
        <v/>
      </c>
      <c r="FF80" s="66" t="str">
        <f t="shared" si="706"/>
        <v/>
      </c>
      <c r="FG80" s="66" t="str">
        <f t="shared" si="707"/>
        <v/>
      </c>
      <c r="FH80" s="66" t="str">
        <f t="shared" si="708"/>
        <v/>
      </c>
      <c r="FI80" s="66" t="str">
        <f t="shared" si="709"/>
        <v/>
      </c>
      <c r="FJ80" s="66" t="str">
        <f t="shared" si="710"/>
        <v/>
      </c>
      <c r="FK80" s="66" t="str">
        <f t="shared" si="711"/>
        <v/>
      </c>
      <c r="FL80" s="66" t="str">
        <f t="shared" si="712"/>
        <v/>
      </c>
      <c r="FM80" s="66" t="str">
        <f t="shared" si="713"/>
        <v/>
      </c>
      <c r="FN80" s="66" t="str">
        <f t="shared" si="714"/>
        <v/>
      </c>
      <c r="FO80" s="66" t="str">
        <f t="shared" si="715"/>
        <v/>
      </c>
      <c r="FP80" s="66" t="str">
        <f t="shared" si="716"/>
        <v/>
      </c>
      <c r="FQ80" s="66" t="str">
        <f t="shared" si="717"/>
        <v/>
      </c>
      <c r="FR80" s="66" t="str">
        <f t="shared" si="718"/>
        <v/>
      </c>
      <c r="FS80" s="66" t="str">
        <f t="shared" si="719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6"/>
      <c r="T81" s="93"/>
      <c r="U81" s="94" t="s">
        <v>365</v>
      </c>
      <c r="V81" s="95">
        <v>21250</v>
      </c>
      <c r="W81" s="78">
        <v>17000</v>
      </c>
      <c r="X81" s="78"/>
      <c r="Y81" s="78"/>
      <c r="Z81" s="95">
        <v>425000</v>
      </c>
      <c r="AA81" s="78"/>
      <c r="AB81" s="78">
        <v>8500</v>
      </c>
      <c r="AC81" s="78"/>
      <c r="AD81" s="78"/>
      <c r="AE81" s="78"/>
      <c r="AF81" s="78"/>
      <c r="AG81" s="81"/>
      <c r="AH81" s="78"/>
      <c r="AI81" s="78"/>
      <c r="AJ81" s="78">
        <v>18</v>
      </c>
      <c r="AK81" s="78">
        <v>15</v>
      </c>
      <c r="AL81" s="99"/>
      <c r="BC81" s="100"/>
      <c r="BD81" s="100"/>
      <c r="BL81" s="64">
        <v>8</v>
      </c>
      <c r="BM81" s="64">
        <v>1</v>
      </c>
      <c r="BN81" s="64">
        <v>30</v>
      </c>
      <c r="CU81" s="88" t="str">
        <f t="shared" si="865"/>
        <v>|n攻击+21250|n业力+17000|n生命值+425000|n生命回复+8500|n物理伤害+18%|n法术伤害+15%|n杀敌攻击+8|n杀敌业力+1|n杀敌生命+30|n</v>
      </c>
      <c r="CV81" s="19" t="str">
        <f>"|Cffbbbbbb属性：|r"&amp;CU81&amp;VLOOKUP(A81,合成公式!A:P,16,FALSE)&amp;T81</f>
        <v>|Cffbbbbbb属性：|r|n攻击+21250|n业力+17000|n生命值+425000|n生命回复+8500|n物理伤害+18%|n法术伤害+15%|n杀敌攻击+8|n杀敌业力+1|n杀敌生命+30|n</v>
      </c>
      <c r="CW81" s="33"/>
      <c r="CX81" s="33"/>
      <c r="CY81" s="33"/>
      <c r="CZ81" s="33"/>
      <c r="DA81" s="33"/>
      <c r="DB81" s="66" t="str">
        <f t="shared" si="650"/>
        <v>|n攻击+21250</v>
      </c>
      <c r="DC81" s="66" t="str">
        <f t="shared" si="651"/>
        <v>|n业力+17000</v>
      </c>
      <c r="DD81" s="66" t="str">
        <f t="shared" si="652"/>
        <v/>
      </c>
      <c r="DE81" s="66" t="str">
        <f t="shared" si="653"/>
        <v/>
      </c>
      <c r="DF81" s="66" t="str">
        <f t="shared" si="654"/>
        <v>|n生命值+425000</v>
      </c>
      <c r="DG81" s="66" t="str">
        <f t="shared" si="655"/>
        <v/>
      </c>
      <c r="DH81" s="66" t="str">
        <f t="shared" si="656"/>
        <v>|n生命回复+8500</v>
      </c>
      <c r="DI81" s="66" t="str">
        <f t="shared" si="657"/>
        <v/>
      </c>
      <c r="DJ81" s="66" t="str">
        <f t="shared" si="658"/>
        <v/>
      </c>
      <c r="DK81" s="66" t="str">
        <f t="shared" si="659"/>
        <v/>
      </c>
      <c r="DL81" s="66" t="str">
        <f t="shared" si="660"/>
        <v/>
      </c>
      <c r="DM81" s="66" t="str">
        <f t="shared" si="661"/>
        <v/>
      </c>
      <c r="DN81" s="66" t="str">
        <f t="shared" si="662"/>
        <v/>
      </c>
      <c r="DO81" s="66" t="str">
        <f t="shared" si="663"/>
        <v/>
      </c>
      <c r="DP81" s="66" t="str">
        <f t="shared" si="664"/>
        <v>|n物理伤害+18%</v>
      </c>
      <c r="DQ81" s="66" t="str">
        <f t="shared" si="665"/>
        <v>|n法术伤害+15%</v>
      </c>
      <c r="DR81" s="66" t="str">
        <f t="shared" si="666"/>
        <v/>
      </c>
      <c r="DS81" s="66" t="str">
        <f t="shared" si="667"/>
        <v/>
      </c>
      <c r="DT81" s="66" t="str">
        <f t="shared" si="668"/>
        <v/>
      </c>
      <c r="DU81" s="66" t="str">
        <f t="shared" si="669"/>
        <v/>
      </c>
      <c r="DV81" s="66" t="str">
        <f t="shared" si="670"/>
        <v/>
      </c>
      <c r="DW81" s="66" t="str">
        <f t="shared" si="671"/>
        <v/>
      </c>
      <c r="DX81" s="66" t="str">
        <f t="shared" si="672"/>
        <v/>
      </c>
      <c r="DY81" s="66" t="str">
        <f t="shared" si="673"/>
        <v/>
      </c>
      <c r="DZ81" s="66" t="str">
        <f t="shared" si="674"/>
        <v/>
      </c>
      <c r="EA81" s="66" t="str">
        <f t="shared" si="675"/>
        <v/>
      </c>
      <c r="EB81" s="66" t="str">
        <f t="shared" si="676"/>
        <v/>
      </c>
      <c r="EC81" s="66" t="str">
        <f t="shared" si="677"/>
        <v/>
      </c>
      <c r="ED81" s="66" t="str">
        <f t="shared" si="678"/>
        <v/>
      </c>
      <c r="EE81" s="66" t="str">
        <f t="shared" si="679"/>
        <v/>
      </c>
      <c r="EF81" s="66" t="str">
        <f t="shared" si="680"/>
        <v/>
      </c>
      <c r="EG81" s="66" t="str">
        <f t="shared" si="681"/>
        <v/>
      </c>
      <c r="EH81" s="66" t="str">
        <f t="shared" si="682"/>
        <v/>
      </c>
      <c r="EI81" s="66" t="str">
        <f t="shared" si="683"/>
        <v/>
      </c>
      <c r="EJ81" s="66" t="str">
        <f t="shared" si="684"/>
        <v/>
      </c>
      <c r="EK81" s="66" t="str">
        <f t="shared" si="685"/>
        <v/>
      </c>
      <c r="EL81" s="66" t="str">
        <f t="shared" si="686"/>
        <v/>
      </c>
      <c r="EM81" s="66" t="str">
        <f t="shared" si="687"/>
        <v/>
      </c>
      <c r="EN81" s="66" t="str">
        <f t="shared" si="688"/>
        <v/>
      </c>
      <c r="EO81" s="66" t="str">
        <f t="shared" si="689"/>
        <v/>
      </c>
      <c r="EP81" s="66" t="str">
        <f t="shared" si="690"/>
        <v/>
      </c>
      <c r="EQ81" s="66" t="str">
        <f t="shared" si="691"/>
        <v/>
      </c>
      <c r="ER81" s="66" t="str">
        <f t="shared" si="692"/>
        <v>|n杀敌攻击+8</v>
      </c>
      <c r="ES81" s="66" t="str">
        <f t="shared" si="693"/>
        <v>|n杀敌业力+1</v>
      </c>
      <c r="ET81" s="66" t="str">
        <f t="shared" si="694"/>
        <v>|n杀敌生命+30</v>
      </c>
      <c r="EU81" s="66" t="str">
        <f t="shared" si="695"/>
        <v/>
      </c>
      <c r="EV81" s="66" t="str">
        <f t="shared" si="696"/>
        <v/>
      </c>
      <c r="EW81" s="66" t="str">
        <f t="shared" si="697"/>
        <v/>
      </c>
      <c r="EX81" s="66" t="str">
        <f t="shared" si="698"/>
        <v/>
      </c>
      <c r="EY81" s="66" t="str">
        <f t="shared" si="699"/>
        <v/>
      </c>
      <c r="EZ81" s="66" t="str">
        <f t="shared" si="700"/>
        <v/>
      </c>
      <c r="FA81" s="66" t="str">
        <f t="shared" si="701"/>
        <v/>
      </c>
      <c r="FB81" s="66" t="str">
        <f t="shared" si="702"/>
        <v/>
      </c>
      <c r="FC81" s="66" t="str">
        <f t="shared" si="703"/>
        <v/>
      </c>
      <c r="FD81" s="66" t="str">
        <f t="shared" si="704"/>
        <v/>
      </c>
      <c r="FE81" s="66" t="str">
        <f t="shared" si="705"/>
        <v/>
      </c>
      <c r="FF81" s="66" t="str">
        <f t="shared" si="706"/>
        <v/>
      </c>
      <c r="FG81" s="66" t="str">
        <f t="shared" si="707"/>
        <v/>
      </c>
      <c r="FH81" s="66" t="str">
        <f t="shared" si="708"/>
        <v/>
      </c>
      <c r="FI81" s="66" t="str">
        <f t="shared" si="709"/>
        <v/>
      </c>
      <c r="FJ81" s="66" t="str">
        <f t="shared" si="710"/>
        <v/>
      </c>
      <c r="FK81" s="66" t="str">
        <f t="shared" si="711"/>
        <v/>
      </c>
      <c r="FL81" s="66" t="str">
        <f t="shared" si="712"/>
        <v/>
      </c>
      <c r="FM81" s="66" t="str">
        <f t="shared" si="713"/>
        <v/>
      </c>
      <c r="FN81" s="66" t="str">
        <f t="shared" si="714"/>
        <v/>
      </c>
      <c r="FO81" s="66" t="str">
        <f t="shared" si="715"/>
        <v/>
      </c>
      <c r="FP81" s="66" t="str">
        <f t="shared" si="716"/>
        <v/>
      </c>
      <c r="FQ81" s="66" t="str">
        <f t="shared" si="717"/>
        <v/>
      </c>
      <c r="FR81" s="66" t="str">
        <f t="shared" si="718"/>
        <v/>
      </c>
      <c r="FS81" s="66" t="str">
        <f t="shared" si="719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6"/>
      <c r="T82" s="93"/>
      <c r="U82" s="94" t="s">
        <v>368</v>
      </c>
      <c r="V82" s="95">
        <v>33750</v>
      </c>
      <c r="W82" s="78">
        <v>27000</v>
      </c>
      <c r="X82" s="78"/>
      <c r="Y82" s="78"/>
      <c r="Z82" s="95">
        <v>675000</v>
      </c>
      <c r="AA82" s="78"/>
      <c r="AB82" s="78">
        <v>13500</v>
      </c>
      <c r="AC82" s="78"/>
      <c r="AD82" s="78"/>
      <c r="AE82" s="78"/>
      <c r="AF82" s="78"/>
      <c r="AG82" s="81"/>
      <c r="AH82" s="78"/>
      <c r="AI82" s="78"/>
      <c r="AJ82" s="78">
        <v>18</v>
      </c>
      <c r="AK82" s="78">
        <v>15</v>
      </c>
      <c r="AL82" s="99"/>
      <c r="BC82" s="100"/>
      <c r="BD82" s="100"/>
      <c r="BL82" s="64">
        <v>8</v>
      </c>
      <c r="BM82" s="64">
        <v>1</v>
      </c>
      <c r="BN82" s="64">
        <v>30</v>
      </c>
      <c r="CU82" s="88" t="str">
        <f t="shared" si="865"/>
        <v>|n攻击+33750|n业力+27000|n生命值+675000|n生命回复+13500|n物理伤害+18%|n法术伤害+15%|n杀敌攻击+8|n杀敌业力+1|n杀敌生命+30|n</v>
      </c>
      <c r="CV82" s="19" t="str">
        <f>"|Cffbbbbbb属性：|r"&amp;CU82&amp;VLOOKUP(A82,合成公式!A:P,16,FALSE)&amp;T82</f>
        <v>|Cffbbbbbb属性：|r|n攻击+33750|n业力+27000|n生命值+675000|n生命回复+13500|n物理伤害+18%|n法术伤害+15%|n杀敌攻击+8|n杀敌业力+1|n杀敌生命+30|n</v>
      </c>
      <c r="CW82" s="33"/>
      <c r="CX82" s="33"/>
      <c r="CY82" s="33"/>
      <c r="CZ82" s="33"/>
      <c r="DA82" s="33"/>
      <c r="DB82" s="66" t="str">
        <f t="shared" si="650"/>
        <v>|n攻击+33750</v>
      </c>
      <c r="DC82" s="66" t="str">
        <f t="shared" si="651"/>
        <v>|n业力+27000</v>
      </c>
      <c r="DD82" s="66" t="str">
        <f t="shared" si="652"/>
        <v/>
      </c>
      <c r="DE82" s="66" t="str">
        <f t="shared" si="653"/>
        <v/>
      </c>
      <c r="DF82" s="66" t="str">
        <f t="shared" si="654"/>
        <v>|n生命值+675000</v>
      </c>
      <c r="DG82" s="66" t="str">
        <f t="shared" si="655"/>
        <v/>
      </c>
      <c r="DH82" s="66" t="str">
        <f t="shared" si="656"/>
        <v>|n生命回复+13500</v>
      </c>
      <c r="DI82" s="66" t="str">
        <f t="shared" si="657"/>
        <v/>
      </c>
      <c r="DJ82" s="66" t="str">
        <f t="shared" si="658"/>
        <v/>
      </c>
      <c r="DK82" s="66" t="str">
        <f t="shared" si="659"/>
        <v/>
      </c>
      <c r="DL82" s="66" t="str">
        <f t="shared" si="660"/>
        <v/>
      </c>
      <c r="DM82" s="66" t="str">
        <f t="shared" si="661"/>
        <v/>
      </c>
      <c r="DN82" s="66" t="str">
        <f t="shared" si="662"/>
        <v/>
      </c>
      <c r="DO82" s="66" t="str">
        <f t="shared" si="663"/>
        <v/>
      </c>
      <c r="DP82" s="66" t="str">
        <f t="shared" si="664"/>
        <v>|n物理伤害+18%</v>
      </c>
      <c r="DQ82" s="66" t="str">
        <f t="shared" si="665"/>
        <v>|n法术伤害+15%</v>
      </c>
      <c r="DR82" s="66" t="str">
        <f t="shared" si="666"/>
        <v/>
      </c>
      <c r="DS82" s="66" t="str">
        <f t="shared" si="667"/>
        <v/>
      </c>
      <c r="DT82" s="66" t="str">
        <f t="shared" si="668"/>
        <v/>
      </c>
      <c r="DU82" s="66" t="str">
        <f t="shared" si="669"/>
        <v/>
      </c>
      <c r="DV82" s="66" t="str">
        <f t="shared" si="670"/>
        <v/>
      </c>
      <c r="DW82" s="66" t="str">
        <f t="shared" si="671"/>
        <v/>
      </c>
      <c r="DX82" s="66" t="str">
        <f t="shared" si="672"/>
        <v/>
      </c>
      <c r="DY82" s="66" t="str">
        <f t="shared" si="673"/>
        <v/>
      </c>
      <c r="DZ82" s="66" t="str">
        <f t="shared" si="674"/>
        <v/>
      </c>
      <c r="EA82" s="66" t="str">
        <f t="shared" si="675"/>
        <v/>
      </c>
      <c r="EB82" s="66" t="str">
        <f t="shared" si="676"/>
        <v/>
      </c>
      <c r="EC82" s="66" t="str">
        <f t="shared" si="677"/>
        <v/>
      </c>
      <c r="ED82" s="66" t="str">
        <f t="shared" si="678"/>
        <v/>
      </c>
      <c r="EE82" s="66" t="str">
        <f t="shared" si="679"/>
        <v/>
      </c>
      <c r="EF82" s="66" t="str">
        <f t="shared" si="680"/>
        <v/>
      </c>
      <c r="EG82" s="66" t="str">
        <f t="shared" si="681"/>
        <v/>
      </c>
      <c r="EH82" s="66" t="str">
        <f t="shared" si="682"/>
        <v/>
      </c>
      <c r="EI82" s="66" t="str">
        <f t="shared" si="683"/>
        <v/>
      </c>
      <c r="EJ82" s="66" t="str">
        <f t="shared" si="684"/>
        <v/>
      </c>
      <c r="EK82" s="66" t="str">
        <f t="shared" si="685"/>
        <v/>
      </c>
      <c r="EL82" s="66" t="str">
        <f t="shared" si="686"/>
        <v/>
      </c>
      <c r="EM82" s="66" t="str">
        <f t="shared" si="687"/>
        <v/>
      </c>
      <c r="EN82" s="66" t="str">
        <f t="shared" si="688"/>
        <v/>
      </c>
      <c r="EO82" s="66" t="str">
        <f t="shared" si="689"/>
        <v/>
      </c>
      <c r="EP82" s="66" t="str">
        <f t="shared" si="690"/>
        <v/>
      </c>
      <c r="EQ82" s="66" t="str">
        <f t="shared" si="691"/>
        <v/>
      </c>
      <c r="ER82" s="66" t="str">
        <f t="shared" si="692"/>
        <v>|n杀敌攻击+8</v>
      </c>
      <c r="ES82" s="66" t="str">
        <f t="shared" si="693"/>
        <v>|n杀敌业力+1</v>
      </c>
      <c r="ET82" s="66" t="str">
        <f t="shared" si="694"/>
        <v>|n杀敌生命+30</v>
      </c>
      <c r="EU82" s="66" t="str">
        <f t="shared" si="695"/>
        <v/>
      </c>
      <c r="EV82" s="66" t="str">
        <f t="shared" si="696"/>
        <v/>
      </c>
      <c r="EW82" s="66" t="str">
        <f t="shared" si="697"/>
        <v/>
      </c>
      <c r="EX82" s="66" t="str">
        <f t="shared" si="698"/>
        <v/>
      </c>
      <c r="EY82" s="66" t="str">
        <f t="shared" si="699"/>
        <v/>
      </c>
      <c r="EZ82" s="66" t="str">
        <f t="shared" si="700"/>
        <v/>
      </c>
      <c r="FA82" s="66" t="str">
        <f t="shared" si="701"/>
        <v/>
      </c>
      <c r="FB82" s="66" t="str">
        <f t="shared" si="702"/>
        <v/>
      </c>
      <c r="FC82" s="66" t="str">
        <f t="shared" si="703"/>
        <v/>
      </c>
      <c r="FD82" s="66" t="str">
        <f t="shared" si="704"/>
        <v/>
      </c>
      <c r="FE82" s="66" t="str">
        <f t="shared" si="705"/>
        <v/>
      </c>
      <c r="FF82" s="66" t="str">
        <f t="shared" si="706"/>
        <v/>
      </c>
      <c r="FG82" s="66" t="str">
        <f t="shared" si="707"/>
        <v/>
      </c>
      <c r="FH82" s="66" t="str">
        <f t="shared" si="708"/>
        <v/>
      </c>
      <c r="FI82" s="66" t="str">
        <f t="shared" si="709"/>
        <v/>
      </c>
      <c r="FJ82" s="66" t="str">
        <f t="shared" si="710"/>
        <v/>
      </c>
      <c r="FK82" s="66" t="str">
        <f t="shared" si="711"/>
        <v/>
      </c>
      <c r="FL82" s="66" t="str">
        <f t="shared" si="712"/>
        <v/>
      </c>
      <c r="FM82" s="66" t="str">
        <f t="shared" si="713"/>
        <v/>
      </c>
      <c r="FN82" s="66" t="str">
        <f t="shared" si="714"/>
        <v/>
      </c>
      <c r="FO82" s="66" t="str">
        <f t="shared" si="715"/>
        <v/>
      </c>
      <c r="FP82" s="66" t="str">
        <f t="shared" si="716"/>
        <v/>
      </c>
      <c r="FQ82" s="66" t="str">
        <f t="shared" si="717"/>
        <v/>
      </c>
      <c r="FR82" s="66" t="str">
        <f t="shared" si="718"/>
        <v/>
      </c>
      <c r="FS82" s="66" t="str">
        <f t="shared" si="719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6"/>
      <c r="T83" s="93"/>
      <c r="U83" s="94" t="s">
        <v>371</v>
      </c>
      <c r="V83" s="95">
        <v>50000</v>
      </c>
      <c r="W83" s="78">
        <v>40000</v>
      </c>
      <c r="X83" s="78"/>
      <c r="Y83" s="78"/>
      <c r="Z83" s="95">
        <v>1000000</v>
      </c>
      <c r="AA83" s="78"/>
      <c r="AB83" s="78">
        <v>20000</v>
      </c>
      <c r="AC83" s="78"/>
      <c r="AD83" s="78"/>
      <c r="AE83" s="78"/>
      <c r="AF83" s="78"/>
      <c r="AG83" s="81"/>
      <c r="AH83" s="78"/>
      <c r="AI83" s="78"/>
      <c r="AJ83" s="78">
        <v>18</v>
      </c>
      <c r="AK83" s="78">
        <v>15</v>
      </c>
      <c r="AL83" s="99"/>
      <c r="BC83" s="100"/>
      <c r="BD83" s="100"/>
      <c r="BL83" s="64">
        <v>8</v>
      </c>
      <c r="BM83" s="64">
        <v>1</v>
      </c>
      <c r="BN83" s="64">
        <v>30</v>
      </c>
      <c r="CU83" s="88" t="str">
        <f t="shared" si="865"/>
        <v>|n攻击+50000|n业力+40000|n生命值+1000000|n生命回复+20000|n物理伤害+18%|n法术伤害+15%|n杀敌攻击+8|n杀敌业力+1|n杀敌生命+30|n</v>
      </c>
      <c r="CV83" s="19" t="str">
        <f>"|Cffbbbbbb属性：|r"&amp;CU83&amp;VLOOKUP(A83,合成公式!A:P,16,FALSE)&amp;T83</f>
        <v>|Cffbbbbbb属性：|r|n攻击+50000|n业力+40000|n生命值+1000000|n生命回复+20000|n物理伤害+18%|n法术伤害+15%|n杀敌攻击+8|n杀敌业力+1|n杀敌生命+30|n</v>
      </c>
      <c r="CW83" s="33"/>
      <c r="CX83" s="33"/>
      <c r="CY83" s="33"/>
      <c r="CZ83" s="33"/>
      <c r="DA83" s="33"/>
      <c r="DB83" s="66" t="str">
        <f t="shared" si="650"/>
        <v>|n攻击+50000</v>
      </c>
      <c r="DC83" s="66" t="str">
        <f t="shared" si="651"/>
        <v>|n业力+40000</v>
      </c>
      <c r="DD83" s="66" t="str">
        <f t="shared" si="652"/>
        <v/>
      </c>
      <c r="DE83" s="66" t="str">
        <f t="shared" si="653"/>
        <v/>
      </c>
      <c r="DF83" s="66" t="str">
        <f t="shared" si="654"/>
        <v>|n生命值+1000000</v>
      </c>
      <c r="DG83" s="66" t="str">
        <f t="shared" si="655"/>
        <v/>
      </c>
      <c r="DH83" s="66" t="str">
        <f t="shared" si="656"/>
        <v>|n生命回复+20000</v>
      </c>
      <c r="DI83" s="66" t="str">
        <f t="shared" si="657"/>
        <v/>
      </c>
      <c r="DJ83" s="66" t="str">
        <f t="shared" si="658"/>
        <v/>
      </c>
      <c r="DK83" s="66" t="str">
        <f t="shared" si="659"/>
        <v/>
      </c>
      <c r="DL83" s="66" t="str">
        <f t="shared" si="660"/>
        <v/>
      </c>
      <c r="DM83" s="66" t="str">
        <f t="shared" si="661"/>
        <v/>
      </c>
      <c r="DN83" s="66" t="str">
        <f t="shared" si="662"/>
        <v/>
      </c>
      <c r="DO83" s="66" t="str">
        <f t="shared" si="663"/>
        <v/>
      </c>
      <c r="DP83" s="66" t="str">
        <f t="shared" si="664"/>
        <v>|n物理伤害+18%</v>
      </c>
      <c r="DQ83" s="66" t="str">
        <f t="shared" si="665"/>
        <v>|n法术伤害+15%</v>
      </c>
      <c r="DR83" s="66" t="str">
        <f t="shared" si="666"/>
        <v/>
      </c>
      <c r="DS83" s="66" t="str">
        <f t="shared" si="667"/>
        <v/>
      </c>
      <c r="DT83" s="66" t="str">
        <f t="shared" si="668"/>
        <v/>
      </c>
      <c r="DU83" s="66" t="str">
        <f t="shared" si="669"/>
        <v/>
      </c>
      <c r="DV83" s="66" t="str">
        <f t="shared" si="670"/>
        <v/>
      </c>
      <c r="DW83" s="66" t="str">
        <f t="shared" si="671"/>
        <v/>
      </c>
      <c r="DX83" s="66" t="str">
        <f t="shared" si="672"/>
        <v/>
      </c>
      <c r="DY83" s="66" t="str">
        <f t="shared" si="673"/>
        <v/>
      </c>
      <c r="DZ83" s="66" t="str">
        <f t="shared" si="674"/>
        <v/>
      </c>
      <c r="EA83" s="66" t="str">
        <f t="shared" si="675"/>
        <v/>
      </c>
      <c r="EB83" s="66" t="str">
        <f t="shared" si="676"/>
        <v/>
      </c>
      <c r="EC83" s="66" t="str">
        <f t="shared" si="677"/>
        <v/>
      </c>
      <c r="ED83" s="66" t="str">
        <f t="shared" si="678"/>
        <v/>
      </c>
      <c r="EE83" s="66" t="str">
        <f t="shared" si="679"/>
        <v/>
      </c>
      <c r="EF83" s="66" t="str">
        <f t="shared" si="680"/>
        <v/>
      </c>
      <c r="EG83" s="66" t="str">
        <f t="shared" si="681"/>
        <v/>
      </c>
      <c r="EH83" s="66" t="str">
        <f t="shared" si="682"/>
        <v/>
      </c>
      <c r="EI83" s="66" t="str">
        <f t="shared" si="683"/>
        <v/>
      </c>
      <c r="EJ83" s="66" t="str">
        <f t="shared" si="684"/>
        <v/>
      </c>
      <c r="EK83" s="66" t="str">
        <f t="shared" si="685"/>
        <v/>
      </c>
      <c r="EL83" s="66" t="str">
        <f t="shared" si="686"/>
        <v/>
      </c>
      <c r="EM83" s="66" t="str">
        <f t="shared" si="687"/>
        <v/>
      </c>
      <c r="EN83" s="66" t="str">
        <f t="shared" si="688"/>
        <v/>
      </c>
      <c r="EO83" s="66" t="str">
        <f t="shared" si="689"/>
        <v/>
      </c>
      <c r="EP83" s="66" t="str">
        <f t="shared" si="690"/>
        <v/>
      </c>
      <c r="EQ83" s="66" t="str">
        <f t="shared" si="691"/>
        <v/>
      </c>
      <c r="ER83" s="66" t="str">
        <f t="shared" si="692"/>
        <v>|n杀敌攻击+8</v>
      </c>
      <c r="ES83" s="66" t="str">
        <f t="shared" si="693"/>
        <v>|n杀敌业力+1</v>
      </c>
      <c r="ET83" s="66" t="str">
        <f t="shared" si="694"/>
        <v>|n杀敌生命+30</v>
      </c>
      <c r="EU83" s="66" t="str">
        <f t="shared" si="695"/>
        <v/>
      </c>
      <c r="EV83" s="66" t="str">
        <f t="shared" si="696"/>
        <v/>
      </c>
      <c r="EW83" s="66" t="str">
        <f t="shared" si="697"/>
        <v/>
      </c>
      <c r="EX83" s="66" t="str">
        <f t="shared" si="698"/>
        <v/>
      </c>
      <c r="EY83" s="66" t="str">
        <f t="shared" si="699"/>
        <v/>
      </c>
      <c r="EZ83" s="66" t="str">
        <f t="shared" si="700"/>
        <v/>
      </c>
      <c r="FA83" s="66" t="str">
        <f t="shared" si="701"/>
        <v/>
      </c>
      <c r="FB83" s="66" t="str">
        <f t="shared" si="702"/>
        <v/>
      </c>
      <c r="FC83" s="66" t="str">
        <f t="shared" si="703"/>
        <v/>
      </c>
      <c r="FD83" s="66" t="str">
        <f t="shared" si="704"/>
        <v/>
      </c>
      <c r="FE83" s="66" t="str">
        <f t="shared" si="705"/>
        <v/>
      </c>
      <c r="FF83" s="66" t="str">
        <f t="shared" si="706"/>
        <v/>
      </c>
      <c r="FG83" s="66" t="str">
        <f t="shared" si="707"/>
        <v/>
      </c>
      <c r="FH83" s="66" t="str">
        <f t="shared" si="708"/>
        <v/>
      </c>
      <c r="FI83" s="66" t="str">
        <f t="shared" si="709"/>
        <v/>
      </c>
      <c r="FJ83" s="66" t="str">
        <f t="shared" si="710"/>
        <v/>
      </c>
      <c r="FK83" s="66" t="str">
        <f t="shared" si="711"/>
        <v/>
      </c>
      <c r="FL83" s="66" t="str">
        <f t="shared" si="712"/>
        <v/>
      </c>
      <c r="FM83" s="66" t="str">
        <f t="shared" si="713"/>
        <v/>
      </c>
      <c r="FN83" s="66" t="str">
        <f t="shared" si="714"/>
        <v/>
      </c>
      <c r="FO83" s="66" t="str">
        <f t="shared" si="715"/>
        <v/>
      </c>
      <c r="FP83" s="66" t="str">
        <f t="shared" si="716"/>
        <v/>
      </c>
      <c r="FQ83" s="66" t="str">
        <f t="shared" si="717"/>
        <v/>
      </c>
      <c r="FR83" s="66" t="str">
        <f t="shared" si="718"/>
        <v/>
      </c>
      <c r="FS83" s="66" t="str">
        <f t="shared" si="719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6"/>
      <c r="T84" s="93"/>
      <c r="U84" s="94" t="s">
        <v>374</v>
      </c>
      <c r="V84" s="95">
        <v>72500</v>
      </c>
      <c r="W84" s="78">
        <v>58000</v>
      </c>
      <c r="X84" s="78"/>
      <c r="Y84" s="78"/>
      <c r="Z84" s="95">
        <v>1450000</v>
      </c>
      <c r="AA84" s="78"/>
      <c r="AB84" s="78">
        <v>29000</v>
      </c>
      <c r="AC84" s="78"/>
      <c r="AD84" s="78"/>
      <c r="AE84" s="78"/>
      <c r="AF84" s="78"/>
      <c r="AG84" s="81"/>
      <c r="AH84" s="78"/>
      <c r="AI84" s="78"/>
      <c r="AJ84" s="78">
        <v>24</v>
      </c>
      <c r="AK84" s="78">
        <v>20</v>
      </c>
      <c r="AL84" s="99"/>
      <c r="BC84" s="100"/>
      <c r="BD84" s="100"/>
      <c r="BL84" s="64">
        <v>8</v>
      </c>
      <c r="BM84" s="64">
        <v>1</v>
      </c>
      <c r="BN84" s="64">
        <v>30</v>
      </c>
      <c r="CU84" s="88" t="str">
        <f t="shared" si="865"/>
        <v>|n攻击+72500|n业力+58000|n生命值+1450000|n生命回复+29000|n物理伤害+24%|n法术伤害+20%|n杀敌攻击+8|n杀敌业力+1|n杀敌生命+30|n</v>
      </c>
      <c r="CV84" s="19" t="str">
        <f>"|Cffbbbbbb属性：|r"&amp;CU84&amp;VLOOKUP(A84,合成公式!A:P,16,FALSE)&amp;T84</f>
        <v>|Cffbbbbbb属性：|r|n攻击+72500|n业力+58000|n生命值+1450000|n生命回复+29000|n物理伤害+24%|n法术伤害+20%|n杀敌攻击+8|n杀敌业力+1|n杀敌生命+30|n</v>
      </c>
      <c r="CW84" s="33"/>
      <c r="CX84" s="33"/>
      <c r="CY84" s="33"/>
      <c r="CZ84" s="33"/>
      <c r="DA84" s="33"/>
      <c r="DB84" s="66" t="str">
        <f t="shared" si="650"/>
        <v>|n攻击+72500</v>
      </c>
      <c r="DC84" s="66" t="str">
        <f t="shared" si="651"/>
        <v>|n业力+58000</v>
      </c>
      <c r="DD84" s="66" t="str">
        <f t="shared" si="652"/>
        <v/>
      </c>
      <c r="DE84" s="66" t="str">
        <f t="shared" si="653"/>
        <v/>
      </c>
      <c r="DF84" s="66" t="str">
        <f t="shared" si="654"/>
        <v>|n生命值+1450000</v>
      </c>
      <c r="DG84" s="66" t="str">
        <f t="shared" si="655"/>
        <v/>
      </c>
      <c r="DH84" s="66" t="str">
        <f t="shared" si="656"/>
        <v>|n生命回复+29000</v>
      </c>
      <c r="DI84" s="66" t="str">
        <f t="shared" si="657"/>
        <v/>
      </c>
      <c r="DJ84" s="66" t="str">
        <f t="shared" si="658"/>
        <v/>
      </c>
      <c r="DK84" s="66" t="str">
        <f t="shared" si="659"/>
        <v/>
      </c>
      <c r="DL84" s="66" t="str">
        <f t="shared" si="660"/>
        <v/>
      </c>
      <c r="DM84" s="66" t="str">
        <f t="shared" si="661"/>
        <v/>
      </c>
      <c r="DN84" s="66" t="str">
        <f t="shared" si="662"/>
        <v/>
      </c>
      <c r="DO84" s="66" t="str">
        <f t="shared" si="663"/>
        <v/>
      </c>
      <c r="DP84" s="66" t="str">
        <f t="shared" si="664"/>
        <v>|n物理伤害+24%</v>
      </c>
      <c r="DQ84" s="66" t="str">
        <f t="shared" si="665"/>
        <v>|n法术伤害+20%</v>
      </c>
      <c r="DR84" s="66" t="str">
        <f t="shared" si="666"/>
        <v/>
      </c>
      <c r="DS84" s="66" t="str">
        <f t="shared" si="667"/>
        <v/>
      </c>
      <c r="DT84" s="66" t="str">
        <f t="shared" si="668"/>
        <v/>
      </c>
      <c r="DU84" s="66" t="str">
        <f t="shared" si="669"/>
        <v/>
      </c>
      <c r="DV84" s="66" t="str">
        <f t="shared" si="670"/>
        <v/>
      </c>
      <c r="DW84" s="66" t="str">
        <f t="shared" si="671"/>
        <v/>
      </c>
      <c r="DX84" s="66" t="str">
        <f t="shared" si="672"/>
        <v/>
      </c>
      <c r="DY84" s="66" t="str">
        <f t="shared" si="673"/>
        <v/>
      </c>
      <c r="DZ84" s="66" t="str">
        <f t="shared" si="674"/>
        <v/>
      </c>
      <c r="EA84" s="66" t="str">
        <f t="shared" si="675"/>
        <v/>
      </c>
      <c r="EB84" s="66" t="str">
        <f t="shared" si="676"/>
        <v/>
      </c>
      <c r="EC84" s="66" t="str">
        <f t="shared" si="677"/>
        <v/>
      </c>
      <c r="ED84" s="66" t="str">
        <f t="shared" si="678"/>
        <v/>
      </c>
      <c r="EE84" s="66" t="str">
        <f t="shared" si="679"/>
        <v/>
      </c>
      <c r="EF84" s="66" t="str">
        <f t="shared" si="680"/>
        <v/>
      </c>
      <c r="EG84" s="66" t="str">
        <f t="shared" si="681"/>
        <v/>
      </c>
      <c r="EH84" s="66" t="str">
        <f t="shared" si="682"/>
        <v/>
      </c>
      <c r="EI84" s="66" t="str">
        <f t="shared" si="683"/>
        <v/>
      </c>
      <c r="EJ84" s="66" t="str">
        <f t="shared" si="684"/>
        <v/>
      </c>
      <c r="EK84" s="66" t="str">
        <f t="shared" si="685"/>
        <v/>
      </c>
      <c r="EL84" s="66" t="str">
        <f t="shared" si="686"/>
        <v/>
      </c>
      <c r="EM84" s="66" t="str">
        <f t="shared" si="687"/>
        <v/>
      </c>
      <c r="EN84" s="66" t="str">
        <f t="shared" si="688"/>
        <v/>
      </c>
      <c r="EO84" s="66" t="str">
        <f t="shared" si="689"/>
        <v/>
      </c>
      <c r="EP84" s="66" t="str">
        <f t="shared" si="690"/>
        <v/>
      </c>
      <c r="EQ84" s="66" t="str">
        <f t="shared" si="691"/>
        <v/>
      </c>
      <c r="ER84" s="66" t="str">
        <f t="shared" si="692"/>
        <v>|n杀敌攻击+8</v>
      </c>
      <c r="ES84" s="66" t="str">
        <f t="shared" si="693"/>
        <v>|n杀敌业力+1</v>
      </c>
      <c r="ET84" s="66" t="str">
        <f t="shared" si="694"/>
        <v>|n杀敌生命+30</v>
      </c>
      <c r="EU84" s="66" t="str">
        <f t="shared" si="695"/>
        <v/>
      </c>
      <c r="EV84" s="66" t="str">
        <f t="shared" si="696"/>
        <v/>
      </c>
      <c r="EW84" s="66" t="str">
        <f t="shared" si="697"/>
        <v/>
      </c>
      <c r="EX84" s="66" t="str">
        <f t="shared" si="698"/>
        <v/>
      </c>
      <c r="EY84" s="66" t="str">
        <f t="shared" si="699"/>
        <v/>
      </c>
      <c r="EZ84" s="66" t="str">
        <f t="shared" si="700"/>
        <v/>
      </c>
      <c r="FA84" s="66" t="str">
        <f t="shared" si="701"/>
        <v/>
      </c>
      <c r="FB84" s="66" t="str">
        <f t="shared" si="702"/>
        <v/>
      </c>
      <c r="FC84" s="66" t="str">
        <f t="shared" si="703"/>
        <v/>
      </c>
      <c r="FD84" s="66" t="str">
        <f t="shared" si="704"/>
        <v/>
      </c>
      <c r="FE84" s="66" t="str">
        <f t="shared" si="705"/>
        <v/>
      </c>
      <c r="FF84" s="66" t="str">
        <f t="shared" si="706"/>
        <v/>
      </c>
      <c r="FG84" s="66" t="str">
        <f t="shared" si="707"/>
        <v/>
      </c>
      <c r="FH84" s="66" t="str">
        <f t="shared" si="708"/>
        <v/>
      </c>
      <c r="FI84" s="66" t="str">
        <f t="shared" si="709"/>
        <v/>
      </c>
      <c r="FJ84" s="66" t="str">
        <f t="shared" si="710"/>
        <v/>
      </c>
      <c r="FK84" s="66" t="str">
        <f t="shared" si="711"/>
        <v/>
      </c>
      <c r="FL84" s="66" t="str">
        <f t="shared" si="712"/>
        <v/>
      </c>
      <c r="FM84" s="66" t="str">
        <f t="shared" si="713"/>
        <v/>
      </c>
      <c r="FN84" s="66" t="str">
        <f t="shared" si="714"/>
        <v/>
      </c>
      <c r="FO84" s="66" t="str">
        <f t="shared" si="715"/>
        <v/>
      </c>
      <c r="FP84" s="66" t="str">
        <f t="shared" si="716"/>
        <v/>
      </c>
      <c r="FQ84" s="66" t="str">
        <f t="shared" si="717"/>
        <v/>
      </c>
      <c r="FR84" s="66" t="str">
        <f t="shared" si="718"/>
        <v/>
      </c>
      <c r="FS84" s="66" t="str">
        <f t="shared" si="719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6"/>
      <c r="T85" s="93"/>
      <c r="U85" s="94" t="s">
        <v>377</v>
      </c>
      <c r="V85" s="95">
        <v>102500</v>
      </c>
      <c r="W85" s="78">
        <v>82000</v>
      </c>
      <c r="X85" s="78"/>
      <c r="Y85" s="78"/>
      <c r="Z85" s="95">
        <v>2050000</v>
      </c>
      <c r="AA85" s="78"/>
      <c r="AB85" s="78">
        <v>41000</v>
      </c>
      <c r="AC85" s="78"/>
      <c r="AD85" s="78"/>
      <c r="AE85" s="78"/>
      <c r="AF85" s="78"/>
      <c r="AG85" s="81"/>
      <c r="AH85" s="78"/>
      <c r="AI85" s="78"/>
      <c r="AJ85" s="78">
        <v>24</v>
      </c>
      <c r="AK85" s="78">
        <v>20</v>
      </c>
      <c r="AL85" s="99"/>
      <c r="BC85" s="100"/>
      <c r="BD85" s="100"/>
      <c r="BL85" s="64">
        <v>8</v>
      </c>
      <c r="BM85" s="64">
        <v>1</v>
      </c>
      <c r="BN85" s="64">
        <v>30</v>
      </c>
      <c r="CU85" s="88" t="str">
        <f t="shared" si="865"/>
        <v>|n攻击+102500|n业力+82000|n生命值+2050000|n生命回复+41000|n物理伤害+24%|n法术伤害+20%|n杀敌攻击+8|n杀敌业力+1|n杀敌生命+30|n</v>
      </c>
      <c r="CV85" s="19" t="str">
        <f>"|Cffbbbbbb属性：|r"&amp;CU85&amp;VLOOKUP(A85,合成公式!A:P,16,FALSE)&amp;T85</f>
        <v>|Cffbbbbbb属性：|r|n攻击+102500|n业力+82000|n生命值+2050000|n生命回复+41000|n物理伤害+24%|n法术伤害+20%|n杀敌攻击+8|n杀敌业力+1|n杀敌生命+30|n</v>
      </c>
      <c r="CW85" s="33"/>
      <c r="CX85" s="33"/>
      <c r="CY85" s="33"/>
      <c r="CZ85" s="33"/>
      <c r="DA85" s="33"/>
      <c r="DB85" s="66" t="str">
        <f t="shared" si="650"/>
        <v>|n攻击+102500</v>
      </c>
      <c r="DC85" s="66" t="str">
        <f t="shared" si="651"/>
        <v>|n业力+82000</v>
      </c>
      <c r="DD85" s="66" t="str">
        <f t="shared" si="652"/>
        <v/>
      </c>
      <c r="DE85" s="66" t="str">
        <f t="shared" si="653"/>
        <v/>
      </c>
      <c r="DF85" s="66" t="str">
        <f t="shared" si="654"/>
        <v>|n生命值+2050000</v>
      </c>
      <c r="DG85" s="66" t="str">
        <f t="shared" si="655"/>
        <v/>
      </c>
      <c r="DH85" s="66" t="str">
        <f t="shared" si="656"/>
        <v>|n生命回复+41000</v>
      </c>
      <c r="DI85" s="66" t="str">
        <f t="shared" si="657"/>
        <v/>
      </c>
      <c r="DJ85" s="66" t="str">
        <f t="shared" si="658"/>
        <v/>
      </c>
      <c r="DK85" s="66" t="str">
        <f t="shared" si="659"/>
        <v/>
      </c>
      <c r="DL85" s="66" t="str">
        <f t="shared" si="660"/>
        <v/>
      </c>
      <c r="DM85" s="66" t="str">
        <f t="shared" si="661"/>
        <v/>
      </c>
      <c r="DN85" s="66" t="str">
        <f t="shared" si="662"/>
        <v/>
      </c>
      <c r="DO85" s="66" t="str">
        <f t="shared" si="663"/>
        <v/>
      </c>
      <c r="DP85" s="66" t="str">
        <f t="shared" si="664"/>
        <v>|n物理伤害+24%</v>
      </c>
      <c r="DQ85" s="66" t="str">
        <f t="shared" si="665"/>
        <v>|n法术伤害+20%</v>
      </c>
      <c r="DR85" s="66" t="str">
        <f t="shared" si="666"/>
        <v/>
      </c>
      <c r="DS85" s="66" t="str">
        <f t="shared" si="667"/>
        <v/>
      </c>
      <c r="DT85" s="66" t="str">
        <f t="shared" si="668"/>
        <v/>
      </c>
      <c r="DU85" s="66" t="str">
        <f t="shared" si="669"/>
        <v/>
      </c>
      <c r="DV85" s="66" t="str">
        <f t="shared" si="670"/>
        <v/>
      </c>
      <c r="DW85" s="66" t="str">
        <f t="shared" si="671"/>
        <v/>
      </c>
      <c r="DX85" s="66" t="str">
        <f t="shared" si="672"/>
        <v/>
      </c>
      <c r="DY85" s="66" t="str">
        <f t="shared" si="673"/>
        <v/>
      </c>
      <c r="DZ85" s="66" t="str">
        <f t="shared" si="674"/>
        <v/>
      </c>
      <c r="EA85" s="66" t="str">
        <f t="shared" si="675"/>
        <v/>
      </c>
      <c r="EB85" s="66" t="str">
        <f t="shared" si="676"/>
        <v/>
      </c>
      <c r="EC85" s="66" t="str">
        <f t="shared" si="677"/>
        <v/>
      </c>
      <c r="ED85" s="66" t="str">
        <f t="shared" si="678"/>
        <v/>
      </c>
      <c r="EE85" s="66" t="str">
        <f t="shared" si="679"/>
        <v/>
      </c>
      <c r="EF85" s="66" t="str">
        <f t="shared" si="680"/>
        <v/>
      </c>
      <c r="EG85" s="66" t="str">
        <f t="shared" si="681"/>
        <v/>
      </c>
      <c r="EH85" s="66" t="str">
        <f t="shared" si="682"/>
        <v/>
      </c>
      <c r="EI85" s="66" t="str">
        <f t="shared" si="683"/>
        <v/>
      </c>
      <c r="EJ85" s="66" t="str">
        <f t="shared" si="684"/>
        <v/>
      </c>
      <c r="EK85" s="66" t="str">
        <f t="shared" si="685"/>
        <v/>
      </c>
      <c r="EL85" s="66" t="str">
        <f t="shared" si="686"/>
        <v/>
      </c>
      <c r="EM85" s="66" t="str">
        <f t="shared" si="687"/>
        <v/>
      </c>
      <c r="EN85" s="66" t="str">
        <f t="shared" si="688"/>
        <v/>
      </c>
      <c r="EO85" s="66" t="str">
        <f t="shared" si="689"/>
        <v/>
      </c>
      <c r="EP85" s="66" t="str">
        <f t="shared" si="690"/>
        <v/>
      </c>
      <c r="EQ85" s="66" t="str">
        <f t="shared" si="691"/>
        <v/>
      </c>
      <c r="ER85" s="66" t="str">
        <f t="shared" si="692"/>
        <v>|n杀敌攻击+8</v>
      </c>
      <c r="ES85" s="66" t="str">
        <f t="shared" si="693"/>
        <v>|n杀敌业力+1</v>
      </c>
      <c r="ET85" s="66" t="str">
        <f t="shared" si="694"/>
        <v>|n杀敌生命+30</v>
      </c>
      <c r="EU85" s="66" t="str">
        <f t="shared" si="695"/>
        <v/>
      </c>
      <c r="EV85" s="66" t="str">
        <f t="shared" si="696"/>
        <v/>
      </c>
      <c r="EW85" s="66" t="str">
        <f t="shared" si="697"/>
        <v/>
      </c>
      <c r="EX85" s="66" t="str">
        <f t="shared" si="698"/>
        <v/>
      </c>
      <c r="EY85" s="66" t="str">
        <f t="shared" si="699"/>
        <v/>
      </c>
      <c r="EZ85" s="66" t="str">
        <f t="shared" si="700"/>
        <v/>
      </c>
      <c r="FA85" s="66" t="str">
        <f t="shared" si="701"/>
        <v/>
      </c>
      <c r="FB85" s="66" t="str">
        <f t="shared" si="702"/>
        <v/>
      </c>
      <c r="FC85" s="66" t="str">
        <f t="shared" si="703"/>
        <v/>
      </c>
      <c r="FD85" s="66" t="str">
        <f t="shared" si="704"/>
        <v/>
      </c>
      <c r="FE85" s="66" t="str">
        <f t="shared" si="705"/>
        <v/>
      </c>
      <c r="FF85" s="66" t="str">
        <f t="shared" si="706"/>
        <v/>
      </c>
      <c r="FG85" s="66" t="str">
        <f t="shared" si="707"/>
        <v/>
      </c>
      <c r="FH85" s="66" t="str">
        <f t="shared" si="708"/>
        <v/>
      </c>
      <c r="FI85" s="66" t="str">
        <f t="shared" si="709"/>
        <v/>
      </c>
      <c r="FJ85" s="66" t="str">
        <f t="shared" si="710"/>
        <v/>
      </c>
      <c r="FK85" s="66" t="str">
        <f t="shared" si="711"/>
        <v/>
      </c>
      <c r="FL85" s="66" t="str">
        <f t="shared" si="712"/>
        <v/>
      </c>
      <c r="FM85" s="66" t="str">
        <f t="shared" si="713"/>
        <v/>
      </c>
      <c r="FN85" s="66" t="str">
        <f t="shared" si="714"/>
        <v/>
      </c>
      <c r="FO85" s="66" t="str">
        <f t="shared" si="715"/>
        <v/>
      </c>
      <c r="FP85" s="66" t="str">
        <f t="shared" si="716"/>
        <v/>
      </c>
      <c r="FQ85" s="66" t="str">
        <f t="shared" si="717"/>
        <v/>
      </c>
      <c r="FR85" s="66" t="str">
        <f t="shared" si="718"/>
        <v/>
      </c>
      <c r="FS85" s="66" t="str">
        <f t="shared" si="719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6"/>
      <c r="T86" s="93"/>
      <c r="U86" s="94" t="s">
        <v>380</v>
      </c>
      <c r="V86" s="95">
        <v>141250</v>
      </c>
      <c r="W86" s="78">
        <v>113000</v>
      </c>
      <c r="X86" s="78"/>
      <c r="Y86" s="78"/>
      <c r="Z86" s="95">
        <v>2825000</v>
      </c>
      <c r="AA86" s="78"/>
      <c r="AB86" s="78">
        <v>56500</v>
      </c>
      <c r="AC86" s="78"/>
      <c r="AD86" s="78"/>
      <c r="AE86" s="78"/>
      <c r="AF86" s="78"/>
      <c r="AG86" s="81"/>
      <c r="AH86" s="78"/>
      <c r="AI86" s="78"/>
      <c r="AJ86" s="78">
        <v>24</v>
      </c>
      <c r="AK86" s="78">
        <v>20</v>
      </c>
      <c r="AL86" s="99"/>
      <c r="BC86" s="100"/>
      <c r="BD86" s="100"/>
      <c r="BL86" s="64">
        <v>8</v>
      </c>
      <c r="BM86" s="64">
        <v>1</v>
      </c>
      <c r="BN86" s="64">
        <v>30</v>
      </c>
      <c r="CU86" s="88" t="str">
        <f t="shared" si="865"/>
        <v>|n攻击+141250|n业力+113000|n生命值+2825000|n生命回复+56500|n物理伤害+24%|n法术伤害+20%|n杀敌攻击+8|n杀敌业力+1|n杀敌生命+30|n</v>
      </c>
      <c r="CV86" s="19" t="str">
        <f>"|Cffbbbbbb属性：|r"&amp;CU86&amp;VLOOKUP(A86,合成公式!A:P,16,FALSE)&amp;T86</f>
        <v>|Cffbbbbbb属性：|r|n攻击+141250|n业力+113000|n生命值+2825000|n生命回复+56500|n物理伤害+24%|n法术伤害+20%|n杀敌攻击+8|n杀敌业力+1|n杀敌生命+30|n</v>
      </c>
      <c r="CW86" s="33"/>
      <c r="CX86" s="33"/>
      <c r="CY86" s="33"/>
      <c r="CZ86" s="33"/>
      <c r="DA86" s="33"/>
      <c r="DB86" s="66" t="str">
        <f t="shared" si="650"/>
        <v>|n攻击+141250</v>
      </c>
      <c r="DC86" s="66" t="str">
        <f t="shared" si="651"/>
        <v>|n业力+113000</v>
      </c>
      <c r="DD86" s="66" t="str">
        <f t="shared" si="652"/>
        <v/>
      </c>
      <c r="DE86" s="66" t="str">
        <f t="shared" si="653"/>
        <v/>
      </c>
      <c r="DF86" s="66" t="str">
        <f t="shared" si="654"/>
        <v>|n生命值+2825000</v>
      </c>
      <c r="DG86" s="66" t="str">
        <f t="shared" si="655"/>
        <v/>
      </c>
      <c r="DH86" s="66" t="str">
        <f t="shared" si="656"/>
        <v>|n生命回复+56500</v>
      </c>
      <c r="DI86" s="66" t="str">
        <f t="shared" si="657"/>
        <v/>
      </c>
      <c r="DJ86" s="66" t="str">
        <f t="shared" si="658"/>
        <v/>
      </c>
      <c r="DK86" s="66" t="str">
        <f t="shared" si="659"/>
        <v/>
      </c>
      <c r="DL86" s="66" t="str">
        <f t="shared" si="660"/>
        <v/>
      </c>
      <c r="DM86" s="66" t="str">
        <f t="shared" si="661"/>
        <v/>
      </c>
      <c r="DN86" s="66" t="str">
        <f t="shared" si="662"/>
        <v/>
      </c>
      <c r="DO86" s="66" t="str">
        <f t="shared" si="663"/>
        <v/>
      </c>
      <c r="DP86" s="66" t="str">
        <f t="shared" si="664"/>
        <v>|n物理伤害+24%</v>
      </c>
      <c r="DQ86" s="66" t="str">
        <f t="shared" si="665"/>
        <v>|n法术伤害+20%</v>
      </c>
      <c r="DR86" s="66" t="str">
        <f t="shared" si="666"/>
        <v/>
      </c>
      <c r="DS86" s="66" t="str">
        <f t="shared" si="667"/>
        <v/>
      </c>
      <c r="DT86" s="66" t="str">
        <f t="shared" si="668"/>
        <v/>
      </c>
      <c r="DU86" s="66" t="str">
        <f t="shared" si="669"/>
        <v/>
      </c>
      <c r="DV86" s="66" t="str">
        <f t="shared" si="670"/>
        <v/>
      </c>
      <c r="DW86" s="66" t="str">
        <f t="shared" si="671"/>
        <v/>
      </c>
      <c r="DX86" s="66" t="str">
        <f t="shared" si="672"/>
        <v/>
      </c>
      <c r="DY86" s="66" t="str">
        <f t="shared" si="673"/>
        <v/>
      </c>
      <c r="DZ86" s="66" t="str">
        <f t="shared" si="674"/>
        <v/>
      </c>
      <c r="EA86" s="66" t="str">
        <f t="shared" si="675"/>
        <v/>
      </c>
      <c r="EB86" s="66" t="str">
        <f t="shared" si="676"/>
        <v/>
      </c>
      <c r="EC86" s="66" t="str">
        <f t="shared" si="677"/>
        <v/>
      </c>
      <c r="ED86" s="66" t="str">
        <f t="shared" si="678"/>
        <v/>
      </c>
      <c r="EE86" s="66" t="str">
        <f t="shared" si="679"/>
        <v/>
      </c>
      <c r="EF86" s="66" t="str">
        <f t="shared" si="680"/>
        <v/>
      </c>
      <c r="EG86" s="66" t="str">
        <f t="shared" si="681"/>
        <v/>
      </c>
      <c r="EH86" s="66" t="str">
        <f t="shared" si="682"/>
        <v/>
      </c>
      <c r="EI86" s="66" t="str">
        <f t="shared" si="683"/>
        <v/>
      </c>
      <c r="EJ86" s="66" t="str">
        <f t="shared" si="684"/>
        <v/>
      </c>
      <c r="EK86" s="66" t="str">
        <f t="shared" si="685"/>
        <v/>
      </c>
      <c r="EL86" s="66" t="str">
        <f t="shared" si="686"/>
        <v/>
      </c>
      <c r="EM86" s="66" t="str">
        <f t="shared" si="687"/>
        <v/>
      </c>
      <c r="EN86" s="66" t="str">
        <f t="shared" si="688"/>
        <v/>
      </c>
      <c r="EO86" s="66" t="str">
        <f t="shared" si="689"/>
        <v/>
      </c>
      <c r="EP86" s="66" t="str">
        <f t="shared" si="690"/>
        <v/>
      </c>
      <c r="EQ86" s="66" t="str">
        <f t="shared" si="691"/>
        <v/>
      </c>
      <c r="ER86" s="66" t="str">
        <f t="shared" si="692"/>
        <v>|n杀敌攻击+8</v>
      </c>
      <c r="ES86" s="66" t="str">
        <f t="shared" si="693"/>
        <v>|n杀敌业力+1</v>
      </c>
      <c r="ET86" s="66" t="str">
        <f t="shared" si="694"/>
        <v>|n杀敌生命+30</v>
      </c>
      <c r="EU86" s="66" t="str">
        <f t="shared" si="695"/>
        <v/>
      </c>
      <c r="EV86" s="66" t="str">
        <f t="shared" si="696"/>
        <v/>
      </c>
      <c r="EW86" s="66" t="str">
        <f t="shared" si="697"/>
        <v/>
      </c>
      <c r="EX86" s="66" t="str">
        <f t="shared" si="698"/>
        <v/>
      </c>
      <c r="EY86" s="66" t="str">
        <f t="shared" si="699"/>
        <v/>
      </c>
      <c r="EZ86" s="66" t="str">
        <f t="shared" si="700"/>
        <v/>
      </c>
      <c r="FA86" s="66" t="str">
        <f t="shared" si="701"/>
        <v/>
      </c>
      <c r="FB86" s="66" t="str">
        <f t="shared" si="702"/>
        <v/>
      </c>
      <c r="FC86" s="66" t="str">
        <f t="shared" si="703"/>
        <v/>
      </c>
      <c r="FD86" s="66" t="str">
        <f t="shared" si="704"/>
        <v/>
      </c>
      <c r="FE86" s="66" t="str">
        <f t="shared" si="705"/>
        <v/>
      </c>
      <c r="FF86" s="66" t="str">
        <f t="shared" si="706"/>
        <v/>
      </c>
      <c r="FG86" s="66" t="str">
        <f t="shared" si="707"/>
        <v/>
      </c>
      <c r="FH86" s="66" t="str">
        <f t="shared" si="708"/>
        <v/>
      </c>
      <c r="FI86" s="66" t="str">
        <f t="shared" si="709"/>
        <v/>
      </c>
      <c r="FJ86" s="66" t="str">
        <f t="shared" si="710"/>
        <v/>
      </c>
      <c r="FK86" s="66" t="str">
        <f t="shared" si="711"/>
        <v/>
      </c>
      <c r="FL86" s="66" t="str">
        <f t="shared" si="712"/>
        <v/>
      </c>
      <c r="FM86" s="66" t="str">
        <f t="shared" si="713"/>
        <v/>
      </c>
      <c r="FN86" s="66" t="str">
        <f t="shared" si="714"/>
        <v/>
      </c>
      <c r="FO86" s="66" t="str">
        <f t="shared" si="715"/>
        <v/>
      </c>
      <c r="FP86" s="66" t="str">
        <f t="shared" si="716"/>
        <v/>
      </c>
      <c r="FQ86" s="66" t="str">
        <f t="shared" si="717"/>
        <v/>
      </c>
      <c r="FR86" s="66" t="str">
        <f t="shared" si="718"/>
        <v/>
      </c>
      <c r="FS86" s="66" t="str">
        <f t="shared" si="719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6"/>
      <c r="T87" s="93"/>
      <c r="U87" s="94" t="s">
        <v>383</v>
      </c>
      <c r="V87" s="95">
        <v>191250</v>
      </c>
      <c r="W87" s="78">
        <v>153000</v>
      </c>
      <c r="X87" s="78"/>
      <c r="Y87" s="78"/>
      <c r="Z87" s="95">
        <v>3825000</v>
      </c>
      <c r="AA87" s="78"/>
      <c r="AB87" s="78">
        <v>76500</v>
      </c>
      <c r="AC87" s="78"/>
      <c r="AD87" s="78"/>
      <c r="AE87" s="78"/>
      <c r="AF87" s="78"/>
      <c r="AG87" s="81"/>
      <c r="AH87" s="78"/>
      <c r="AI87" s="78"/>
      <c r="AJ87" s="78">
        <v>36</v>
      </c>
      <c r="AK87" s="78">
        <v>30</v>
      </c>
      <c r="AL87" s="99"/>
      <c r="BC87" s="100"/>
      <c r="BD87" s="100"/>
      <c r="BL87" s="64">
        <v>8</v>
      </c>
      <c r="BM87" s="64">
        <v>1</v>
      </c>
      <c r="BN87" s="64">
        <v>30</v>
      </c>
      <c r="CU87" s="88" t="str">
        <f t="shared" si="865"/>
        <v>|n攻击+191250|n业力+153000|n生命值+3825000|n生命回复+76500|n物理伤害+36%|n法术伤害+30%|n杀敌攻击+8|n杀敌业力+1|n杀敌生命+30|n</v>
      </c>
      <c r="CV87" s="19" t="str">
        <f>"|Cffbbbbbb属性：|r"&amp;CU87&amp;VLOOKUP(A87,合成公式!A:P,16,FALSE)&amp;T87</f>
        <v>|Cffbbbbbb属性：|r|n攻击+191250|n业力+153000|n生命值+3825000|n生命回复+76500|n物理伤害+36%|n法术伤害+30%|n杀敌攻击+8|n杀敌业力+1|n杀敌生命+30|n</v>
      </c>
      <c r="CW87" s="33"/>
      <c r="CX87" s="33"/>
      <c r="CY87" s="33"/>
      <c r="CZ87" s="33"/>
      <c r="DA87" s="33"/>
      <c r="DB87" s="66" t="str">
        <f t="shared" si="650"/>
        <v>|n攻击+191250</v>
      </c>
      <c r="DC87" s="66" t="str">
        <f t="shared" si="651"/>
        <v>|n业力+153000</v>
      </c>
      <c r="DD87" s="66" t="str">
        <f t="shared" si="652"/>
        <v/>
      </c>
      <c r="DE87" s="66" t="str">
        <f t="shared" si="653"/>
        <v/>
      </c>
      <c r="DF87" s="66" t="str">
        <f t="shared" si="654"/>
        <v>|n生命值+3825000</v>
      </c>
      <c r="DG87" s="66" t="str">
        <f t="shared" si="655"/>
        <v/>
      </c>
      <c r="DH87" s="66" t="str">
        <f t="shared" si="656"/>
        <v>|n生命回复+76500</v>
      </c>
      <c r="DI87" s="66" t="str">
        <f t="shared" si="657"/>
        <v/>
      </c>
      <c r="DJ87" s="66" t="str">
        <f t="shared" si="658"/>
        <v/>
      </c>
      <c r="DK87" s="66" t="str">
        <f t="shared" si="659"/>
        <v/>
      </c>
      <c r="DL87" s="66" t="str">
        <f t="shared" si="660"/>
        <v/>
      </c>
      <c r="DM87" s="66" t="str">
        <f t="shared" si="661"/>
        <v/>
      </c>
      <c r="DN87" s="66" t="str">
        <f t="shared" si="662"/>
        <v/>
      </c>
      <c r="DO87" s="66" t="str">
        <f t="shared" si="663"/>
        <v/>
      </c>
      <c r="DP87" s="66" t="str">
        <f t="shared" si="664"/>
        <v>|n物理伤害+36%</v>
      </c>
      <c r="DQ87" s="66" t="str">
        <f t="shared" si="665"/>
        <v>|n法术伤害+30%</v>
      </c>
      <c r="DR87" s="66" t="str">
        <f t="shared" si="666"/>
        <v/>
      </c>
      <c r="DS87" s="66" t="str">
        <f t="shared" si="667"/>
        <v/>
      </c>
      <c r="DT87" s="66" t="str">
        <f t="shared" si="668"/>
        <v/>
      </c>
      <c r="DU87" s="66" t="str">
        <f t="shared" si="669"/>
        <v/>
      </c>
      <c r="DV87" s="66" t="str">
        <f t="shared" si="670"/>
        <v/>
      </c>
      <c r="DW87" s="66" t="str">
        <f t="shared" si="671"/>
        <v/>
      </c>
      <c r="DX87" s="66" t="str">
        <f t="shared" si="672"/>
        <v/>
      </c>
      <c r="DY87" s="66" t="str">
        <f t="shared" si="673"/>
        <v/>
      </c>
      <c r="DZ87" s="66" t="str">
        <f t="shared" si="674"/>
        <v/>
      </c>
      <c r="EA87" s="66" t="str">
        <f t="shared" si="675"/>
        <v/>
      </c>
      <c r="EB87" s="66" t="str">
        <f t="shared" si="676"/>
        <v/>
      </c>
      <c r="EC87" s="66" t="str">
        <f t="shared" si="677"/>
        <v/>
      </c>
      <c r="ED87" s="66" t="str">
        <f t="shared" si="678"/>
        <v/>
      </c>
      <c r="EE87" s="66" t="str">
        <f t="shared" si="679"/>
        <v/>
      </c>
      <c r="EF87" s="66" t="str">
        <f t="shared" si="680"/>
        <v/>
      </c>
      <c r="EG87" s="66" t="str">
        <f t="shared" si="681"/>
        <v/>
      </c>
      <c r="EH87" s="66" t="str">
        <f t="shared" si="682"/>
        <v/>
      </c>
      <c r="EI87" s="66" t="str">
        <f t="shared" si="683"/>
        <v/>
      </c>
      <c r="EJ87" s="66" t="str">
        <f t="shared" si="684"/>
        <v/>
      </c>
      <c r="EK87" s="66" t="str">
        <f t="shared" si="685"/>
        <v/>
      </c>
      <c r="EL87" s="66" t="str">
        <f t="shared" si="686"/>
        <v/>
      </c>
      <c r="EM87" s="66" t="str">
        <f t="shared" si="687"/>
        <v/>
      </c>
      <c r="EN87" s="66" t="str">
        <f t="shared" si="688"/>
        <v/>
      </c>
      <c r="EO87" s="66" t="str">
        <f t="shared" si="689"/>
        <v/>
      </c>
      <c r="EP87" s="66" t="str">
        <f t="shared" si="690"/>
        <v/>
      </c>
      <c r="EQ87" s="66" t="str">
        <f t="shared" si="691"/>
        <v/>
      </c>
      <c r="ER87" s="66" t="str">
        <f t="shared" si="692"/>
        <v>|n杀敌攻击+8</v>
      </c>
      <c r="ES87" s="66" t="str">
        <f t="shared" si="693"/>
        <v>|n杀敌业力+1</v>
      </c>
      <c r="ET87" s="66" t="str">
        <f t="shared" si="694"/>
        <v>|n杀敌生命+30</v>
      </c>
      <c r="EU87" s="66" t="str">
        <f t="shared" si="695"/>
        <v/>
      </c>
      <c r="EV87" s="66" t="str">
        <f t="shared" si="696"/>
        <v/>
      </c>
      <c r="EW87" s="66" t="str">
        <f t="shared" si="697"/>
        <v/>
      </c>
      <c r="EX87" s="66" t="str">
        <f t="shared" si="698"/>
        <v/>
      </c>
      <c r="EY87" s="66" t="str">
        <f t="shared" si="699"/>
        <v/>
      </c>
      <c r="EZ87" s="66" t="str">
        <f t="shared" si="700"/>
        <v/>
      </c>
      <c r="FA87" s="66" t="str">
        <f t="shared" si="701"/>
        <v/>
      </c>
      <c r="FB87" s="66" t="str">
        <f t="shared" si="702"/>
        <v/>
      </c>
      <c r="FC87" s="66" t="str">
        <f t="shared" si="703"/>
        <v/>
      </c>
      <c r="FD87" s="66" t="str">
        <f t="shared" si="704"/>
        <v/>
      </c>
      <c r="FE87" s="66" t="str">
        <f t="shared" si="705"/>
        <v/>
      </c>
      <c r="FF87" s="66" t="str">
        <f t="shared" si="706"/>
        <v/>
      </c>
      <c r="FG87" s="66" t="str">
        <f t="shared" si="707"/>
        <v/>
      </c>
      <c r="FH87" s="66" t="str">
        <f t="shared" si="708"/>
        <v/>
      </c>
      <c r="FI87" s="66" t="str">
        <f t="shared" si="709"/>
        <v/>
      </c>
      <c r="FJ87" s="66" t="str">
        <f t="shared" si="710"/>
        <v/>
      </c>
      <c r="FK87" s="66" t="str">
        <f t="shared" si="711"/>
        <v/>
      </c>
      <c r="FL87" s="66" t="str">
        <f t="shared" si="712"/>
        <v/>
      </c>
      <c r="FM87" s="66" t="str">
        <f t="shared" si="713"/>
        <v/>
      </c>
      <c r="FN87" s="66" t="str">
        <f t="shared" si="714"/>
        <v/>
      </c>
      <c r="FO87" s="66" t="str">
        <f t="shared" si="715"/>
        <v/>
      </c>
      <c r="FP87" s="66" t="str">
        <f t="shared" si="716"/>
        <v/>
      </c>
      <c r="FQ87" s="66" t="str">
        <f t="shared" si="717"/>
        <v/>
      </c>
      <c r="FR87" s="66" t="str">
        <f t="shared" si="718"/>
        <v/>
      </c>
      <c r="FS87" s="66" t="str">
        <f t="shared" si="719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|CffCCCCCC道果属性：|r|n攻击+5000|n业力+4000|n生命值+100000|n生命回复+2000|n物理伤害+12%|n法术伤害+10%|n杀敌攻击+8|n杀敌业力+1|n杀敌生命+30|n|n|Cff00FF7F点击吸收道果，强行突破境界。|r</v>
      </c>
      <c r="U88" s="77" t="s">
        <v>386</v>
      </c>
      <c r="CN88" s="36" t="str">
        <f t="shared" ref="CN88:CN91" si="936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37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38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39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1">T88</f>
        <v>|CffCCCCCC道果属性：|r|n攻击+5000|n业力+4000|n生命值+100000|n生命回复+2000|n物理伤害+12%|n法术伤害+10%|n杀敌攻击+8|n杀敌业力+1|n杀敌生命+30|n|n|Cff00FF7F点击吸收道果，强行突破境界。|r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2">IF(V88="","","|n"&amp;DB$2&amp;"+"&amp;V88&amp;DB$1)</f>
        <v/>
      </c>
      <c r="DC88" s="66" t="str">
        <f t="shared" ref="DC88:DC91" si="943">IF(W88="","","|n"&amp;DC$2&amp;"+"&amp;W88&amp;DC$1)</f>
        <v/>
      </c>
      <c r="DD88" s="66" t="str">
        <f t="shared" ref="DD88:DD91" si="944">IF(X88="","","|n"&amp;DD$2&amp;"+"&amp;X88&amp;DD$1)</f>
        <v/>
      </c>
      <c r="DE88" s="66" t="str">
        <f t="shared" ref="DE88:DE91" si="945">IF(Y88="","","|n"&amp;DE$2&amp;"+"&amp;Y88&amp;DE$1)</f>
        <v/>
      </c>
      <c r="DF88" s="66" t="str">
        <f t="shared" ref="DF88:DF91" si="946">IF(Z88="","","|n"&amp;DF$2&amp;"+"&amp;Z88&amp;DF$1)</f>
        <v/>
      </c>
      <c r="DG88" s="66" t="str">
        <f t="shared" ref="DG88:DG91" si="947">IF(AA88="","","|n"&amp;DG$2&amp;"+"&amp;AA88&amp;DG$1)</f>
        <v/>
      </c>
      <c r="DH88" s="66" t="str">
        <f t="shared" ref="DH88:DH91" si="948">IF(AB88="","","|n"&amp;DH$2&amp;"+"&amp;AB88&amp;DH$1)</f>
        <v/>
      </c>
      <c r="DI88" s="66" t="str">
        <f t="shared" ref="DI88:DI91" si="949">IF(AC88="","","|n"&amp;DI$2&amp;"+"&amp;AC88&amp;DI$1)</f>
        <v/>
      </c>
      <c r="DJ88" s="66" t="str">
        <f t="shared" ref="DJ88:DJ91" si="950">IF(AD88="","","|n"&amp;DJ$2&amp;"+"&amp;AD88&amp;DJ$1)</f>
        <v/>
      </c>
      <c r="DK88" s="66" t="str">
        <f t="shared" ref="DK88:DK91" si="951">IF(AE88="","","|n"&amp;DK$2&amp;"+"&amp;AE88&amp;DK$1)</f>
        <v/>
      </c>
      <c r="DL88" s="66" t="str">
        <f t="shared" ref="DL88:DL91" si="952">IF(AF88="","","|n"&amp;DL$2&amp;"+"&amp;AF88&amp;DL$1)</f>
        <v/>
      </c>
      <c r="DM88" s="66" t="str">
        <f t="shared" ref="DM88:DM91" si="953">IF(AG88="","","|n"&amp;DM$2&amp;"+"&amp;AG88&amp;DM$1)</f>
        <v/>
      </c>
      <c r="DN88" s="66" t="str">
        <f t="shared" ref="DN88:DN91" si="954">IF(AH88="","","|n"&amp;DN$2&amp;"+"&amp;AH88&amp;DN$1)</f>
        <v/>
      </c>
      <c r="DO88" s="66" t="str">
        <f t="shared" ref="DO88:DO91" si="955">IF(AI88="","","|n"&amp;DO$2&amp;"+"&amp;AI88&amp;DO$1)</f>
        <v/>
      </c>
      <c r="DP88" s="66" t="str">
        <f t="shared" ref="DP88:DP91" si="956">IF(AJ88="","","|n"&amp;DP$2&amp;"+"&amp;AJ88&amp;DP$1)</f>
        <v/>
      </c>
      <c r="DQ88" s="66" t="str">
        <f t="shared" ref="DQ88:DQ91" si="957">IF(AK88="","","|n"&amp;DQ$2&amp;"+"&amp;AK88&amp;DQ$1)</f>
        <v/>
      </c>
      <c r="DR88" s="66" t="str">
        <f t="shared" ref="DR88:DR91" si="958">IF(AL88="","","|n"&amp;DR$2&amp;"+"&amp;AL88&amp;DR$1)</f>
        <v/>
      </c>
      <c r="DS88" s="66" t="str">
        <f t="shared" ref="DS88:DS91" si="959">IF(AM88="","","|n"&amp;DS$2&amp;"+"&amp;AM88&amp;DS$1)</f>
        <v/>
      </c>
      <c r="DT88" s="66" t="str">
        <f t="shared" ref="DT88:DT91" si="960">IF(AN88="","","|n"&amp;DT$2&amp;"+"&amp;AN88&amp;DT$1)</f>
        <v/>
      </c>
      <c r="DU88" s="66" t="str">
        <f t="shared" ref="DU88:DU91" si="961">IF(AO88="","","|n"&amp;DU$2&amp;"+"&amp;AO88&amp;DU$1)</f>
        <v/>
      </c>
      <c r="DV88" s="66" t="str">
        <f t="shared" ref="DV88:DV91" si="962">IF(AP88="","","|n"&amp;DV$2&amp;"+"&amp;AP88&amp;DV$1)</f>
        <v/>
      </c>
      <c r="DW88" s="66" t="str">
        <f t="shared" ref="DW88:DW91" si="963">IF(AQ88="","","|n"&amp;DW$2&amp;"+"&amp;AQ88&amp;DW$1)</f>
        <v/>
      </c>
      <c r="DX88" s="66" t="str">
        <f t="shared" ref="DX88:DX91" si="964">IF(AR88="","","|n"&amp;DX$2&amp;"+"&amp;AR88&amp;DX$1)</f>
        <v/>
      </c>
      <c r="DY88" s="66" t="str">
        <f t="shared" ref="DY88:DY91" si="965">IF(AS88="","","|n"&amp;DY$2&amp;"+"&amp;AS88&amp;DY$1)</f>
        <v/>
      </c>
      <c r="DZ88" s="66" t="str">
        <f t="shared" ref="DZ88:DZ91" si="966">IF(AT88="","","|n"&amp;DZ$2&amp;"+"&amp;AT88&amp;DZ$1)</f>
        <v/>
      </c>
      <c r="EA88" s="66" t="str">
        <f t="shared" ref="EA88:EA91" si="967">IF(AU88="","","|n"&amp;EA$2&amp;"+"&amp;AU88&amp;EA$1)</f>
        <v/>
      </c>
      <c r="EB88" s="66" t="str">
        <f t="shared" ref="EB88:EB91" si="968">IF(AV88="","","|n"&amp;EB$2&amp;"+"&amp;AV88&amp;EB$1)</f>
        <v/>
      </c>
      <c r="EC88" s="66" t="str">
        <f t="shared" ref="EC88:EC91" si="969">IF(AW88="","","|n"&amp;EC$2&amp;"+"&amp;AW88&amp;EC$1)</f>
        <v/>
      </c>
      <c r="ED88" s="66" t="str">
        <f t="shared" ref="ED88:ED91" si="970">IF(AX88="","","|n"&amp;ED$2&amp;"+"&amp;AX88&amp;ED$1)</f>
        <v/>
      </c>
      <c r="EE88" s="66" t="str">
        <f t="shared" ref="EE88:EE91" si="971">IF(AY88="","","|n"&amp;EE$2&amp;"+"&amp;AY88&amp;EE$1)</f>
        <v/>
      </c>
      <c r="EF88" s="66" t="str">
        <f t="shared" ref="EF88:EF91" si="972">IF(AZ88="","","|n"&amp;EF$2&amp;"+"&amp;AZ88&amp;EF$1)</f>
        <v/>
      </c>
      <c r="EG88" s="66" t="str">
        <f t="shared" ref="EG88:EG91" si="973">IF(BA88="","","|n"&amp;EG$2&amp;"+"&amp;BA88&amp;EG$1)</f>
        <v/>
      </c>
      <c r="EH88" s="66" t="str">
        <f t="shared" ref="EH88:EH91" si="974">IF(BB88="","","|n"&amp;EH$2&amp;"+"&amp;BB88&amp;EH$1)</f>
        <v/>
      </c>
      <c r="EI88" s="66" t="str">
        <f t="shared" ref="EI88:EI91" si="975">IF(BC88="","","|n"&amp;EI$2&amp;"+"&amp;BC88&amp;EI$1)</f>
        <v/>
      </c>
      <c r="EJ88" s="66" t="str">
        <f t="shared" ref="EJ88:EJ91" si="976">IF(BD88="","","|n"&amp;EJ$2&amp;"+"&amp;BD88&amp;EJ$1)</f>
        <v/>
      </c>
      <c r="EK88" s="66" t="str">
        <f t="shared" ref="EK88:EK91" si="977">IF(BE88="","","|n"&amp;EK$2&amp;"+"&amp;BE88&amp;EK$1)</f>
        <v/>
      </c>
      <c r="EL88" s="66" t="str">
        <f t="shared" ref="EL88:EL91" si="978">IF(BF88="","","|n"&amp;EL$2&amp;"+"&amp;BF88&amp;EL$1)</f>
        <v/>
      </c>
      <c r="EM88" s="66" t="str">
        <f t="shared" ref="EM88:EM91" si="979">IF(BG88="","","|n"&amp;EM$2&amp;"+"&amp;BG88&amp;EM$1)</f>
        <v/>
      </c>
      <c r="EN88" s="66" t="str">
        <f t="shared" ref="EN88:EN91" si="980">IF(BH88="","","|n"&amp;EN$2&amp;"+"&amp;BH88&amp;EN$1)</f>
        <v/>
      </c>
      <c r="EO88" s="66" t="str">
        <f t="shared" ref="EO88:EO91" si="981">IF(BI88="","","|n"&amp;EO$2&amp;"+"&amp;BI88&amp;EO$1)</f>
        <v/>
      </c>
      <c r="EP88" s="66" t="str">
        <f t="shared" ref="EP88:EP91" si="982">IF(BJ88="","","|n"&amp;EP$2&amp;"+"&amp;BJ88&amp;EP$1)</f>
        <v/>
      </c>
      <c r="EQ88" s="66" t="str">
        <f t="shared" ref="EQ88:EQ91" si="983">IF(BK88="","","|n"&amp;EQ$2&amp;"+"&amp;BK88&amp;EQ$1)</f>
        <v/>
      </c>
      <c r="ER88" s="66" t="str">
        <f t="shared" ref="ER88:ER91" si="984">IF(BL88="","","|n"&amp;ER$2&amp;"+"&amp;BL88&amp;ER$1)</f>
        <v/>
      </c>
      <c r="ES88" s="66" t="str">
        <f t="shared" ref="ES88:ES91" si="985">IF(BM88="","","|n"&amp;ES$2&amp;"+"&amp;BM88&amp;ES$1)</f>
        <v/>
      </c>
      <c r="ET88" s="66" t="str">
        <f t="shared" ref="ET88:ET91" si="986">IF(BN88="","","|n"&amp;ET$2&amp;"+"&amp;BN88&amp;ET$1)</f>
        <v/>
      </c>
      <c r="EU88" s="66" t="str">
        <f t="shared" ref="EU88:EU91" si="987">IF(BO88="","","|n"&amp;EU$2&amp;"+"&amp;BO88&amp;EU$1)</f>
        <v/>
      </c>
      <c r="EV88" s="66" t="str">
        <f t="shared" ref="EV88:EV91" si="988">IF(BP88="","","|n"&amp;EV$2&amp;"+"&amp;BP88&amp;EV$1)</f>
        <v/>
      </c>
      <c r="EW88" s="66" t="str">
        <f t="shared" ref="EW88:EW91" si="989">IF(BQ88="","","|n"&amp;EW$2&amp;"+"&amp;BQ88&amp;EW$1)</f>
        <v/>
      </c>
      <c r="EX88" s="66" t="str">
        <f t="shared" ref="EX88:EX91" si="990">IF(BR88="","","|n"&amp;EX$2&amp;"+"&amp;BR88&amp;EX$1)</f>
        <v/>
      </c>
      <c r="EY88" s="66" t="str">
        <f t="shared" ref="EY88:EY91" si="991">IF(BS88="","","|n"&amp;EY$2&amp;"+"&amp;BS88&amp;EY$1)</f>
        <v/>
      </c>
      <c r="EZ88" s="66" t="str">
        <f t="shared" ref="EZ88:EZ91" si="992">IF(BT88="","","|n"&amp;EZ$2&amp;"+"&amp;BT88&amp;EZ$1)</f>
        <v/>
      </c>
      <c r="FA88" s="66" t="str">
        <f t="shared" ref="FA88:FA91" si="993">IF(BU88="","","|n"&amp;FA$2&amp;"+"&amp;BU88&amp;FA$1)</f>
        <v/>
      </c>
      <c r="FB88" s="66" t="str">
        <f t="shared" ref="FB88:FB91" si="994">IF(BV88="","","|n"&amp;FB$2&amp;"+"&amp;BV88&amp;FB$1)</f>
        <v/>
      </c>
      <c r="FC88" s="66" t="str">
        <f t="shared" ref="FC88:FC91" si="995">IF(BW88="","","|n"&amp;FC$2&amp;"+"&amp;BW88&amp;FC$1)</f>
        <v/>
      </c>
      <c r="FD88" s="66" t="str">
        <f t="shared" ref="FD88:FD91" si="996">IF(BX88="","","|n"&amp;FD$2&amp;"+"&amp;BX88&amp;FD$1)</f>
        <v/>
      </c>
      <c r="FE88" s="66" t="str">
        <f t="shared" ref="FE88:FE91" si="997">IF(BY88="","","|n"&amp;FE$2&amp;"+"&amp;BY88&amp;FE$1)</f>
        <v/>
      </c>
      <c r="FF88" s="66" t="str">
        <f t="shared" ref="FF88:FF91" si="998">IF(BZ88="","","|n"&amp;FF$2&amp;"+"&amp;BZ88&amp;FF$1)</f>
        <v/>
      </c>
      <c r="FG88" s="66" t="str">
        <f t="shared" ref="FG88:FG91" si="999">IF(CA88="","","|n"&amp;FG$2&amp;"+"&amp;CA88&amp;FG$1)</f>
        <v/>
      </c>
      <c r="FH88" s="66" t="str">
        <f t="shared" ref="FH88:FH91" si="1000">IF(CB88="","","|n"&amp;FH$2&amp;"+"&amp;CB88&amp;FH$1)</f>
        <v/>
      </c>
      <c r="FI88" s="66" t="str">
        <f t="shared" ref="FI88:FI91" si="1001">IF(CC88="","","|n"&amp;FI$2&amp;"+"&amp;CC88&amp;FI$1)</f>
        <v/>
      </c>
      <c r="FJ88" s="66" t="str">
        <f t="shared" ref="FJ88:FJ91" si="1002">IF(CD88="","","|n"&amp;FJ$2&amp;"+"&amp;CD88&amp;FJ$1)</f>
        <v/>
      </c>
      <c r="FK88" s="66" t="str">
        <f t="shared" ref="FK88:FK91" si="1003">IF(CE88="","","|n"&amp;FK$2&amp;"+"&amp;CE88&amp;FK$1)</f>
        <v/>
      </c>
      <c r="FL88" s="66" t="str">
        <f t="shared" ref="FL88:FL91" si="1004">IF(CF88="","","|n"&amp;FL$2&amp;"+"&amp;CF88&amp;FL$1)</f>
        <v/>
      </c>
      <c r="FM88" s="66" t="str">
        <f t="shared" ref="FM88:FM91" si="1005">IF(CG88="","","|n"&amp;FM$2&amp;"+"&amp;CG88&amp;FM$1)</f>
        <v/>
      </c>
      <c r="FN88" s="66" t="str">
        <f t="shared" ref="FN88:FN91" si="1006">IF(CH88="","","|n"&amp;FN$2&amp;"+"&amp;CH88&amp;FN$1)</f>
        <v/>
      </c>
      <c r="FO88" s="66" t="str">
        <f t="shared" ref="FO88:FO91" si="1007">IF(CI88="","","|n"&amp;FO$2&amp;"+"&amp;CI88&amp;FO$1)</f>
        <v/>
      </c>
      <c r="FP88" s="66" t="str">
        <f t="shared" ref="FP88:FP91" si="1008">IF(CJ88="","","|n"&amp;FP$2&amp;"+"&amp;CJ88&amp;FP$1)</f>
        <v/>
      </c>
      <c r="FQ88" s="66" t="str">
        <f t="shared" ref="FQ88:FQ91" si="1009">IF(CK88="","","|n"&amp;FQ$2&amp;"+"&amp;CK88&amp;FQ$1)</f>
        <v/>
      </c>
      <c r="FR88" s="66" t="str">
        <f t="shared" ref="FR88:FR91" si="1010">IF(CL88="","","|n"&amp;FR$2&amp;"+"&amp;CL88&amp;FR$1)</f>
        <v/>
      </c>
      <c r="FS88" s="66" t="str">
        <f t="shared" ref="FS88:FS91" si="1011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2">"|CffCCCCCC道果属性：|r"&amp;CU79&amp;"|n|Cff00FF7F点击吸收道果，强行突破境界。|r"</f>
        <v>|CffCCCCCC道果属性：|r|n攻击+7500|n业力+6000|n生命值+150000|n生命回复+3000|n物理伤害+12%|n法术伤害+10%|n杀敌攻击+8|n杀敌业力+1|n杀敌生命+30|n|n|Cff00FF7F点击吸收道果，强行突破境界。|r</v>
      </c>
      <c r="U89" s="77" t="s">
        <v>389</v>
      </c>
      <c r="CN89" s="36" t="str">
        <f t="shared" si="936"/>
        <v>InitUnitState('ID02',,,,,,,,,,)</v>
      </c>
      <c r="CO89" s="36" t="str">
        <f t="shared" si="937"/>
        <v>InitUnitNormal('ID02',,,,,,,,,,)</v>
      </c>
      <c r="CP89" s="36" t="str">
        <f t="shared" si="938"/>
        <v>InitUnitMagic('ID02',,,,,,,,,,)</v>
      </c>
      <c r="CQ89" s="36" t="str">
        <f t="shared" si="939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0"/>
        <v>|n</v>
      </c>
      <c r="CV89" s="19" t="str">
        <f t="shared" si="941"/>
        <v>|CffCCCCCC道果属性：|r|n攻击+7500|n业力+6000|n生命值+150000|n生命回复+3000|n物理伤害+12%|n法术伤害+10%|n杀敌攻击+8|n杀敌业力+1|n杀敌生命+30|n|n|Cff00FF7F点击吸收道果，强行突破境界。|r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2"/>
        <v/>
      </c>
      <c r="DC89" s="66" t="str">
        <f t="shared" si="943"/>
        <v/>
      </c>
      <c r="DD89" s="66" t="str">
        <f t="shared" si="944"/>
        <v/>
      </c>
      <c r="DE89" s="66" t="str">
        <f t="shared" si="945"/>
        <v/>
      </c>
      <c r="DF89" s="66" t="str">
        <f t="shared" si="946"/>
        <v/>
      </c>
      <c r="DG89" s="66" t="str">
        <f t="shared" si="947"/>
        <v/>
      </c>
      <c r="DH89" s="66" t="str">
        <f t="shared" si="948"/>
        <v/>
      </c>
      <c r="DI89" s="66" t="str">
        <f t="shared" si="949"/>
        <v/>
      </c>
      <c r="DJ89" s="66" t="str">
        <f t="shared" si="950"/>
        <v/>
      </c>
      <c r="DK89" s="66" t="str">
        <f t="shared" si="951"/>
        <v/>
      </c>
      <c r="DL89" s="66" t="str">
        <f t="shared" si="952"/>
        <v/>
      </c>
      <c r="DM89" s="66" t="str">
        <f t="shared" si="953"/>
        <v/>
      </c>
      <c r="DN89" s="66" t="str">
        <f t="shared" si="954"/>
        <v/>
      </c>
      <c r="DO89" s="66" t="str">
        <f t="shared" si="955"/>
        <v/>
      </c>
      <c r="DP89" s="66" t="str">
        <f t="shared" si="956"/>
        <v/>
      </c>
      <c r="DQ89" s="66" t="str">
        <f t="shared" si="957"/>
        <v/>
      </c>
      <c r="DR89" s="66" t="str">
        <f t="shared" si="958"/>
        <v/>
      </c>
      <c r="DS89" s="66" t="str">
        <f t="shared" si="959"/>
        <v/>
      </c>
      <c r="DT89" s="66" t="str">
        <f t="shared" si="960"/>
        <v/>
      </c>
      <c r="DU89" s="66" t="str">
        <f t="shared" si="961"/>
        <v/>
      </c>
      <c r="DV89" s="66" t="str">
        <f t="shared" si="962"/>
        <v/>
      </c>
      <c r="DW89" s="66" t="str">
        <f t="shared" si="963"/>
        <v/>
      </c>
      <c r="DX89" s="66" t="str">
        <f t="shared" si="964"/>
        <v/>
      </c>
      <c r="DY89" s="66" t="str">
        <f t="shared" si="965"/>
        <v/>
      </c>
      <c r="DZ89" s="66" t="str">
        <f t="shared" si="966"/>
        <v/>
      </c>
      <c r="EA89" s="66" t="str">
        <f t="shared" si="967"/>
        <v/>
      </c>
      <c r="EB89" s="66" t="str">
        <f t="shared" si="968"/>
        <v/>
      </c>
      <c r="EC89" s="66" t="str">
        <f t="shared" si="969"/>
        <v/>
      </c>
      <c r="ED89" s="66" t="str">
        <f t="shared" si="970"/>
        <v/>
      </c>
      <c r="EE89" s="66" t="str">
        <f t="shared" si="971"/>
        <v/>
      </c>
      <c r="EF89" s="66" t="str">
        <f t="shared" si="972"/>
        <v/>
      </c>
      <c r="EG89" s="66" t="str">
        <f t="shared" si="973"/>
        <v/>
      </c>
      <c r="EH89" s="66" t="str">
        <f t="shared" si="974"/>
        <v/>
      </c>
      <c r="EI89" s="66" t="str">
        <f t="shared" si="975"/>
        <v/>
      </c>
      <c r="EJ89" s="66" t="str">
        <f t="shared" si="976"/>
        <v/>
      </c>
      <c r="EK89" s="66" t="str">
        <f t="shared" si="977"/>
        <v/>
      </c>
      <c r="EL89" s="66" t="str">
        <f t="shared" si="978"/>
        <v/>
      </c>
      <c r="EM89" s="66" t="str">
        <f t="shared" si="979"/>
        <v/>
      </c>
      <c r="EN89" s="66" t="str">
        <f t="shared" si="980"/>
        <v/>
      </c>
      <c r="EO89" s="66" t="str">
        <f t="shared" si="981"/>
        <v/>
      </c>
      <c r="EP89" s="66" t="str">
        <f t="shared" si="982"/>
        <v/>
      </c>
      <c r="EQ89" s="66" t="str">
        <f t="shared" si="983"/>
        <v/>
      </c>
      <c r="ER89" s="66" t="str">
        <f t="shared" si="984"/>
        <v/>
      </c>
      <c r="ES89" s="66" t="str">
        <f t="shared" si="985"/>
        <v/>
      </c>
      <c r="ET89" s="66" t="str">
        <f t="shared" si="986"/>
        <v/>
      </c>
      <c r="EU89" s="66" t="str">
        <f t="shared" si="987"/>
        <v/>
      </c>
      <c r="EV89" s="66" t="str">
        <f t="shared" si="988"/>
        <v/>
      </c>
      <c r="EW89" s="66" t="str">
        <f t="shared" si="989"/>
        <v/>
      </c>
      <c r="EX89" s="66" t="str">
        <f t="shared" si="990"/>
        <v/>
      </c>
      <c r="EY89" s="66" t="str">
        <f t="shared" si="991"/>
        <v/>
      </c>
      <c r="EZ89" s="66" t="str">
        <f t="shared" si="992"/>
        <v/>
      </c>
      <c r="FA89" s="66" t="str">
        <f t="shared" si="993"/>
        <v/>
      </c>
      <c r="FB89" s="66" t="str">
        <f t="shared" si="994"/>
        <v/>
      </c>
      <c r="FC89" s="66" t="str">
        <f t="shared" si="995"/>
        <v/>
      </c>
      <c r="FD89" s="66" t="str">
        <f t="shared" si="996"/>
        <v/>
      </c>
      <c r="FE89" s="66" t="str">
        <f t="shared" si="997"/>
        <v/>
      </c>
      <c r="FF89" s="66" t="str">
        <f t="shared" si="998"/>
        <v/>
      </c>
      <c r="FG89" s="66" t="str">
        <f t="shared" si="999"/>
        <v/>
      </c>
      <c r="FH89" s="66" t="str">
        <f t="shared" si="1000"/>
        <v/>
      </c>
      <c r="FI89" s="66" t="str">
        <f t="shared" si="1001"/>
        <v/>
      </c>
      <c r="FJ89" s="66" t="str">
        <f t="shared" si="1002"/>
        <v/>
      </c>
      <c r="FK89" s="66" t="str">
        <f t="shared" si="1003"/>
        <v/>
      </c>
      <c r="FL89" s="66" t="str">
        <f t="shared" si="1004"/>
        <v/>
      </c>
      <c r="FM89" s="66" t="str">
        <f t="shared" si="1005"/>
        <v/>
      </c>
      <c r="FN89" s="66" t="str">
        <f t="shared" si="1006"/>
        <v/>
      </c>
      <c r="FO89" s="66" t="str">
        <f t="shared" si="1007"/>
        <v/>
      </c>
      <c r="FP89" s="66" t="str">
        <f t="shared" si="1008"/>
        <v/>
      </c>
      <c r="FQ89" s="66" t="str">
        <f t="shared" si="1009"/>
        <v/>
      </c>
      <c r="FR89" s="66" t="str">
        <f t="shared" si="1010"/>
        <v/>
      </c>
      <c r="FS89" s="66" t="str">
        <f t="shared" si="1011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2"/>
        <v>|CffCCCCCC道果属性：|r|n攻击+12500|n业力+10000|n生命值+250000|n生命回复+5000|n物理伤害+12%|n法术伤害+10%|n杀敌攻击+8|n杀敌业力+1|n杀敌生命+30|n|n|Cff00FF7F点击吸收道果，强行突破境界。|r</v>
      </c>
      <c r="U90" s="77" t="s">
        <v>392</v>
      </c>
      <c r="CN90" s="36" t="str">
        <f t="shared" si="936"/>
        <v>InitUnitState('ID03',,,,,,,,,,)</v>
      </c>
      <c r="CO90" s="36" t="str">
        <f t="shared" si="937"/>
        <v>InitUnitNormal('ID03',,,,,,,,,,)</v>
      </c>
      <c r="CP90" s="36" t="str">
        <f t="shared" si="938"/>
        <v>InitUnitMagic('ID03',,,,,,,,,,)</v>
      </c>
      <c r="CQ90" s="36" t="str">
        <f t="shared" si="939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0"/>
        <v>|n</v>
      </c>
      <c r="CV90" s="19" t="str">
        <f t="shared" si="941"/>
        <v>|CffCCCCCC道果属性：|r|n攻击+12500|n业力+10000|n生命值+250000|n生命回复+5000|n物理伤害+12%|n法术伤害+10%|n杀敌攻击+8|n杀敌业力+1|n杀敌生命+30|n|n|Cff00FF7F点击吸收道果，强行突破境界。|r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2"/>
        <v/>
      </c>
      <c r="DC90" s="66" t="str">
        <f t="shared" si="943"/>
        <v/>
      </c>
      <c r="DD90" s="66" t="str">
        <f t="shared" si="944"/>
        <v/>
      </c>
      <c r="DE90" s="66" t="str">
        <f t="shared" si="945"/>
        <v/>
      </c>
      <c r="DF90" s="66" t="str">
        <f t="shared" si="946"/>
        <v/>
      </c>
      <c r="DG90" s="66" t="str">
        <f t="shared" si="947"/>
        <v/>
      </c>
      <c r="DH90" s="66" t="str">
        <f t="shared" si="948"/>
        <v/>
      </c>
      <c r="DI90" s="66" t="str">
        <f t="shared" si="949"/>
        <v/>
      </c>
      <c r="DJ90" s="66" t="str">
        <f t="shared" si="950"/>
        <v/>
      </c>
      <c r="DK90" s="66" t="str">
        <f t="shared" si="951"/>
        <v/>
      </c>
      <c r="DL90" s="66" t="str">
        <f t="shared" si="952"/>
        <v/>
      </c>
      <c r="DM90" s="66" t="str">
        <f t="shared" si="953"/>
        <v/>
      </c>
      <c r="DN90" s="66" t="str">
        <f t="shared" si="954"/>
        <v/>
      </c>
      <c r="DO90" s="66" t="str">
        <f t="shared" si="955"/>
        <v/>
      </c>
      <c r="DP90" s="66" t="str">
        <f t="shared" si="956"/>
        <v/>
      </c>
      <c r="DQ90" s="66" t="str">
        <f t="shared" si="957"/>
        <v/>
      </c>
      <c r="DR90" s="66" t="str">
        <f t="shared" si="958"/>
        <v/>
      </c>
      <c r="DS90" s="66" t="str">
        <f t="shared" si="959"/>
        <v/>
      </c>
      <c r="DT90" s="66" t="str">
        <f t="shared" si="960"/>
        <v/>
      </c>
      <c r="DU90" s="66" t="str">
        <f t="shared" si="961"/>
        <v/>
      </c>
      <c r="DV90" s="66" t="str">
        <f t="shared" si="962"/>
        <v/>
      </c>
      <c r="DW90" s="66" t="str">
        <f t="shared" si="963"/>
        <v/>
      </c>
      <c r="DX90" s="66" t="str">
        <f t="shared" si="964"/>
        <v/>
      </c>
      <c r="DY90" s="66" t="str">
        <f t="shared" si="965"/>
        <v/>
      </c>
      <c r="DZ90" s="66" t="str">
        <f t="shared" si="966"/>
        <v/>
      </c>
      <c r="EA90" s="66" t="str">
        <f t="shared" si="967"/>
        <v/>
      </c>
      <c r="EB90" s="66" t="str">
        <f t="shared" si="968"/>
        <v/>
      </c>
      <c r="EC90" s="66" t="str">
        <f t="shared" si="969"/>
        <v/>
      </c>
      <c r="ED90" s="66" t="str">
        <f t="shared" si="970"/>
        <v/>
      </c>
      <c r="EE90" s="66" t="str">
        <f t="shared" si="971"/>
        <v/>
      </c>
      <c r="EF90" s="66" t="str">
        <f t="shared" si="972"/>
        <v/>
      </c>
      <c r="EG90" s="66" t="str">
        <f t="shared" si="973"/>
        <v/>
      </c>
      <c r="EH90" s="66" t="str">
        <f t="shared" si="974"/>
        <v/>
      </c>
      <c r="EI90" s="66" t="str">
        <f t="shared" si="975"/>
        <v/>
      </c>
      <c r="EJ90" s="66" t="str">
        <f t="shared" si="976"/>
        <v/>
      </c>
      <c r="EK90" s="66" t="str">
        <f t="shared" si="977"/>
        <v/>
      </c>
      <c r="EL90" s="66" t="str">
        <f t="shared" si="978"/>
        <v/>
      </c>
      <c r="EM90" s="66" t="str">
        <f t="shared" si="979"/>
        <v/>
      </c>
      <c r="EN90" s="66" t="str">
        <f t="shared" si="980"/>
        <v/>
      </c>
      <c r="EO90" s="66" t="str">
        <f t="shared" si="981"/>
        <v/>
      </c>
      <c r="EP90" s="66" t="str">
        <f t="shared" si="982"/>
        <v/>
      </c>
      <c r="EQ90" s="66" t="str">
        <f t="shared" si="983"/>
        <v/>
      </c>
      <c r="ER90" s="66" t="str">
        <f t="shared" si="984"/>
        <v/>
      </c>
      <c r="ES90" s="66" t="str">
        <f t="shared" si="985"/>
        <v/>
      </c>
      <c r="ET90" s="66" t="str">
        <f t="shared" si="986"/>
        <v/>
      </c>
      <c r="EU90" s="66" t="str">
        <f t="shared" si="987"/>
        <v/>
      </c>
      <c r="EV90" s="66" t="str">
        <f t="shared" si="988"/>
        <v/>
      </c>
      <c r="EW90" s="66" t="str">
        <f t="shared" si="989"/>
        <v/>
      </c>
      <c r="EX90" s="66" t="str">
        <f t="shared" si="990"/>
        <v/>
      </c>
      <c r="EY90" s="66" t="str">
        <f t="shared" si="991"/>
        <v/>
      </c>
      <c r="EZ90" s="66" t="str">
        <f t="shared" si="992"/>
        <v/>
      </c>
      <c r="FA90" s="66" t="str">
        <f t="shared" si="993"/>
        <v/>
      </c>
      <c r="FB90" s="66" t="str">
        <f t="shared" si="994"/>
        <v/>
      </c>
      <c r="FC90" s="66" t="str">
        <f t="shared" si="995"/>
        <v/>
      </c>
      <c r="FD90" s="66" t="str">
        <f t="shared" si="996"/>
        <v/>
      </c>
      <c r="FE90" s="66" t="str">
        <f t="shared" si="997"/>
        <v/>
      </c>
      <c r="FF90" s="66" t="str">
        <f t="shared" si="998"/>
        <v/>
      </c>
      <c r="FG90" s="66" t="str">
        <f t="shared" si="999"/>
        <v/>
      </c>
      <c r="FH90" s="66" t="str">
        <f t="shared" si="1000"/>
        <v/>
      </c>
      <c r="FI90" s="66" t="str">
        <f t="shared" si="1001"/>
        <v/>
      </c>
      <c r="FJ90" s="66" t="str">
        <f t="shared" si="1002"/>
        <v/>
      </c>
      <c r="FK90" s="66" t="str">
        <f t="shared" si="1003"/>
        <v/>
      </c>
      <c r="FL90" s="66" t="str">
        <f t="shared" si="1004"/>
        <v/>
      </c>
      <c r="FM90" s="66" t="str">
        <f t="shared" si="1005"/>
        <v/>
      </c>
      <c r="FN90" s="66" t="str">
        <f t="shared" si="1006"/>
        <v/>
      </c>
      <c r="FO90" s="66" t="str">
        <f t="shared" si="1007"/>
        <v/>
      </c>
      <c r="FP90" s="66" t="str">
        <f t="shared" si="1008"/>
        <v/>
      </c>
      <c r="FQ90" s="66" t="str">
        <f t="shared" si="1009"/>
        <v/>
      </c>
      <c r="FR90" s="66" t="str">
        <f t="shared" si="1010"/>
        <v/>
      </c>
      <c r="FS90" s="66" t="str">
        <f t="shared" si="1011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2"/>
        <v>|CffCCCCCC道果属性：|r|n攻击+21250|n业力+17000|n生命值+425000|n生命回复+8500|n物理伤害+18%|n法术伤害+15%|n杀敌攻击+8|n杀敌业力+1|n杀敌生命+30|n|n|Cff00FF7F点击吸收道果，强行突破境界。|r</v>
      </c>
      <c r="U91" s="77" t="s">
        <v>395</v>
      </c>
      <c r="CN91" s="36" t="str">
        <f t="shared" si="936"/>
        <v>InitUnitState('ID04',,,,,,,,,,)</v>
      </c>
      <c r="CO91" s="36" t="str">
        <f t="shared" si="937"/>
        <v>InitUnitNormal('ID04',,,,,,,,,,)</v>
      </c>
      <c r="CP91" s="36" t="str">
        <f t="shared" si="938"/>
        <v>InitUnitMagic('ID04',,,,,,,,,,)</v>
      </c>
      <c r="CQ91" s="36" t="str">
        <f t="shared" si="939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0"/>
        <v>|n</v>
      </c>
      <c r="CV91" s="19" t="str">
        <f t="shared" si="941"/>
        <v>|CffCCCCCC道果属性：|r|n攻击+21250|n业力+17000|n生命值+425000|n生命回复+8500|n物理伤害+18%|n法术伤害+15%|n杀敌攻击+8|n杀敌业力+1|n杀敌生命+30|n|n|Cff00FF7F点击吸收道果，强行突破境界。|r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2"/>
        <v/>
      </c>
      <c r="DC91" s="66" t="str">
        <f t="shared" si="943"/>
        <v/>
      </c>
      <c r="DD91" s="66" t="str">
        <f t="shared" si="944"/>
        <v/>
      </c>
      <c r="DE91" s="66" t="str">
        <f t="shared" si="945"/>
        <v/>
      </c>
      <c r="DF91" s="66" t="str">
        <f t="shared" si="946"/>
        <v/>
      </c>
      <c r="DG91" s="66" t="str">
        <f t="shared" si="947"/>
        <v/>
      </c>
      <c r="DH91" s="66" t="str">
        <f t="shared" si="948"/>
        <v/>
      </c>
      <c r="DI91" s="66" t="str">
        <f t="shared" si="949"/>
        <v/>
      </c>
      <c r="DJ91" s="66" t="str">
        <f t="shared" si="950"/>
        <v/>
      </c>
      <c r="DK91" s="66" t="str">
        <f t="shared" si="951"/>
        <v/>
      </c>
      <c r="DL91" s="66" t="str">
        <f t="shared" si="952"/>
        <v/>
      </c>
      <c r="DM91" s="66" t="str">
        <f t="shared" si="953"/>
        <v/>
      </c>
      <c r="DN91" s="66" t="str">
        <f t="shared" si="954"/>
        <v/>
      </c>
      <c r="DO91" s="66" t="str">
        <f t="shared" si="955"/>
        <v/>
      </c>
      <c r="DP91" s="66" t="str">
        <f t="shared" si="956"/>
        <v/>
      </c>
      <c r="DQ91" s="66" t="str">
        <f t="shared" si="957"/>
        <v/>
      </c>
      <c r="DR91" s="66" t="str">
        <f t="shared" si="958"/>
        <v/>
      </c>
      <c r="DS91" s="66" t="str">
        <f t="shared" si="959"/>
        <v/>
      </c>
      <c r="DT91" s="66" t="str">
        <f t="shared" si="960"/>
        <v/>
      </c>
      <c r="DU91" s="66" t="str">
        <f t="shared" si="961"/>
        <v/>
      </c>
      <c r="DV91" s="66" t="str">
        <f t="shared" si="962"/>
        <v/>
      </c>
      <c r="DW91" s="66" t="str">
        <f t="shared" si="963"/>
        <v/>
      </c>
      <c r="DX91" s="66" t="str">
        <f t="shared" si="964"/>
        <v/>
      </c>
      <c r="DY91" s="66" t="str">
        <f t="shared" si="965"/>
        <v/>
      </c>
      <c r="DZ91" s="66" t="str">
        <f t="shared" si="966"/>
        <v/>
      </c>
      <c r="EA91" s="66" t="str">
        <f t="shared" si="967"/>
        <v/>
      </c>
      <c r="EB91" s="66" t="str">
        <f t="shared" si="968"/>
        <v/>
      </c>
      <c r="EC91" s="66" t="str">
        <f t="shared" si="969"/>
        <v/>
      </c>
      <c r="ED91" s="66" t="str">
        <f t="shared" si="970"/>
        <v/>
      </c>
      <c r="EE91" s="66" t="str">
        <f t="shared" si="971"/>
        <v/>
      </c>
      <c r="EF91" s="66" t="str">
        <f t="shared" si="972"/>
        <v/>
      </c>
      <c r="EG91" s="66" t="str">
        <f t="shared" si="973"/>
        <v/>
      </c>
      <c r="EH91" s="66" t="str">
        <f t="shared" si="974"/>
        <v/>
      </c>
      <c r="EI91" s="66" t="str">
        <f t="shared" si="975"/>
        <v/>
      </c>
      <c r="EJ91" s="66" t="str">
        <f t="shared" si="976"/>
        <v/>
      </c>
      <c r="EK91" s="66" t="str">
        <f t="shared" si="977"/>
        <v/>
      </c>
      <c r="EL91" s="66" t="str">
        <f t="shared" si="978"/>
        <v/>
      </c>
      <c r="EM91" s="66" t="str">
        <f t="shared" si="979"/>
        <v/>
      </c>
      <c r="EN91" s="66" t="str">
        <f t="shared" si="980"/>
        <v/>
      </c>
      <c r="EO91" s="66" t="str">
        <f t="shared" si="981"/>
        <v/>
      </c>
      <c r="EP91" s="66" t="str">
        <f t="shared" si="982"/>
        <v/>
      </c>
      <c r="EQ91" s="66" t="str">
        <f t="shared" si="983"/>
        <v/>
      </c>
      <c r="ER91" s="66" t="str">
        <f t="shared" si="984"/>
        <v/>
      </c>
      <c r="ES91" s="66" t="str">
        <f t="shared" si="985"/>
        <v/>
      </c>
      <c r="ET91" s="66" t="str">
        <f t="shared" si="986"/>
        <v/>
      </c>
      <c r="EU91" s="66" t="str">
        <f t="shared" si="987"/>
        <v/>
      </c>
      <c r="EV91" s="66" t="str">
        <f t="shared" si="988"/>
        <v/>
      </c>
      <c r="EW91" s="66" t="str">
        <f t="shared" si="989"/>
        <v/>
      </c>
      <c r="EX91" s="66" t="str">
        <f t="shared" si="990"/>
        <v/>
      </c>
      <c r="EY91" s="66" t="str">
        <f t="shared" si="991"/>
        <v/>
      </c>
      <c r="EZ91" s="66" t="str">
        <f t="shared" si="992"/>
        <v/>
      </c>
      <c r="FA91" s="66" t="str">
        <f t="shared" si="993"/>
        <v/>
      </c>
      <c r="FB91" s="66" t="str">
        <f t="shared" si="994"/>
        <v/>
      </c>
      <c r="FC91" s="66" t="str">
        <f t="shared" si="995"/>
        <v/>
      </c>
      <c r="FD91" s="66" t="str">
        <f t="shared" si="996"/>
        <v/>
      </c>
      <c r="FE91" s="66" t="str">
        <f t="shared" si="997"/>
        <v/>
      </c>
      <c r="FF91" s="66" t="str">
        <f t="shared" si="998"/>
        <v/>
      </c>
      <c r="FG91" s="66" t="str">
        <f t="shared" si="999"/>
        <v/>
      </c>
      <c r="FH91" s="66" t="str">
        <f t="shared" si="1000"/>
        <v/>
      </c>
      <c r="FI91" s="66" t="str">
        <f t="shared" si="1001"/>
        <v/>
      </c>
      <c r="FJ91" s="66" t="str">
        <f t="shared" si="1002"/>
        <v/>
      </c>
      <c r="FK91" s="66" t="str">
        <f t="shared" si="1003"/>
        <v/>
      </c>
      <c r="FL91" s="66" t="str">
        <f t="shared" si="1004"/>
        <v/>
      </c>
      <c r="FM91" s="66" t="str">
        <f t="shared" si="1005"/>
        <v/>
      </c>
      <c r="FN91" s="66" t="str">
        <f t="shared" si="1006"/>
        <v/>
      </c>
      <c r="FO91" s="66" t="str">
        <f t="shared" si="1007"/>
        <v/>
      </c>
      <c r="FP91" s="66" t="str">
        <f t="shared" si="1008"/>
        <v/>
      </c>
      <c r="FQ91" s="66" t="str">
        <f t="shared" si="1009"/>
        <v/>
      </c>
      <c r="FR91" s="66" t="str">
        <f t="shared" si="1010"/>
        <v/>
      </c>
      <c r="FS91" s="66" t="str">
        <f t="shared" si="1011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2"/>
        <v>|CffCCCCCC道果属性：|r|n攻击+33750|n业力+27000|n生命值+675000|n生命回复+13500|n物理伤害+18%|n法术伤害+15%|n杀敌攻击+8|n杀敌业力+1|n杀敌生命+30|n|n|Cff00FF7F点击吸收道果，强行突破境界。|r</v>
      </c>
      <c r="U92" s="77" t="s">
        <v>398</v>
      </c>
      <c r="CN92" s="36" t="str">
        <f t="shared" ref="CN92:CN95" si="1013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4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5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6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17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18">T92</f>
        <v>|CffCCCCCC道果属性：|r|n攻击+33750|n业力+27000|n生命值+675000|n生命回复+13500|n物理伤害+18%|n法术伤害+15%|n杀敌攻击+8|n杀敌业力+1|n杀敌生命+30|n|n|Cff00FF7F点击吸收道果，强行突破境界。|r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0"/>
        <v/>
      </c>
      <c r="DC92" s="66" t="str">
        <f t="shared" si="651"/>
        <v/>
      </c>
      <c r="DD92" s="66" t="str">
        <f t="shared" si="652"/>
        <v/>
      </c>
      <c r="DE92" s="66" t="str">
        <f t="shared" si="653"/>
        <v/>
      </c>
      <c r="DF92" s="66" t="str">
        <f t="shared" si="654"/>
        <v/>
      </c>
      <c r="DG92" s="66" t="str">
        <f t="shared" si="655"/>
        <v/>
      </c>
      <c r="DH92" s="66" t="str">
        <f t="shared" si="656"/>
        <v/>
      </c>
      <c r="DI92" s="66" t="str">
        <f t="shared" si="657"/>
        <v/>
      </c>
      <c r="DJ92" s="66" t="str">
        <f t="shared" si="658"/>
        <v/>
      </c>
      <c r="DK92" s="66" t="str">
        <f t="shared" si="659"/>
        <v/>
      </c>
      <c r="DL92" s="66" t="str">
        <f t="shared" si="660"/>
        <v/>
      </c>
      <c r="DM92" s="66" t="str">
        <f t="shared" si="661"/>
        <v/>
      </c>
      <c r="DN92" s="66" t="str">
        <f t="shared" si="662"/>
        <v/>
      </c>
      <c r="DO92" s="66" t="str">
        <f t="shared" si="663"/>
        <v/>
      </c>
      <c r="DP92" s="66" t="str">
        <f t="shared" si="664"/>
        <v/>
      </c>
      <c r="DQ92" s="66" t="str">
        <f t="shared" si="665"/>
        <v/>
      </c>
      <c r="DR92" s="66" t="str">
        <f t="shared" si="666"/>
        <v/>
      </c>
      <c r="DS92" s="66" t="str">
        <f t="shared" si="667"/>
        <v/>
      </c>
      <c r="DT92" s="66" t="str">
        <f t="shared" si="668"/>
        <v/>
      </c>
      <c r="DU92" s="66" t="str">
        <f t="shared" si="669"/>
        <v/>
      </c>
      <c r="DV92" s="66" t="str">
        <f t="shared" si="670"/>
        <v/>
      </c>
      <c r="DW92" s="66" t="str">
        <f t="shared" si="671"/>
        <v/>
      </c>
      <c r="DX92" s="66" t="str">
        <f t="shared" si="672"/>
        <v/>
      </c>
      <c r="DY92" s="66" t="str">
        <f t="shared" si="673"/>
        <v/>
      </c>
      <c r="DZ92" s="66" t="str">
        <f t="shared" si="674"/>
        <v/>
      </c>
      <c r="EA92" s="66" t="str">
        <f t="shared" si="675"/>
        <v/>
      </c>
      <c r="EB92" s="66" t="str">
        <f t="shared" si="676"/>
        <v/>
      </c>
      <c r="EC92" s="66" t="str">
        <f t="shared" si="677"/>
        <v/>
      </c>
      <c r="ED92" s="66" t="str">
        <f t="shared" si="678"/>
        <v/>
      </c>
      <c r="EE92" s="66" t="str">
        <f t="shared" si="679"/>
        <v/>
      </c>
      <c r="EF92" s="66" t="str">
        <f t="shared" si="680"/>
        <v/>
      </c>
      <c r="EG92" s="66" t="str">
        <f t="shared" si="681"/>
        <v/>
      </c>
      <c r="EH92" s="66" t="str">
        <f t="shared" si="682"/>
        <v/>
      </c>
      <c r="EI92" s="66" t="str">
        <f t="shared" si="683"/>
        <v/>
      </c>
      <c r="EJ92" s="66" t="str">
        <f t="shared" si="684"/>
        <v/>
      </c>
      <c r="EK92" s="66" t="str">
        <f t="shared" si="685"/>
        <v/>
      </c>
      <c r="EL92" s="66" t="str">
        <f t="shared" si="686"/>
        <v/>
      </c>
      <c r="EM92" s="66" t="str">
        <f t="shared" si="687"/>
        <v/>
      </c>
      <c r="EN92" s="66" t="str">
        <f t="shared" si="688"/>
        <v/>
      </c>
      <c r="EO92" s="66" t="str">
        <f t="shared" si="689"/>
        <v/>
      </c>
      <c r="EP92" s="66" t="str">
        <f t="shared" si="690"/>
        <v/>
      </c>
      <c r="EQ92" s="66" t="str">
        <f t="shared" si="691"/>
        <v/>
      </c>
      <c r="ER92" s="66" t="str">
        <f t="shared" si="692"/>
        <v/>
      </c>
      <c r="ES92" s="66" t="str">
        <f t="shared" si="693"/>
        <v/>
      </c>
      <c r="ET92" s="66" t="str">
        <f t="shared" si="694"/>
        <v/>
      </c>
      <c r="EU92" s="66" t="str">
        <f t="shared" si="695"/>
        <v/>
      </c>
      <c r="EV92" s="66" t="str">
        <f t="shared" si="696"/>
        <v/>
      </c>
      <c r="EW92" s="66" t="str">
        <f t="shared" si="697"/>
        <v/>
      </c>
      <c r="EX92" s="66" t="str">
        <f t="shared" si="698"/>
        <v/>
      </c>
      <c r="EY92" s="66" t="str">
        <f t="shared" si="699"/>
        <v/>
      </c>
      <c r="EZ92" s="66" t="str">
        <f t="shared" si="700"/>
        <v/>
      </c>
      <c r="FA92" s="66" t="str">
        <f t="shared" si="701"/>
        <v/>
      </c>
      <c r="FB92" s="66" t="str">
        <f t="shared" si="702"/>
        <v/>
      </c>
      <c r="FC92" s="66" t="str">
        <f t="shared" si="703"/>
        <v/>
      </c>
      <c r="FD92" s="66" t="str">
        <f t="shared" si="704"/>
        <v/>
      </c>
      <c r="FE92" s="66" t="str">
        <f t="shared" si="705"/>
        <v/>
      </c>
      <c r="FF92" s="66" t="str">
        <f t="shared" si="706"/>
        <v/>
      </c>
      <c r="FG92" s="66" t="str">
        <f t="shared" si="707"/>
        <v/>
      </c>
      <c r="FH92" s="66" t="str">
        <f t="shared" si="708"/>
        <v/>
      </c>
      <c r="FI92" s="66" t="str">
        <f t="shared" si="709"/>
        <v/>
      </c>
      <c r="FJ92" s="66" t="str">
        <f t="shared" si="710"/>
        <v/>
      </c>
      <c r="FK92" s="66" t="str">
        <f t="shared" si="711"/>
        <v/>
      </c>
      <c r="FL92" s="66" t="str">
        <f t="shared" si="712"/>
        <v/>
      </c>
      <c r="FM92" s="66" t="str">
        <f t="shared" si="713"/>
        <v/>
      </c>
      <c r="FN92" s="66" t="str">
        <f t="shared" si="714"/>
        <v/>
      </c>
      <c r="FO92" s="66" t="str">
        <f t="shared" si="715"/>
        <v/>
      </c>
      <c r="FP92" s="66" t="str">
        <f t="shared" si="716"/>
        <v/>
      </c>
      <c r="FQ92" s="66" t="str">
        <f t="shared" si="717"/>
        <v/>
      </c>
      <c r="FR92" s="66" t="str">
        <f t="shared" si="718"/>
        <v/>
      </c>
      <c r="FS92" s="66" t="str">
        <f t="shared" si="719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2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U93" s="77" t="s">
        <v>401</v>
      </c>
      <c r="CN93" s="36" t="str">
        <f t="shared" si="1013"/>
        <v>InitUnitState('ID06',,,,,,,,,,)</v>
      </c>
      <c r="CO93" s="36" t="str">
        <f t="shared" si="1014"/>
        <v>InitUnitNormal('ID06',,,,,,,,,,)</v>
      </c>
      <c r="CP93" s="36" t="str">
        <f t="shared" si="1015"/>
        <v>InitUnitMagic('ID06',,,,,,,,,,)</v>
      </c>
      <c r="CQ93" s="36" t="str">
        <f t="shared" si="1016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17"/>
        <v>|n</v>
      </c>
      <c r="CV93" s="19" t="str">
        <f t="shared" si="1018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0"/>
        <v/>
      </c>
      <c r="DC93" s="66" t="str">
        <f t="shared" si="651"/>
        <v/>
      </c>
      <c r="DD93" s="66" t="str">
        <f t="shared" si="652"/>
        <v/>
      </c>
      <c r="DE93" s="66" t="str">
        <f t="shared" si="653"/>
        <v/>
      </c>
      <c r="DF93" s="66" t="str">
        <f t="shared" si="654"/>
        <v/>
      </c>
      <c r="DG93" s="66" t="str">
        <f t="shared" si="655"/>
        <v/>
      </c>
      <c r="DH93" s="66" t="str">
        <f t="shared" si="656"/>
        <v/>
      </c>
      <c r="DI93" s="66" t="str">
        <f t="shared" si="657"/>
        <v/>
      </c>
      <c r="DJ93" s="66" t="str">
        <f t="shared" si="658"/>
        <v/>
      </c>
      <c r="DK93" s="66" t="str">
        <f t="shared" si="659"/>
        <v/>
      </c>
      <c r="DL93" s="66" t="str">
        <f t="shared" si="660"/>
        <v/>
      </c>
      <c r="DM93" s="66" t="str">
        <f t="shared" si="661"/>
        <v/>
      </c>
      <c r="DN93" s="66" t="str">
        <f t="shared" si="662"/>
        <v/>
      </c>
      <c r="DO93" s="66" t="str">
        <f t="shared" si="663"/>
        <v/>
      </c>
      <c r="DP93" s="66" t="str">
        <f t="shared" si="664"/>
        <v/>
      </c>
      <c r="DQ93" s="66" t="str">
        <f t="shared" si="665"/>
        <v/>
      </c>
      <c r="DR93" s="66" t="str">
        <f t="shared" si="666"/>
        <v/>
      </c>
      <c r="DS93" s="66" t="str">
        <f t="shared" si="667"/>
        <v/>
      </c>
      <c r="DT93" s="66" t="str">
        <f t="shared" si="668"/>
        <v/>
      </c>
      <c r="DU93" s="66" t="str">
        <f t="shared" si="669"/>
        <v/>
      </c>
      <c r="DV93" s="66" t="str">
        <f t="shared" si="670"/>
        <v/>
      </c>
      <c r="DW93" s="66" t="str">
        <f t="shared" si="671"/>
        <v/>
      </c>
      <c r="DX93" s="66" t="str">
        <f t="shared" si="672"/>
        <v/>
      </c>
      <c r="DY93" s="66" t="str">
        <f t="shared" si="673"/>
        <v/>
      </c>
      <c r="DZ93" s="66" t="str">
        <f t="shared" si="674"/>
        <v/>
      </c>
      <c r="EA93" s="66" t="str">
        <f t="shared" si="675"/>
        <v/>
      </c>
      <c r="EB93" s="66" t="str">
        <f t="shared" si="676"/>
        <v/>
      </c>
      <c r="EC93" s="66" t="str">
        <f t="shared" si="677"/>
        <v/>
      </c>
      <c r="ED93" s="66" t="str">
        <f t="shared" si="678"/>
        <v/>
      </c>
      <c r="EE93" s="66" t="str">
        <f t="shared" si="679"/>
        <v/>
      </c>
      <c r="EF93" s="66" t="str">
        <f t="shared" si="680"/>
        <v/>
      </c>
      <c r="EG93" s="66" t="str">
        <f t="shared" si="681"/>
        <v/>
      </c>
      <c r="EH93" s="66" t="str">
        <f t="shared" si="682"/>
        <v/>
      </c>
      <c r="EI93" s="66" t="str">
        <f t="shared" si="683"/>
        <v/>
      </c>
      <c r="EJ93" s="66" t="str">
        <f t="shared" si="684"/>
        <v/>
      </c>
      <c r="EK93" s="66" t="str">
        <f t="shared" si="685"/>
        <v/>
      </c>
      <c r="EL93" s="66" t="str">
        <f t="shared" si="686"/>
        <v/>
      </c>
      <c r="EM93" s="66" t="str">
        <f t="shared" si="687"/>
        <v/>
      </c>
      <c r="EN93" s="66" t="str">
        <f t="shared" si="688"/>
        <v/>
      </c>
      <c r="EO93" s="66" t="str">
        <f t="shared" si="689"/>
        <v/>
      </c>
      <c r="EP93" s="66" t="str">
        <f t="shared" si="690"/>
        <v/>
      </c>
      <c r="EQ93" s="66" t="str">
        <f t="shared" si="691"/>
        <v/>
      </c>
      <c r="ER93" s="66" t="str">
        <f t="shared" si="692"/>
        <v/>
      </c>
      <c r="ES93" s="66" t="str">
        <f t="shared" si="693"/>
        <v/>
      </c>
      <c r="ET93" s="66" t="str">
        <f t="shared" si="694"/>
        <v/>
      </c>
      <c r="EU93" s="66" t="str">
        <f t="shared" si="695"/>
        <v/>
      </c>
      <c r="EV93" s="66" t="str">
        <f t="shared" si="696"/>
        <v/>
      </c>
      <c r="EW93" s="66" t="str">
        <f t="shared" si="697"/>
        <v/>
      </c>
      <c r="EX93" s="66" t="str">
        <f t="shared" si="698"/>
        <v/>
      </c>
      <c r="EY93" s="66" t="str">
        <f t="shared" si="699"/>
        <v/>
      </c>
      <c r="EZ93" s="66" t="str">
        <f t="shared" si="700"/>
        <v/>
      </c>
      <c r="FA93" s="66" t="str">
        <f t="shared" si="701"/>
        <v/>
      </c>
      <c r="FB93" s="66" t="str">
        <f t="shared" si="702"/>
        <v/>
      </c>
      <c r="FC93" s="66" t="str">
        <f t="shared" si="703"/>
        <v/>
      </c>
      <c r="FD93" s="66" t="str">
        <f t="shared" si="704"/>
        <v/>
      </c>
      <c r="FE93" s="66" t="str">
        <f t="shared" si="705"/>
        <v/>
      </c>
      <c r="FF93" s="66" t="str">
        <f t="shared" si="706"/>
        <v/>
      </c>
      <c r="FG93" s="66" t="str">
        <f t="shared" si="707"/>
        <v/>
      </c>
      <c r="FH93" s="66" t="str">
        <f t="shared" si="708"/>
        <v/>
      </c>
      <c r="FI93" s="66" t="str">
        <f t="shared" si="709"/>
        <v/>
      </c>
      <c r="FJ93" s="66" t="str">
        <f t="shared" si="710"/>
        <v/>
      </c>
      <c r="FK93" s="66" t="str">
        <f t="shared" si="711"/>
        <v/>
      </c>
      <c r="FL93" s="66" t="str">
        <f t="shared" si="712"/>
        <v/>
      </c>
      <c r="FM93" s="66" t="str">
        <f t="shared" si="713"/>
        <v/>
      </c>
      <c r="FN93" s="66" t="str">
        <f t="shared" si="714"/>
        <v/>
      </c>
      <c r="FO93" s="66" t="str">
        <f t="shared" si="715"/>
        <v/>
      </c>
      <c r="FP93" s="66" t="str">
        <f t="shared" si="716"/>
        <v/>
      </c>
      <c r="FQ93" s="66" t="str">
        <f t="shared" si="717"/>
        <v/>
      </c>
      <c r="FR93" s="66" t="str">
        <f t="shared" si="718"/>
        <v/>
      </c>
      <c r="FS93" s="66" t="str">
        <f t="shared" si="719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2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U94" s="77" t="s">
        <v>404</v>
      </c>
      <c r="CN94" s="36" t="str">
        <f t="shared" si="1013"/>
        <v>InitUnitState('ID07',,,,,,,,,,)</v>
      </c>
      <c r="CO94" s="36" t="str">
        <f t="shared" si="1014"/>
        <v>InitUnitNormal('ID07',,,,,,,,,,)</v>
      </c>
      <c r="CP94" s="36" t="str">
        <f t="shared" si="1015"/>
        <v>InitUnitMagic('ID07',,,,,,,,,,)</v>
      </c>
      <c r="CQ94" s="36" t="str">
        <f t="shared" si="1016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17"/>
        <v>|n</v>
      </c>
      <c r="CV94" s="19" t="str">
        <f t="shared" si="1018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19">IF(V94="","","|n"&amp;DB$2&amp;"+"&amp;V94&amp;DB$1)</f>
        <v/>
      </c>
      <c r="DC94" s="66" t="str">
        <f t="shared" ref="DC94" si="1020">IF(W94="","","|n"&amp;DC$2&amp;"+"&amp;W94&amp;DC$1)</f>
        <v/>
      </c>
      <c r="DD94" s="66" t="str">
        <f t="shared" ref="DD94" si="1021">IF(X94="","","|n"&amp;DD$2&amp;"+"&amp;X94&amp;DD$1)</f>
        <v/>
      </c>
      <c r="DE94" s="66" t="str">
        <f t="shared" ref="DE94" si="1022">IF(Y94="","","|n"&amp;DE$2&amp;"+"&amp;Y94&amp;DE$1)</f>
        <v/>
      </c>
      <c r="DF94" s="66" t="str">
        <f t="shared" ref="DF94" si="1023">IF(Z94="","","|n"&amp;DF$2&amp;"+"&amp;Z94&amp;DF$1)</f>
        <v/>
      </c>
      <c r="DG94" s="66" t="str">
        <f t="shared" ref="DG94" si="1024">IF(AA94="","","|n"&amp;DG$2&amp;"+"&amp;AA94&amp;DG$1)</f>
        <v/>
      </c>
      <c r="DH94" s="66" t="str">
        <f t="shared" ref="DH94" si="1025">IF(AB94="","","|n"&amp;DH$2&amp;"+"&amp;AB94&amp;DH$1)</f>
        <v/>
      </c>
      <c r="DI94" s="66" t="str">
        <f t="shared" ref="DI94" si="1026">IF(AC94="","","|n"&amp;DI$2&amp;"+"&amp;AC94&amp;DI$1)</f>
        <v/>
      </c>
      <c r="DJ94" s="66" t="str">
        <f t="shared" ref="DJ94" si="1027">IF(AD94="","","|n"&amp;DJ$2&amp;"+"&amp;AD94&amp;DJ$1)</f>
        <v/>
      </c>
      <c r="DK94" s="66" t="str">
        <f t="shared" ref="DK94" si="1028">IF(AE94="","","|n"&amp;DK$2&amp;"+"&amp;AE94&amp;DK$1)</f>
        <v/>
      </c>
      <c r="DL94" s="66" t="str">
        <f t="shared" ref="DL94" si="1029">IF(AF94="","","|n"&amp;DL$2&amp;"+"&amp;AF94&amp;DL$1)</f>
        <v/>
      </c>
      <c r="DM94" s="66" t="str">
        <f t="shared" ref="DM94" si="1030">IF(AG94="","","|n"&amp;DM$2&amp;"+"&amp;AG94&amp;DM$1)</f>
        <v/>
      </c>
      <c r="DN94" s="66" t="str">
        <f t="shared" ref="DN94" si="1031">IF(AH94="","","|n"&amp;DN$2&amp;"+"&amp;AH94&amp;DN$1)</f>
        <v/>
      </c>
      <c r="DO94" s="66" t="str">
        <f t="shared" ref="DO94" si="1032">IF(AI94="","","|n"&amp;DO$2&amp;"+"&amp;AI94&amp;DO$1)</f>
        <v/>
      </c>
      <c r="DP94" s="66" t="str">
        <f t="shared" ref="DP94" si="1033">IF(AJ94="","","|n"&amp;DP$2&amp;"+"&amp;AJ94&amp;DP$1)</f>
        <v/>
      </c>
      <c r="DQ94" s="66" t="str">
        <f t="shared" ref="DQ94" si="1034">IF(AK94="","","|n"&amp;DQ$2&amp;"+"&amp;AK94&amp;DQ$1)</f>
        <v/>
      </c>
      <c r="DR94" s="66" t="str">
        <f t="shared" ref="DR94" si="1035">IF(AL94="","","|n"&amp;DR$2&amp;"+"&amp;AL94&amp;DR$1)</f>
        <v/>
      </c>
      <c r="DS94" s="66" t="str">
        <f t="shared" ref="DS94" si="1036">IF(AM94="","","|n"&amp;DS$2&amp;"+"&amp;AM94&amp;DS$1)</f>
        <v/>
      </c>
      <c r="DT94" s="66" t="str">
        <f t="shared" ref="DT94" si="1037">IF(AN94="","","|n"&amp;DT$2&amp;"+"&amp;AN94&amp;DT$1)</f>
        <v/>
      </c>
      <c r="DU94" s="66" t="str">
        <f t="shared" ref="DU94" si="1038">IF(AO94="","","|n"&amp;DU$2&amp;"+"&amp;AO94&amp;DU$1)</f>
        <v/>
      </c>
      <c r="DV94" s="66" t="str">
        <f t="shared" ref="DV94" si="1039">IF(AP94="","","|n"&amp;DV$2&amp;"+"&amp;AP94&amp;DV$1)</f>
        <v/>
      </c>
      <c r="DW94" s="66" t="str">
        <f t="shared" ref="DW94" si="1040">IF(AQ94="","","|n"&amp;DW$2&amp;"+"&amp;AQ94&amp;DW$1)</f>
        <v/>
      </c>
      <c r="DX94" s="66" t="str">
        <f t="shared" ref="DX94" si="1041">IF(AR94="","","|n"&amp;DX$2&amp;"+"&amp;AR94&amp;DX$1)</f>
        <v/>
      </c>
      <c r="DY94" s="66" t="str">
        <f t="shared" ref="DY94" si="1042">IF(AS94="","","|n"&amp;DY$2&amp;"+"&amp;AS94&amp;DY$1)</f>
        <v/>
      </c>
      <c r="DZ94" s="66" t="str">
        <f t="shared" ref="DZ94" si="1043">IF(AT94="","","|n"&amp;DZ$2&amp;"+"&amp;AT94&amp;DZ$1)</f>
        <v/>
      </c>
      <c r="EA94" s="66" t="str">
        <f t="shared" ref="EA94" si="1044">IF(AU94="","","|n"&amp;EA$2&amp;"+"&amp;AU94&amp;EA$1)</f>
        <v/>
      </c>
      <c r="EB94" s="66" t="str">
        <f t="shared" ref="EB94" si="1045">IF(AV94="","","|n"&amp;EB$2&amp;"+"&amp;AV94&amp;EB$1)</f>
        <v/>
      </c>
      <c r="EC94" s="66" t="str">
        <f t="shared" ref="EC94" si="1046">IF(AW94="","","|n"&amp;EC$2&amp;"+"&amp;AW94&amp;EC$1)</f>
        <v/>
      </c>
      <c r="ED94" s="66" t="str">
        <f t="shared" ref="ED94" si="1047">IF(AX94="","","|n"&amp;ED$2&amp;"+"&amp;AX94&amp;ED$1)</f>
        <v/>
      </c>
      <c r="EE94" s="66" t="str">
        <f t="shared" ref="EE94" si="1048">IF(AY94="","","|n"&amp;EE$2&amp;"+"&amp;AY94&amp;EE$1)</f>
        <v/>
      </c>
      <c r="EF94" s="66" t="str">
        <f t="shared" ref="EF94" si="1049">IF(AZ94="","","|n"&amp;EF$2&amp;"+"&amp;AZ94&amp;EF$1)</f>
        <v/>
      </c>
      <c r="EG94" s="66" t="str">
        <f t="shared" ref="EG94" si="1050">IF(BA94="","","|n"&amp;EG$2&amp;"+"&amp;BA94&amp;EG$1)</f>
        <v/>
      </c>
      <c r="EH94" s="66" t="str">
        <f t="shared" ref="EH94" si="1051">IF(BB94="","","|n"&amp;EH$2&amp;"+"&amp;BB94&amp;EH$1)</f>
        <v/>
      </c>
      <c r="EI94" s="66" t="str">
        <f t="shared" ref="EI94" si="1052">IF(BC94="","","|n"&amp;EI$2&amp;"+"&amp;BC94&amp;EI$1)</f>
        <v/>
      </c>
      <c r="EJ94" s="66" t="str">
        <f t="shared" ref="EJ94" si="1053">IF(BD94="","","|n"&amp;EJ$2&amp;"+"&amp;BD94&amp;EJ$1)</f>
        <v/>
      </c>
      <c r="EK94" s="66" t="str">
        <f t="shared" ref="EK94" si="1054">IF(BE94="","","|n"&amp;EK$2&amp;"+"&amp;BE94&amp;EK$1)</f>
        <v/>
      </c>
      <c r="EL94" s="66" t="str">
        <f t="shared" ref="EL94" si="1055">IF(BF94="","","|n"&amp;EL$2&amp;"+"&amp;BF94&amp;EL$1)</f>
        <v/>
      </c>
      <c r="EM94" s="66" t="str">
        <f t="shared" ref="EM94" si="1056">IF(BG94="","","|n"&amp;EM$2&amp;"+"&amp;BG94&amp;EM$1)</f>
        <v/>
      </c>
      <c r="EN94" s="66" t="str">
        <f t="shared" ref="EN94" si="1057">IF(BH94="","","|n"&amp;EN$2&amp;"+"&amp;BH94&amp;EN$1)</f>
        <v/>
      </c>
      <c r="EO94" s="66" t="str">
        <f t="shared" ref="EO94" si="1058">IF(BI94="","","|n"&amp;EO$2&amp;"+"&amp;BI94&amp;EO$1)</f>
        <v/>
      </c>
      <c r="EP94" s="66" t="str">
        <f t="shared" ref="EP94" si="1059">IF(BJ94="","","|n"&amp;EP$2&amp;"+"&amp;BJ94&amp;EP$1)</f>
        <v/>
      </c>
      <c r="EQ94" s="66" t="str">
        <f t="shared" ref="EQ94" si="1060">IF(BK94="","","|n"&amp;EQ$2&amp;"+"&amp;BK94&amp;EQ$1)</f>
        <v/>
      </c>
      <c r="ER94" s="66" t="str">
        <f t="shared" ref="ER94" si="1061">IF(BL94="","","|n"&amp;ER$2&amp;"+"&amp;BL94&amp;ER$1)</f>
        <v/>
      </c>
      <c r="ES94" s="66" t="str">
        <f t="shared" ref="ES94" si="1062">IF(BM94="","","|n"&amp;ES$2&amp;"+"&amp;BM94&amp;ES$1)</f>
        <v/>
      </c>
      <c r="ET94" s="66" t="str">
        <f t="shared" ref="ET94" si="1063">IF(BN94="","","|n"&amp;ET$2&amp;"+"&amp;BN94&amp;ET$1)</f>
        <v/>
      </c>
      <c r="EU94" s="66" t="str">
        <f t="shared" ref="EU94" si="1064">IF(BO94="","","|n"&amp;EU$2&amp;"+"&amp;BO94&amp;EU$1)</f>
        <v/>
      </c>
      <c r="EV94" s="66" t="str">
        <f t="shared" ref="EV94" si="1065">IF(BP94="","","|n"&amp;EV$2&amp;"+"&amp;BP94&amp;EV$1)</f>
        <v/>
      </c>
      <c r="EW94" s="66" t="str">
        <f t="shared" ref="EW94" si="1066">IF(BQ94="","","|n"&amp;EW$2&amp;"+"&amp;BQ94&amp;EW$1)</f>
        <v/>
      </c>
      <c r="EX94" s="66" t="str">
        <f t="shared" ref="EX94" si="1067">IF(BR94="","","|n"&amp;EX$2&amp;"+"&amp;BR94&amp;EX$1)</f>
        <v/>
      </c>
      <c r="EY94" s="66" t="str">
        <f t="shared" ref="EY94" si="1068">IF(BS94="","","|n"&amp;EY$2&amp;"+"&amp;BS94&amp;EY$1)</f>
        <v/>
      </c>
      <c r="EZ94" s="66" t="str">
        <f t="shared" ref="EZ94" si="1069">IF(BT94="","","|n"&amp;EZ$2&amp;"+"&amp;BT94&amp;EZ$1)</f>
        <v/>
      </c>
      <c r="FA94" s="66" t="str">
        <f t="shared" ref="FA94" si="1070">IF(BU94="","","|n"&amp;FA$2&amp;"+"&amp;BU94&amp;FA$1)</f>
        <v/>
      </c>
      <c r="FB94" s="66" t="str">
        <f t="shared" ref="FB94" si="1071">IF(BV94="","","|n"&amp;FB$2&amp;"+"&amp;BV94&amp;FB$1)</f>
        <v/>
      </c>
      <c r="FC94" s="66" t="str">
        <f t="shared" ref="FC94" si="1072">IF(BW94="","","|n"&amp;FC$2&amp;"+"&amp;BW94&amp;FC$1)</f>
        <v/>
      </c>
      <c r="FD94" s="66" t="str">
        <f t="shared" ref="FD94" si="1073">IF(BX94="","","|n"&amp;FD$2&amp;"+"&amp;BX94&amp;FD$1)</f>
        <v/>
      </c>
      <c r="FE94" s="66" t="str">
        <f t="shared" ref="FE94" si="1074">IF(BY94="","","|n"&amp;FE$2&amp;"+"&amp;BY94&amp;FE$1)</f>
        <v/>
      </c>
      <c r="FF94" s="66" t="str">
        <f t="shared" ref="FF94" si="1075">IF(BZ94="","","|n"&amp;FF$2&amp;"+"&amp;BZ94&amp;FF$1)</f>
        <v/>
      </c>
      <c r="FG94" s="66" t="str">
        <f t="shared" ref="FG94" si="1076">IF(CA94="","","|n"&amp;FG$2&amp;"+"&amp;CA94&amp;FG$1)</f>
        <v/>
      </c>
      <c r="FH94" s="66" t="str">
        <f t="shared" ref="FH94" si="1077">IF(CB94="","","|n"&amp;FH$2&amp;"+"&amp;CB94&amp;FH$1)</f>
        <v/>
      </c>
      <c r="FI94" s="66" t="str">
        <f t="shared" ref="FI94" si="1078">IF(CC94="","","|n"&amp;FI$2&amp;"+"&amp;CC94&amp;FI$1)</f>
        <v/>
      </c>
      <c r="FJ94" s="66" t="str">
        <f t="shared" ref="FJ94" si="1079">IF(CD94="","","|n"&amp;FJ$2&amp;"+"&amp;CD94&amp;FJ$1)</f>
        <v/>
      </c>
      <c r="FK94" s="66" t="str">
        <f t="shared" ref="FK94" si="1080">IF(CE94="","","|n"&amp;FK$2&amp;"+"&amp;CE94&amp;FK$1)</f>
        <v/>
      </c>
      <c r="FL94" s="66" t="str">
        <f t="shared" ref="FL94" si="1081">IF(CF94="","","|n"&amp;FL$2&amp;"+"&amp;CF94&amp;FL$1)</f>
        <v/>
      </c>
      <c r="FM94" s="66" t="str">
        <f t="shared" ref="FM94" si="1082">IF(CG94="","","|n"&amp;FM$2&amp;"+"&amp;CG94&amp;FM$1)</f>
        <v/>
      </c>
      <c r="FN94" s="66" t="str">
        <f t="shared" ref="FN94" si="1083">IF(CH94="","","|n"&amp;FN$2&amp;"+"&amp;CH94&amp;FN$1)</f>
        <v/>
      </c>
      <c r="FO94" s="66" t="str">
        <f t="shared" ref="FO94" si="1084">IF(CI94="","","|n"&amp;FO$2&amp;"+"&amp;CI94&amp;FO$1)</f>
        <v/>
      </c>
      <c r="FP94" s="66" t="str">
        <f t="shared" ref="FP94" si="1085">IF(CJ94="","","|n"&amp;FP$2&amp;"+"&amp;CJ94&amp;FP$1)</f>
        <v/>
      </c>
      <c r="FQ94" s="66" t="str">
        <f t="shared" ref="FQ94" si="1086">IF(CK94="","","|n"&amp;FQ$2&amp;"+"&amp;CK94&amp;FQ$1)</f>
        <v/>
      </c>
      <c r="FR94" s="66" t="str">
        <f t="shared" ref="FR94" si="1087">IF(CL94="","","|n"&amp;FR$2&amp;"+"&amp;CL94&amp;FR$1)</f>
        <v/>
      </c>
      <c r="FS94" s="66" t="str">
        <f t="shared" ref="FS94" si="1088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2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U95" s="77" t="s">
        <v>407</v>
      </c>
      <c r="CN95" s="36" t="str">
        <f t="shared" si="1013"/>
        <v>InitUnitState('ID08',,,,,,,,,,)</v>
      </c>
      <c r="CO95" s="36" t="str">
        <f t="shared" si="1014"/>
        <v>InitUnitNormal('ID08',,,,,,,,,,)</v>
      </c>
      <c r="CP95" s="36" t="str">
        <f t="shared" si="1015"/>
        <v>InitUnitMagic('ID08',,,,,,,,,,)</v>
      </c>
      <c r="CQ95" s="36" t="str">
        <f t="shared" si="1016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17"/>
        <v>|n</v>
      </c>
      <c r="CV95" s="19" t="str">
        <f t="shared" si="1018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89">IF(V95="","","|n"&amp;DB$2&amp;"+"&amp;V95&amp;DB$1)</f>
        <v/>
      </c>
      <c r="DC95" s="66" t="str">
        <f t="shared" ref="DC95" si="1090">IF(W95="","","|n"&amp;DC$2&amp;"+"&amp;W95&amp;DC$1)</f>
        <v/>
      </c>
      <c r="DD95" s="66" t="str">
        <f t="shared" ref="DD95" si="1091">IF(X95="","","|n"&amp;DD$2&amp;"+"&amp;X95&amp;DD$1)</f>
        <v/>
      </c>
      <c r="DE95" s="66" t="str">
        <f t="shared" ref="DE95" si="1092">IF(Y95="","","|n"&amp;DE$2&amp;"+"&amp;Y95&amp;DE$1)</f>
        <v/>
      </c>
      <c r="DF95" s="66" t="str">
        <f t="shared" ref="DF95" si="1093">IF(Z95="","","|n"&amp;DF$2&amp;"+"&amp;Z95&amp;DF$1)</f>
        <v/>
      </c>
      <c r="DG95" s="66" t="str">
        <f t="shared" ref="DG95" si="1094">IF(AA95="","","|n"&amp;DG$2&amp;"+"&amp;AA95&amp;DG$1)</f>
        <v/>
      </c>
      <c r="DH95" s="66" t="str">
        <f t="shared" ref="DH95" si="1095">IF(AB95="","","|n"&amp;DH$2&amp;"+"&amp;AB95&amp;DH$1)</f>
        <v/>
      </c>
      <c r="DI95" s="66" t="str">
        <f t="shared" ref="DI95" si="1096">IF(AC95="","","|n"&amp;DI$2&amp;"+"&amp;AC95&amp;DI$1)</f>
        <v/>
      </c>
      <c r="DJ95" s="66" t="str">
        <f t="shared" ref="DJ95" si="1097">IF(AD95="","","|n"&amp;DJ$2&amp;"+"&amp;AD95&amp;DJ$1)</f>
        <v/>
      </c>
      <c r="DK95" s="66" t="str">
        <f t="shared" ref="DK95" si="1098">IF(AE95="","","|n"&amp;DK$2&amp;"+"&amp;AE95&amp;DK$1)</f>
        <v/>
      </c>
      <c r="DL95" s="66" t="str">
        <f t="shared" ref="DL95" si="1099">IF(AF95="","","|n"&amp;DL$2&amp;"+"&amp;AF95&amp;DL$1)</f>
        <v/>
      </c>
      <c r="DM95" s="66" t="str">
        <f t="shared" ref="DM95" si="1100">IF(AG95="","","|n"&amp;DM$2&amp;"+"&amp;AG95&amp;DM$1)</f>
        <v/>
      </c>
      <c r="DN95" s="66" t="str">
        <f t="shared" ref="DN95" si="1101">IF(AH95="","","|n"&amp;DN$2&amp;"+"&amp;AH95&amp;DN$1)</f>
        <v/>
      </c>
      <c r="DO95" s="66" t="str">
        <f t="shared" ref="DO95" si="1102">IF(AI95="","","|n"&amp;DO$2&amp;"+"&amp;AI95&amp;DO$1)</f>
        <v/>
      </c>
      <c r="DP95" s="66" t="str">
        <f t="shared" ref="DP95" si="1103">IF(AJ95="","","|n"&amp;DP$2&amp;"+"&amp;AJ95&amp;DP$1)</f>
        <v/>
      </c>
      <c r="DQ95" s="66" t="str">
        <f t="shared" ref="DQ95" si="1104">IF(AK95="","","|n"&amp;DQ$2&amp;"+"&amp;AK95&amp;DQ$1)</f>
        <v/>
      </c>
      <c r="DR95" s="66" t="str">
        <f t="shared" ref="DR95" si="1105">IF(AL95="","","|n"&amp;DR$2&amp;"+"&amp;AL95&amp;DR$1)</f>
        <v/>
      </c>
      <c r="DS95" s="66" t="str">
        <f t="shared" ref="DS95" si="1106">IF(AM95="","","|n"&amp;DS$2&amp;"+"&amp;AM95&amp;DS$1)</f>
        <v/>
      </c>
      <c r="DT95" s="66" t="str">
        <f t="shared" ref="DT95" si="1107">IF(AN95="","","|n"&amp;DT$2&amp;"+"&amp;AN95&amp;DT$1)</f>
        <v/>
      </c>
      <c r="DU95" s="66" t="str">
        <f t="shared" ref="DU95" si="1108">IF(AO95="","","|n"&amp;DU$2&amp;"+"&amp;AO95&amp;DU$1)</f>
        <v/>
      </c>
      <c r="DV95" s="66" t="str">
        <f t="shared" ref="DV95" si="1109">IF(AP95="","","|n"&amp;DV$2&amp;"+"&amp;AP95&amp;DV$1)</f>
        <v/>
      </c>
      <c r="DW95" s="66" t="str">
        <f t="shared" ref="DW95" si="1110">IF(AQ95="","","|n"&amp;DW$2&amp;"+"&amp;AQ95&amp;DW$1)</f>
        <v/>
      </c>
      <c r="DX95" s="66" t="str">
        <f t="shared" ref="DX95" si="1111">IF(AR95="","","|n"&amp;DX$2&amp;"+"&amp;AR95&amp;DX$1)</f>
        <v/>
      </c>
      <c r="DY95" s="66" t="str">
        <f t="shared" ref="DY95" si="1112">IF(AS95="","","|n"&amp;DY$2&amp;"+"&amp;AS95&amp;DY$1)</f>
        <v/>
      </c>
      <c r="DZ95" s="66" t="str">
        <f t="shared" ref="DZ95" si="1113">IF(AT95="","","|n"&amp;DZ$2&amp;"+"&amp;AT95&amp;DZ$1)</f>
        <v/>
      </c>
      <c r="EA95" s="66" t="str">
        <f t="shared" ref="EA95" si="1114">IF(AU95="","","|n"&amp;EA$2&amp;"+"&amp;AU95&amp;EA$1)</f>
        <v/>
      </c>
      <c r="EB95" s="66" t="str">
        <f t="shared" ref="EB95" si="1115">IF(AV95="","","|n"&amp;EB$2&amp;"+"&amp;AV95&amp;EB$1)</f>
        <v/>
      </c>
      <c r="EC95" s="66" t="str">
        <f t="shared" ref="EC95" si="1116">IF(AW95="","","|n"&amp;EC$2&amp;"+"&amp;AW95&amp;EC$1)</f>
        <v/>
      </c>
      <c r="ED95" s="66" t="str">
        <f t="shared" ref="ED95" si="1117">IF(AX95="","","|n"&amp;ED$2&amp;"+"&amp;AX95&amp;ED$1)</f>
        <v/>
      </c>
      <c r="EE95" s="66" t="str">
        <f t="shared" ref="EE95" si="1118">IF(AY95="","","|n"&amp;EE$2&amp;"+"&amp;AY95&amp;EE$1)</f>
        <v/>
      </c>
      <c r="EF95" s="66" t="str">
        <f t="shared" ref="EF95" si="1119">IF(AZ95="","","|n"&amp;EF$2&amp;"+"&amp;AZ95&amp;EF$1)</f>
        <v/>
      </c>
      <c r="EG95" s="66" t="str">
        <f t="shared" ref="EG95" si="1120">IF(BA95="","","|n"&amp;EG$2&amp;"+"&amp;BA95&amp;EG$1)</f>
        <v/>
      </c>
      <c r="EH95" s="66" t="str">
        <f t="shared" ref="EH95" si="1121">IF(BB95="","","|n"&amp;EH$2&amp;"+"&amp;BB95&amp;EH$1)</f>
        <v/>
      </c>
      <c r="EI95" s="66" t="str">
        <f t="shared" ref="EI95" si="1122">IF(BC95="","","|n"&amp;EI$2&amp;"+"&amp;BC95&amp;EI$1)</f>
        <v/>
      </c>
      <c r="EJ95" s="66" t="str">
        <f t="shared" ref="EJ95" si="1123">IF(BD95="","","|n"&amp;EJ$2&amp;"+"&amp;BD95&amp;EJ$1)</f>
        <v/>
      </c>
      <c r="EK95" s="66" t="str">
        <f t="shared" ref="EK95" si="1124">IF(BE95="","","|n"&amp;EK$2&amp;"+"&amp;BE95&amp;EK$1)</f>
        <v/>
      </c>
      <c r="EL95" s="66" t="str">
        <f t="shared" ref="EL95" si="1125">IF(BF95="","","|n"&amp;EL$2&amp;"+"&amp;BF95&amp;EL$1)</f>
        <v/>
      </c>
      <c r="EM95" s="66" t="str">
        <f t="shared" ref="EM95" si="1126">IF(BG95="","","|n"&amp;EM$2&amp;"+"&amp;BG95&amp;EM$1)</f>
        <v/>
      </c>
      <c r="EN95" s="66" t="str">
        <f t="shared" ref="EN95" si="1127">IF(BH95="","","|n"&amp;EN$2&amp;"+"&amp;BH95&amp;EN$1)</f>
        <v/>
      </c>
      <c r="EO95" s="66" t="str">
        <f t="shared" ref="EO95" si="1128">IF(BI95="","","|n"&amp;EO$2&amp;"+"&amp;BI95&amp;EO$1)</f>
        <v/>
      </c>
      <c r="EP95" s="66" t="str">
        <f t="shared" ref="EP95" si="1129">IF(BJ95="","","|n"&amp;EP$2&amp;"+"&amp;BJ95&amp;EP$1)</f>
        <v/>
      </c>
      <c r="EQ95" s="66" t="str">
        <f t="shared" ref="EQ95" si="1130">IF(BK95="","","|n"&amp;EQ$2&amp;"+"&amp;BK95&amp;EQ$1)</f>
        <v/>
      </c>
      <c r="ER95" s="66" t="str">
        <f t="shared" ref="ER95" si="1131">IF(BL95="","","|n"&amp;ER$2&amp;"+"&amp;BL95&amp;ER$1)</f>
        <v/>
      </c>
      <c r="ES95" s="66" t="str">
        <f t="shared" ref="ES95" si="1132">IF(BM95="","","|n"&amp;ES$2&amp;"+"&amp;BM95&amp;ES$1)</f>
        <v/>
      </c>
      <c r="ET95" s="66" t="str">
        <f t="shared" ref="ET95" si="1133">IF(BN95="","","|n"&amp;ET$2&amp;"+"&amp;BN95&amp;ET$1)</f>
        <v/>
      </c>
      <c r="EU95" s="66" t="str">
        <f t="shared" ref="EU95" si="1134">IF(BO95="","","|n"&amp;EU$2&amp;"+"&amp;BO95&amp;EU$1)</f>
        <v/>
      </c>
      <c r="EV95" s="66" t="str">
        <f t="shared" ref="EV95" si="1135">IF(BP95="","","|n"&amp;EV$2&amp;"+"&amp;BP95&amp;EV$1)</f>
        <v/>
      </c>
      <c r="EW95" s="66" t="str">
        <f t="shared" ref="EW95" si="1136">IF(BQ95="","","|n"&amp;EW$2&amp;"+"&amp;BQ95&amp;EW$1)</f>
        <v/>
      </c>
      <c r="EX95" s="66" t="str">
        <f t="shared" ref="EX95" si="1137">IF(BR95="","","|n"&amp;EX$2&amp;"+"&amp;BR95&amp;EX$1)</f>
        <v/>
      </c>
      <c r="EY95" s="66" t="str">
        <f t="shared" ref="EY95" si="1138">IF(BS95="","","|n"&amp;EY$2&amp;"+"&amp;BS95&amp;EY$1)</f>
        <v/>
      </c>
      <c r="EZ95" s="66" t="str">
        <f t="shared" ref="EZ95" si="1139">IF(BT95="","","|n"&amp;EZ$2&amp;"+"&amp;BT95&amp;EZ$1)</f>
        <v/>
      </c>
      <c r="FA95" s="66" t="str">
        <f t="shared" ref="FA95" si="1140">IF(BU95="","","|n"&amp;FA$2&amp;"+"&amp;BU95&amp;FA$1)</f>
        <v/>
      </c>
      <c r="FB95" s="66" t="str">
        <f t="shared" ref="FB95" si="1141">IF(BV95="","","|n"&amp;FB$2&amp;"+"&amp;BV95&amp;FB$1)</f>
        <v/>
      </c>
      <c r="FC95" s="66" t="str">
        <f t="shared" ref="FC95" si="1142">IF(BW95="","","|n"&amp;FC$2&amp;"+"&amp;BW95&amp;FC$1)</f>
        <v/>
      </c>
      <c r="FD95" s="66" t="str">
        <f t="shared" ref="FD95" si="1143">IF(BX95="","","|n"&amp;FD$2&amp;"+"&amp;BX95&amp;FD$1)</f>
        <v/>
      </c>
      <c r="FE95" s="66" t="str">
        <f t="shared" ref="FE95" si="1144">IF(BY95="","","|n"&amp;FE$2&amp;"+"&amp;BY95&amp;FE$1)</f>
        <v/>
      </c>
      <c r="FF95" s="66" t="str">
        <f t="shared" ref="FF95" si="1145">IF(BZ95="","","|n"&amp;FF$2&amp;"+"&amp;BZ95&amp;FF$1)</f>
        <v/>
      </c>
      <c r="FG95" s="66" t="str">
        <f t="shared" ref="FG95" si="1146">IF(CA95="","","|n"&amp;FG$2&amp;"+"&amp;CA95&amp;FG$1)</f>
        <v/>
      </c>
      <c r="FH95" s="66" t="str">
        <f t="shared" ref="FH95" si="1147">IF(CB95="","","|n"&amp;FH$2&amp;"+"&amp;CB95&amp;FH$1)</f>
        <v/>
      </c>
      <c r="FI95" s="66" t="str">
        <f t="shared" ref="FI95" si="1148">IF(CC95="","","|n"&amp;FI$2&amp;"+"&amp;CC95&amp;FI$1)</f>
        <v/>
      </c>
      <c r="FJ95" s="66" t="str">
        <f t="shared" ref="FJ95" si="1149">IF(CD95="","","|n"&amp;FJ$2&amp;"+"&amp;CD95&amp;FJ$1)</f>
        <v/>
      </c>
      <c r="FK95" s="66" t="str">
        <f t="shared" ref="FK95" si="1150">IF(CE95="","","|n"&amp;FK$2&amp;"+"&amp;CE95&amp;FK$1)</f>
        <v/>
      </c>
      <c r="FL95" s="66" t="str">
        <f t="shared" ref="FL95" si="1151">IF(CF95="","","|n"&amp;FL$2&amp;"+"&amp;CF95&amp;FL$1)</f>
        <v/>
      </c>
      <c r="FM95" s="66" t="str">
        <f t="shared" ref="FM95" si="1152">IF(CG95="","","|n"&amp;FM$2&amp;"+"&amp;CG95&amp;FM$1)</f>
        <v/>
      </c>
      <c r="FN95" s="66" t="str">
        <f t="shared" ref="FN95" si="1153">IF(CH95="","","|n"&amp;FN$2&amp;"+"&amp;CH95&amp;FN$1)</f>
        <v/>
      </c>
      <c r="FO95" s="66" t="str">
        <f t="shared" ref="FO95" si="1154">IF(CI95="","","|n"&amp;FO$2&amp;"+"&amp;CI95&amp;FO$1)</f>
        <v/>
      </c>
      <c r="FP95" s="66" t="str">
        <f t="shared" ref="FP95" si="1155">IF(CJ95="","","|n"&amp;FP$2&amp;"+"&amp;CJ95&amp;FP$1)</f>
        <v/>
      </c>
      <c r="FQ95" s="66" t="str">
        <f t="shared" ref="FQ95" si="1156">IF(CK95="","","|n"&amp;FQ$2&amp;"+"&amp;CK95&amp;FQ$1)</f>
        <v/>
      </c>
      <c r="FR95" s="66" t="str">
        <f t="shared" ref="FR95" si="1157">IF(CL95="","","|n"&amp;FR$2&amp;"+"&amp;CL95&amp;FR$1)</f>
        <v/>
      </c>
      <c r="FS95" s="66" t="str">
        <f t="shared" ref="FS95" si="1158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2"/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U96" s="77" t="s">
        <v>410</v>
      </c>
      <c r="CN96" s="36" t="str">
        <f t="shared" ref="CN96" si="1159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0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1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2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3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4">T96</f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5">IF(V96="","","|n"&amp;DB$2&amp;"+"&amp;V96&amp;DB$1)</f>
        <v/>
      </c>
      <c r="DC96" s="66" t="str">
        <f t="shared" ref="DC96" si="1166">IF(W96="","","|n"&amp;DC$2&amp;"+"&amp;W96&amp;DC$1)</f>
        <v/>
      </c>
      <c r="DD96" s="66" t="str">
        <f t="shared" ref="DD96" si="1167">IF(X96="","","|n"&amp;DD$2&amp;"+"&amp;X96&amp;DD$1)</f>
        <v/>
      </c>
      <c r="DE96" s="66" t="str">
        <f t="shared" ref="DE96" si="1168">IF(Y96="","","|n"&amp;DE$2&amp;"+"&amp;Y96&amp;DE$1)</f>
        <v/>
      </c>
      <c r="DF96" s="66" t="str">
        <f t="shared" ref="DF96" si="1169">IF(Z96="","","|n"&amp;DF$2&amp;"+"&amp;Z96&amp;DF$1)</f>
        <v/>
      </c>
      <c r="DG96" s="66" t="str">
        <f t="shared" ref="DG96" si="1170">IF(AA96="","","|n"&amp;DG$2&amp;"+"&amp;AA96&amp;DG$1)</f>
        <v/>
      </c>
      <c r="DH96" s="66" t="str">
        <f t="shared" ref="DH96" si="1171">IF(AB96="","","|n"&amp;DH$2&amp;"+"&amp;AB96&amp;DH$1)</f>
        <v/>
      </c>
      <c r="DI96" s="66" t="str">
        <f t="shared" ref="DI96" si="1172">IF(AC96="","","|n"&amp;DI$2&amp;"+"&amp;AC96&amp;DI$1)</f>
        <v/>
      </c>
      <c r="DJ96" s="66" t="str">
        <f t="shared" ref="DJ96" si="1173">IF(AD96="","","|n"&amp;DJ$2&amp;"+"&amp;AD96&amp;DJ$1)</f>
        <v/>
      </c>
      <c r="DK96" s="66" t="str">
        <f t="shared" ref="DK96" si="1174">IF(AE96="","","|n"&amp;DK$2&amp;"+"&amp;AE96&amp;DK$1)</f>
        <v/>
      </c>
      <c r="DL96" s="66" t="str">
        <f t="shared" ref="DL96" si="1175">IF(AF96="","","|n"&amp;DL$2&amp;"+"&amp;AF96&amp;DL$1)</f>
        <v/>
      </c>
      <c r="DM96" s="66" t="str">
        <f t="shared" ref="DM96" si="1176">IF(AG96="","","|n"&amp;DM$2&amp;"+"&amp;AG96&amp;DM$1)</f>
        <v/>
      </c>
      <c r="DN96" s="66" t="str">
        <f t="shared" ref="DN96" si="1177">IF(AH96="","","|n"&amp;DN$2&amp;"+"&amp;AH96&amp;DN$1)</f>
        <v/>
      </c>
      <c r="DO96" s="66" t="str">
        <f t="shared" ref="DO96" si="1178">IF(AI96="","","|n"&amp;DO$2&amp;"+"&amp;AI96&amp;DO$1)</f>
        <v/>
      </c>
      <c r="DP96" s="66" t="str">
        <f t="shared" ref="DP96" si="1179">IF(AJ96="","","|n"&amp;DP$2&amp;"+"&amp;AJ96&amp;DP$1)</f>
        <v/>
      </c>
      <c r="DQ96" s="66" t="str">
        <f t="shared" ref="DQ96" si="1180">IF(AK96="","","|n"&amp;DQ$2&amp;"+"&amp;AK96&amp;DQ$1)</f>
        <v/>
      </c>
      <c r="DR96" s="66" t="str">
        <f t="shared" ref="DR96" si="1181">IF(AL96="","","|n"&amp;DR$2&amp;"+"&amp;AL96&amp;DR$1)</f>
        <v/>
      </c>
      <c r="DS96" s="66" t="str">
        <f t="shared" ref="DS96" si="1182">IF(AM96="","","|n"&amp;DS$2&amp;"+"&amp;AM96&amp;DS$1)</f>
        <v/>
      </c>
      <c r="DT96" s="66" t="str">
        <f t="shared" ref="DT96" si="1183">IF(AN96="","","|n"&amp;DT$2&amp;"+"&amp;AN96&amp;DT$1)</f>
        <v/>
      </c>
      <c r="DU96" s="66" t="str">
        <f t="shared" ref="DU96" si="1184">IF(AO96="","","|n"&amp;DU$2&amp;"+"&amp;AO96&amp;DU$1)</f>
        <v/>
      </c>
      <c r="DV96" s="66" t="str">
        <f t="shared" ref="DV96" si="1185">IF(AP96="","","|n"&amp;DV$2&amp;"+"&amp;AP96&amp;DV$1)</f>
        <v/>
      </c>
      <c r="DW96" s="66" t="str">
        <f t="shared" ref="DW96" si="1186">IF(AQ96="","","|n"&amp;DW$2&amp;"+"&amp;AQ96&amp;DW$1)</f>
        <v/>
      </c>
      <c r="DX96" s="66" t="str">
        <f t="shared" ref="DX96" si="1187">IF(AR96="","","|n"&amp;DX$2&amp;"+"&amp;AR96&amp;DX$1)</f>
        <v/>
      </c>
      <c r="DY96" s="66" t="str">
        <f t="shared" ref="DY96" si="1188">IF(AS96="","","|n"&amp;DY$2&amp;"+"&amp;AS96&amp;DY$1)</f>
        <v/>
      </c>
      <c r="DZ96" s="66" t="str">
        <f t="shared" ref="DZ96" si="1189">IF(AT96="","","|n"&amp;DZ$2&amp;"+"&amp;AT96&amp;DZ$1)</f>
        <v/>
      </c>
      <c r="EA96" s="66" t="str">
        <f t="shared" ref="EA96" si="1190">IF(AU96="","","|n"&amp;EA$2&amp;"+"&amp;AU96&amp;EA$1)</f>
        <v/>
      </c>
      <c r="EB96" s="66" t="str">
        <f t="shared" ref="EB96" si="1191">IF(AV96="","","|n"&amp;EB$2&amp;"+"&amp;AV96&amp;EB$1)</f>
        <v/>
      </c>
      <c r="EC96" s="66" t="str">
        <f t="shared" ref="EC96" si="1192">IF(AW96="","","|n"&amp;EC$2&amp;"+"&amp;AW96&amp;EC$1)</f>
        <v/>
      </c>
      <c r="ED96" s="66" t="str">
        <f t="shared" ref="ED96" si="1193">IF(AX96="","","|n"&amp;ED$2&amp;"+"&amp;AX96&amp;ED$1)</f>
        <v/>
      </c>
      <c r="EE96" s="66" t="str">
        <f t="shared" ref="EE96" si="1194">IF(AY96="","","|n"&amp;EE$2&amp;"+"&amp;AY96&amp;EE$1)</f>
        <v/>
      </c>
      <c r="EF96" s="66" t="str">
        <f t="shared" ref="EF96" si="1195">IF(AZ96="","","|n"&amp;EF$2&amp;"+"&amp;AZ96&amp;EF$1)</f>
        <v/>
      </c>
      <c r="EG96" s="66" t="str">
        <f t="shared" ref="EG96" si="1196">IF(BA96="","","|n"&amp;EG$2&amp;"+"&amp;BA96&amp;EG$1)</f>
        <v/>
      </c>
      <c r="EH96" s="66" t="str">
        <f t="shared" ref="EH96" si="1197">IF(BB96="","","|n"&amp;EH$2&amp;"+"&amp;BB96&amp;EH$1)</f>
        <v/>
      </c>
      <c r="EI96" s="66" t="str">
        <f t="shared" ref="EI96" si="1198">IF(BC96="","","|n"&amp;EI$2&amp;"+"&amp;BC96&amp;EI$1)</f>
        <v/>
      </c>
      <c r="EJ96" s="66" t="str">
        <f t="shared" ref="EJ96" si="1199">IF(BD96="","","|n"&amp;EJ$2&amp;"+"&amp;BD96&amp;EJ$1)</f>
        <v/>
      </c>
      <c r="EK96" s="66" t="str">
        <f t="shared" ref="EK96" si="1200">IF(BE96="","","|n"&amp;EK$2&amp;"+"&amp;BE96&amp;EK$1)</f>
        <v/>
      </c>
      <c r="EL96" s="66" t="str">
        <f t="shared" ref="EL96" si="1201">IF(BF96="","","|n"&amp;EL$2&amp;"+"&amp;BF96&amp;EL$1)</f>
        <v/>
      </c>
      <c r="EM96" s="66" t="str">
        <f t="shared" ref="EM96" si="1202">IF(BG96="","","|n"&amp;EM$2&amp;"+"&amp;BG96&amp;EM$1)</f>
        <v/>
      </c>
      <c r="EN96" s="66" t="str">
        <f t="shared" ref="EN96" si="1203">IF(BH96="","","|n"&amp;EN$2&amp;"+"&amp;BH96&amp;EN$1)</f>
        <v/>
      </c>
      <c r="EO96" s="66" t="str">
        <f t="shared" ref="EO96" si="1204">IF(BI96="","","|n"&amp;EO$2&amp;"+"&amp;BI96&amp;EO$1)</f>
        <v/>
      </c>
      <c r="EP96" s="66" t="str">
        <f t="shared" ref="EP96" si="1205">IF(BJ96="","","|n"&amp;EP$2&amp;"+"&amp;BJ96&amp;EP$1)</f>
        <v/>
      </c>
      <c r="EQ96" s="66" t="str">
        <f t="shared" ref="EQ96" si="1206">IF(BK96="","","|n"&amp;EQ$2&amp;"+"&amp;BK96&amp;EQ$1)</f>
        <v/>
      </c>
      <c r="ER96" s="66" t="str">
        <f t="shared" ref="ER96" si="1207">IF(BL96="","","|n"&amp;ER$2&amp;"+"&amp;BL96&amp;ER$1)</f>
        <v/>
      </c>
      <c r="ES96" s="66" t="str">
        <f t="shared" ref="ES96" si="1208">IF(BM96="","","|n"&amp;ES$2&amp;"+"&amp;BM96&amp;ES$1)</f>
        <v/>
      </c>
      <c r="ET96" s="66" t="str">
        <f t="shared" ref="ET96" si="1209">IF(BN96="","","|n"&amp;ET$2&amp;"+"&amp;BN96&amp;ET$1)</f>
        <v/>
      </c>
      <c r="EU96" s="66" t="str">
        <f t="shared" ref="EU96" si="1210">IF(BO96="","","|n"&amp;EU$2&amp;"+"&amp;BO96&amp;EU$1)</f>
        <v/>
      </c>
      <c r="EV96" s="66" t="str">
        <f t="shared" ref="EV96" si="1211">IF(BP96="","","|n"&amp;EV$2&amp;"+"&amp;BP96&amp;EV$1)</f>
        <v/>
      </c>
      <c r="EW96" s="66" t="str">
        <f t="shared" ref="EW96" si="1212">IF(BQ96="","","|n"&amp;EW$2&amp;"+"&amp;BQ96&amp;EW$1)</f>
        <v/>
      </c>
      <c r="EX96" s="66" t="str">
        <f t="shared" ref="EX96" si="1213">IF(BR96="","","|n"&amp;EX$2&amp;"+"&amp;BR96&amp;EX$1)</f>
        <v/>
      </c>
      <c r="EY96" s="66" t="str">
        <f t="shared" ref="EY96" si="1214">IF(BS96="","","|n"&amp;EY$2&amp;"+"&amp;BS96&amp;EY$1)</f>
        <v/>
      </c>
      <c r="EZ96" s="66" t="str">
        <f t="shared" ref="EZ96" si="1215">IF(BT96="","","|n"&amp;EZ$2&amp;"+"&amp;BT96&amp;EZ$1)</f>
        <v/>
      </c>
      <c r="FA96" s="66" t="str">
        <f t="shared" ref="FA96" si="1216">IF(BU96="","","|n"&amp;FA$2&amp;"+"&amp;BU96&amp;FA$1)</f>
        <v/>
      </c>
      <c r="FB96" s="66" t="str">
        <f t="shared" ref="FB96" si="1217">IF(BV96="","","|n"&amp;FB$2&amp;"+"&amp;BV96&amp;FB$1)</f>
        <v/>
      </c>
      <c r="FC96" s="66" t="str">
        <f t="shared" ref="FC96" si="1218">IF(BW96="","","|n"&amp;FC$2&amp;"+"&amp;BW96&amp;FC$1)</f>
        <v/>
      </c>
      <c r="FD96" s="66" t="str">
        <f t="shared" ref="FD96" si="1219">IF(BX96="","","|n"&amp;FD$2&amp;"+"&amp;BX96&amp;FD$1)</f>
        <v/>
      </c>
      <c r="FE96" s="66" t="str">
        <f t="shared" ref="FE96" si="1220">IF(BY96="","","|n"&amp;FE$2&amp;"+"&amp;BY96&amp;FE$1)</f>
        <v/>
      </c>
      <c r="FF96" s="66" t="str">
        <f t="shared" ref="FF96" si="1221">IF(BZ96="","","|n"&amp;FF$2&amp;"+"&amp;BZ96&amp;FF$1)</f>
        <v/>
      </c>
      <c r="FG96" s="66" t="str">
        <f t="shared" ref="FG96" si="1222">IF(CA96="","","|n"&amp;FG$2&amp;"+"&amp;CA96&amp;FG$1)</f>
        <v/>
      </c>
      <c r="FH96" s="66" t="str">
        <f t="shared" ref="FH96" si="1223">IF(CB96="","","|n"&amp;FH$2&amp;"+"&amp;CB96&amp;FH$1)</f>
        <v/>
      </c>
      <c r="FI96" s="66" t="str">
        <f t="shared" ref="FI96" si="1224">IF(CC96="","","|n"&amp;FI$2&amp;"+"&amp;CC96&amp;FI$1)</f>
        <v/>
      </c>
      <c r="FJ96" s="66" t="str">
        <f t="shared" ref="FJ96" si="1225">IF(CD96="","","|n"&amp;FJ$2&amp;"+"&amp;CD96&amp;FJ$1)</f>
        <v/>
      </c>
      <c r="FK96" s="66" t="str">
        <f t="shared" ref="FK96" si="1226">IF(CE96="","","|n"&amp;FK$2&amp;"+"&amp;CE96&amp;FK$1)</f>
        <v/>
      </c>
      <c r="FL96" s="66" t="str">
        <f t="shared" ref="FL96" si="1227">IF(CF96="","","|n"&amp;FL$2&amp;"+"&amp;CF96&amp;FL$1)</f>
        <v/>
      </c>
      <c r="FM96" s="66" t="str">
        <f t="shared" ref="FM96" si="1228">IF(CG96="","","|n"&amp;FM$2&amp;"+"&amp;CG96&amp;FM$1)</f>
        <v/>
      </c>
      <c r="FN96" s="66" t="str">
        <f t="shared" ref="FN96" si="1229">IF(CH96="","","|n"&amp;FN$2&amp;"+"&amp;CH96&amp;FN$1)</f>
        <v/>
      </c>
      <c r="FO96" s="66" t="str">
        <f t="shared" ref="FO96" si="1230">IF(CI96="","","|n"&amp;FO$2&amp;"+"&amp;CI96&amp;FO$1)</f>
        <v/>
      </c>
      <c r="FP96" s="66" t="str">
        <f t="shared" ref="FP96" si="1231">IF(CJ96="","","|n"&amp;FP$2&amp;"+"&amp;CJ96&amp;FP$1)</f>
        <v/>
      </c>
      <c r="FQ96" s="66" t="str">
        <f t="shared" ref="FQ96" si="1232">IF(CK96="","","|n"&amp;FQ$2&amp;"+"&amp;CK96&amp;FQ$1)</f>
        <v/>
      </c>
      <c r="FR96" s="66" t="str">
        <f t="shared" ref="FR96" si="1233">IF(CL96="","","|n"&amp;FR$2&amp;"+"&amp;CL96&amp;FR$1)</f>
        <v/>
      </c>
      <c r="FS96" s="66" t="str">
        <f t="shared" ref="FS96" si="1234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2"/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U97" s="77" t="s">
        <v>413</v>
      </c>
      <c r="CN97" s="36" t="str">
        <f t="shared" ref="CN97:CN106" si="1235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6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37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38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88" t="str">
        <f t="shared" ref="CU97:CU106" si="1239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0">T97</f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0"/>
        <v/>
      </c>
      <c r="DC97" s="66" t="str">
        <f t="shared" si="651"/>
        <v/>
      </c>
      <c r="DD97" s="66" t="str">
        <f t="shared" si="652"/>
        <v/>
      </c>
      <c r="DE97" s="66" t="str">
        <f t="shared" si="653"/>
        <v/>
      </c>
      <c r="DF97" s="66" t="str">
        <f t="shared" si="654"/>
        <v/>
      </c>
      <c r="DG97" s="66" t="str">
        <f t="shared" si="655"/>
        <v/>
      </c>
      <c r="DH97" s="66" t="str">
        <f t="shared" si="656"/>
        <v/>
      </c>
      <c r="DI97" s="66" t="str">
        <f t="shared" si="657"/>
        <v/>
      </c>
      <c r="DJ97" s="66" t="str">
        <f t="shared" si="658"/>
        <v/>
      </c>
      <c r="DK97" s="66" t="str">
        <f t="shared" si="659"/>
        <v/>
      </c>
      <c r="DL97" s="66" t="str">
        <f t="shared" si="660"/>
        <v/>
      </c>
      <c r="DM97" s="66" t="str">
        <f t="shared" si="661"/>
        <v/>
      </c>
      <c r="DN97" s="66" t="str">
        <f t="shared" si="662"/>
        <v/>
      </c>
      <c r="DO97" s="66" t="str">
        <f t="shared" si="663"/>
        <v/>
      </c>
      <c r="DP97" s="66" t="str">
        <f t="shared" si="664"/>
        <v/>
      </c>
      <c r="DQ97" s="66" t="str">
        <f t="shared" si="665"/>
        <v/>
      </c>
      <c r="DR97" s="66" t="str">
        <f t="shared" si="666"/>
        <v/>
      </c>
      <c r="DS97" s="66" t="str">
        <f t="shared" si="667"/>
        <v/>
      </c>
      <c r="DT97" s="66" t="str">
        <f t="shared" si="668"/>
        <v/>
      </c>
      <c r="DU97" s="66" t="str">
        <f t="shared" si="669"/>
        <v/>
      </c>
      <c r="DV97" s="66" t="str">
        <f t="shared" si="670"/>
        <v/>
      </c>
      <c r="DW97" s="66" t="str">
        <f t="shared" si="671"/>
        <v/>
      </c>
      <c r="DX97" s="66" t="str">
        <f t="shared" si="672"/>
        <v/>
      </c>
      <c r="DY97" s="66" t="str">
        <f t="shared" si="673"/>
        <v/>
      </c>
      <c r="DZ97" s="66" t="str">
        <f t="shared" si="674"/>
        <v/>
      </c>
      <c r="EA97" s="66" t="str">
        <f t="shared" si="675"/>
        <v/>
      </c>
      <c r="EB97" s="66" t="str">
        <f t="shared" si="676"/>
        <v/>
      </c>
      <c r="EC97" s="66" t="str">
        <f t="shared" si="677"/>
        <v/>
      </c>
      <c r="ED97" s="66" t="str">
        <f t="shared" si="678"/>
        <v/>
      </c>
      <c r="EE97" s="66" t="str">
        <f t="shared" si="679"/>
        <v/>
      </c>
      <c r="EF97" s="66" t="str">
        <f t="shared" si="680"/>
        <v/>
      </c>
      <c r="EG97" s="66" t="str">
        <f t="shared" si="681"/>
        <v/>
      </c>
      <c r="EH97" s="66" t="str">
        <f t="shared" si="682"/>
        <v/>
      </c>
      <c r="EI97" s="66" t="str">
        <f t="shared" si="683"/>
        <v/>
      </c>
      <c r="EJ97" s="66" t="str">
        <f t="shared" si="684"/>
        <v/>
      </c>
      <c r="EK97" s="66" t="str">
        <f t="shared" si="685"/>
        <v/>
      </c>
      <c r="EL97" s="66" t="str">
        <f t="shared" si="686"/>
        <v/>
      </c>
      <c r="EM97" s="66" t="str">
        <f t="shared" si="687"/>
        <v/>
      </c>
      <c r="EN97" s="66" t="str">
        <f t="shared" si="688"/>
        <v/>
      </c>
      <c r="EO97" s="66" t="str">
        <f t="shared" si="689"/>
        <v/>
      </c>
      <c r="EP97" s="66" t="str">
        <f t="shared" si="690"/>
        <v/>
      </c>
      <c r="EQ97" s="66" t="str">
        <f t="shared" si="691"/>
        <v/>
      </c>
      <c r="ER97" s="66" t="str">
        <f t="shared" si="692"/>
        <v/>
      </c>
      <c r="ES97" s="66" t="str">
        <f t="shared" si="693"/>
        <v/>
      </c>
      <c r="ET97" s="66" t="str">
        <f t="shared" si="694"/>
        <v/>
      </c>
      <c r="EU97" s="66" t="str">
        <f t="shared" si="695"/>
        <v/>
      </c>
      <c r="EV97" s="66" t="str">
        <f t="shared" si="696"/>
        <v/>
      </c>
      <c r="EW97" s="66" t="str">
        <f t="shared" si="697"/>
        <v/>
      </c>
      <c r="EX97" s="66" t="str">
        <f t="shared" si="698"/>
        <v/>
      </c>
      <c r="EY97" s="66" t="str">
        <f t="shared" si="699"/>
        <v/>
      </c>
      <c r="EZ97" s="66" t="str">
        <f t="shared" si="700"/>
        <v/>
      </c>
      <c r="FA97" s="66" t="str">
        <f t="shared" si="701"/>
        <v/>
      </c>
      <c r="FB97" s="66" t="str">
        <f t="shared" si="702"/>
        <v/>
      </c>
      <c r="FC97" s="66" t="str">
        <f t="shared" si="703"/>
        <v/>
      </c>
      <c r="FD97" s="66" t="str">
        <f t="shared" si="704"/>
        <v/>
      </c>
      <c r="FE97" s="66" t="str">
        <f t="shared" si="705"/>
        <v/>
      </c>
      <c r="FF97" s="66" t="str">
        <f t="shared" si="706"/>
        <v/>
      </c>
      <c r="FG97" s="66" t="str">
        <f t="shared" si="707"/>
        <v/>
      </c>
      <c r="FH97" s="66" t="str">
        <f t="shared" si="708"/>
        <v/>
      </c>
      <c r="FI97" s="66" t="str">
        <f t="shared" si="709"/>
        <v/>
      </c>
      <c r="FJ97" s="66" t="str">
        <f t="shared" si="710"/>
        <v/>
      </c>
      <c r="FK97" s="66" t="str">
        <f t="shared" si="711"/>
        <v/>
      </c>
      <c r="FL97" s="66" t="str">
        <f t="shared" si="712"/>
        <v/>
      </c>
      <c r="FM97" s="66" t="str">
        <f t="shared" si="713"/>
        <v/>
      </c>
      <c r="FN97" s="66" t="str">
        <f t="shared" si="714"/>
        <v/>
      </c>
      <c r="FO97" s="66" t="str">
        <f t="shared" si="715"/>
        <v/>
      </c>
      <c r="FP97" s="66" t="str">
        <f t="shared" si="716"/>
        <v/>
      </c>
      <c r="FQ97" s="66" t="str">
        <f t="shared" si="717"/>
        <v/>
      </c>
      <c r="FR97" s="66" t="str">
        <f t="shared" si="718"/>
        <v/>
      </c>
      <c r="FS97" s="66" t="str">
        <f t="shared" si="719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5"/>
        <v>InitUnitState('ID11',,,,,,,,,,)</v>
      </c>
      <c r="CO98" s="36" t="str">
        <f t="shared" si="1236"/>
        <v>InitUnitNormal('ID11',,,,,,,,,,)</v>
      </c>
      <c r="CP98" s="36" t="str">
        <f t="shared" si="1237"/>
        <v>InitUnitMagic('ID11',,,,,,,,,,)</v>
      </c>
      <c r="CQ98" s="36" t="str">
        <f t="shared" si="1238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39"/>
        <v>|n</v>
      </c>
      <c r="CV98" s="19" t="str">
        <f t="shared" si="1240"/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0"/>
        <v/>
      </c>
      <c r="DC98" s="66" t="str">
        <f t="shared" si="651"/>
        <v/>
      </c>
      <c r="DD98" s="66" t="str">
        <f t="shared" si="652"/>
        <v/>
      </c>
      <c r="DE98" s="66" t="str">
        <f t="shared" si="653"/>
        <v/>
      </c>
      <c r="DF98" s="66" t="str">
        <f t="shared" si="654"/>
        <v/>
      </c>
      <c r="DG98" s="66" t="str">
        <f t="shared" si="655"/>
        <v/>
      </c>
      <c r="DH98" s="66" t="str">
        <f t="shared" si="656"/>
        <v/>
      </c>
      <c r="DI98" s="66" t="str">
        <f t="shared" si="657"/>
        <v/>
      </c>
      <c r="DJ98" s="66" t="str">
        <f t="shared" si="658"/>
        <v/>
      </c>
      <c r="DK98" s="66" t="str">
        <f t="shared" si="659"/>
        <v/>
      </c>
      <c r="DL98" s="66" t="str">
        <f t="shared" si="660"/>
        <v/>
      </c>
      <c r="DM98" s="66" t="str">
        <f t="shared" si="661"/>
        <v/>
      </c>
      <c r="DN98" s="66" t="str">
        <f t="shared" si="662"/>
        <v/>
      </c>
      <c r="DO98" s="66" t="str">
        <f t="shared" si="663"/>
        <v/>
      </c>
      <c r="DP98" s="66" t="str">
        <f t="shared" si="664"/>
        <v/>
      </c>
      <c r="DQ98" s="66" t="str">
        <f t="shared" si="665"/>
        <v/>
      </c>
      <c r="DR98" s="66" t="str">
        <f t="shared" si="666"/>
        <v/>
      </c>
      <c r="DS98" s="66" t="str">
        <f t="shared" si="667"/>
        <v/>
      </c>
      <c r="DT98" s="66" t="str">
        <f t="shared" si="668"/>
        <v/>
      </c>
      <c r="DU98" s="66" t="str">
        <f t="shared" si="669"/>
        <v/>
      </c>
      <c r="DV98" s="66" t="str">
        <f t="shared" si="670"/>
        <v/>
      </c>
      <c r="DW98" s="66" t="str">
        <f t="shared" si="671"/>
        <v/>
      </c>
      <c r="DX98" s="66" t="str">
        <f t="shared" si="672"/>
        <v/>
      </c>
      <c r="DY98" s="66" t="str">
        <f t="shared" si="673"/>
        <v/>
      </c>
      <c r="DZ98" s="66" t="str">
        <f t="shared" si="674"/>
        <v/>
      </c>
      <c r="EA98" s="66" t="str">
        <f t="shared" si="675"/>
        <v/>
      </c>
      <c r="EB98" s="66" t="str">
        <f t="shared" si="676"/>
        <v/>
      </c>
      <c r="EC98" s="66" t="str">
        <f t="shared" si="677"/>
        <v/>
      </c>
      <c r="ED98" s="66" t="str">
        <f t="shared" si="678"/>
        <v/>
      </c>
      <c r="EE98" s="66" t="str">
        <f t="shared" si="679"/>
        <v/>
      </c>
      <c r="EF98" s="66" t="str">
        <f t="shared" si="680"/>
        <v/>
      </c>
      <c r="EG98" s="66" t="str">
        <f t="shared" si="681"/>
        <v/>
      </c>
      <c r="EH98" s="66" t="str">
        <f t="shared" si="682"/>
        <v/>
      </c>
      <c r="EI98" s="66" t="str">
        <f t="shared" si="683"/>
        <v/>
      </c>
      <c r="EJ98" s="66" t="str">
        <f t="shared" si="684"/>
        <v/>
      </c>
      <c r="EK98" s="66" t="str">
        <f t="shared" si="685"/>
        <v/>
      </c>
      <c r="EL98" s="66" t="str">
        <f t="shared" si="686"/>
        <v/>
      </c>
      <c r="EM98" s="66" t="str">
        <f t="shared" si="687"/>
        <v/>
      </c>
      <c r="EN98" s="66" t="str">
        <f t="shared" si="688"/>
        <v/>
      </c>
      <c r="EO98" s="66" t="str">
        <f t="shared" si="689"/>
        <v/>
      </c>
      <c r="EP98" s="66" t="str">
        <f t="shared" si="690"/>
        <v/>
      </c>
      <c r="EQ98" s="66" t="str">
        <f t="shared" si="691"/>
        <v/>
      </c>
      <c r="ER98" s="66" t="str">
        <f t="shared" si="692"/>
        <v/>
      </c>
      <c r="ES98" s="66" t="str">
        <f t="shared" si="693"/>
        <v/>
      </c>
      <c r="ET98" s="66" t="str">
        <f t="shared" si="694"/>
        <v/>
      </c>
      <c r="EU98" s="66" t="str">
        <f t="shared" si="695"/>
        <v/>
      </c>
      <c r="EV98" s="66" t="str">
        <f t="shared" si="696"/>
        <v/>
      </c>
      <c r="EW98" s="66" t="str">
        <f t="shared" si="697"/>
        <v/>
      </c>
      <c r="EX98" s="66" t="str">
        <f t="shared" si="698"/>
        <v/>
      </c>
      <c r="EY98" s="66" t="str">
        <f t="shared" si="699"/>
        <v/>
      </c>
      <c r="EZ98" s="66" t="str">
        <f t="shared" si="700"/>
        <v/>
      </c>
      <c r="FA98" s="66" t="str">
        <f t="shared" si="701"/>
        <v/>
      </c>
      <c r="FB98" s="66" t="str">
        <f t="shared" si="702"/>
        <v/>
      </c>
      <c r="FC98" s="66" t="str">
        <f t="shared" si="703"/>
        <v/>
      </c>
      <c r="FD98" s="66" t="str">
        <f t="shared" si="704"/>
        <v/>
      </c>
      <c r="FE98" s="66" t="str">
        <f t="shared" si="705"/>
        <v/>
      </c>
      <c r="FF98" s="66" t="str">
        <f t="shared" si="706"/>
        <v/>
      </c>
      <c r="FG98" s="66" t="str">
        <f t="shared" si="707"/>
        <v/>
      </c>
      <c r="FH98" s="66" t="str">
        <f t="shared" si="708"/>
        <v/>
      </c>
      <c r="FI98" s="66" t="str">
        <f t="shared" si="709"/>
        <v/>
      </c>
      <c r="FJ98" s="66" t="str">
        <f t="shared" si="710"/>
        <v/>
      </c>
      <c r="FK98" s="66" t="str">
        <f t="shared" si="711"/>
        <v/>
      </c>
      <c r="FL98" s="66" t="str">
        <f t="shared" si="712"/>
        <v/>
      </c>
      <c r="FM98" s="66" t="str">
        <f t="shared" si="713"/>
        <v/>
      </c>
      <c r="FN98" s="66" t="str">
        <f t="shared" si="714"/>
        <v/>
      </c>
      <c r="FO98" s="66" t="str">
        <f t="shared" si="715"/>
        <v/>
      </c>
      <c r="FP98" s="66" t="str">
        <f t="shared" si="716"/>
        <v/>
      </c>
      <c r="FQ98" s="66" t="str">
        <f t="shared" si="717"/>
        <v/>
      </c>
      <c r="FR98" s="66" t="str">
        <f t="shared" si="718"/>
        <v/>
      </c>
      <c r="FS98" s="66" t="str">
        <f t="shared" si="719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1">"|CffCCCCCC道果属性：|r"&amp;CU79&amp;"|n|Cff00FF7F点击吸收道果，境界突破一级。|n需境界经验达到圆满。|r"</f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5"/>
        <v>InitUnitState('ID12',,,,,,,,,,)</v>
      </c>
      <c r="CO99" s="36" t="str">
        <f t="shared" si="1236"/>
        <v>InitUnitNormal('ID12',,,,,,,,,,)</v>
      </c>
      <c r="CP99" s="36" t="str">
        <f t="shared" si="1237"/>
        <v>InitUnitMagic('ID12',,,,,,,,,,)</v>
      </c>
      <c r="CQ99" s="36" t="str">
        <f t="shared" si="1238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39"/>
        <v>|n</v>
      </c>
      <c r="CV99" s="19" t="str">
        <f t="shared" si="1240"/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0"/>
        <v/>
      </c>
      <c r="DC99" s="66" t="str">
        <f t="shared" si="651"/>
        <v/>
      </c>
      <c r="DD99" s="66" t="str">
        <f t="shared" si="652"/>
        <v/>
      </c>
      <c r="DE99" s="66" t="str">
        <f t="shared" si="653"/>
        <v/>
      </c>
      <c r="DF99" s="66" t="str">
        <f t="shared" si="654"/>
        <v/>
      </c>
      <c r="DG99" s="66" t="str">
        <f t="shared" si="655"/>
        <v/>
      </c>
      <c r="DH99" s="66" t="str">
        <f t="shared" si="656"/>
        <v/>
      </c>
      <c r="DI99" s="66" t="str">
        <f t="shared" si="657"/>
        <v/>
      </c>
      <c r="DJ99" s="66" t="str">
        <f t="shared" si="658"/>
        <v/>
      </c>
      <c r="DK99" s="66" t="str">
        <f t="shared" si="659"/>
        <v/>
      </c>
      <c r="DL99" s="66" t="str">
        <f t="shared" si="660"/>
        <v/>
      </c>
      <c r="DM99" s="66" t="str">
        <f t="shared" si="661"/>
        <v/>
      </c>
      <c r="DN99" s="66" t="str">
        <f t="shared" si="662"/>
        <v/>
      </c>
      <c r="DO99" s="66" t="str">
        <f t="shared" si="663"/>
        <v/>
      </c>
      <c r="DP99" s="66" t="str">
        <f t="shared" si="664"/>
        <v/>
      </c>
      <c r="DQ99" s="66" t="str">
        <f t="shared" si="665"/>
        <v/>
      </c>
      <c r="DR99" s="66" t="str">
        <f t="shared" si="666"/>
        <v/>
      </c>
      <c r="DS99" s="66" t="str">
        <f t="shared" si="667"/>
        <v/>
      </c>
      <c r="DT99" s="66" t="str">
        <f t="shared" si="668"/>
        <v/>
      </c>
      <c r="DU99" s="66" t="str">
        <f t="shared" si="669"/>
        <v/>
      </c>
      <c r="DV99" s="66" t="str">
        <f t="shared" si="670"/>
        <v/>
      </c>
      <c r="DW99" s="66" t="str">
        <f t="shared" si="671"/>
        <v/>
      </c>
      <c r="DX99" s="66" t="str">
        <f t="shared" si="672"/>
        <v/>
      </c>
      <c r="DY99" s="66" t="str">
        <f t="shared" si="673"/>
        <v/>
      </c>
      <c r="DZ99" s="66" t="str">
        <f t="shared" si="674"/>
        <v/>
      </c>
      <c r="EA99" s="66" t="str">
        <f t="shared" si="675"/>
        <v/>
      </c>
      <c r="EB99" s="66" t="str">
        <f t="shared" si="676"/>
        <v/>
      </c>
      <c r="EC99" s="66" t="str">
        <f t="shared" si="677"/>
        <v/>
      </c>
      <c r="ED99" s="66" t="str">
        <f t="shared" si="678"/>
        <v/>
      </c>
      <c r="EE99" s="66" t="str">
        <f t="shared" si="679"/>
        <v/>
      </c>
      <c r="EF99" s="66" t="str">
        <f t="shared" si="680"/>
        <v/>
      </c>
      <c r="EG99" s="66" t="str">
        <f t="shared" si="681"/>
        <v/>
      </c>
      <c r="EH99" s="66" t="str">
        <f t="shared" si="682"/>
        <v/>
      </c>
      <c r="EI99" s="66" t="str">
        <f t="shared" si="683"/>
        <v/>
      </c>
      <c r="EJ99" s="66" t="str">
        <f t="shared" si="684"/>
        <v/>
      </c>
      <c r="EK99" s="66" t="str">
        <f t="shared" si="685"/>
        <v/>
      </c>
      <c r="EL99" s="66" t="str">
        <f t="shared" si="686"/>
        <v/>
      </c>
      <c r="EM99" s="66" t="str">
        <f t="shared" si="687"/>
        <v/>
      </c>
      <c r="EN99" s="66" t="str">
        <f t="shared" si="688"/>
        <v/>
      </c>
      <c r="EO99" s="66" t="str">
        <f t="shared" si="689"/>
        <v/>
      </c>
      <c r="EP99" s="66" t="str">
        <f t="shared" si="690"/>
        <v/>
      </c>
      <c r="EQ99" s="66" t="str">
        <f t="shared" si="691"/>
        <v/>
      </c>
      <c r="ER99" s="66" t="str">
        <f t="shared" si="692"/>
        <v/>
      </c>
      <c r="ES99" s="66" t="str">
        <f t="shared" si="693"/>
        <v/>
      </c>
      <c r="ET99" s="66" t="str">
        <f t="shared" si="694"/>
        <v/>
      </c>
      <c r="EU99" s="66" t="str">
        <f t="shared" si="695"/>
        <v/>
      </c>
      <c r="EV99" s="66" t="str">
        <f t="shared" si="696"/>
        <v/>
      </c>
      <c r="EW99" s="66" t="str">
        <f t="shared" si="697"/>
        <v/>
      </c>
      <c r="EX99" s="66" t="str">
        <f t="shared" si="698"/>
        <v/>
      </c>
      <c r="EY99" s="66" t="str">
        <f t="shared" si="699"/>
        <v/>
      </c>
      <c r="EZ99" s="66" t="str">
        <f t="shared" si="700"/>
        <v/>
      </c>
      <c r="FA99" s="66" t="str">
        <f t="shared" si="701"/>
        <v/>
      </c>
      <c r="FB99" s="66" t="str">
        <f t="shared" si="702"/>
        <v/>
      </c>
      <c r="FC99" s="66" t="str">
        <f t="shared" si="703"/>
        <v/>
      </c>
      <c r="FD99" s="66" t="str">
        <f t="shared" si="704"/>
        <v/>
      </c>
      <c r="FE99" s="66" t="str">
        <f t="shared" si="705"/>
        <v/>
      </c>
      <c r="FF99" s="66" t="str">
        <f t="shared" si="706"/>
        <v/>
      </c>
      <c r="FG99" s="66" t="str">
        <f t="shared" si="707"/>
        <v/>
      </c>
      <c r="FH99" s="66" t="str">
        <f t="shared" si="708"/>
        <v/>
      </c>
      <c r="FI99" s="66" t="str">
        <f t="shared" si="709"/>
        <v/>
      </c>
      <c r="FJ99" s="66" t="str">
        <f t="shared" si="710"/>
        <v/>
      </c>
      <c r="FK99" s="66" t="str">
        <f t="shared" si="711"/>
        <v/>
      </c>
      <c r="FL99" s="66" t="str">
        <f t="shared" si="712"/>
        <v/>
      </c>
      <c r="FM99" s="66" t="str">
        <f t="shared" si="713"/>
        <v/>
      </c>
      <c r="FN99" s="66" t="str">
        <f t="shared" si="714"/>
        <v/>
      </c>
      <c r="FO99" s="66" t="str">
        <f t="shared" si="715"/>
        <v/>
      </c>
      <c r="FP99" s="66" t="str">
        <f t="shared" si="716"/>
        <v/>
      </c>
      <c r="FQ99" s="66" t="str">
        <f t="shared" si="717"/>
        <v/>
      </c>
      <c r="FR99" s="66" t="str">
        <f t="shared" si="718"/>
        <v/>
      </c>
      <c r="FS99" s="66" t="str">
        <f t="shared" si="719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1"/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5"/>
        <v>InitUnitState('ID13',,,,,,,,,,)</v>
      </c>
      <c r="CO100" s="36" t="str">
        <f t="shared" si="1236"/>
        <v>InitUnitNormal('ID13',,,,,,,,,,)</v>
      </c>
      <c r="CP100" s="36" t="str">
        <f t="shared" si="1237"/>
        <v>InitUnitMagic('ID13',,,,,,,,,,)</v>
      </c>
      <c r="CQ100" s="36" t="str">
        <f t="shared" si="1238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39"/>
        <v>|n</v>
      </c>
      <c r="CV100" s="19" t="str">
        <f t="shared" si="1240"/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0"/>
        <v/>
      </c>
      <c r="DC100" s="66" t="str">
        <f t="shared" si="651"/>
        <v/>
      </c>
      <c r="DD100" s="66" t="str">
        <f t="shared" si="652"/>
        <v/>
      </c>
      <c r="DE100" s="66" t="str">
        <f t="shared" si="653"/>
        <v/>
      </c>
      <c r="DF100" s="66" t="str">
        <f t="shared" si="654"/>
        <v/>
      </c>
      <c r="DG100" s="66" t="str">
        <f t="shared" si="655"/>
        <v/>
      </c>
      <c r="DH100" s="66" t="str">
        <f t="shared" si="656"/>
        <v/>
      </c>
      <c r="DI100" s="66" t="str">
        <f t="shared" si="657"/>
        <v/>
      </c>
      <c r="DJ100" s="66" t="str">
        <f t="shared" si="658"/>
        <v/>
      </c>
      <c r="DK100" s="66" t="str">
        <f t="shared" si="659"/>
        <v/>
      </c>
      <c r="DL100" s="66" t="str">
        <f t="shared" si="660"/>
        <v/>
      </c>
      <c r="DM100" s="66" t="str">
        <f t="shared" si="661"/>
        <v/>
      </c>
      <c r="DN100" s="66" t="str">
        <f t="shared" si="662"/>
        <v/>
      </c>
      <c r="DO100" s="66" t="str">
        <f t="shared" si="663"/>
        <v/>
      </c>
      <c r="DP100" s="66" t="str">
        <f t="shared" si="664"/>
        <v/>
      </c>
      <c r="DQ100" s="66" t="str">
        <f t="shared" si="665"/>
        <v/>
      </c>
      <c r="DR100" s="66" t="str">
        <f t="shared" si="666"/>
        <v/>
      </c>
      <c r="DS100" s="66" t="str">
        <f t="shared" si="667"/>
        <v/>
      </c>
      <c r="DT100" s="66" t="str">
        <f t="shared" si="668"/>
        <v/>
      </c>
      <c r="DU100" s="66" t="str">
        <f t="shared" si="669"/>
        <v/>
      </c>
      <c r="DV100" s="66" t="str">
        <f t="shared" si="670"/>
        <v/>
      </c>
      <c r="DW100" s="66" t="str">
        <f t="shared" si="671"/>
        <v/>
      </c>
      <c r="DX100" s="66" t="str">
        <f t="shared" si="672"/>
        <v/>
      </c>
      <c r="DY100" s="66" t="str">
        <f t="shared" si="673"/>
        <v/>
      </c>
      <c r="DZ100" s="66" t="str">
        <f t="shared" si="674"/>
        <v/>
      </c>
      <c r="EA100" s="66" t="str">
        <f t="shared" si="675"/>
        <v/>
      </c>
      <c r="EB100" s="66" t="str">
        <f t="shared" si="676"/>
        <v/>
      </c>
      <c r="EC100" s="66" t="str">
        <f t="shared" si="677"/>
        <v/>
      </c>
      <c r="ED100" s="66" t="str">
        <f t="shared" si="678"/>
        <v/>
      </c>
      <c r="EE100" s="66" t="str">
        <f t="shared" si="679"/>
        <v/>
      </c>
      <c r="EF100" s="66" t="str">
        <f t="shared" si="680"/>
        <v/>
      </c>
      <c r="EG100" s="66" t="str">
        <f t="shared" si="681"/>
        <v/>
      </c>
      <c r="EH100" s="66" t="str">
        <f t="shared" si="682"/>
        <v/>
      </c>
      <c r="EI100" s="66" t="str">
        <f t="shared" si="683"/>
        <v/>
      </c>
      <c r="EJ100" s="66" t="str">
        <f t="shared" si="684"/>
        <v/>
      </c>
      <c r="EK100" s="66" t="str">
        <f t="shared" si="685"/>
        <v/>
      </c>
      <c r="EL100" s="66" t="str">
        <f t="shared" si="686"/>
        <v/>
      </c>
      <c r="EM100" s="66" t="str">
        <f t="shared" si="687"/>
        <v/>
      </c>
      <c r="EN100" s="66" t="str">
        <f t="shared" si="688"/>
        <v/>
      </c>
      <c r="EO100" s="66" t="str">
        <f t="shared" si="689"/>
        <v/>
      </c>
      <c r="EP100" s="66" t="str">
        <f t="shared" si="690"/>
        <v/>
      </c>
      <c r="EQ100" s="66" t="str">
        <f t="shared" si="691"/>
        <v/>
      </c>
      <c r="ER100" s="66" t="str">
        <f t="shared" si="692"/>
        <v/>
      </c>
      <c r="ES100" s="66" t="str">
        <f t="shared" si="693"/>
        <v/>
      </c>
      <c r="ET100" s="66" t="str">
        <f t="shared" si="694"/>
        <v/>
      </c>
      <c r="EU100" s="66" t="str">
        <f t="shared" si="695"/>
        <v/>
      </c>
      <c r="EV100" s="66" t="str">
        <f t="shared" si="696"/>
        <v/>
      </c>
      <c r="EW100" s="66" t="str">
        <f t="shared" si="697"/>
        <v/>
      </c>
      <c r="EX100" s="66" t="str">
        <f t="shared" si="698"/>
        <v/>
      </c>
      <c r="EY100" s="66" t="str">
        <f t="shared" si="699"/>
        <v/>
      </c>
      <c r="EZ100" s="66" t="str">
        <f t="shared" si="700"/>
        <v/>
      </c>
      <c r="FA100" s="66" t="str">
        <f t="shared" si="701"/>
        <v/>
      </c>
      <c r="FB100" s="66" t="str">
        <f t="shared" si="702"/>
        <v/>
      </c>
      <c r="FC100" s="66" t="str">
        <f t="shared" si="703"/>
        <v/>
      </c>
      <c r="FD100" s="66" t="str">
        <f t="shared" si="704"/>
        <v/>
      </c>
      <c r="FE100" s="66" t="str">
        <f t="shared" si="705"/>
        <v/>
      </c>
      <c r="FF100" s="66" t="str">
        <f t="shared" si="706"/>
        <v/>
      </c>
      <c r="FG100" s="66" t="str">
        <f t="shared" si="707"/>
        <v/>
      </c>
      <c r="FH100" s="66" t="str">
        <f t="shared" si="708"/>
        <v/>
      </c>
      <c r="FI100" s="66" t="str">
        <f t="shared" si="709"/>
        <v/>
      </c>
      <c r="FJ100" s="66" t="str">
        <f t="shared" si="710"/>
        <v/>
      </c>
      <c r="FK100" s="66" t="str">
        <f t="shared" si="711"/>
        <v/>
      </c>
      <c r="FL100" s="66" t="str">
        <f t="shared" si="712"/>
        <v/>
      </c>
      <c r="FM100" s="66" t="str">
        <f t="shared" si="713"/>
        <v/>
      </c>
      <c r="FN100" s="66" t="str">
        <f t="shared" si="714"/>
        <v/>
      </c>
      <c r="FO100" s="66" t="str">
        <f t="shared" si="715"/>
        <v/>
      </c>
      <c r="FP100" s="66" t="str">
        <f t="shared" si="716"/>
        <v/>
      </c>
      <c r="FQ100" s="66" t="str">
        <f t="shared" si="717"/>
        <v/>
      </c>
      <c r="FR100" s="66" t="str">
        <f t="shared" si="718"/>
        <v/>
      </c>
      <c r="FS100" s="66" t="str">
        <f t="shared" si="719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1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5"/>
        <v>InitUnitState('ID14',,,,,,,,,,)</v>
      </c>
      <c r="CO101" s="36" t="str">
        <f t="shared" si="1236"/>
        <v>InitUnitNormal('ID14',,,,,,,,,,)</v>
      </c>
      <c r="CP101" s="36" t="str">
        <f t="shared" si="1237"/>
        <v>InitUnitMagic('ID14',,,,,,,,,,)</v>
      </c>
      <c r="CQ101" s="36" t="str">
        <f t="shared" si="1238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39"/>
        <v>|n</v>
      </c>
      <c r="CV101" s="19" t="str">
        <f t="shared" si="1240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0"/>
        <v/>
      </c>
      <c r="DC101" s="66" t="str">
        <f t="shared" si="651"/>
        <v/>
      </c>
      <c r="DD101" s="66" t="str">
        <f t="shared" si="652"/>
        <v/>
      </c>
      <c r="DE101" s="66" t="str">
        <f t="shared" si="653"/>
        <v/>
      </c>
      <c r="DF101" s="66" t="str">
        <f t="shared" si="654"/>
        <v/>
      </c>
      <c r="DG101" s="66" t="str">
        <f t="shared" si="655"/>
        <v/>
      </c>
      <c r="DH101" s="66" t="str">
        <f t="shared" si="656"/>
        <v/>
      </c>
      <c r="DI101" s="66" t="str">
        <f t="shared" si="657"/>
        <v/>
      </c>
      <c r="DJ101" s="66" t="str">
        <f t="shared" si="658"/>
        <v/>
      </c>
      <c r="DK101" s="66" t="str">
        <f t="shared" si="659"/>
        <v/>
      </c>
      <c r="DL101" s="66" t="str">
        <f t="shared" si="660"/>
        <v/>
      </c>
      <c r="DM101" s="66" t="str">
        <f t="shared" si="661"/>
        <v/>
      </c>
      <c r="DN101" s="66" t="str">
        <f t="shared" si="662"/>
        <v/>
      </c>
      <c r="DO101" s="66" t="str">
        <f t="shared" si="663"/>
        <v/>
      </c>
      <c r="DP101" s="66" t="str">
        <f t="shared" si="664"/>
        <v/>
      </c>
      <c r="DQ101" s="66" t="str">
        <f t="shared" si="665"/>
        <v/>
      </c>
      <c r="DR101" s="66" t="str">
        <f t="shared" si="666"/>
        <v/>
      </c>
      <c r="DS101" s="66" t="str">
        <f t="shared" si="667"/>
        <v/>
      </c>
      <c r="DT101" s="66" t="str">
        <f t="shared" si="668"/>
        <v/>
      </c>
      <c r="DU101" s="66" t="str">
        <f t="shared" si="669"/>
        <v/>
      </c>
      <c r="DV101" s="66" t="str">
        <f t="shared" si="670"/>
        <v/>
      </c>
      <c r="DW101" s="66" t="str">
        <f t="shared" si="671"/>
        <v/>
      </c>
      <c r="DX101" s="66" t="str">
        <f t="shared" si="672"/>
        <v/>
      </c>
      <c r="DY101" s="66" t="str">
        <f t="shared" si="673"/>
        <v/>
      </c>
      <c r="DZ101" s="66" t="str">
        <f t="shared" si="674"/>
        <v/>
      </c>
      <c r="EA101" s="66" t="str">
        <f t="shared" si="675"/>
        <v/>
      </c>
      <c r="EB101" s="66" t="str">
        <f t="shared" si="676"/>
        <v/>
      </c>
      <c r="EC101" s="66" t="str">
        <f t="shared" si="677"/>
        <v/>
      </c>
      <c r="ED101" s="66" t="str">
        <f t="shared" si="678"/>
        <v/>
      </c>
      <c r="EE101" s="66" t="str">
        <f t="shared" si="679"/>
        <v/>
      </c>
      <c r="EF101" s="66" t="str">
        <f t="shared" si="680"/>
        <v/>
      </c>
      <c r="EG101" s="66" t="str">
        <f t="shared" si="681"/>
        <v/>
      </c>
      <c r="EH101" s="66" t="str">
        <f t="shared" si="682"/>
        <v/>
      </c>
      <c r="EI101" s="66" t="str">
        <f t="shared" si="683"/>
        <v/>
      </c>
      <c r="EJ101" s="66" t="str">
        <f t="shared" si="684"/>
        <v/>
      </c>
      <c r="EK101" s="66" t="str">
        <f t="shared" si="685"/>
        <v/>
      </c>
      <c r="EL101" s="66" t="str">
        <f t="shared" si="686"/>
        <v/>
      </c>
      <c r="EM101" s="66" t="str">
        <f t="shared" si="687"/>
        <v/>
      </c>
      <c r="EN101" s="66" t="str">
        <f t="shared" si="688"/>
        <v/>
      </c>
      <c r="EO101" s="66" t="str">
        <f t="shared" si="689"/>
        <v/>
      </c>
      <c r="EP101" s="66" t="str">
        <f t="shared" si="690"/>
        <v/>
      </c>
      <c r="EQ101" s="66" t="str">
        <f t="shared" si="691"/>
        <v/>
      </c>
      <c r="ER101" s="66" t="str">
        <f t="shared" si="692"/>
        <v/>
      </c>
      <c r="ES101" s="66" t="str">
        <f t="shared" si="693"/>
        <v/>
      </c>
      <c r="ET101" s="66" t="str">
        <f t="shared" si="694"/>
        <v/>
      </c>
      <c r="EU101" s="66" t="str">
        <f t="shared" si="695"/>
        <v/>
      </c>
      <c r="EV101" s="66" t="str">
        <f t="shared" si="696"/>
        <v/>
      </c>
      <c r="EW101" s="66" t="str">
        <f t="shared" si="697"/>
        <v/>
      </c>
      <c r="EX101" s="66" t="str">
        <f t="shared" si="698"/>
        <v/>
      </c>
      <c r="EY101" s="66" t="str">
        <f t="shared" si="699"/>
        <v/>
      </c>
      <c r="EZ101" s="66" t="str">
        <f t="shared" si="700"/>
        <v/>
      </c>
      <c r="FA101" s="66" t="str">
        <f t="shared" si="701"/>
        <v/>
      </c>
      <c r="FB101" s="66" t="str">
        <f t="shared" si="702"/>
        <v/>
      </c>
      <c r="FC101" s="66" t="str">
        <f t="shared" si="703"/>
        <v/>
      </c>
      <c r="FD101" s="66" t="str">
        <f t="shared" si="704"/>
        <v/>
      </c>
      <c r="FE101" s="66" t="str">
        <f t="shared" si="705"/>
        <v/>
      </c>
      <c r="FF101" s="66" t="str">
        <f t="shared" si="706"/>
        <v/>
      </c>
      <c r="FG101" s="66" t="str">
        <f t="shared" si="707"/>
        <v/>
      </c>
      <c r="FH101" s="66" t="str">
        <f t="shared" si="708"/>
        <v/>
      </c>
      <c r="FI101" s="66" t="str">
        <f t="shared" si="709"/>
        <v/>
      </c>
      <c r="FJ101" s="66" t="str">
        <f t="shared" si="710"/>
        <v/>
      </c>
      <c r="FK101" s="66" t="str">
        <f t="shared" si="711"/>
        <v/>
      </c>
      <c r="FL101" s="66" t="str">
        <f t="shared" si="712"/>
        <v/>
      </c>
      <c r="FM101" s="66" t="str">
        <f t="shared" si="713"/>
        <v/>
      </c>
      <c r="FN101" s="66" t="str">
        <f t="shared" si="714"/>
        <v/>
      </c>
      <c r="FO101" s="66" t="str">
        <f t="shared" si="715"/>
        <v/>
      </c>
      <c r="FP101" s="66" t="str">
        <f t="shared" si="716"/>
        <v/>
      </c>
      <c r="FQ101" s="66" t="str">
        <f t="shared" si="717"/>
        <v/>
      </c>
      <c r="FR101" s="66" t="str">
        <f t="shared" si="718"/>
        <v/>
      </c>
      <c r="FS101" s="66" t="str">
        <f t="shared" si="719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1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5"/>
        <v>InitUnitState('ID15',,,,,,,,,,)</v>
      </c>
      <c r="CO102" s="36" t="str">
        <f t="shared" si="1236"/>
        <v>InitUnitNormal('ID15',,,,,,,,,,)</v>
      </c>
      <c r="CP102" s="36" t="str">
        <f t="shared" si="1237"/>
        <v>InitUnitMagic('ID15',,,,,,,,,,)</v>
      </c>
      <c r="CQ102" s="36" t="str">
        <f t="shared" si="1238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39"/>
        <v>|n</v>
      </c>
      <c r="CV102" s="19" t="str">
        <f t="shared" si="1240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12" si="1242">IF(V102="","","|n"&amp;DB$2&amp;"+"&amp;V102&amp;DB$1)</f>
        <v/>
      </c>
      <c r="DC102" s="66" t="str">
        <f t="shared" ref="DC102:DC112" si="1243">IF(W102="","","|n"&amp;DC$2&amp;"+"&amp;W102&amp;DC$1)</f>
        <v/>
      </c>
      <c r="DD102" s="66" t="str">
        <f t="shared" ref="DD102:DD112" si="1244">IF(X102="","","|n"&amp;DD$2&amp;"+"&amp;X102&amp;DD$1)</f>
        <v/>
      </c>
      <c r="DE102" s="66" t="str">
        <f t="shared" ref="DE102:DE112" si="1245">IF(Y102="","","|n"&amp;DE$2&amp;"+"&amp;Y102&amp;DE$1)</f>
        <v/>
      </c>
      <c r="DF102" s="66" t="str">
        <f t="shared" ref="DF102:DF112" si="1246">IF(Z102="","","|n"&amp;DF$2&amp;"+"&amp;Z102&amp;DF$1)</f>
        <v/>
      </c>
      <c r="DG102" s="66" t="str">
        <f t="shared" ref="DG102:DG112" si="1247">IF(AA102="","","|n"&amp;DG$2&amp;"+"&amp;AA102&amp;DG$1)</f>
        <v/>
      </c>
      <c r="DH102" s="66" t="str">
        <f t="shared" ref="DH102:DH112" si="1248">IF(AB102="","","|n"&amp;DH$2&amp;"+"&amp;AB102&amp;DH$1)</f>
        <v/>
      </c>
      <c r="DI102" s="66" t="str">
        <f t="shared" ref="DI102:DI112" si="1249">IF(AC102="","","|n"&amp;DI$2&amp;"+"&amp;AC102&amp;DI$1)</f>
        <v/>
      </c>
      <c r="DJ102" s="66" t="str">
        <f t="shared" ref="DJ102:DJ112" si="1250">IF(AD102="","","|n"&amp;DJ$2&amp;"+"&amp;AD102&amp;DJ$1)</f>
        <v/>
      </c>
      <c r="DK102" s="66" t="str">
        <f t="shared" ref="DK102:DK112" si="1251">IF(AE102="","","|n"&amp;DK$2&amp;"+"&amp;AE102&amp;DK$1)</f>
        <v/>
      </c>
      <c r="DL102" s="66" t="str">
        <f t="shared" ref="DL102:DL112" si="1252">IF(AF102="","","|n"&amp;DL$2&amp;"+"&amp;AF102&amp;DL$1)</f>
        <v/>
      </c>
      <c r="DM102" s="66" t="str">
        <f t="shared" ref="DM102:DM112" si="1253">IF(AG102="","","|n"&amp;DM$2&amp;"+"&amp;AG102&amp;DM$1)</f>
        <v/>
      </c>
      <c r="DN102" s="66" t="str">
        <f t="shared" ref="DN102:DN112" si="1254">IF(AH102="","","|n"&amp;DN$2&amp;"+"&amp;AH102&amp;DN$1)</f>
        <v/>
      </c>
      <c r="DO102" s="66" t="str">
        <f t="shared" ref="DO102:DO112" si="1255">IF(AI102="","","|n"&amp;DO$2&amp;"+"&amp;AI102&amp;DO$1)</f>
        <v/>
      </c>
      <c r="DP102" s="66" t="str">
        <f t="shared" ref="DP102:DP112" si="1256">IF(AJ102="","","|n"&amp;DP$2&amp;"+"&amp;AJ102&amp;DP$1)</f>
        <v/>
      </c>
      <c r="DQ102" s="66" t="str">
        <f t="shared" ref="DQ102:DQ112" si="1257">IF(AK102="","","|n"&amp;DQ$2&amp;"+"&amp;AK102&amp;DQ$1)</f>
        <v/>
      </c>
      <c r="DR102" s="66" t="str">
        <f t="shared" ref="DR102:DR112" si="1258">IF(AL102="","","|n"&amp;DR$2&amp;"+"&amp;AL102&amp;DR$1)</f>
        <v/>
      </c>
      <c r="DS102" s="66" t="str">
        <f t="shared" ref="DS102:DS112" si="1259">IF(AM102="","","|n"&amp;DS$2&amp;"+"&amp;AM102&amp;DS$1)</f>
        <v/>
      </c>
      <c r="DT102" s="66" t="str">
        <f t="shared" ref="DT102:DT112" si="1260">IF(AN102="","","|n"&amp;DT$2&amp;"+"&amp;AN102&amp;DT$1)</f>
        <v/>
      </c>
      <c r="DU102" s="66" t="str">
        <f t="shared" ref="DU102:DU112" si="1261">IF(AO102="","","|n"&amp;DU$2&amp;"+"&amp;AO102&amp;DU$1)</f>
        <v/>
      </c>
      <c r="DV102" s="66" t="str">
        <f t="shared" ref="DV102:DV112" si="1262">IF(AP102="","","|n"&amp;DV$2&amp;"+"&amp;AP102&amp;DV$1)</f>
        <v/>
      </c>
      <c r="DW102" s="66" t="str">
        <f t="shared" ref="DW102:DW112" si="1263">IF(AQ102="","","|n"&amp;DW$2&amp;"+"&amp;AQ102&amp;DW$1)</f>
        <v/>
      </c>
      <c r="DX102" s="66" t="str">
        <f t="shared" ref="DX102:DX112" si="1264">IF(AR102="","","|n"&amp;DX$2&amp;"+"&amp;AR102&amp;DX$1)</f>
        <v/>
      </c>
      <c r="DY102" s="66" t="str">
        <f t="shared" ref="DY102:DY112" si="1265">IF(AS102="","","|n"&amp;DY$2&amp;"+"&amp;AS102&amp;DY$1)</f>
        <v/>
      </c>
      <c r="DZ102" s="66" t="str">
        <f t="shared" ref="DZ102:DZ112" si="1266">IF(AT102="","","|n"&amp;DZ$2&amp;"+"&amp;AT102&amp;DZ$1)</f>
        <v/>
      </c>
      <c r="EA102" s="66" t="str">
        <f t="shared" ref="EA102:EA112" si="1267">IF(AU102="","","|n"&amp;EA$2&amp;"+"&amp;AU102&amp;EA$1)</f>
        <v/>
      </c>
      <c r="EB102" s="66" t="str">
        <f t="shared" ref="EB102:EB112" si="1268">IF(AV102="","","|n"&amp;EB$2&amp;"+"&amp;AV102&amp;EB$1)</f>
        <v/>
      </c>
      <c r="EC102" s="66" t="str">
        <f t="shared" ref="EC102:EC112" si="1269">IF(AW102="","","|n"&amp;EC$2&amp;"+"&amp;AW102&amp;EC$1)</f>
        <v/>
      </c>
      <c r="ED102" s="66" t="str">
        <f t="shared" ref="ED102:ED112" si="1270">IF(AX102="","","|n"&amp;ED$2&amp;"+"&amp;AX102&amp;ED$1)</f>
        <v/>
      </c>
      <c r="EE102" s="66" t="str">
        <f t="shared" ref="EE102:EE112" si="1271">IF(AY102="","","|n"&amp;EE$2&amp;"+"&amp;AY102&amp;EE$1)</f>
        <v/>
      </c>
      <c r="EF102" s="66" t="str">
        <f t="shared" ref="EF102:EF112" si="1272">IF(AZ102="","","|n"&amp;EF$2&amp;"+"&amp;AZ102&amp;EF$1)</f>
        <v/>
      </c>
      <c r="EG102" s="66" t="str">
        <f t="shared" ref="EG102:EG112" si="1273">IF(BA102="","","|n"&amp;EG$2&amp;"+"&amp;BA102&amp;EG$1)</f>
        <v/>
      </c>
      <c r="EH102" s="66" t="str">
        <f t="shared" ref="EH102:EH112" si="1274">IF(BB102="","","|n"&amp;EH$2&amp;"+"&amp;BB102&amp;EH$1)</f>
        <v/>
      </c>
      <c r="EI102" s="66" t="str">
        <f t="shared" ref="EI102:EI112" si="1275">IF(BC102="","","|n"&amp;EI$2&amp;"+"&amp;BC102&amp;EI$1)</f>
        <v/>
      </c>
      <c r="EJ102" s="66" t="str">
        <f t="shared" ref="EJ102:EJ112" si="1276">IF(BD102="","","|n"&amp;EJ$2&amp;"+"&amp;BD102&amp;EJ$1)</f>
        <v/>
      </c>
      <c r="EK102" s="66" t="str">
        <f t="shared" ref="EK102:EK112" si="1277">IF(BE102="","","|n"&amp;EK$2&amp;"+"&amp;BE102&amp;EK$1)</f>
        <v/>
      </c>
      <c r="EL102" s="66" t="str">
        <f t="shared" ref="EL102:EL112" si="1278">IF(BF102="","","|n"&amp;EL$2&amp;"+"&amp;BF102&amp;EL$1)</f>
        <v/>
      </c>
      <c r="EM102" s="66" t="str">
        <f t="shared" ref="EM102:EM112" si="1279">IF(BG102="","","|n"&amp;EM$2&amp;"+"&amp;BG102&amp;EM$1)</f>
        <v/>
      </c>
      <c r="EN102" s="66" t="str">
        <f t="shared" ref="EN102:EN112" si="1280">IF(BH102="","","|n"&amp;EN$2&amp;"+"&amp;BH102&amp;EN$1)</f>
        <v/>
      </c>
      <c r="EO102" s="66" t="str">
        <f t="shared" ref="EO102:EO112" si="1281">IF(BI102="","","|n"&amp;EO$2&amp;"+"&amp;BI102&amp;EO$1)</f>
        <v/>
      </c>
      <c r="EP102" s="66" t="str">
        <f t="shared" ref="EP102:EP112" si="1282">IF(BJ102="","","|n"&amp;EP$2&amp;"+"&amp;BJ102&amp;EP$1)</f>
        <v/>
      </c>
      <c r="EQ102" s="66" t="str">
        <f t="shared" ref="EQ102:EQ112" si="1283">IF(BK102="","","|n"&amp;EQ$2&amp;"+"&amp;BK102&amp;EQ$1)</f>
        <v/>
      </c>
      <c r="ER102" s="66" t="str">
        <f t="shared" ref="ER102:ER112" si="1284">IF(BL102="","","|n"&amp;ER$2&amp;"+"&amp;BL102&amp;ER$1)</f>
        <v/>
      </c>
      <c r="ES102" s="66" t="str">
        <f t="shared" ref="ES102:ES112" si="1285">IF(BM102="","","|n"&amp;ES$2&amp;"+"&amp;BM102&amp;ES$1)</f>
        <v/>
      </c>
      <c r="ET102" s="66" t="str">
        <f t="shared" ref="ET102:ET112" si="1286">IF(BN102="","","|n"&amp;ET$2&amp;"+"&amp;BN102&amp;ET$1)</f>
        <v/>
      </c>
      <c r="EU102" s="66" t="str">
        <f t="shared" ref="EU102:EU112" si="1287">IF(BO102="","","|n"&amp;EU$2&amp;"+"&amp;BO102&amp;EU$1)</f>
        <v/>
      </c>
      <c r="EV102" s="66" t="str">
        <f t="shared" ref="EV102:EV112" si="1288">IF(BP102="","","|n"&amp;EV$2&amp;"+"&amp;BP102&amp;EV$1)</f>
        <v/>
      </c>
      <c r="EW102" s="66" t="str">
        <f t="shared" ref="EW102:EW112" si="1289">IF(BQ102="","","|n"&amp;EW$2&amp;"+"&amp;BQ102&amp;EW$1)</f>
        <v/>
      </c>
      <c r="EX102" s="66" t="str">
        <f t="shared" ref="EX102:EX112" si="1290">IF(BR102="","","|n"&amp;EX$2&amp;"+"&amp;BR102&amp;EX$1)</f>
        <v/>
      </c>
      <c r="EY102" s="66" t="str">
        <f t="shared" ref="EY102:EY112" si="1291">IF(BS102="","","|n"&amp;EY$2&amp;"+"&amp;BS102&amp;EY$1)</f>
        <v/>
      </c>
      <c r="EZ102" s="66" t="str">
        <f t="shared" ref="EZ102:EZ112" si="1292">IF(BT102="","","|n"&amp;EZ$2&amp;"+"&amp;BT102&amp;EZ$1)</f>
        <v/>
      </c>
      <c r="FA102" s="66" t="str">
        <f t="shared" ref="FA102:FA112" si="1293">IF(BU102="","","|n"&amp;FA$2&amp;"+"&amp;BU102&amp;FA$1)</f>
        <v/>
      </c>
      <c r="FB102" s="66" t="str">
        <f t="shared" ref="FB102:FB112" si="1294">IF(BV102="","","|n"&amp;FB$2&amp;"+"&amp;BV102&amp;FB$1)</f>
        <v/>
      </c>
      <c r="FC102" s="66" t="str">
        <f t="shared" ref="FC102:FC112" si="1295">IF(BW102="","","|n"&amp;FC$2&amp;"+"&amp;BW102&amp;FC$1)</f>
        <v/>
      </c>
      <c r="FD102" s="66" t="str">
        <f t="shared" ref="FD102:FD112" si="1296">IF(BX102="","","|n"&amp;FD$2&amp;"+"&amp;BX102&amp;FD$1)</f>
        <v/>
      </c>
      <c r="FE102" s="66" t="str">
        <f t="shared" ref="FE102:FE112" si="1297">IF(BY102="","","|n"&amp;FE$2&amp;"+"&amp;BY102&amp;FE$1)</f>
        <v/>
      </c>
      <c r="FF102" s="66" t="str">
        <f t="shared" ref="FF102:FF112" si="1298">IF(BZ102="","","|n"&amp;FF$2&amp;"+"&amp;BZ102&amp;FF$1)</f>
        <v/>
      </c>
      <c r="FG102" s="66" t="str">
        <f t="shared" ref="FG102:FG112" si="1299">IF(CA102="","","|n"&amp;FG$2&amp;"+"&amp;CA102&amp;FG$1)</f>
        <v/>
      </c>
      <c r="FH102" s="66" t="str">
        <f t="shared" ref="FH102:FH112" si="1300">IF(CB102="","","|n"&amp;FH$2&amp;"+"&amp;CB102&amp;FH$1)</f>
        <v/>
      </c>
      <c r="FI102" s="66" t="str">
        <f t="shared" ref="FI102:FI112" si="1301">IF(CC102="","","|n"&amp;FI$2&amp;"+"&amp;CC102&amp;FI$1)</f>
        <v/>
      </c>
      <c r="FJ102" s="66" t="str">
        <f t="shared" ref="FJ102:FJ112" si="1302">IF(CD102="","","|n"&amp;FJ$2&amp;"+"&amp;CD102&amp;FJ$1)</f>
        <v/>
      </c>
      <c r="FK102" s="66" t="str">
        <f t="shared" ref="FK102:FK112" si="1303">IF(CE102="","","|n"&amp;FK$2&amp;"+"&amp;CE102&amp;FK$1)</f>
        <v/>
      </c>
      <c r="FL102" s="66" t="str">
        <f t="shared" ref="FL102:FL112" si="1304">IF(CF102="","","|n"&amp;FL$2&amp;"+"&amp;CF102&amp;FL$1)</f>
        <v/>
      </c>
      <c r="FM102" s="66" t="str">
        <f t="shared" ref="FM102:FM112" si="1305">IF(CG102="","","|n"&amp;FM$2&amp;"+"&amp;CG102&amp;FM$1)</f>
        <v/>
      </c>
      <c r="FN102" s="66" t="str">
        <f t="shared" ref="FN102:FN112" si="1306">IF(CH102="","","|n"&amp;FN$2&amp;"+"&amp;CH102&amp;FN$1)</f>
        <v/>
      </c>
      <c r="FO102" s="66" t="str">
        <f t="shared" ref="FO102:FO112" si="1307">IF(CI102="","","|n"&amp;FO$2&amp;"+"&amp;CI102&amp;FO$1)</f>
        <v/>
      </c>
      <c r="FP102" s="66" t="str">
        <f t="shared" ref="FP102:FP112" si="1308">IF(CJ102="","","|n"&amp;FP$2&amp;"+"&amp;CJ102&amp;FP$1)</f>
        <v/>
      </c>
      <c r="FQ102" s="66" t="str">
        <f t="shared" ref="FQ102:FQ112" si="1309">IF(CK102="","","|n"&amp;FQ$2&amp;"+"&amp;CK102&amp;FQ$1)</f>
        <v/>
      </c>
      <c r="FR102" s="66" t="str">
        <f t="shared" ref="FR102:FR112" si="1310">IF(CL102="","","|n"&amp;FR$2&amp;"+"&amp;CL102&amp;FR$1)</f>
        <v/>
      </c>
      <c r="FS102" s="66" t="str">
        <f t="shared" ref="FS102:FS112" si="1311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1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5"/>
        <v>InitUnitState('ID16',,,,,,,,,,)</v>
      </c>
      <c r="CO103" s="36" t="str">
        <f t="shared" si="1236"/>
        <v>InitUnitNormal('ID16',,,,,,,,,,)</v>
      </c>
      <c r="CP103" s="36" t="str">
        <f t="shared" si="1237"/>
        <v>InitUnitMagic('ID16',,,,,,,,,,)</v>
      </c>
      <c r="CQ103" s="36" t="str">
        <f t="shared" si="1238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39"/>
        <v>|n</v>
      </c>
      <c r="CV103" s="19" t="str">
        <f t="shared" si="1240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2"/>
        <v/>
      </c>
      <c r="DC103" s="66" t="str">
        <f t="shared" si="1243"/>
        <v/>
      </c>
      <c r="DD103" s="66" t="str">
        <f t="shared" si="1244"/>
        <v/>
      </c>
      <c r="DE103" s="66" t="str">
        <f t="shared" si="1245"/>
        <v/>
      </c>
      <c r="DF103" s="66" t="str">
        <f t="shared" si="1246"/>
        <v/>
      </c>
      <c r="DG103" s="66" t="str">
        <f t="shared" si="1247"/>
        <v/>
      </c>
      <c r="DH103" s="66" t="str">
        <f t="shared" si="1248"/>
        <v/>
      </c>
      <c r="DI103" s="66" t="str">
        <f t="shared" si="1249"/>
        <v/>
      </c>
      <c r="DJ103" s="66" t="str">
        <f t="shared" si="1250"/>
        <v/>
      </c>
      <c r="DK103" s="66" t="str">
        <f t="shared" si="1251"/>
        <v/>
      </c>
      <c r="DL103" s="66" t="str">
        <f t="shared" si="1252"/>
        <v/>
      </c>
      <c r="DM103" s="66" t="str">
        <f t="shared" si="1253"/>
        <v/>
      </c>
      <c r="DN103" s="66" t="str">
        <f t="shared" si="1254"/>
        <v/>
      </c>
      <c r="DO103" s="66" t="str">
        <f t="shared" si="1255"/>
        <v/>
      </c>
      <c r="DP103" s="66" t="str">
        <f t="shared" si="1256"/>
        <v/>
      </c>
      <c r="DQ103" s="66" t="str">
        <f t="shared" si="1257"/>
        <v/>
      </c>
      <c r="DR103" s="66" t="str">
        <f t="shared" si="1258"/>
        <v/>
      </c>
      <c r="DS103" s="66" t="str">
        <f t="shared" si="1259"/>
        <v/>
      </c>
      <c r="DT103" s="66" t="str">
        <f t="shared" si="1260"/>
        <v/>
      </c>
      <c r="DU103" s="66" t="str">
        <f t="shared" si="1261"/>
        <v/>
      </c>
      <c r="DV103" s="66" t="str">
        <f t="shared" si="1262"/>
        <v/>
      </c>
      <c r="DW103" s="66" t="str">
        <f t="shared" si="1263"/>
        <v/>
      </c>
      <c r="DX103" s="66" t="str">
        <f t="shared" si="1264"/>
        <v/>
      </c>
      <c r="DY103" s="66" t="str">
        <f t="shared" si="1265"/>
        <v/>
      </c>
      <c r="DZ103" s="66" t="str">
        <f t="shared" si="1266"/>
        <v/>
      </c>
      <c r="EA103" s="66" t="str">
        <f t="shared" si="1267"/>
        <v/>
      </c>
      <c r="EB103" s="66" t="str">
        <f t="shared" si="1268"/>
        <v/>
      </c>
      <c r="EC103" s="66" t="str">
        <f t="shared" si="1269"/>
        <v/>
      </c>
      <c r="ED103" s="66" t="str">
        <f t="shared" si="1270"/>
        <v/>
      </c>
      <c r="EE103" s="66" t="str">
        <f t="shared" si="1271"/>
        <v/>
      </c>
      <c r="EF103" s="66" t="str">
        <f t="shared" si="1272"/>
        <v/>
      </c>
      <c r="EG103" s="66" t="str">
        <f t="shared" si="1273"/>
        <v/>
      </c>
      <c r="EH103" s="66" t="str">
        <f t="shared" si="1274"/>
        <v/>
      </c>
      <c r="EI103" s="66" t="str">
        <f t="shared" si="1275"/>
        <v/>
      </c>
      <c r="EJ103" s="66" t="str">
        <f t="shared" si="1276"/>
        <v/>
      </c>
      <c r="EK103" s="66" t="str">
        <f t="shared" si="1277"/>
        <v/>
      </c>
      <c r="EL103" s="66" t="str">
        <f t="shared" si="1278"/>
        <v/>
      </c>
      <c r="EM103" s="66" t="str">
        <f t="shared" si="1279"/>
        <v/>
      </c>
      <c r="EN103" s="66" t="str">
        <f t="shared" si="1280"/>
        <v/>
      </c>
      <c r="EO103" s="66" t="str">
        <f t="shared" si="1281"/>
        <v/>
      </c>
      <c r="EP103" s="66" t="str">
        <f t="shared" si="1282"/>
        <v/>
      </c>
      <c r="EQ103" s="66" t="str">
        <f t="shared" si="1283"/>
        <v/>
      </c>
      <c r="ER103" s="66" t="str">
        <f t="shared" si="1284"/>
        <v/>
      </c>
      <c r="ES103" s="66" t="str">
        <f t="shared" si="1285"/>
        <v/>
      </c>
      <c r="ET103" s="66" t="str">
        <f t="shared" si="1286"/>
        <v/>
      </c>
      <c r="EU103" s="66" t="str">
        <f t="shared" si="1287"/>
        <v/>
      </c>
      <c r="EV103" s="66" t="str">
        <f t="shared" si="1288"/>
        <v/>
      </c>
      <c r="EW103" s="66" t="str">
        <f t="shared" si="1289"/>
        <v/>
      </c>
      <c r="EX103" s="66" t="str">
        <f t="shared" si="1290"/>
        <v/>
      </c>
      <c r="EY103" s="66" t="str">
        <f t="shared" si="1291"/>
        <v/>
      </c>
      <c r="EZ103" s="66" t="str">
        <f t="shared" si="1292"/>
        <v/>
      </c>
      <c r="FA103" s="66" t="str">
        <f t="shared" si="1293"/>
        <v/>
      </c>
      <c r="FB103" s="66" t="str">
        <f t="shared" si="1294"/>
        <v/>
      </c>
      <c r="FC103" s="66" t="str">
        <f t="shared" si="1295"/>
        <v/>
      </c>
      <c r="FD103" s="66" t="str">
        <f t="shared" si="1296"/>
        <v/>
      </c>
      <c r="FE103" s="66" t="str">
        <f t="shared" si="1297"/>
        <v/>
      </c>
      <c r="FF103" s="66" t="str">
        <f t="shared" si="1298"/>
        <v/>
      </c>
      <c r="FG103" s="66" t="str">
        <f t="shared" si="1299"/>
        <v/>
      </c>
      <c r="FH103" s="66" t="str">
        <f t="shared" si="1300"/>
        <v/>
      </c>
      <c r="FI103" s="66" t="str">
        <f t="shared" si="1301"/>
        <v/>
      </c>
      <c r="FJ103" s="66" t="str">
        <f t="shared" si="1302"/>
        <v/>
      </c>
      <c r="FK103" s="66" t="str">
        <f t="shared" si="1303"/>
        <v/>
      </c>
      <c r="FL103" s="66" t="str">
        <f t="shared" si="1304"/>
        <v/>
      </c>
      <c r="FM103" s="66" t="str">
        <f t="shared" si="1305"/>
        <v/>
      </c>
      <c r="FN103" s="66" t="str">
        <f t="shared" si="1306"/>
        <v/>
      </c>
      <c r="FO103" s="66" t="str">
        <f t="shared" si="1307"/>
        <v/>
      </c>
      <c r="FP103" s="66" t="str">
        <f t="shared" si="1308"/>
        <v/>
      </c>
      <c r="FQ103" s="66" t="str">
        <f t="shared" si="1309"/>
        <v/>
      </c>
      <c r="FR103" s="66" t="str">
        <f t="shared" si="1310"/>
        <v/>
      </c>
      <c r="FS103" s="66" t="str">
        <f t="shared" si="1311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1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5"/>
        <v>InitUnitState('ID17',,,,,,,,,,)</v>
      </c>
      <c r="CO104" s="36" t="str">
        <f t="shared" si="1236"/>
        <v>InitUnitNormal('ID17',,,,,,,,,,)</v>
      </c>
      <c r="CP104" s="36" t="str">
        <f t="shared" si="1237"/>
        <v>InitUnitMagic('ID17',,,,,,,,,,)</v>
      </c>
      <c r="CQ104" s="36" t="str">
        <f t="shared" si="1238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39"/>
        <v>|n</v>
      </c>
      <c r="CV104" s="19" t="str">
        <f t="shared" si="1240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2"/>
        <v/>
      </c>
      <c r="DC104" s="66" t="str">
        <f t="shared" si="1243"/>
        <v/>
      </c>
      <c r="DD104" s="66" t="str">
        <f t="shared" si="1244"/>
        <v/>
      </c>
      <c r="DE104" s="66" t="str">
        <f t="shared" si="1245"/>
        <v/>
      </c>
      <c r="DF104" s="66" t="str">
        <f t="shared" si="1246"/>
        <v/>
      </c>
      <c r="DG104" s="66" t="str">
        <f t="shared" si="1247"/>
        <v/>
      </c>
      <c r="DH104" s="66" t="str">
        <f t="shared" si="1248"/>
        <v/>
      </c>
      <c r="DI104" s="66" t="str">
        <f t="shared" si="1249"/>
        <v/>
      </c>
      <c r="DJ104" s="66" t="str">
        <f t="shared" si="1250"/>
        <v/>
      </c>
      <c r="DK104" s="66" t="str">
        <f t="shared" si="1251"/>
        <v/>
      </c>
      <c r="DL104" s="66" t="str">
        <f t="shared" si="1252"/>
        <v/>
      </c>
      <c r="DM104" s="66" t="str">
        <f t="shared" si="1253"/>
        <v/>
      </c>
      <c r="DN104" s="66" t="str">
        <f t="shared" si="1254"/>
        <v/>
      </c>
      <c r="DO104" s="66" t="str">
        <f t="shared" si="1255"/>
        <v/>
      </c>
      <c r="DP104" s="66" t="str">
        <f t="shared" si="1256"/>
        <v/>
      </c>
      <c r="DQ104" s="66" t="str">
        <f t="shared" si="1257"/>
        <v/>
      </c>
      <c r="DR104" s="66" t="str">
        <f t="shared" si="1258"/>
        <v/>
      </c>
      <c r="DS104" s="66" t="str">
        <f t="shared" si="1259"/>
        <v/>
      </c>
      <c r="DT104" s="66" t="str">
        <f t="shared" si="1260"/>
        <v/>
      </c>
      <c r="DU104" s="66" t="str">
        <f t="shared" si="1261"/>
        <v/>
      </c>
      <c r="DV104" s="66" t="str">
        <f t="shared" si="1262"/>
        <v/>
      </c>
      <c r="DW104" s="66" t="str">
        <f t="shared" si="1263"/>
        <v/>
      </c>
      <c r="DX104" s="66" t="str">
        <f t="shared" si="1264"/>
        <v/>
      </c>
      <c r="DY104" s="66" t="str">
        <f t="shared" si="1265"/>
        <v/>
      </c>
      <c r="DZ104" s="66" t="str">
        <f t="shared" si="1266"/>
        <v/>
      </c>
      <c r="EA104" s="66" t="str">
        <f t="shared" si="1267"/>
        <v/>
      </c>
      <c r="EB104" s="66" t="str">
        <f t="shared" si="1268"/>
        <v/>
      </c>
      <c r="EC104" s="66" t="str">
        <f t="shared" si="1269"/>
        <v/>
      </c>
      <c r="ED104" s="66" t="str">
        <f t="shared" si="1270"/>
        <v/>
      </c>
      <c r="EE104" s="66" t="str">
        <f t="shared" si="1271"/>
        <v/>
      </c>
      <c r="EF104" s="66" t="str">
        <f t="shared" si="1272"/>
        <v/>
      </c>
      <c r="EG104" s="66" t="str">
        <f t="shared" si="1273"/>
        <v/>
      </c>
      <c r="EH104" s="66" t="str">
        <f t="shared" si="1274"/>
        <v/>
      </c>
      <c r="EI104" s="66" t="str">
        <f t="shared" si="1275"/>
        <v/>
      </c>
      <c r="EJ104" s="66" t="str">
        <f t="shared" si="1276"/>
        <v/>
      </c>
      <c r="EK104" s="66" t="str">
        <f t="shared" si="1277"/>
        <v/>
      </c>
      <c r="EL104" s="66" t="str">
        <f t="shared" si="1278"/>
        <v/>
      </c>
      <c r="EM104" s="66" t="str">
        <f t="shared" si="1279"/>
        <v/>
      </c>
      <c r="EN104" s="66" t="str">
        <f t="shared" si="1280"/>
        <v/>
      </c>
      <c r="EO104" s="66" t="str">
        <f t="shared" si="1281"/>
        <v/>
      </c>
      <c r="EP104" s="66" t="str">
        <f t="shared" si="1282"/>
        <v/>
      </c>
      <c r="EQ104" s="66" t="str">
        <f t="shared" si="1283"/>
        <v/>
      </c>
      <c r="ER104" s="66" t="str">
        <f t="shared" si="1284"/>
        <v/>
      </c>
      <c r="ES104" s="66" t="str">
        <f t="shared" si="1285"/>
        <v/>
      </c>
      <c r="ET104" s="66" t="str">
        <f t="shared" si="1286"/>
        <v/>
      </c>
      <c r="EU104" s="66" t="str">
        <f t="shared" si="1287"/>
        <v/>
      </c>
      <c r="EV104" s="66" t="str">
        <f t="shared" si="1288"/>
        <v/>
      </c>
      <c r="EW104" s="66" t="str">
        <f t="shared" si="1289"/>
        <v/>
      </c>
      <c r="EX104" s="66" t="str">
        <f t="shared" si="1290"/>
        <v/>
      </c>
      <c r="EY104" s="66" t="str">
        <f t="shared" si="1291"/>
        <v/>
      </c>
      <c r="EZ104" s="66" t="str">
        <f t="shared" si="1292"/>
        <v/>
      </c>
      <c r="FA104" s="66" t="str">
        <f t="shared" si="1293"/>
        <v/>
      </c>
      <c r="FB104" s="66" t="str">
        <f t="shared" si="1294"/>
        <v/>
      </c>
      <c r="FC104" s="66" t="str">
        <f t="shared" si="1295"/>
        <v/>
      </c>
      <c r="FD104" s="66" t="str">
        <f t="shared" si="1296"/>
        <v/>
      </c>
      <c r="FE104" s="66" t="str">
        <f t="shared" si="1297"/>
        <v/>
      </c>
      <c r="FF104" s="66" t="str">
        <f t="shared" si="1298"/>
        <v/>
      </c>
      <c r="FG104" s="66" t="str">
        <f t="shared" si="1299"/>
        <v/>
      </c>
      <c r="FH104" s="66" t="str">
        <f t="shared" si="1300"/>
        <v/>
      </c>
      <c r="FI104" s="66" t="str">
        <f t="shared" si="1301"/>
        <v/>
      </c>
      <c r="FJ104" s="66" t="str">
        <f t="shared" si="1302"/>
        <v/>
      </c>
      <c r="FK104" s="66" t="str">
        <f t="shared" si="1303"/>
        <v/>
      </c>
      <c r="FL104" s="66" t="str">
        <f t="shared" si="1304"/>
        <v/>
      </c>
      <c r="FM104" s="66" t="str">
        <f t="shared" si="1305"/>
        <v/>
      </c>
      <c r="FN104" s="66" t="str">
        <f t="shared" si="1306"/>
        <v/>
      </c>
      <c r="FO104" s="66" t="str">
        <f t="shared" si="1307"/>
        <v/>
      </c>
      <c r="FP104" s="66" t="str">
        <f t="shared" si="1308"/>
        <v/>
      </c>
      <c r="FQ104" s="66" t="str">
        <f t="shared" si="1309"/>
        <v/>
      </c>
      <c r="FR104" s="66" t="str">
        <f t="shared" si="1310"/>
        <v/>
      </c>
      <c r="FS104" s="66" t="str">
        <f t="shared" si="1311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1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5"/>
        <v>InitUnitState('ID18',,,,,,,,,,)</v>
      </c>
      <c r="CO105" s="36" t="str">
        <f t="shared" si="1236"/>
        <v>InitUnitNormal('ID18',,,,,,,,,,)</v>
      </c>
      <c r="CP105" s="36" t="str">
        <f t="shared" si="1237"/>
        <v>InitUnitMagic('ID18',,,,,,,,,,)</v>
      </c>
      <c r="CQ105" s="36" t="str">
        <f t="shared" si="1238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39"/>
        <v>|n</v>
      </c>
      <c r="CV105" s="19" t="str">
        <f t="shared" si="1240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2"/>
        <v/>
      </c>
      <c r="DC105" s="66" t="str">
        <f t="shared" si="1243"/>
        <v/>
      </c>
      <c r="DD105" s="66" t="str">
        <f t="shared" si="1244"/>
        <v/>
      </c>
      <c r="DE105" s="66" t="str">
        <f t="shared" si="1245"/>
        <v/>
      </c>
      <c r="DF105" s="66" t="str">
        <f t="shared" si="1246"/>
        <v/>
      </c>
      <c r="DG105" s="66" t="str">
        <f t="shared" si="1247"/>
        <v/>
      </c>
      <c r="DH105" s="66" t="str">
        <f t="shared" si="1248"/>
        <v/>
      </c>
      <c r="DI105" s="66" t="str">
        <f t="shared" si="1249"/>
        <v/>
      </c>
      <c r="DJ105" s="66" t="str">
        <f t="shared" si="1250"/>
        <v/>
      </c>
      <c r="DK105" s="66" t="str">
        <f t="shared" si="1251"/>
        <v/>
      </c>
      <c r="DL105" s="66" t="str">
        <f t="shared" si="1252"/>
        <v/>
      </c>
      <c r="DM105" s="66" t="str">
        <f t="shared" si="1253"/>
        <v/>
      </c>
      <c r="DN105" s="66" t="str">
        <f t="shared" si="1254"/>
        <v/>
      </c>
      <c r="DO105" s="66" t="str">
        <f t="shared" si="1255"/>
        <v/>
      </c>
      <c r="DP105" s="66" t="str">
        <f t="shared" si="1256"/>
        <v/>
      </c>
      <c r="DQ105" s="66" t="str">
        <f t="shared" si="1257"/>
        <v/>
      </c>
      <c r="DR105" s="66" t="str">
        <f t="shared" si="1258"/>
        <v/>
      </c>
      <c r="DS105" s="66" t="str">
        <f t="shared" si="1259"/>
        <v/>
      </c>
      <c r="DT105" s="66" t="str">
        <f t="shared" si="1260"/>
        <v/>
      </c>
      <c r="DU105" s="66" t="str">
        <f t="shared" si="1261"/>
        <v/>
      </c>
      <c r="DV105" s="66" t="str">
        <f t="shared" si="1262"/>
        <v/>
      </c>
      <c r="DW105" s="66" t="str">
        <f t="shared" si="1263"/>
        <v/>
      </c>
      <c r="DX105" s="66" t="str">
        <f t="shared" si="1264"/>
        <v/>
      </c>
      <c r="DY105" s="66" t="str">
        <f t="shared" si="1265"/>
        <v/>
      </c>
      <c r="DZ105" s="66" t="str">
        <f t="shared" si="1266"/>
        <v/>
      </c>
      <c r="EA105" s="66" t="str">
        <f t="shared" si="1267"/>
        <v/>
      </c>
      <c r="EB105" s="66" t="str">
        <f t="shared" si="1268"/>
        <v/>
      </c>
      <c r="EC105" s="66" t="str">
        <f t="shared" si="1269"/>
        <v/>
      </c>
      <c r="ED105" s="66" t="str">
        <f t="shared" si="1270"/>
        <v/>
      </c>
      <c r="EE105" s="66" t="str">
        <f t="shared" si="1271"/>
        <v/>
      </c>
      <c r="EF105" s="66" t="str">
        <f t="shared" si="1272"/>
        <v/>
      </c>
      <c r="EG105" s="66" t="str">
        <f t="shared" si="1273"/>
        <v/>
      </c>
      <c r="EH105" s="66" t="str">
        <f t="shared" si="1274"/>
        <v/>
      </c>
      <c r="EI105" s="66" t="str">
        <f t="shared" si="1275"/>
        <v/>
      </c>
      <c r="EJ105" s="66" t="str">
        <f t="shared" si="1276"/>
        <v/>
      </c>
      <c r="EK105" s="66" t="str">
        <f t="shared" si="1277"/>
        <v/>
      </c>
      <c r="EL105" s="66" t="str">
        <f t="shared" si="1278"/>
        <v/>
      </c>
      <c r="EM105" s="66" t="str">
        <f t="shared" si="1279"/>
        <v/>
      </c>
      <c r="EN105" s="66" t="str">
        <f t="shared" si="1280"/>
        <v/>
      </c>
      <c r="EO105" s="66" t="str">
        <f t="shared" si="1281"/>
        <v/>
      </c>
      <c r="EP105" s="66" t="str">
        <f t="shared" si="1282"/>
        <v/>
      </c>
      <c r="EQ105" s="66" t="str">
        <f t="shared" si="1283"/>
        <v/>
      </c>
      <c r="ER105" s="66" t="str">
        <f t="shared" si="1284"/>
        <v/>
      </c>
      <c r="ES105" s="66" t="str">
        <f t="shared" si="1285"/>
        <v/>
      </c>
      <c r="ET105" s="66" t="str">
        <f t="shared" si="1286"/>
        <v/>
      </c>
      <c r="EU105" s="66" t="str">
        <f t="shared" si="1287"/>
        <v/>
      </c>
      <c r="EV105" s="66" t="str">
        <f t="shared" si="1288"/>
        <v/>
      </c>
      <c r="EW105" s="66" t="str">
        <f t="shared" si="1289"/>
        <v/>
      </c>
      <c r="EX105" s="66" t="str">
        <f t="shared" si="1290"/>
        <v/>
      </c>
      <c r="EY105" s="66" t="str">
        <f t="shared" si="1291"/>
        <v/>
      </c>
      <c r="EZ105" s="66" t="str">
        <f t="shared" si="1292"/>
        <v/>
      </c>
      <c r="FA105" s="66" t="str">
        <f t="shared" si="1293"/>
        <v/>
      </c>
      <c r="FB105" s="66" t="str">
        <f t="shared" si="1294"/>
        <v/>
      </c>
      <c r="FC105" s="66" t="str">
        <f t="shared" si="1295"/>
        <v/>
      </c>
      <c r="FD105" s="66" t="str">
        <f t="shared" si="1296"/>
        <v/>
      </c>
      <c r="FE105" s="66" t="str">
        <f t="shared" si="1297"/>
        <v/>
      </c>
      <c r="FF105" s="66" t="str">
        <f t="shared" si="1298"/>
        <v/>
      </c>
      <c r="FG105" s="66" t="str">
        <f t="shared" si="1299"/>
        <v/>
      </c>
      <c r="FH105" s="66" t="str">
        <f t="shared" si="1300"/>
        <v/>
      </c>
      <c r="FI105" s="66" t="str">
        <f t="shared" si="1301"/>
        <v/>
      </c>
      <c r="FJ105" s="66" t="str">
        <f t="shared" si="1302"/>
        <v/>
      </c>
      <c r="FK105" s="66" t="str">
        <f t="shared" si="1303"/>
        <v/>
      </c>
      <c r="FL105" s="66" t="str">
        <f t="shared" si="1304"/>
        <v/>
      </c>
      <c r="FM105" s="66" t="str">
        <f t="shared" si="1305"/>
        <v/>
      </c>
      <c r="FN105" s="66" t="str">
        <f t="shared" si="1306"/>
        <v/>
      </c>
      <c r="FO105" s="66" t="str">
        <f t="shared" si="1307"/>
        <v/>
      </c>
      <c r="FP105" s="66" t="str">
        <f t="shared" si="1308"/>
        <v/>
      </c>
      <c r="FQ105" s="66" t="str">
        <f t="shared" si="1309"/>
        <v/>
      </c>
      <c r="FR105" s="66" t="str">
        <f t="shared" si="1310"/>
        <v/>
      </c>
      <c r="FS105" s="66" t="str">
        <f t="shared" si="1311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1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5"/>
        <v>InitUnitState('ID19',,,,,,,,,,)</v>
      </c>
      <c r="CO106" s="36" t="str">
        <f t="shared" si="1236"/>
        <v>InitUnitNormal('ID19',,,,,,,,,,)</v>
      </c>
      <c r="CP106" s="36" t="str">
        <f t="shared" si="1237"/>
        <v>InitUnitMagic('ID19',,,,,,,,,,)</v>
      </c>
      <c r="CQ106" s="36" t="str">
        <f t="shared" si="1238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39"/>
        <v>|n</v>
      </c>
      <c r="CV106" s="19" t="str">
        <f t="shared" si="1240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2"/>
        <v/>
      </c>
      <c r="DC106" s="66" t="str">
        <f t="shared" si="1243"/>
        <v/>
      </c>
      <c r="DD106" s="66" t="str">
        <f t="shared" si="1244"/>
        <v/>
      </c>
      <c r="DE106" s="66" t="str">
        <f t="shared" si="1245"/>
        <v/>
      </c>
      <c r="DF106" s="66" t="str">
        <f t="shared" si="1246"/>
        <v/>
      </c>
      <c r="DG106" s="66" t="str">
        <f t="shared" si="1247"/>
        <v/>
      </c>
      <c r="DH106" s="66" t="str">
        <f t="shared" si="1248"/>
        <v/>
      </c>
      <c r="DI106" s="66" t="str">
        <f t="shared" si="1249"/>
        <v/>
      </c>
      <c r="DJ106" s="66" t="str">
        <f t="shared" si="1250"/>
        <v/>
      </c>
      <c r="DK106" s="66" t="str">
        <f t="shared" si="1251"/>
        <v/>
      </c>
      <c r="DL106" s="66" t="str">
        <f t="shared" si="1252"/>
        <v/>
      </c>
      <c r="DM106" s="66" t="str">
        <f t="shared" si="1253"/>
        <v/>
      </c>
      <c r="DN106" s="66" t="str">
        <f t="shared" si="1254"/>
        <v/>
      </c>
      <c r="DO106" s="66" t="str">
        <f t="shared" si="1255"/>
        <v/>
      </c>
      <c r="DP106" s="66" t="str">
        <f t="shared" si="1256"/>
        <v/>
      </c>
      <c r="DQ106" s="66" t="str">
        <f t="shared" si="1257"/>
        <v/>
      </c>
      <c r="DR106" s="66" t="str">
        <f t="shared" si="1258"/>
        <v/>
      </c>
      <c r="DS106" s="66" t="str">
        <f t="shared" si="1259"/>
        <v/>
      </c>
      <c r="DT106" s="66" t="str">
        <f t="shared" si="1260"/>
        <v/>
      </c>
      <c r="DU106" s="66" t="str">
        <f t="shared" si="1261"/>
        <v/>
      </c>
      <c r="DV106" s="66" t="str">
        <f t="shared" si="1262"/>
        <v/>
      </c>
      <c r="DW106" s="66" t="str">
        <f t="shared" si="1263"/>
        <v/>
      </c>
      <c r="DX106" s="66" t="str">
        <f t="shared" si="1264"/>
        <v/>
      </c>
      <c r="DY106" s="66" t="str">
        <f t="shared" si="1265"/>
        <v/>
      </c>
      <c r="DZ106" s="66" t="str">
        <f t="shared" si="1266"/>
        <v/>
      </c>
      <c r="EA106" s="66" t="str">
        <f t="shared" si="1267"/>
        <v/>
      </c>
      <c r="EB106" s="66" t="str">
        <f t="shared" si="1268"/>
        <v/>
      </c>
      <c r="EC106" s="66" t="str">
        <f t="shared" si="1269"/>
        <v/>
      </c>
      <c r="ED106" s="66" t="str">
        <f t="shared" si="1270"/>
        <v/>
      </c>
      <c r="EE106" s="66" t="str">
        <f t="shared" si="1271"/>
        <v/>
      </c>
      <c r="EF106" s="66" t="str">
        <f t="shared" si="1272"/>
        <v/>
      </c>
      <c r="EG106" s="66" t="str">
        <f t="shared" si="1273"/>
        <v/>
      </c>
      <c r="EH106" s="66" t="str">
        <f t="shared" si="1274"/>
        <v/>
      </c>
      <c r="EI106" s="66" t="str">
        <f t="shared" si="1275"/>
        <v/>
      </c>
      <c r="EJ106" s="66" t="str">
        <f t="shared" si="1276"/>
        <v/>
      </c>
      <c r="EK106" s="66" t="str">
        <f t="shared" si="1277"/>
        <v/>
      </c>
      <c r="EL106" s="66" t="str">
        <f t="shared" si="1278"/>
        <v/>
      </c>
      <c r="EM106" s="66" t="str">
        <f t="shared" si="1279"/>
        <v/>
      </c>
      <c r="EN106" s="66" t="str">
        <f t="shared" si="1280"/>
        <v/>
      </c>
      <c r="EO106" s="66" t="str">
        <f t="shared" si="1281"/>
        <v/>
      </c>
      <c r="EP106" s="66" t="str">
        <f t="shared" si="1282"/>
        <v/>
      </c>
      <c r="EQ106" s="66" t="str">
        <f t="shared" si="1283"/>
        <v/>
      </c>
      <c r="ER106" s="66" t="str">
        <f t="shared" si="1284"/>
        <v/>
      </c>
      <c r="ES106" s="66" t="str">
        <f t="shared" si="1285"/>
        <v/>
      </c>
      <c r="ET106" s="66" t="str">
        <f t="shared" si="1286"/>
        <v/>
      </c>
      <c r="EU106" s="66" t="str">
        <f t="shared" si="1287"/>
        <v/>
      </c>
      <c r="EV106" s="66" t="str">
        <f t="shared" si="1288"/>
        <v/>
      </c>
      <c r="EW106" s="66" t="str">
        <f t="shared" si="1289"/>
        <v/>
      </c>
      <c r="EX106" s="66" t="str">
        <f t="shared" si="1290"/>
        <v/>
      </c>
      <c r="EY106" s="66" t="str">
        <f t="shared" si="1291"/>
        <v/>
      </c>
      <c r="EZ106" s="66" t="str">
        <f t="shared" si="1292"/>
        <v/>
      </c>
      <c r="FA106" s="66" t="str">
        <f t="shared" si="1293"/>
        <v/>
      </c>
      <c r="FB106" s="66" t="str">
        <f t="shared" si="1294"/>
        <v/>
      </c>
      <c r="FC106" s="66" t="str">
        <f t="shared" si="1295"/>
        <v/>
      </c>
      <c r="FD106" s="66" t="str">
        <f t="shared" si="1296"/>
        <v/>
      </c>
      <c r="FE106" s="66" t="str">
        <f t="shared" si="1297"/>
        <v/>
      </c>
      <c r="FF106" s="66" t="str">
        <f t="shared" si="1298"/>
        <v/>
      </c>
      <c r="FG106" s="66" t="str">
        <f t="shared" si="1299"/>
        <v/>
      </c>
      <c r="FH106" s="66" t="str">
        <f t="shared" si="1300"/>
        <v/>
      </c>
      <c r="FI106" s="66" t="str">
        <f t="shared" si="1301"/>
        <v/>
      </c>
      <c r="FJ106" s="66" t="str">
        <f t="shared" si="1302"/>
        <v/>
      </c>
      <c r="FK106" s="66" t="str">
        <f t="shared" si="1303"/>
        <v/>
      </c>
      <c r="FL106" s="66" t="str">
        <f t="shared" si="1304"/>
        <v/>
      </c>
      <c r="FM106" s="66" t="str">
        <f t="shared" si="1305"/>
        <v/>
      </c>
      <c r="FN106" s="66" t="str">
        <f t="shared" si="1306"/>
        <v/>
      </c>
      <c r="FO106" s="66" t="str">
        <f t="shared" si="1307"/>
        <v/>
      </c>
      <c r="FP106" s="66" t="str">
        <f t="shared" si="1308"/>
        <v/>
      </c>
      <c r="FQ106" s="66" t="str">
        <f t="shared" si="1309"/>
        <v/>
      </c>
      <c r="FR106" s="66" t="str">
        <f t="shared" si="1310"/>
        <v/>
      </c>
      <c r="FS106" s="66" t="str">
        <f t="shared" si="1311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1"/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12" si="1312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12" si="1313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12" si="1314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12" si="1315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88" t="str">
        <f t="shared" ref="CU107:CU112" si="1316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12" si="1317">T107</f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2"/>
        <v/>
      </c>
      <c r="DC107" s="66" t="str">
        <f t="shared" si="1243"/>
        <v/>
      </c>
      <c r="DD107" s="66" t="str">
        <f t="shared" si="1244"/>
        <v/>
      </c>
      <c r="DE107" s="66" t="str">
        <f t="shared" si="1245"/>
        <v/>
      </c>
      <c r="DF107" s="66" t="str">
        <f t="shared" si="1246"/>
        <v/>
      </c>
      <c r="DG107" s="66" t="str">
        <f t="shared" si="1247"/>
        <v/>
      </c>
      <c r="DH107" s="66" t="str">
        <f t="shared" si="1248"/>
        <v/>
      </c>
      <c r="DI107" s="66" t="str">
        <f t="shared" si="1249"/>
        <v/>
      </c>
      <c r="DJ107" s="66" t="str">
        <f t="shared" si="1250"/>
        <v/>
      </c>
      <c r="DK107" s="66" t="str">
        <f t="shared" si="1251"/>
        <v/>
      </c>
      <c r="DL107" s="66" t="str">
        <f t="shared" si="1252"/>
        <v/>
      </c>
      <c r="DM107" s="66" t="str">
        <f t="shared" si="1253"/>
        <v/>
      </c>
      <c r="DN107" s="66" t="str">
        <f t="shared" si="1254"/>
        <v/>
      </c>
      <c r="DO107" s="66" t="str">
        <f t="shared" si="1255"/>
        <v/>
      </c>
      <c r="DP107" s="66" t="str">
        <f t="shared" si="1256"/>
        <v/>
      </c>
      <c r="DQ107" s="66" t="str">
        <f t="shared" si="1257"/>
        <v/>
      </c>
      <c r="DR107" s="66" t="str">
        <f t="shared" si="1258"/>
        <v/>
      </c>
      <c r="DS107" s="66" t="str">
        <f t="shared" si="1259"/>
        <v/>
      </c>
      <c r="DT107" s="66" t="str">
        <f t="shared" si="1260"/>
        <v/>
      </c>
      <c r="DU107" s="66" t="str">
        <f t="shared" si="1261"/>
        <v/>
      </c>
      <c r="DV107" s="66" t="str">
        <f t="shared" si="1262"/>
        <v/>
      </c>
      <c r="DW107" s="66" t="str">
        <f t="shared" si="1263"/>
        <v/>
      </c>
      <c r="DX107" s="66" t="str">
        <f t="shared" si="1264"/>
        <v/>
      </c>
      <c r="DY107" s="66" t="str">
        <f t="shared" si="1265"/>
        <v/>
      </c>
      <c r="DZ107" s="66" t="str">
        <f t="shared" si="1266"/>
        <v/>
      </c>
      <c r="EA107" s="66" t="str">
        <f t="shared" si="1267"/>
        <v/>
      </c>
      <c r="EB107" s="66" t="str">
        <f t="shared" si="1268"/>
        <v/>
      </c>
      <c r="EC107" s="66" t="str">
        <f t="shared" si="1269"/>
        <v/>
      </c>
      <c r="ED107" s="66" t="str">
        <f t="shared" si="1270"/>
        <v/>
      </c>
      <c r="EE107" s="66" t="str">
        <f t="shared" si="1271"/>
        <v/>
      </c>
      <c r="EF107" s="66" t="str">
        <f t="shared" si="1272"/>
        <v/>
      </c>
      <c r="EG107" s="66" t="str">
        <f t="shared" si="1273"/>
        <v/>
      </c>
      <c r="EH107" s="66" t="str">
        <f t="shared" si="1274"/>
        <v/>
      </c>
      <c r="EI107" s="66" t="str">
        <f t="shared" si="1275"/>
        <v/>
      </c>
      <c r="EJ107" s="66" t="str">
        <f t="shared" si="1276"/>
        <v/>
      </c>
      <c r="EK107" s="66" t="str">
        <f t="shared" si="1277"/>
        <v/>
      </c>
      <c r="EL107" s="66" t="str">
        <f t="shared" si="1278"/>
        <v/>
      </c>
      <c r="EM107" s="66" t="str">
        <f t="shared" si="1279"/>
        <v/>
      </c>
      <c r="EN107" s="66" t="str">
        <f t="shared" si="1280"/>
        <v/>
      </c>
      <c r="EO107" s="66" t="str">
        <f t="shared" si="1281"/>
        <v/>
      </c>
      <c r="EP107" s="66" t="str">
        <f t="shared" si="1282"/>
        <v/>
      </c>
      <c r="EQ107" s="66" t="str">
        <f t="shared" si="1283"/>
        <v/>
      </c>
      <c r="ER107" s="66" t="str">
        <f t="shared" si="1284"/>
        <v/>
      </c>
      <c r="ES107" s="66" t="str">
        <f t="shared" si="1285"/>
        <v/>
      </c>
      <c r="ET107" s="66" t="str">
        <f t="shared" si="1286"/>
        <v/>
      </c>
      <c r="EU107" s="66" t="str">
        <f t="shared" si="1287"/>
        <v/>
      </c>
      <c r="EV107" s="66" t="str">
        <f t="shared" si="1288"/>
        <v/>
      </c>
      <c r="EW107" s="66" t="str">
        <f t="shared" si="1289"/>
        <v/>
      </c>
      <c r="EX107" s="66" t="str">
        <f t="shared" si="1290"/>
        <v/>
      </c>
      <c r="EY107" s="66" t="str">
        <f t="shared" si="1291"/>
        <v/>
      </c>
      <c r="EZ107" s="66" t="str">
        <f t="shared" si="1292"/>
        <v/>
      </c>
      <c r="FA107" s="66" t="str">
        <f t="shared" si="1293"/>
        <v/>
      </c>
      <c r="FB107" s="66" t="str">
        <f t="shared" si="1294"/>
        <v/>
      </c>
      <c r="FC107" s="66" t="str">
        <f t="shared" si="1295"/>
        <v/>
      </c>
      <c r="FD107" s="66" t="str">
        <f t="shared" si="1296"/>
        <v/>
      </c>
      <c r="FE107" s="66" t="str">
        <f t="shared" si="1297"/>
        <v/>
      </c>
      <c r="FF107" s="66" t="str">
        <f t="shared" si="1298"/>
        <v/>
      </c>
      <c r="FG107" s="66" t="str">
        <f t="shared" si="1299"/>
        <v/>
      </c>
      <c r="FH107" s="66" t="str">
        <f t="shared" si="1300"/>
        <v/>
      </c>
      <c r="FI107" s="66" t="str">
        <f t="shared" si="1301"/>
        <v/>
      </c>
      <c r="FJ107" s="66" t="str">
        <f t="shared" si="1302"/>
        <v/>
      </c>
      <c r="FK107" s="66" t="str">
        <f t="shared" si="1303"/>
        <v/>
      </c>
      <c r="FL107" s="66" t="str">
        <f t="shared" si="1304"/>
        <v/>
      </c>
      <c r="FM107" s="66" t="str">
        <f t="shared" si="1305"/>
        <v/>
      </c>
      <c r="FN107" s="66" t="str">
        <f t="shared" si="1306"/>
        <v/>
      </c>
      <c r="FO107" s="66" t="str">
        <f t="shared" si="1307"/>
        <v/>
      </c>
      <c r="FP107" s="66" t="str">
        <f t="shared" si="1308"/>
        <v/>
      </c>
      <c r="FQ107" s="66" t="str">
        <f t="shared" si="1309"/>
        <v/>
      </c>
      <c r="FR107" s="66" t="str">
        <f t="shared" si="1310"/>
        <v/>
      </c>
      <c r="FS107" s="66" t="str">
        <f t="shared" si="1311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2"/>
        <v>InitUnitState('CS01',,,,,,,,,,)</v>
      </c>
      <c r="CO108" s="36" t="str">
        <f t="shared" si="1313"/>
        <v>InitUnitNormal('CS01',,,,,,,,,,)</v>
      </c>
      <c r="CP108" s="36" t="str">
        <f t="shared" si="1314"/>
        <v>InitUnitMagic('CS01',,,,,,,,,,)</v>
      </c>
      <c r="CQ108" s="36" t="str">
        <f t="shared" si="1315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88" t="str">
        <f t="shared" si="1316"/>
        <v>|n</v>
      </c>
      <c r="CV108" s="19" t="str">
        <f t="shared" si="1317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2"/>
        <v/>
      </c>
      <c r="DC108" s="66" t="str">
        <f t="shared" si="1243"/>
        <v/>
      </c>
      <c r="DD108" s="66" t="str">
        <f t="shared" si="1244"/>
        <v/>
      </c>
      <c r="DE108" s="66" t="str">
        <f t="shared" si="1245"/>
        <v/>
      </c>
      <c r="DF108" s="66" t="str">
        <f t="shared" si="1246"/>
        <v/>
      </c>
      <c r="DG108" s="66" t="str">
        <f t="shared" si="1247"/>
        <v/>
      </c>
      <c r="DH108" s="66" t="str">
        <f t="shared" si="1248"/>
        <v/>
      </c>
      <c r="DI108" s="66" t="str">
        <f t="shared" si="1249"/>
        <v/>
      </c>
      <c r="DJ108" s="66" t="str">
        <f t="shared" si="1250"/>
        <v/>
      </c>
      <c r="DK108" s="66" t="str">
        <f t="shared" si="1251"/>
        <v/>
      </c>
      <c r="DL108" s="66" t="str">
        <f t="shared" si="1252"/>
        <v/>
      </c>
      <c r="DM108" s="66" t="str">
        <f t="shared" si="1253"/>
        <v/>
      </c>
      <c r="DN108" s="66" t="str">
        <f t="shared" si="1254"/>
        <v/>
      </c>
      <c r="DO108" s="66" t="str">
        <f t="shared" si="1255"/>
        <v/>
      </c>
      <c r="DP108" s="66" t="str">
        <f t="shared" si="1256"/>
        <v/>
      </c>
      <c r="DQ108" s="66" t="str">
        <f t="shared" si="1257"/>
        <v/>
      </c>
      <c r="DR108" s="66" t="str">
        <f t="shared" si="1258"/>
        <v/>
      </c>
      <c r="DS108" s="66" t="str">
        <f t="shared" si="1259"/>
        <v/>
      </c>
      <c r="DT108" s="66" t="str">
        <f t="shared" si="1260"/>
        <v/>
      </c>
      <c r="DU108" s="66" t="str">
        <f t="shared" si="1261"/>
        <v/>
      </c>
      <c r="DV108" s="66" t="str">
        <f t="shared" si="1262"/>
        <v/>
      </c>
      <c r="DW108" s="66" t="str">
        <f t="shared" si="1263"/>
        <v/>
      </c>
      <c r="DX108" s="66" t="str">
        <f t="shared" si="1264"/>
        <v/>
      </c>
      <c r="DY108" s="66" t="str">
        <f t="shared" si="1265"/>
        <v/>
      </c>
      <c r="DZ108" s="66" t="str">
        <f t="shared" si="1266"/>
        <v/>
      </c>
      <c r="EA108" s="66" t="str">
        <f t="shared" si="1267"/>
        <v/>
      </c>
      <c r="EB108" s="66" t="str">
        <f t="shared" si="1268"/>
        <v/>
      </c>
      <c r="EC108" s="66" t="str">
        <f t="shared" si="1269"/>
        <v/>
      </c>
      <c r="ED108" s="66" t="str">
        <f t="shared" si="1270"/>
        <v/>
      </c>
      <c r="EE108" s="66" t="str">
        <f t="shared" si="1271"/>
        <v/>
      </c>
      <c r="EF108" s="66" t="str">
        <f t="shared" si="1272"/>
        <v/>
      </c>
      <c r="EG108" s="66" t="str">
        <f t="shared" si="1273"/>
        <v/>
      </c>
      <c r="EH108" s="66" t="str">
        <f t="shared" si="1274"/>
        <v/>
      </c>
      <c r="EI108" s="66" t="str">
        <f t="shared" si="1275"/>
        <v/>
      </c>
      <c r="EJ108" s="66" t="str">
        <f t="shared" si="1276"/>
        <v/>
      </c>
      <c r="EK108" s="66" t="str">
        <f t="shared" si="1277"/>
        <v/>
      </c>
      <c r="EL108" s="66" t="str">
        <f t="shared" si="1278"/>
        <v/>
      </c>
      <c r="EM108" s="66" t="str">
        <f t="shared" si="1279"/>
        <v/>
      </c>
      <c r="EN108" s="66" t="str">
        <f t="shared" si="1280"/>
        <v/>
      </c>
      <c r="EO108" s="66" t="str">
        <f t="shared" si="1281"/>
        <v/>
      </c>
      <c r="EP108" s="66" t="str">
        <f t="shared" si="1282"/>
        <v/>
      </c>
      <c r="EQ108" s="66" t="str">
        <f t="shared" si="1283"/>
        <v/>
      </c>
      <c r="ER108" s="66" t="str">
        <f t="shared" si="1284"/>
        <v/>
      </c>
      <c r="ES108" s="66" t="str">
        <f t="shared" si="1285"/>
        <v/>
      </c>
      <c r="ET108" s="66" t="str">
        <f t="shared" si="1286"/>
        <v/>
      </c>
      <c r="EU108" s="66" t="str">
        <f t="shared" si="1287"/>
        <v/>
      </c>
      <c r="EV108" s="66" t="str">
        <f t="shared" si="1288"/>
        <v/>
      </c>
      <c r="EW108" s="66" t="str">
        <f t="shared" si="1289"/>
        <v/>
      </c>
      <c r="EX108" s="66" t="str">
        <f t="shared" si="1290"/>
        <v/>
      </c>
      <c r="EY108" s="66" t="str">
        <f t="shared" si="1291"/>
        <v/>
      </c>
      <c r="EZ108" s="66" t="str">
        <f t="shared" si="1292"/>
        <v/>
      </c>
      <c r="FA108" s="66" t="str">
        <f t="shared" si="1293"/>
        <v/>
      </c>
      <c r="FB108" s="66" t="str">
        <f t="shared" si="1294"/>
        <v/>
      </c>
      <c r="FC108" s="66" t="str">
        <f t="shared" si="1295"/>
        <v/>
      </c>
      <c r="FD108" s="66" t="str">
        <f t="shared" si="1296"/>
        <v/>
      </c>
      <c r="FE108" s="66" t="str">
        <f t="shared" si="1297"/>
        <v/>
      </c>
      <c r="FF108" s="66" t="str">
        <f t="shared" si="1298"/>
        <v/>
      </c>
      <c r="FG108" s="66" t="str">
        <f t="shared" si="1299"/>
        <v/>
      </c>
      <c r="FH108" s="66" t="str">
        <f t="shared" si="1300"/>
        <v/>
      </c>
      <c r="FI108" s="66" t="str">
        <f t="shared" si="1301"/>
        <v/>
      </c>
      <c r="FJ108" s="66" t="str">
        <f t="shared" si="1302"/>
        <v/>
      </c>
      <c r="FK108" s="66" t="str">
        <f t="shared" si="1303"/>
        <v/>
      </c>
      <c r="FL108" s="66" t="str">
        <f t="shared" si="1304"/>
        <v/>
      </c>
      <c r="FM108" s="66" t="str">
        <f t="shared" si="1305"/>
        <v/>
      </c>
      <c r="FN108" s="66" t="str">
        <f t="shared" si="1306"/>
        <v/>
      </c>
      <c r="FO108" s="66" t="str">
        <f t="shared" si="1307"/>
        <v/>
      </c>
      <c r="FP108" s="66" t="str">
        <f t="shared" si="1308"/>
        <v/>
      </c>
      <c r="FQ108" s="66" t="str">
        <f t="shared" si="1309"/>
        <v/>
      </c>
      <c r="FR108" s="66" t="str">
        <f t="shared" si="1310"/>
        <v/>
      </c>
      <c r="FS108" s="66" t="str">
        <f t="shared" si="1311"/>
        <v/>
      </c>
    </row>
    <row r="109" spans="1:175" ht="16.5">
      <c r="A109" s="9"/>
      <c r="B109" s="9" t="s">
        <v>448</v>
      </c>
      <c r="C109" s="9" t="s">
        <v>449</v>
      </c>
      <c r="T109" s="9" t="s">
        <v>450</v>
      </c>
      <c r="U109" s="77" t="s">
        <v>451</v>
      </c>
      <c r="CN109" s="36" t="str">
        <f t="shared" si="1312"/>
        <v>InitUnitState('I021',,,,,,,,,,)</v>
      </c>
      <c r="CO109" s="36" t="str">
        <f t="shared" si="1313"/>
        <v>InitUnitNormal('I021',,,,,,,,,,)</v>
      </c>
      <c r="CP109" s="36" t="str">
        <f t="shared" si="1314"/>
        <v>InitUnitMagic('I021',,,,,,,,,,)</v>
      </c>
      <c r="CQ109" s="36" t="str">
        <f t="shared" si="1315"/>
        <v>InitUnitAdd('I021',,,,,,,,,,)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88" t="str">
        <f t="shared" si="1316"/>
        <v>|n</v>
      </c>
      <c r="CV109" s="19" t="str">
        <f t="shared" si="1317"/>
        <v>购买需求：灵力x10|n|n使用技能进阶石可消耗品质潜力提升技能品质，只能对A级及以下的技能使用。</v>
      </c>
      <c r="CW109" s="33"/>
      <c r="CX109" s="33"/>
      <c r="CY109" s="33"/>
      <c r="CZ109" s="33"/>
      <c r="DA109" s="33"/>
      <c r="DB109" s="66" t="str">
        <f t="shared" si="1242"/>
        <v/>
      </c>
      <c r="DC109" s="66" t="str">
        <f t="shared" si="1243"/>
        <v/>
      </c>
      <c r="DD109" s="66" t="str">
        <f t="shared" si="1244"/>
        <v/>
      </c>
      <c r="DE109" s="66" t="str">
        <f t="shared" si="1245"/>
        <v/>
      </c>
      <c r="DF109" s="66" t="str">
        <f t="shared" si="1246"/>
        <v/>
      </c>
      <c r="DG109" s="66" t="str">
        <f t="shared" si="1247"/>
        <v/>
      </c>
      <c r="DH109" s="66" t="str">
        <f t="shared" si="1248"/>
        <v/>
      </c>
      <c r="DI109" s="66" t="str">
        <f t="shared" si="1249"/>
        <v/>
      </c>
      <c r="DJ109" s="66" t="str">
        <f t="shared" si="1250"/>
        <v/>
      </c>
      <c r="DK109" s="66" t="str">
        <f t="shared" si="1251"/>
        <v/>
      </c>
      <c r="DL109" s="66" t="str">
        <f t="shared" si="1252"/>
        <v/>
      </c>
      <c r="DM109" s="66" t="str">
        <f t="shared" si="1253"/>
        <v/>
      </c>
      <c r="DN109" s="66" t="str">
        <f t="shared" si="1254"/>
        <v/>
      </c>
      <c r="DO109" s="66" t="str">
        <f t="shared" si="1255"/>
        <v/>
      </c>
      <c r="DP109" s="66" t="str">
        <f t="shared" si="1256"/>
        <v/>
      </c>
      <c r="DQ109" s="66" t="str">
        <f t="shared" si="1257"/>
        <v/>
      </c>
      <c r="DR109" s="66" t="str">
        <f t="shared" si="1258"/>
        <v/>
      </c>
      <c r="DS109" s="66" t="str">
        <f t="shared" si="1259"/>
        <v/>
      </c>
      <c r="DT109" s="66" t="str">
        <f t="shared" si="1260"/>
        <v/>
      </c>
      <c r="DU109" s="66" t="str">
        <f t="shared" si="1261"/>
        <v/>
      </c>
      <c r="DV109" s="66" t="str">
        <f t="shared" si="1262"/>
        <v/>
      </c>
      <c r="DW109" s="66" t="str">
        <f t="shared" si="1263"/>
        <v/>
      </c>
      <c r="DX109" s="66" t="str">
        <f t="shared" si="1264"/>
        <v/>
      </c>
      <c r="DY109" s="66" t="str">
        <f t="shared" si="1265"/>
        <v/>
      </c>
      <c r="DZ109" s="66" t="str">
        <f t="shared" si="1266"/>
        <v/>
      </c>
      <c r="EA109" s="66" t="str">
        <f t="shared" si="1267"/>
        <v/>
      </c>
      <c r="EB109" s="66" t="str">
        <f t="shared" si="1268"/>
        <v/>
      </c>
      <c r="EC109" s="66" t="str">
        <f t="shared" si="1269"/>
        <v/>
      </c>
      <c r="ED109" s="66" t="str">
        <f t="shared" si="1270"/>
        <v/>
      </c>
      <c r="EE109" s="66" t="str">
        <f t="shared" si="1271"/>
        <v/>
      </c>
      <c r="EF109" s="66" t="str">
        <f t="shared" si="1272"/>
        <v/>
      </c>
      <c r="EG109" s="66" t="str">
        <f t="shared" si="1273"/>
        <v/>
      </c>
      <c r="EH109" s="66" t="str">
        <f t="shared" si="1274"/>
        <v/>
      </c>
      <c r="EI109" s="66" t="str">
        <f t="shared" si="1275"/>
        <v/>
      </c>
      <c r="EJ109" s="66" t="str">
        <f t="shared" si="1276"/>
        <v/>
      </c>
      <c r="EK109" s="66" t="str">
        <f t="shared" si="1277"/>
        <v/>
      </c>
      <c r="EL109" s="66" t="str">
        <f t="shared" si="1278"/>
        <v/>
      </c>
      <c r="EM109" s="66" t="str">
        <f t="shared" si="1279"/>
        <v/>
      </c>
      <c r="EN109" s="66" t="str">
        <f t="shared" si="1280"/>
        <v/>
      </c>
      <c r="EO109" s="66" t="str">
        <f t="shared" si="1281"/>
        <v/>
      </c>
      <c r="EP109" s="66" t="str">
        <f t="shared" si="1282"/>
        <v/>
      </c>
      <c r="EQ109" s="66" t="str">
        <f t="shared" si="1283"/>
        <v/>
      </c>
      <c r="ER109" s="66" t="str">
        <f t="shared" si="1284"/>
        <v/>
      </c>
      <c r="ES109" s="66" t="str">
        <f t="shared" si="1285"/>
        <v/>
      </c>
      <c r="ET109" s="66" t="str">
        <f t="shared" si="1286"/>
        <v/>
      </c>
      <c r="EU109" s="66" t="str">
        <f t="shared" si="1287"/>
        <v/>
      </c>
      <c r="EV109" s="66" t="str">
        <f t="shared" si="1288"/>
        <v/>
      </c>
      <c r="EW109" s="66" t="str">
        <f t="shared" si="1289"/>
        <v/>
      </c>
      <c r="EX109" s="66" t="str">
        <f t="shared" si="1290"/>
        <v/>
      </c>
      <c r="EY109" s="66" t="str">
        <f t="shared" si="1291"/>
        <v/>
      </c>
      <c r="EZ109" s="66" t="str">
        <f t="shared" si="1292"/>
        <v/>
      </c>
      <c r="FA109" s="66" t="str">
        <f t="shared" si="1293"/>
        <v/>
      </c>
      <c r="FB109" s="66" t="str">
        <f t="shared" si="1294"/>
        <v/>
      </c>
      <c r="FC109" s="66" t="str">
        <f t="shared" si="1295"/>
        <v/>
      </c>
      <c r="FD109" s="66" t="str">
        <f t="shared" si="1296"/>
        <v/>
      </c>
      <c r="FE109" s="66" t="str">
        <f t="shared" si="1297"/>
        <v/>
      </c>
      <c r="FF109" s="66" t="str">
        <f t="shared" si="1298"/>
        <v/>
      </c>
      <c r="FG109" s="66" t="str">
        <f t="shared" si="1299"/>
        <v/>
      </c>
      <c r="FH109" s="66" t="str">
        <f t="shared" si="1300"/>
        <v/>
      </c>
      <c r="FI109" s="66" t="str">
        <f t="shared" si="1301"/>
        <v/>
      </c>
      <c r="FJ109" s="66" t="str">
        <f t="shared" si="1302"/>
        <v/>
      </c>
      <c r="FK109" s="66" t="str">
        <f t="shared" si="1303"/>
        <v/>
      </c>
      <c r="FL109" s="66" t="str">
        <f t="shared" si="1304"/>
        <v/>
      </c>
      <c r="FM109" s="66" t="str">
        <f t="shared" si="1305"/>
        <v/>
      </c>
      <c r="FN109" s="66" t="str">
        <f t="shared" si="1306"/>
        <v/>
      </c>
      <c r="FO109" s="66" t="str">
        <f t="shared" si="1307"/>
        <v/>
      </c>
      <c r="FP109" s="66" t="str">
        <f t="shared" si="1308"/>
        <v/>
      </c>
      <c r="FQ109" s="66" t="str">
        <f t="shared" si="1309"/>
        <v/>
      </c>
      <c r="FR109" s="66" t="str">
        <f t="shared" si="1310"/>
        <v/>
      </c>
      <c r="FS109" s="66" t="str">
        <f t="shared" si="1311"/>
        <v/>
      </c>
    </row>
    <row r="110" spans="1:175" ht="16.5">
      <c r="A110" s="9"/>
      <c r="B110" s="9" t="s">
        <v>452</v>
      </c>
      <c r="C110" s="9" t="s">
        <v>453</v>
      </c>
      <c r="T110" s="9" t="s">
        <v>454</v>
      </c>
      <c r="U110" s="77" t="s">
        <v>455</v>
      </c>
      <c r="CN110" s="36" t="str">
        <f t="shared" si="1312"/>
        <v>InitUnitState('I022',,,,,,,,,,)</v>
      </c>
      <c r="CO110" s="36" t="str">
        <f t="shared" si="1313"/>
        <v>InitUnitNormal('I022',,,,,,,,,,)</v>
      </c>
      <c r="CP110" s="36" t="str">
        <f t="shared" si="1314"/>
        <v>InitUnitMagic('I022',,,,,,,,,,)</v>
      </c>
      <c r="CQ110" s="36" t="str">
        <f t="shared" si="1315"/>
        <v>InitUnitAdd('I022',,,,,,,,,,)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88" t="str">
        <f t="shared" si="1316"/>
        <v>|n</v>
      </c>
      <c r="CV110" s="19" t="str">
        <f t="shared" si="1317"/>
        <v>购买需求：灵力x20|n|n使用后为指定技能增加1点品质潜力</v>
      </c>
      <c r="CW110" s="33"/>
      <c r="CX110" s="33"/>
      <c r="CY110" s="33"/>
      <c r="CZ110" s="33"/>
      <c r="DA110" s="33"/>
      <c r="DB110" s="66" t="str">
        <f t="shared" si="1242"/>
        <v/>
      </c>
      <c r="DC110" s="66" t="str">
        <f t="shared" si="1243"/>
        <v/>
      </c>
      <c r="DD110" s="66" t="str">
        <f t="shared" si="1244"/>
        <v/>
      </c>
      <c r="DE110" s="66" t="str">
        <f t="shared" si="1245"/>
        <v/>
      </c>
      <c r="DF110" s="66" t="str">
        <f t="shared" si="1246"/>
        <v/>
      </c>
      <c r="DG110" s="66" t="str">
        <f t="shared" si="1247"/>
        <v/>
      </c>
      <c r="DH110" s="66" t="str">
        <f t="shared" si="1248"/>
        <v/>
      </c>
      <c r="DI110" s="66" t="str">
        <f t="shared" si="1249"/>
        <v/>
      </c>
      <c r="DJ110" s="66" t="str">
        <f t="shared" si="1250"/>
        <v/>
      </c>
      <c r="DK110" s="66" t="str">
        <f t="shared" si="1251"/>
        <v/>
      </c>
      <c r="DL110" s="66" t="str">
        <f t="shared" si="1252"/>
        <v/>
      </c>
      <c r="DM110" s="66" t="str">
        <f t="shared" si="1253"/>
        <v/>
      </c>
      <c r="DN110" s="66" t="str">
        <f t="shared" si="1254"/>
        <v/>
      </c>
      <c r="DO110" s="66" t="str">
        <f t="shared" si="1255"/>
        <v/>
      </c>
      <c r="DP110" s="66" t="str">
        <f t="shared" si="1256"/>
        <v/>
      </c>
      <c r="DQ110" s="66" t="str">
        <f t="shared" si="1257"/>
        <v/>
      </c>
      <c r="DR110" s="66" t="str">
        <f t="shared" si="1258"/>
        <v/>
      </c>
      <c r="DS110" s="66" t="str">
        <f t="shared" si="1259"/>
        <v/>
      </c>
      <c r="DT110" s="66" t="str">
        <f t="shared" si="1260"/>
        <v/>
      </c>
      <c r="DU110" s="66" t="str">
        <f t="shared" si="1261"/>
        <v/>
      </c>
      <c r="DV110" s="66" t="str">
        <f t="shared" si="1262"/>
        <v/>
      </c>
      <c r="DW110" s="66" t="str">
        <f t="shared" si="1263"/>
        <v/>
      </c>
      <c r="DX110" s="66" t="str">
        <f t="shared" si="1264"/>
        <v/>
      </c>
      <c r="DY110" s="66" t="str">
        <f t="shared" si="1265"/>
        <v/>
      </c>
      <c r="DZ110" s="66" t="str">
        <f t="shared" si="1266"/>
        <v/>
      </c>
      <c r="EA110" s="66" t="str">
        <f t="shared" si="1267"/>
        <v/>
      </c>
      <c r="EB110" s="66" t="str">
        <f t="shared" si="1268"/>
        <v/>
      </c>
      <c r="EC110" s="66" t="str">
        <f t="shared" si="1269"/>
        <v/>
      </c>
      <c r="ED110" s="66" t="str">
        <f t="shared" si="1270"/>
        <v/>
      </c>
      <c r="EE110" s="66" t="str">
        <f t="shared" si="1271"/>
        <v/>
      </c>
      <c r="EF110" s="66" t="str">
        <f t="shared" si="1272"/>
        <v/>
      </c>
      <c r="EG110" s="66" t="str">
        <f t="shared" si="1273"/>
        <v/>
      </c>
      <c r="EH110" s="66" t="str">
        <f t="shared" si="1274"/>
        <v/>
      </c>
      <c r="EI110" s="66" t="str">
        <f t="shared" si="1275"/>
        <v/>
      </c>
      <c r="EJ110" s="66" t="str">
        <f t="shared" si="1276"/>
        <v/>
      </c>
      <c r="EK110" s="66" t="str">
        <f t="shared" si="1277"/>
        <v/>
      </c>
      <c r="EL110" s="66" t="str">
        <f t="shared" si="1278"/>
        <v/>
      </c>
      <c r="EM110" s="66" t="str">
        <f t="shared" si="1279"/>
        <v/>
      </c>
      <c r="EN110" s="66" t="str">
        <f t="shared" si="1280"/>
        <v/>
      </c>
      <c r="EO110" s="66" t="str">
        <f t="shared" si="1281"/>
        <v/>
      </c>
      <c r="EP110" s="66" t="str">
        <f t="shared" si="1282"/>
        <v/>
      </c>
      <c r="EQ110" s="66" t="str">
        <f t="shared" si="1283"/>
        <v/>
      </c>
      <c r="ER110" s="66" t="str">
        <f t="shared" si="1284"/>
        <v/>
      </c>
      <c r="ES110" s="66" t="str">
        <f t="shared" si="1285"/>
        <v/>
      </c>
      <c r="ET110" s="66" t="str">
        <f t="shared" si="1286"/>
        <v/>
      </c>
      <c r="EU110" s="66" t="str">
        <f t="shared" si="1287"/>
        <v/>
      </c>
      <c r="EV110" s="66" t="str">
        <f t="shared" si="1288"/>
        <v/>
      </c>
      <c r="EW110" s="66" t="str">
        <f t="shared" si="1289"/>
        <v/>
      </c>
      <c r="EX110" s="66" t="str">
        <f t="shared" si="1290"/>
        <v/>
      </c>
      <c r="EY110" s="66" t="str">
        <f t="shared" si="1291"/>
        <v/>
      </c>
      <c r="EZ110" s="66" t="str">
        <f t="shared" si="1292"/>
        <v/>
      </c>
      <c r="FA110" s="66" t="str">
        <f t="shared" si="1293"/>
        <v/>
      </c>
      <c r="FB110" s="66" t="str">
        <f t="shared" si="1294"/>
        <v/>
      </c>
      <c r="FC110" s="66" t="str">
        <f t="shared" si="1295"/>
        <v/>
      </c>
      <c r="FD110" s="66" t="str">
        <f t="shared" si="1296"/>
        <v/>
      </c>
      <c r="FE110" s="66" t="str">
        <f t="shared" si="1297"/>
        <v/>
      </c>
      <c r="FF110" s="66" t="str">
        <f t="shared" si="1298"/>
        <v/>
      </c>
      <c r="FG110" s="66" t="str">
        <f t="shared" si="1299"/>
        <v/>
      </c>
      <c r="FH110" s="66" t="str">
        <f t="shared" si="1300"/>
        <v/>
      </c>
      <c r="FI110" s="66" t="str">
        <f t="shared" si="1301"/>
        <v/>
      </c>
      <c r="FJ110" s="66" t="str">
        <f t="shared" si="1302"/>
        <v/>
      </c>
      <c r="FK110" s="66" t="str">
        <f t="shared" si="1303"/>
        <v/>
      </c>
      <c r="FL110" s="66" t="str">
        <f t="shared" si="1304"/>
        <v/>
      </c>
      <c r="FM110" s="66" t="str">
        <f t="shared" si="1305"/>
        <v/>
      </c>
      <c r="FN110" s="66" t="str">
        <f t="shared" si="1306"/>
        <v/>
      </c>
      <c r="FO110" s="66" t="str">
        <f t="shared" si="1307"/>
        <v/>
      </c>
      <c r="FP110" s="66" t="str">
        <f t="shared" si="1308"/>
        <v/>
      </c>
      <c r="FQ110" s="66" t="str">
        <f t="shared" si="1309"/>
        <v/>
      </c>
      <c r="FR110" s="66" t="str">
        <f t="shared" si="1310"/>
        <v/>
      </c>
      <c r="FS110" s="66" t="str">
        <f t="shared" si="1311"/>
        <v/>
      </c>
    </row>
    <row r="111" spans="1:175" ht="16.5">
      <c r="A111" s="9"/>
      <c r="B111" s="9" t="s">
        <v>456</v>
      </c>
      <c r="C111" s="9" t="s">
        <v>457</v>
      </c>
      <c r="T111" s="9" t="s">
        <v>458</v>
      </c>
      <c r="U111" s="77" t="s">
        <v>459</v>
      </c>
      <c r="CN111" s="36" t="str">
        <f t="shared" si="1312"/>
        <v>InitUnitState('I023',,,,,,,,,,)</v>
      </c>
      <c r="CO111" s="36" t="str">
        <f t="shared" si="1313"/>
        <v>InitUnitNormal('I023',,,,,,,,,,)</v>
      </c>
      <c r="CP111" s="36" t="str">
        <f t="shared" si="1314"/>
        <v>InitUnitMagic('I023',,,,,,,,,,)</v>
      </c>
      <c r="CQ111" s="36" t="str">
        <f t="shared" si="1315"/>
        <v>InitUnitAdd('I023',,,,,,,,,,)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88" t="str">
        <f t="shared" si="1316"/>
        <v>|n</v>
      </c>
      <c r="CV111" s="19" t="str">
        <f t="shared" si="1317"/>
        <v>购买需求：灵力x4|n|n使用技能进阶石可消耗品质潜力提升技能品质，只能对A级及以下的技能使用。只有50%的概率成功</v>
      </c>
      <c r="CW111" s="33"/>
      <c r="CX111" s="33"/>
      <c r="CY111" s="33"/>
      <c r="CZ111" s="33"/>
      <c r="DA111" s="33"/>
      <c r="DB111" s="66" t="str">
        <f t="shared" si="1242"/>
        <v/>
      </c>
      <c r="DC111" s="66" t="str">
        <f t="shared" si="1243"/>
        <v/>
      </c>
      <c r="DD111" s="66" t="str">
        <f t="shared" si="1244"/>
        <v/>
      </c>
      <c r="DE111" s="66" t="str">
        <f t="shared" si="1245"/>
        <v/>
      </c>
      <c r="DF111" s="66" t="str">
        <f t="shared" si="1246"/>
        <v/>
      </c>
      <c r="DG111" s="66" t="str">
        <f t="shared" si="1247"/>
        <v/>
      </c>
      <c r="DH111" s="66" t="str">
        <f t="shared" si="1248"/>
        <v/>
      </c>
      <c r="DI111" s="66" t="str">
        <f t="shared" si="1249"/>
        <v/>
      </c>
      <c r="DJ111" s="66" t="str">
        <f t="shared" si="1250"/>
        <v/>
      </c>
      <c r="DK111" s="66" t="str">
        <f t="shared" si="1251"/>
        <v/>
      </c>
      <c r="DL111" s="66" t="str">
        <f t="shared" si="1252"/>
        <v/>
      </c>
      <c r="DM111" s="66" t="str">
        <f t="shared" si="1253"/>
        <v/>
      </c>
      <c r="DN111" s="66" t="str">
        <f t="shared" si="1254"/>
        <v/>
      </c>
      <c r="DO111" s="66" t="str">
        <f t="shared" si="1255"/>
        <v/>
      </c>
      <c r="DP111" s="66" t="str">
        <f t="shared" si="1256"/>
        <v/>
      </c>
      <c r="DQ111" s="66" t="str">
        <f t="shared" si="1257"/>
        <v/>
      </c>
      <c r="DR111" s="66" t="str">
        <f t="shared" si="1258"/>
        <v/>
      </c>
      <c r="DS111" s="66" t="str">
        <f t="shared" si="1259"/>
        <v/>
      </c>
      <c r="DT111" s="66" t="str">
        <f t="shared" si="1260"/>
        <v/>
      </c>
      <c r="DU111" s="66" t="str">
        <f t="shared" si="1261"/>
        <v/>
      </c>
      <c r="DV111" s="66" t="str">
        <f t="shared" si="1262"/>
        <v/>
      </c>
      <c r="DW111" s="66" t="str">
        <f t="shared" si="1263"/>
        <v/>
      </c>
      <c r="DX111" s="66" t="str">
        <f t="shared" si="1264"/>
        <v/>
      </c>
      <c r="DY111" s="66" t="str">
        <f t="shared" si="1265"/>
        <v/>
      </c>
      <c r="DZ111" s="66" t="str">
        <f t="shared" si="1266"/>
        <v/>
      </c>
      <c r="EA111" s="66" t="str">
        <f t="shared" si="1267"/>
        <v/>
      </c>
      <c r="EB111" s="66" t="str">
        <f t="shared" si="1268"/>
        <v/>
      </c>
      <c r="EC111" s="66" t="str">
        <f t="shared" si="1269"/>
        <v/>
      </c>
      <c r="ED111" s="66" t="str">
        <f t="shared" si="1270"/>
        <v/>
      </c>
      <c r="EE111" s="66" t="str">
        <f t="shared" si="1271"/>
        <v/>
      </c>
      <c r="EF111" s="66" t="str">
        <f t="shared" si="1272"/>
        <v/>
      </c>
      <c r="EG111" s="66" t="str">
        <f t="shared" si="1273"/>
        <v/>
      </c>
      <c r="EH111" s="66" t="str">
        <f t="shared" si="1274"/>
        <v/>
      </c>
      <c r="EI111" s="66" t="str">
        <f t="shared" si="1275"/>
        <v/>
      </c>
      <c r="EJ111" s="66" t="str">
        <f t="shared" si="1276"/>
        <v/>
      </c>
      <c r="EK111" s="66" t="str">
        <f t="shared" si="1277"/>
        <v/>
      </c>
      <c r="EL111" s="66" t="str">
        <f t="shared" si="1278"/>
        <v/>
      </c>
      <c r="EM111" s="66" t="str">
        <f t="shared" si="1279"/>
        <v/>
      </c>
      <c r="EN111" s="66" t="str">
        <f t="shared" si="1280"/>
        <v/>
      </c>
      <c r="EO111" s="66" t="str">
        <f t="shared" si="1281"/>
        <v/>
      </c>
      <c r="EP111" s="66" t="str">
        <f t="shared" si="1282"/>
        <v/>
      </c>
      <c r="EQ111" s="66" t="str">
        <f t="shared" si="1283"/>
        <v/>
      </c>
      <c r="ER111" s="66" t="str">
        <f t="shared" si="1284"/>
        <v/>
      </c>
      <c r="ES111" s="66" t="str">
        <f t="shared" si="1285"/>
        <v/>
      </c>
      <c r="ET111" s="66" t="str">
        <f t="shared" si="1286"/>
        <v/>
      </c>
      <c r="EU111" s="66" t="str">
        <f t="shared" si="1287"/>
        <v/>
      </c>
      <c r="EV111" s="66" t="str">
        <f t="shared" si="1288"/>
        <v/>
      </c>
      <c r="EW111" s="66" t="str">
        <f t="shared" si="1289"/>
        <v/>
      </c>
      <c r="EX111" s="66" t="str">
        <f t="shared" si="1290"/>
        <v/>
      </c>
      <c r="EY111" s="66" t="str">
        <f t="shared" si="1291"/>
        <v/>
      </c>
      <c r="EZ111" s="66" t="str">
        <f t="shared" si="1292"/>
        <v/>
      </c>
      <c r="FA111" s="66" t="str">
        <f t="shared" si="1293"/>
        <v/>
      </c>
      <c r="FB111" s="66" t="str">
        <f t="shared" si="1294"/>
        <v/>
      </c>
      <c r="FC111" s="66" t="str">
        <f t="shared" si="1295"/>
        <v/>
      </c>
      <c r="FD111" s="66" t="str">
        <f t="shared" si="1296"/>
        <v/>
      </c>
      <c r="FE111" s="66" t="str">
        <f t="shared" si="1297"/>
        <v/>
      </c>
      <c r="FF111" s="66" t="str">
        <f t="shared" si="1298"/>
        <v/>
      </c>
      <c r="FG111" s="66" t="str">
        <f t="shared" si="1299"/>
        <v/>
      </c>
      <c r="FH111" s="66" t="str">
        <f t="shared" si="1300"/>
        <v/>
      </c>
      <c r="FI111" s="66" t="str">
        <f t="shared" si="1301"/>
        <v/>
      </c>
      <c r="FJ111" s="66" t="str">
        <f t="shared" si="1302"/>
        <v/>
      </c>
      <c r="FK111" s="66" t="str">
        <f t="shared" si="1303"/>
        <v/>
      </c>
      <c r="FL111" s="66" t="str">
        <f t="shared" si="1304"/>
        <v/>
      </c>
      <c r="FM111" s="66" t="str">
        <f t="shared" si="1305"/>
        <v/>
      </c>
      <c r="FN111" s="66" t="str">
        <f t="shared" si="1306"/>
        <v/>
      </c>
      <c r="FO111" s="66" t="str">
        <f t="shared" si="1307"/>
        <v/>
      </c>
      <c r="FP111" s="66" t="str">
        <f t="shared" si="1308"/>
        <v/>
      </c>
      <c r="FQ111" s="66" t="str">
        <f t="shared" si="1309"/>
        <v/>
      </c>
      <c r="FR111" s="66" t="str">
        <f t="shared" si="1310"/>
        <v/>
      </c>
      <c r="FS111" s="66" t="str">
        <f t="shared" si="1311"/>
        <v/>
      </c>
    </row>
    <row r="112" spans="1:175" ht="16.5">
      <c r="A112" s="9"/>
      <c r="B112" s="9" t="s">
        <v>460</v>
      </c>
      <c r="C112" s="9" t="s">
        <v>461</v>
      </c>
      <c r="T112" s="9"/>
      <c r="U112" s="77" t="s">
        <v>455</v>
      </c>
      <c r="CN112" s="36" t="str">
        <f t="shared" si="1312"/>
        <v>InitUnitState('I024',,,,,,,,,,)</v>
      </c>
      <c r="CO112" s="36" t="str">
        <f t="shared" si="1313"/>
        <v>InitUnitNormal('I024',,,,,,,,,,)</v>
      </c>
      <c r="CP112" s="36" t="str">
        <f t="shared" si="1314"/>
        <v>InitUnitMagic('I024',,,,,,,,,,)</v>
      </c>
      <c r="CQ112" s="36" t="str">
        <f t="shared" si="1315"/>
        <v>InitUnitAdd('I024',,,,,,,,,,)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88" t="str">
        <f t="shared" si="1316"/>
        <v>|n</v>
      </c>
      <c r="CV112" s="19">
        <f t="shared" si="1317"/>
        <v>0</v>
      </c>
      <c r="CW112" s="33"/>
      <c r="CX112" s="33"/>
      <c r="CY112" s="33"/>
      <c r="CZ112" s="33"/>
      <c r="DA112" s="33"/>
      <c r="DB112" s="66" t="str">
        <f t="shared" si="1242"/>
        <v/>
      </c>
      <c r="DC112" s="66" t="str">
        <f t="shared" si="1243"/>
        <v/>
      </c>
      <c r="DD112" s="66" t="str">
        <f t="shared" si="1244"/>
        <v/>
      </c>
      <c r="DE112" s="66" t="str">
        <f t="shared" si="1245"/>
        <v/>
      </c>
      <c r="DF112" s="66" t="str">
        <f t="shared" si="1246"/>
        <v/>
      </c>
      <c r="DG112" s="66" t="str">
        <f t="shared" si="1247"/>
        <v/>
      </c>
      <c r="DH112" s="66" t="str">
        <f t="shared" si="1248"/>
        <v/>
      </c>
      <c r="DI112" s="66" t="str">
        <f t="shared" si="1249"/>
        <v/>
      </c>
      <c r="DJ112" s="66" t="str">
        <f t="shared" si="1250"/>
        <v/>
      </c>
      <c r="DK112" s="66" t="str">
        <f t="shared" si="1251"/>
        <v/>
      </c>
      <c r="DL112" s="66" t="str">
        <f t="shared" si="1252"/>
        <v/>
      </c>
      <c r="DM112" s="66" t="str">
        <f t="shared" si="1253"/>
        <v/>
      </c>
      <c r="DN112" s="66" t="str">
        <f t="shared" si="1254"/>
        <v/>
      </c>
      <c r="DO112" s="66" t="str">
        <f t="shared" si="1255"/>
        <v/>
      </c>
      <c r="DP112" s="66" t="str">
        <f t="shared" si="1256"/>
        <v/>
      </c>
      <c r="DQ112" s="66" t="str">
        <f t="shared" si="1257"/>
        <v/>
      </c>
      <c r="DR112" s="66" t="str">
        <f t="shared" si="1258"/>
        <v/>
      </c>
      <c r="DS112" s="66" t="str">
        <f t="shared" si="1259"/>
        <v/>
      </c>
      <c r="DT112" s="66" t="str">
        <f t="shared" si="1260"/>
        <v/>
      </c>
      <c r="DU112" s="66" t="str">
        <f t="shared" si="1261"/>
        <v/>
      </c>
      <c r="DV112" s="66" t="str">
        <f t="shared" si="1262"/>
        <v/>
      </c>
      <c r="DW112" s="66" t="str">
        <f t="shared" si="1263"/>
        <v/>
      </c>
      <c r="DX112" s="66" t="str">
        <f t="shared" si="1264"/>
        <v/>
      </c>
      <c r="DY112" s="66" t="str">
        <f t="shared" si="1265"/>
        <v/>
      </c>
      <c r="DZ112" s="66" t="str">
        <f t="shared" si="1266"/>
        <v/>
      </c>
      <c r="EA112" s="66" t="str">
        <f t="shared" si="1267"/>
        <v/>
      </c>
      <c r="EB112" s="66" t="str">
        <f t="shared" si="1268"/>
        <v/>
      </c>
      <c r="EC112" s="66" t="str">
        <f t="shared" si="1269"/>
        <v/>
      </c>
      <c r="ED112" s="66" t="str">
        <f t="shared" si="1270"/>
        <v/>
      </c>
      <c r="EE112" s="66" t="str">
        <f t="shared" si="1271"/>
        <v/>
      </c>
      <c r="EF112" s="66" t="str">
        <f t="shared" si="1272"/>
        <v/>
      </c>
      <c r="EG112" s="66" t="str">
        <f t="shared" si="1273"/>
        <v/>
      </c>
      <c r="EH112" s="66" t="str">
        <f t="shared" si="1274"/>
        <v/>
      </c>
      <c r="EI112" s="66" t="str">
        <f t="shared" si="1275"/>
        <v/>
      </c>
      <c r="EJ112" s="66" t="str">
        <f t="shared" si="1276"/>
        <v/>
      </c>
      <c r="EK112" s="66" t="str">
        <f t="shared" si="1277"/>
        <v/>
      </c>
      <c r="EL112" s="66" t="str">
        <f t="shared" si="1278"/>
        <v/>
      </c>
      <c r="EM112" s="66" t="str">
        <f t="shared" si="1279"/>
        <v/>
      </c>
      <c r="EN112" s="66" t="str">
        <f t="shared" si="1280"/>
        <v/>
      </c>
      <c r="EO112" s="66" t="str">
        <f t="shared" si="1281"/>
        <v/>
      </c>
      <c r="EP112" s="66" t="str">
        <f t="shared" si="1282"/>
        <v/>
      </c>
      <c r="EQ112" s="66" t="str">
        <f t="shared" si="1283"/>
        <v/>
      </c>
      <c r="ER112" s="66" t="str">
        <f t="shared" si="1284"/>
        <v/>
      </c>
      <c r="ES112" s="66" t="str">
        <f t="shared" si="1285"/>
        <v/>
      </c>
      <c r="ET112" s="66" t="str">
        <f t="shared" si="1286"/>
        <v/>
      </c>
      <c r="EU112" s="66" t="str">
        <f t="shared" si="1287"/>
        <v/>
      </c>
      <c r="EV112" s="66" t="str">
        <f t="shared" si="1288"/>
        <v/>
      </c>
      <c r="EW112" s="66" t="str">
        <f t="shared" si="1289"/>
        <v/>
      </c>
      <c r="EX112" s="66" t="str">
        <f t="shared" si="1290"/>
        <v/>
      </c>
      <c r="EY112" s="66" t="str">
        <f t="shared" si="1291"/>
        <v/>
      </c>
      <c r="EZ112" s="66" t="str">
        <f t="shared" si="1292"/>
        <v/>
      </c>
      <c r="FA112" s="66" t="str">
        <f t="shared" si="1293"/>
        <v/>
      </c>
      <c r="FB112" s="66" t="str">
        <f t="shared" si="1294"/>
        <v/>
      </c>
      <c r="FC112" s="66" t="str">
        <f t="shared" si="1295"/>
        <v/>
      </c>
      <c r="FD112" s="66" t="str">
        <f t="shared" si="1296"/>
        <v/>
      </c>
      <c r="FE112" s="66" t="str">
        <f t="shared" si="1297"/>
        <v/>
      </c>
      <c r="FF112" s="66" t="str">
        <f t="shared" si="1298"/>
        <v/>
      </c>
      <c r="FG112" s="66" t="str">
        <f t="shared" si="1299"/>
        <v/>
      </c>
      <c r="FH112" s="66" t="str">
        <f t="shared" si="1300"/>
        <v/>
      </c>
      <c r="FI112" s="66" t="str">
        <f t="shared" si="1301"/>
        <v/>
      </c>
      <c r="FJ112" s="66" t="str">
        <f t="shared" si="1302"/>
        <v/>
      </c>
      <c r="FK112" s="66" t="str">
        <f t="shared" si="1303"/>
        <v/>
      </c>
      <c r="FL112" s="66" t="str">
        <f t="shared" si="1304"/>
        <v/>
      </c>
      <c r="FM112" s="66" t="str">
        <f t="shared" si="1305"/>
        <v/>
      </c>
      <c r="FN112" s="66" t="str">
        <f t="shared" si="1306"/>
        <v/>
      </c>
      <c r="FO112" s="66" t="str">
        <f t="shared" si="1307"/>
        <v/>
      </c>
      <c r="FP112" s="66" t="str">
        <f t="shared" si="1308"/>
        <v/>
      </c>
      <c r="FQ112" s="66" t="str">
        <f t="shared" si="1309"/>
        <v/>
      </c>
      <c r="FR112" s="66" t="str">
        <f t="shared" si="1310"/>
        <v/>
      </c>
      <c r="FS112" s="66" t="str">
        <f t="shared" si="1311"/>
        <v/>
      </c>
    </row>
    <row r="113" spans="1:175" ht="16.5">
      <c r="A113" s="9"/>
      <c r="B113" s="9" t="s">
        <v>462</v>
      </c>
      <c r="C113" s="9" t="s">
        <v>449</v>
      </c>
      <c r="T113" s="9" t="s">
        <v>463</v>
      </c>
      <c r="U113" s="77" t="s">
        <v>451</v>
      </c>
      <c r="CN113" s="36" t="str">
        <f t="shared" ref="CN113:CN114" si="1318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36" t="str">
        <f t="shared" ref="CO113:CO114" si="1319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36" t="str">
        <f t="shared" ref="CP113:CP114" si="1320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36" t="str">
        <f t="shared" ref="CQ113:CQ114" si="1321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36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88" t="str">
        <f t="shared" ref="CU113:CU114" si="1322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323">T113</f>
        <v>使用技能进阶石可消耗品质潜力提升技能品质，只能对A级及以下的技能使用。</v>
      </c>
      <c r="CW113" s="33"/>
      <c r="CX113" s="33"/>
      <c r="CY113" s="33"/>
      <c r="CZ113" s="33"/>
      <c r="DA113" s="33"/>
      <c r="DB113" s="66" t="str">
        <f t="shared" ref="DB113:DB114" si="1324">IF(V113="","","|n"&amp;DB$2&amp;"+"&amp;V113&amp;DB$1)</f>
        <v/>
      </c>
      <c r="DC113" s="66" t="str">
        <f t="shared" ref="DC113:DC114" si="1325">IF(W113="","","|n"&amp;DC$2&amp;"+"&amp;W113&amp;DC$1)</f>
        <v/>
      </c>
      <c r="DD113" s="66" t="str">
        <f t="shared" ref="DD113:DD114" si="1326">IF(X113="","","|n"&amp;DD$2&amp;"+"&amp;X113&amp;DD$1)</f>
        <v/>
      </c>
      <c r="DE113" s="66" t="str">
        <f t="shared" ref="DE113:DE114" si="1327">IF(Y113="","","|n"&amp;DE$2&amp;"+"&amp;Y113&amp;DE$1)</f>
        <v/>
      </c>
      <c r="DF113" s="66" t="str">
        <f t="shared" ref="DF113:DF114" si="1328">IF(Z113="","","|n"&amp;DF$2&amp;"+"&amp;Z113&amp;DF$1)</f>
        <v/>
      </c>
      <c r="DG113" s="66" t="str">
        <f t="shared" ref="DG113:DG114" si="1329">IF(AA113="","","|n"&amp;DG$2&amp;"+"&amp;AA113&amp;DG$1)</f>
        <v/>
      </c>
      <c r="DH113" s="66" t="str">
        <f t="shared" ref="DH113:DH114" si="1330">IF(AB113="","","|n"&amp;DH$2&amp;"+"&amp;AB113&amp;DH$1)</f>
        <v/>
      </c>
      <c r="DI113" s="66" t="str">
        <f t="shared" ref="DI113:DI114" si="1331">IF(AC113="","","|n"&amp;DI$2&amp;"+"&amp;AC113&amp;DI$1)</f>
        <v/>
      </c>
      <c r="DJ113" s="66" t="str">
        <f t="shared" ref="DJ113:DJ114" si="1332">IF(AD113="","","|n"&amp;DJ$2&amp;"+"&amp;AD113&amp;DJ$1)</f>
        <v/>
      </c>
      <c r="DK113" s="66" t="str">
        <f t="shared" ref="DK113:DK114" si="1333">IF(AE113="","","|n"&amp;DK$2&amp;"+"&amp;AE113&amp;DK$1)</f>
        <v/>
      </c>
      <c r="DL113" s="66" t="str">
        <f t="shared" ref="DL113:DL114" si="1334">IF(AF113="","","|n"&amp;DL$2&amp;"+"&amp;AF113&amp;DL$1)</f>
        <v/>
      </c>
      <c r="DM113" s="66" t="str">
        <f t="shared" ref="DM113:DM114" si="1335">IF(AG113="","","|n"&amp;DM$2&amp;"+"&amp;AG113&amp;DM$1)</f>
        <v/>
      </c>
      <c r="DN113" s="66" t="str">
        <f t="shared" ref="DN113:DN114" si="1336">IF(AH113="","","|n"&amp;DN$2&amp;"+"&amp;AH113&amp;DN$1)</f>
        <v/>
      </c>
      <c r="DO113" s="66" t="str">
        <f t="shared" ref="DO113:DO114" si="1337">IF(AI113="","","|n"&amp;DO$2&amp;"+"&amp;AI113&amp;DO$1)</f>
        <v/>
      </c>
      <c r="DP113" s="66" t="str">
        <f t="shared" ref="DP113:DP114" si="1338">IF(AJ113="","","|n"&amp;DP$2&amp;"+"&amp;AJ113&amp;DP$1)</f>
        <v/>
      </c>
      <c r="DQ113" s="66" t="str">
        <f t="shared" ref="DQ113:DQ114" si="1339">IF(AK113="","","|n"&amp;DQ$2&amp;"+"&amp;AK113&amp;DQ$1)</f>
        <v/>
      </c>
      <c r="DR113" s="66" t="str">
        <f t="shared" ref="DR113:DR114" si="1340">IF(AL113="","","|n"&amp;DR$2&amp;"+"&amp;AL113&amp;DR$1)</f>
        <v/>
      </c>
      <c r="DS113" s="66" t="str">
        <f t="shared" ref="DS113:DS114" si="1341">IF(AM113="","","|n"&amp;DS$2&amp;"+"&amp;AM113&amp;DS$1)</f>
        <v/>
      </c>
      <c r="DT113" s="66" t="str">
        <f t="shared" ref="DT113:DT114" si="1342">IF(AN113="","","|n"&amp;DT$2&amp;"+"&amp;AN113&amp;DT$1)</f>
        <v/>
      </c>
      <c r="DU113" s="66" t="str">
        <f t="shared" ref="DU113:DU114" si="1343">IF(AO113="","","|n"&amp;DU$2&amp;"+"&amp;AO113&amp;DU$1)</f>
        <v/>
      </c>
      <c r="DV113" s="66" t="str">
        <f t="shared" ref="DV113:DV114" si="1344">IF(AP113="","","|n"&amp;DV$2&amp;"+"&amp;AP113&amp;DV$1)</f>
        <v/>
      </c>
      <c r="DW113" s="66" t="str">
        <f t="shared" ref="DW113:DW114" si="1345">IF(AQ113="","","|n"&amp;DW$2&amp;"+"&amp;AQ113&amp;DW$1)</f>
        <v/>
      </c>
      <c r="DX113" s="66" t="str">
        <f t="shared" ref="DX113:DX114" si="1346">IF(AR113="","","|n"&amp;DX$2&amp;"+"&amp;AR113&amp;DX$1)</f>
        <v/>
      </c>
      <c r="DY113" s="66" t="str">
        <f t="shared" ref="DY113:DY114" si="1347">IF(AS113="","","|n"&amp;DY$2&amp;"+"&amp;AS113&amp;DY$1)</f>
        <v/>
      </c>
      <c r="DZ113" s="66" t="str">
        <f t="shared" ref="DZ113:DZ114" si="1348">IF(AT113="","","|n"&amp;DZ$2&amp;"+"&amp;AT113&amp;DZ$1)</f>
        <v/>
      </c>
      <c r="EA113" s="66" t="str">
        <f t="shared" ref="EA113:EA114" si="1349">IF(AU113="","","|n"&amp;EA$2&amp;"+"&amp;AU113&amp;EA$1)</f>
        <v/>
      </c>
      <c r="EB113" s="66" t="str">
        <f t="shared" ref="EB113:EB114" si="1350">IF(AV113="","","|n"&amp;EB$2&amp;"+"&amp;AV113&amp;EB$1)</f>
        <v/>
      </c>
      <c r="EC113" s="66" t="str">
        <f t="shared" ref="EC113:EC114" si="1351">IF(AW113="","","|n"&amp;EC$2&amp;"+"&amp;AW113&amp;EC$1)</f>
        <v/>
      </c>
      <c r="ED113" s="66" t="str">
        <f t="shared" ref="ED113:ED114" si="1352">IF(AX113="","","|n"&amp;ED$2&amp;"+"&amp;AX113&amp;ED$1)</f>
        <v/>
      </c>
      <c r="EE113" s="66" t="str">
        <f t="shared" ref="EE113:EE114" si="1353">IF(AY113="","","|n"&amp;EE$2&amp;"+"&amp;AY113&amp;EE$1)</f>
        <v/>
      </c>
      <c r="EF113" s="66" t="str">
        <f t="shared" ref="EF113:EF114" si="1354">IF(AZ113="","","|n"&amp;EF$2&amp;"+"&amp;AZ113&amp;EF$1)</f>
        <v/>
      </c>
      <c r="EG113" s="66" t="str">
        <f t="shared" ref="EG113:EG114" si="1355">IF(BA113="","","|n"&amp;EG$2&amp;"+"&amp;BA113&amp;EG$1)</f>
        <v/>
      </c>
      <c r="EH113" s="66" t="str">
        <f t="shared" ref="EH113:EH114" si="1356">IF(BB113="","","|n"&amp;EH$2&amp;"+"&amp;BB113&amp;EH$1)</f>
        <v/>
      </c>
      <c r="EI113" s="66" t="str">
        <f t="shared" ref="EI113:EI114" si="1357">IF(BC113="","","|n"&amp;EI$2&amp;"+"&amp;BC113&amp;EI$1)</f>
        <v/>
      </c>
      <c r="EJ113" s="66" t="str">
        <f t="shared" ref="EJ113:EJ114" si="1358">IF(BD113="","","|n"&amp;EJ$2&amp;"+"&amp;BD113&amp;EJ$1)</f>
        <v/>
      </c>
      <c r="EK113" s="66" t="str">
        <f t="shared" ref="EK113:EK114" si="1359">IF(BE113="","","|n"&amp;EK$2&amp;"+"&amp;BE113&amp;EK$1)</f>
        <v/>
      </c>
      <c r="EL113" s="66" t="str">
        <f t="shared" ref="EL113:EL114" si="1360">IF(BF113="","","|n"&amp;EL$2&amp;"+"&amp;BF113&amp;EL$1)</f>
        <v/>
      </c>
      <c r="EM113" s="66" t="str">
        <f t="shared" ref="EM113:EM114" si="1361">IF(BG113="","","|n"&amp;EM$2&amp;"+"&amp;BG113&amp;EM$1)</f>
        <v/>
      </c>
      <c r="EN113" s="66" t="str">
        <f t="shared" ref="EN113:EN114" si="1362">IF(BH113="","","|n"&amp;EN$2&amp;"+"&amp;BH113&amp;EN$1)</f>
        <v/>
      </c>
      <c r="EO113" s="66" t="str">
        <f t="shared" ref="EO113:EO114" si="1363">IF(BI113="","","|n"&amp;EO$2&amp;"+"&amp;BI113&amp;EO$1)</f>
        <v/>
      </c>
      <c r="EP113" s="66" t="str">
        <f t="shared" ref="EP113:EP114" si="1364">IF(BJ113="","","|n"&amp;EP$2&amp;"+"&amp;BJ113&amp;EP$1)</f>
        <v/>
      </c>
      <c r="EQ113" s="66" t="str">
        <f t="shared" ref="EQ113:EQ114" si="1365">IF(BK113="","","|n"&amp;EQ$2&amp;"+"&amp;BK113&amp;EQ$1)</f>
        <v/>
      </c>
      <c r="ER113" s="66" t="str">
        <f t="shared" ref="ER113:ER114" si="1366">IF(BL113="","","|n"&amp;ER$2&amp;"+"&amp;BL113&amp;ER$1)</f>
        <v/>
      </c>
      <c r="ES113" s="66" t="str">
        <f t="shared" ref="ES113:ES114" si="1367">IF(BM113="","","|n"&amp;ES$2&amp;"+"&amp;BM113&amp;ES$1)</f>
        <v/>
      </c>
      <c r="ET113" s="66" t="str">
        <f t="shared" ref="ET113:ET114" si="1368">IF(BN113="","","|n"&amp;ET$2&amp;"+"&amp;BN113&amp;ET$1)</f>
        <v/>
      </c>
      <c r="EU113" s="66" t="str">
        <f t="shared" ref="EU113:EU114" si="1369">IF(BO113="","","|n"&amp;EU$2&amp;"+"&amp;BO113&amp;EU$1)</f>
        <v/>
      </c>
      <c r="EV113" s="66" t="str">
        <f t="shared" ref="EV113:EV114" si="1370">IF(BP113="","","|n"&amp;EV$2&amp;"+"&amp;BP113&amp;EV$1)</f>
        <v/>
      </c>
      <c r="EW113" s="66" t="str">
        <f t="shared" ref="EW113:EW114" si="1371">IF(BQ113="","","|n"&amp;EW$2&amp;"+"&amp;BQ113&amp;EW$1)</f>
        <v/>
      </c>
      <c r="EX113" s="66" t="str">
        <f t="shared" ref="EX113:EX114" si="1372">IF(BR113="","","|n"&amp;EX$2&amp;"+"&amp;BR113&amp;EX$1)</f>
        <v/>
      </c>
      <c r="EY113" s="66" t="str">
        <f t="shared" ref="EY113:EY114" si="1373">IF(BS113="","","|n"&amp;EY$2&amp;"+"&amp;BS113&amp;EY$1)</f>
        <v/>
      </c>
      <c r="EZ113" s="66" t="str">
        <f t="shared" ref="EZ113:EZ114" si="1374">IF(BT113="","","|n"&amp;EZ$2&amp;"+"&amp;BT113&amp;EZ$1)</f>
        <v/>
      </c>
      <c r="FA113" s="66" t="str">
        <f t="shared" ref="FA113:FA114" si="1375">IF(BU113="","","|n"&amp;FA$2&amp;"+"&amp;BU113&amp;FA$1)</f>
        <v/>
      </c>
      <c r="FB113" s="66" t="str">
        <f t="shared" ref="FB113:FB114" si="1376">IF(BV113="","","|n"&amp;FB$2&amp;"+"&amp;BV113&amp;FB$1)</f>
        <v/>
      </c>
      <c r="FC113" s="66" t="str">
        <f t="shared" ref="FC113:FC114" si="1377">IF(BW113="","","|n"&amp;FC$2&amp;"+"&amp;BW113&amp;FC$1)</f>
        <v/>
      </c>
      <c r="FD113" s="66" t="str">
        <f t="shared" ref="FD113:FD114" si="1378">IF(BX113="","","|n"&amp;FD$2&amp;"+"&amp;BX113&amp;FD$1)</f>
        <v/>
      </c>
      <c r="FE113" s="66" t="str">
        <f t="shared" ref="FE113:FE114" si="1379">IF(BY113="","","|n"&amp;FE$2&amp;"+"&amp;BY113&amp;FE$1)</f>
        <v/>
      </c>
      <c r="FF113" s="66" t="str">
        <f t="shared" ref="FF113:FF114" si="1380">IF(BZ113="","","|n"&amp;FF$2&amp;"+"&amp;BZ113&amp;FF$1)</f>
        <v/>
      </c>
      <c r="FG113" s="66" t="str">
        <f t="shared" ref="FG113:FG114" si="1381">IF(CA113="","","|n"&amp;FG$2&amp;"+"&amp;CA113&amp;FG$1)</f>
        <v/>
      </c>
      <c r="FH113" s="66" t="str">
        <f t="shared" ref="FH113:FH114" si="1382">IF(CB113="","","|n"&amp;FH$2&amp;"+"&amp;CB113&amp;FH$1)</f>
        <v/>
      </c>
      <c r="FI113" s="66" t="str">
        <f t="shared" ref="FI113:FI114" si="1383">IF(CC113="","","|n"&amp;FI$2&amp;"+"&amp;CC113&amp;FI$1)</f>
        <v/>
      </c>
      <c r="FJ113" s="66" t="str">
        <f t="shared" ref="FJ113:FJ114" si="1384">IF(CD113="","","|n"&amp;FJ$2&amp;"+"&amp;CD113&amp;FJ$1)</f>
        <v/>
      </c>
      <c r="FK113" s="66" t="str">
        <f t="shared" ref="FK113:FK114" si="1385">IF(CE113="","","|n"&amp;FK$2&amp;"+"&amp;CE113&amp;FK$1)</f>
        <v/>
      </c>
      <c r="FL113" s="66" t="str">
        <f t="shared" ref="FL113:FL114" si="1386">IF(CF113="","","|n"&amp;FL$2&amp;"+"&amp;CF113&amp;FL$1)</f>
        <v/>
      </c>
      <c r="FM113" s="66" t="str">
        <f t="shared" ref="FM113:FM114" si="1387">IF(CG113="","","|n"&amp;FM$2&amp;"+"&amp;CG113&amp;FM$1)</f>
        <v/>
      </c>
      <c r="FN113" s="66" t="str">
        <f t="shared" ref="FN113:FN114" si="1388">IF(CH113="","","|n"&amp;FN$2&amp;"+"&amp;CH113&amp;FN$1)</f>
        <v/>
      </c>
      <c r="FO113" s="66" t="str">
        <f t="shared" ref="FO113:FO114" si="1389">IF(CI113="","","|n"&amp;FO$2&amp;"+"&amp;CI113&amp;FO$1)</f>
        <v/>
      </c>
      <c r="FP113" s="66" t="str">
        <f t="shared" ref="FP113:FP114" si="1390">IF(CJ113="","","|n"&amp;FP$2&amp;"+"&amp;CJ113&amp;FP$1)</f>
        <v/>
      </c>
      <c r="FQ113" s="66" t="str">
        <f t="shared" ref="FQ113:FQ114" si="1391">IF(CK113="","","|n"&amp;FQ$2&amp;"+"&amp;CK113&amp;FQ$1)</f>
        <v/>
      </c>
      <c r="FR113" s="66" t="str">
        <f t="shared" ref="FR113:FR114" si="1392">IF(CL113="","","|n"&amp;FR$2&amp;"+"&amp;CL113&amp;FR$1)</f>
        <v/>
      </c>
      <c r="FS113" s="66" t="str">
        <f t="shared" ref="FS113:FS114" si="1393">IF(CM113="","","|n"&amp;FS$2&amp;"+"&amp;CM113&amp;FS$1)</f>
        <v/>
      </c>
    </row>
    <row r="114" spans="1:175" ht="16.5">
      <c r="A114" s="9"/>
      <c r="B114" s="9" t="s">
        <v>464</v>
      </c>
      <c r="C114" s="9" t="s">
        <v>453</v>
      </c>
      <c r="T114" s="9" t="s">
        <v>465</v>
      </c>
      <c r="U114" s="77" t="s">
        <v>455</v>
      </c>
      <c r="CN114" s="36" t="str">
        <f t="shared" si="1318"/>
        <v>InitUnitState('CS22',,,,,,,,,,)</v>
      </c>
      <c r="CO114" s="36" t="str">
        <f t="shared" si="1319"/>
        <v>InitUnitNormal('CS22',,,,,,,,,,)</v>
      </c>
      <c r="CP114" s="36" t="str">
        <f t="shared" si="1320"/>
        <v>InitUnitMagic('CS22',,,,,,,,,,)</v>
      </c>
      <c r="CQ114" s="36" t="str">
        <f t="shared" si="1321"/>
        <v>InitUnitAdd('CS22',,,,,,,,,,)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88" t="str">
        <f t="shared" si="1322"/>
        <v>|n</v>
      </c>
      <c r="CV114" s="19" t="str">
        <f t="shared" si="1323"/>
        <v>使用后为指定技能增加1点品质潜力</v>
      </c>
      <c r="CW114" s="33"/>
      <c r="CX114" s="33"/>
      <c r="CY114" s="33"/>
      <c r="CZ114" s="33"/>
      <c r="DA114" s="33"/>
      <c r="DB114" s="66" t="str">
        <f t="shared" si="1324"/>
        <v/>
      </c>
      <c r="DC114" s="66" t="str">
        <f t="shared" si="1325"/>
        <v/>
      </c>
      <c r="DD114" s="66" t="str">
        <f t="shared" si="1326"/>
        <v/>
      </c>
      <c r="DE114" s="66" t="str">
        <f t="shared" si="1327"/>
        <v/>
      </c>
      <c r="DF114" s="66" t="str">
        <f t="shared" si="1328"/>
        <v/>
      </c>
      <c r="DG114" s="66" t="str">
        <f t="shared" si="1329"/>
        <v/>
      </c>
      <c r="DH114" s="66" t="str">
        <f t="shared" si="1330"/>
        <v/>
      </c>
      <c r="DI114" s="66" t="str">
        <f t="shared" si="1331"/>
        <v/>
      </c>
      <c r="DJ114" s="66" t="str">
        <f t="shared" si="1332"/>
        <v/>
      </c>
      <c r="DK114" s="66" t="str">
        <f t="shared" si="1333"/>
        <v/>
      </c>
      <c r="DL114" s="66" t="str">
        <f t="shared" si="1334"/>
        <v/>
      </c>
      <c r="DM114" s="66" t="str">
        <f t="shared" si="1335"/>
        <v/>
      </c>
      <c r="DN114" s="66" t="str">
        <f t="shared" si="1336"/>
        <v/>
      </c>
      <c r="DO114" s="66" t="str">
        <f t="shared" si="1337"/>
        <v/>
      </c>
      <c r="DP114" s="66" t="str">
        <f t="shared" si="1338"/>
        <v/>
      </c>
      <c r="DQ114" s="66" t="str">
        <f t="shared" si="1339"/>
        <v/>
      </c>
      <c r="DR114" s="66" t="str">
        <f t="shared" si="1340"/>
        <v/>
      </c>
      <c r="DS114" s="66" t="str">
        <f t="shared" si="1341"/>
        <v/>
      </c>
      <c r="DT114" s="66" t="str">
        <f t="shared" si="1342"/>
        <v/>
      </c>
      <c r="DU114" s="66" t="str">
        <f t="shared" si="1343"/>
        <v/>
      </c>
      <c r="DV114" s="66" t="str">
        <f t="shared" si="1344"/>
        <v/>
      </c>
      <c r="DW114" s="66" t="str">
        <f t="shared" si="1345"/>
        <v/>
      </c>
      <c r="DX114" s="66" t="str">
        <f t="shared" si="1346"/>
        <v/>
      </c>
      <c r="DY114" s="66" t="str">
        <f t="shared" si="1347"/>
        <v/>
      </c>
      <c r="DZ114" s="66" t="str">
        <f t="shared" si="1348"/>
        <v/>
      </c>
      <c r="EA114" s="66" t="str">
        <f t="shared" si="1349"/>
        <v/>
      </c>
      <c r="EB114" s="66" t="str">
        <f t="shared" si="1350"/>
        <v/>
      </c>
      <c r="EC114" s="66" t="str">
        <f t="shared" si="1351"/>
        <v/>
      </c>
      <c r="ED114" s="66" t="str">
        <f t="shared" si="1352"/>
        <v/>
      </c>
      <c r="EE114" s="66" t="str">
        <f t="shared" si="1353"/>
        <v/>
      </c>
      <c r="EF114" s="66" t="str">
        <f t="shared" si="1354"/>
        <v/>
      </c>
      <c r="EG114" s="66" t="str">
        <f t="shared" si="1355"/>
        <v/>
      </c>
      <c r="EH114" s="66" t="str">
        <f t="shared" si="1356"/>
        <v/>
      </c>
      <c r="EI114" s="66" t="str">
        <f t="shared" si="1357"/>
        <v/>
      </c>
      <c r="EJ114" s="66" t="str">
        <f t="shared" si="1358"/>
        <v/>
      </c>
      <c r="EK114" s="66" t="str">
        <f t="shared" si="1359"/>
        <v/>
      </c>
      <c r="EL114" s="66" t="str">
        <f t="shared" si="1360"/>
        <v/>
      </c>
      <c r="EM114" s="66" t="str">
        <f t="shared" si="1361"/>
        <v/>
      </c>
      <c r="EN114" s="66" t="str">
        <f t="shared" si="1362"/>
        <v/>
      </c>
      <c r="EO114" s="66" t="str">
        <f t="shared" si="1363"/>
        <v/>
      </c>
      <c r="EP114" s="66" t="str">
        <f t="shared" si="1364"/>
        <v/>
      </c>
      <c r="EQ114" s="66" t="str">
        <f t="shared" si="1365"/>
        <v/>
      </c>
      <c r="ER114" s="66" t="str">
        <f t="shared" si="1366"/>
        <v/>
      </c>
      <c r="ES114" s="66" t="str">
        <f t="shared" si="1367"/>
        <v/>
      </c>
      <c r="ET114" s="66" t="str">
        <f t="shared" si="1368"/>
        <v/>
      </c>
      <c r="EU114" s="66" t="str">
        <f t="shared" si="1369"/>
        <v/>
      </c>
      <c r="EV114" s="66" t="str">
        <f t="shared" si="1370"/>
        <v/>
      </c>
      <c r="EW114" s="66" t="str">
        <f t="shared" si="1371"/>
        <v/>
      </c>
      <c r="EX114" s="66" t="str">
        <f t="shared" si="1372"/>
        <v/>
      </c>
      <c r="EY114" s="66" t="str">
        <f t="shared" si="1373"/>
        <v/>
      </c>
      <c r="EZ114" s="66" t="str">
        <f t="shared" si="1374"/>
        <v/>
      </c>
      <c r="FA114" s="66" t="str">
        <f t="shared" si="1375"/>
        <v/>
      </c>
      <c r="FB114" s="66" t="str">
        <f t="shared" si="1376"/>
        <v/>
      </c>
      <c r="FC114" s="66" t="str">
        <f t="shared" si="1377"/>
        <v/>
      </c>
      <c r="FD114" s="66" t="str">
        <f t="shared" si="1378"/>
        <v/>
      </c>
      <c r="FE114" s="66" t="str">
        <f t="shared" si="1379"/>
        <v/>
      </c>
      <c r="FF114" s="66" t="str">
        <f t="shared" si="1380"/>
        <v/>
      </c>
      <c r="FG114" s="66" t="str">
        <f t="shared" si="1381"/>
        <v/>
      </c>
      <c r="FH114" s="66" t="str">
        <f t="shared" si="1382"/>
        <v/>
      </c>
      <c r="FI114" s="66" t="str">
        <f t="shared" si="1383"/>
        <v/>
      </c>
      <c r="FJ114" s="66" t="str">
        <f t="shared" si="1384"/>
        <v/>
      </c>
      <c r="FK114" s="66" t="str">
        <f t="shared" si="1385"/>
        <v/>
      </c>
      <c r="FL114" s="66" t="str">
        <f t="shared" si="1386"/>
        <v/>
      </c>
      <c r="FM114" s="66" t="str">
        <f t="shared" si="1387"/>
        <v/>
      </c>
      <c r="FN114" s="66" t="str">
        <f t="shared" si="1388"/>
        <v/>
      </c>
      <c r="FO114" s="66" t="str">
        <f t="shared" si="1389"/>
        <v/>
      </c>
      <c r="FP114" s="66" t="str">
        <f t="shared" si="1390"/>
        <v/>
      </c>
      <c r="FQ114" s="66" t="str">
        <f t="shared" si="1391"/>
        <v/>
      </c>
      <c r="FR114" s="66" t="str">
        <f t="shared" si="1392"/>
        <v/>
      </c>
      <c r="FS114" s="66" t="str">
        <f t="shared" si="1393"/>
        <v/>
      </c>
    </row>
    <row r="115" spans="1:175" ht="16.5">
      <c r="A115" s="9"/>
      <c r="B115" s="9" t="s">
        <v>466</v>
      </c>
      <c r="C115" s="9" t="s">
        <v>457</v>
      </c>
      <c r="T115" s="9" t="s">
        <v>467</v>
      </c>
      <c r="U115" s="77" t="s">
        <v>459</v>
      </c>
      <c r="CN115" s="36" t="str">
        <f t="shared" ref="CN115" si="1394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36" t="str">
        <f t="shared" ref="CO115" si="1395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36" t="str">
        <f t="shared" ref="CP115" si="1396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36" t="str">
        <f t="shared" ref="CQ115" si="1397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88" t="str">
        <f t="shared" ref="CU115" si="1398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" si="1399">T115</f>
        <v>使用技能进阶石可消耗品质潜力提升技能品质，只能对A级及以下的技能使用。只有50%的概率成功</v>
      </c>
      <c r="CW115" s="33"/>
      <c r="CX115" s="33"/>
      <c r="CY115" s="33"/>
      <c r="CZ115" s="33"/>
      <c r="DA115" s="33"/>
      <c r="DB115" s="66" t="str">
        <f t="shared" ref="DB115" si="1400">IF(V115="","","|n"&amp;DB$2&amp;"+"&amp;V115&amp;DB$1)</f>
        <v/>
      </c>
      <c r="DC115" s="66" t="str">
        <f t="shared" ref="DC115" si="1401">IF(W115="","","|n"&amp;DC$2&amp;"+"&amp;W115&amp;DC$1)</f>
        <v/>
      </c>
      <c r="DD115" s="66" t="str">
        <f t="shared" ref="DD115" si="1402">IF(X115="","","|n"&amp;DD$2&amp;"+"&amp;X115&amp;DD$1)</f>
        <v/>
      </c>
      <c r="DE115" s="66" t="str">
        <f t="shared" ref="DE115" si="1403">IF(Y115="","","|n"&amp;DE$2&amp;"+"&amp;Y115&amp;DE$1)</f>
        <v/>
      </c>
      <c r="DF115" s="66" t="str">
        <f t="shared" ref="DF115" si="1404">IF(Z115="","","|n"&amp;DF$2&amp;"+"&amp;Z115&amp;DF$1)</f>
        <v/>
      </c>
      <c r="DG115" s="66" t="str">
        <f t="shared" ref="DG115" si="1405">IF(AA115="","","|n"&amp;DG$2&amp;"+"&amp;AA115&amp;DG$1)</f>
        <v/>
      </c>
      <c r="DH115" s="66" t="str">
        <f t="shared" ref="DH115" si="1406">IF(AB115="","","|n"&amp;DH$2&amp;"+"&amp;AB115&amp;DH$1)</f>
        <v/>
      </c>
      <c r="DI115" s="66" t="str">
        <f t="shared" ref="DI115" si="1407">IF(AC115="","","|n"&amp;DI$2&amp;"+"&amp;AC115&amp;DI$1)</f>
        <v/>
      </c>
      <c r="DJ115" s="66" t="str">
        <f t="shared" ref="DJ115" si="1408">IF(AD115="","","|n"&amp;DJ$2&amp;"+"&amp;AD115&amp;DJ$1)</f>
        <v/>
      </c>
      <c r="DK115" s="66" t="str">
        <f t="shared" ref="DK115" si="1409">IF(AE115="","","|n"&amp;DK$2&amp;"+"&amp;AE115&amp;DK$1)</f>
        <v/>
      </c>
      <c r="DL115" s="66" t="str">
        <f t="shared" ref="DL115" si="1410">IF(AF115="","","|n"&amp;DL$2&amp;"+"&amp;AF115&amp;DL$1)</f>
        <v/>
      </c>
      <c r="DM115" s="66" t="str">
        <f t="shared" ref="DM115" si="1411">IF(AG115="","","|n"&amp;DM$2&amp;"+"&amp;AG115&amp;DM$1)</f>
        <v/>
      </c>
      <c r="DN115" s="66" t="str">
        <f t="shared" ref="DN115" si="1412">IF(AH115="","","|n"&amp;DN$2&amp;"+"&amp;AH115&amp;DN$1)</f>
        <v/>
      </c>
      <c r="DO115" s="66" t="str">
        <f t="shared" ref="DO115" si="1413">IF(AI115="","","|n"&amp;DO$2&amp;"+"&amp;AI115&amp;DO$1)</f>
        <v/>
      </c>
      <c r="DP115" s="66" t="str">
        <f t="shared" ref="DP115" si="1414">IF(AJ115="","","|n"&amp;DP$2&amp;"+"&amp;AJ115&amp;DP$1)</f>
        <v/>
      </c>
      <c r="DQ115" s="66" t="str">
        <f t="shared" ref="DQ115" si="1415">IF(AK115="","","|n"&amp;DQ$2&amp;"+"&amp;AK115&amp;DQ$1)</f>
        <v/>
      </c>
      <c r="DR115" s="66" t="str">
        <f t="shared" ref="DR115" si="1416">IF(AL115="","","|n"&amp;DR$2&amp;"+"&amp;AL115&amp;DR$1)</f>
        <v/>
      </c>
      <c r="DS115" s="66" t="str">
        <f t="shared" ref="DS115" si="1417">IF(AM115="","","|n"&amp;DS$2&amp;"+"&amp;AM115&amp;DS$1)</f>
        <v/>
      </c>
      <c r="DT115" s="66" t="str">
        <f t="shared" ref="DT115" si="1418">IF(AN115="","","|n"&amp;DT$2&amp;"+"&amp;AN115&amp;DT$1)</f>
        <v/>
      </c>
      <c r="DU115" s="66" t="str">
        <f t="shared" ref="DU115" si="1419">IF(AO115="","","|n"&amp;DU$2&amp;"+"&amp;AO115&amp;DU$1)</f>
        <v/>
      </c>
      <c r="DV115" s="66" t="str">
        <f t="shared" ref="DV115" si="1420">IF(AP115="","","|n"&amp;DV$2&amp;"+"&amp;AP115&amp;DV$1)</f>
        <v/>
      </c>
      <c r="DW115" s="66" t="str">
        <f t="shared" ref="DW115" si="1421">IF(AQ115="","","|n"&amp;DW$2&amp;"+"&amp;AQ115&amp;DW$1)</f>
        <v/>
      </c>
      <c r="DX115" s="66" t="str">
        <f t="shared" ref="DX115" si="1422">IF(AR115="","","|n"&amp;DX$2&amp;"+"&amp;AR115&amp;DX$1)</f>
        <v/>
      </c>
      <c r="DY115" s="66" t="str">
        <f t="shared" ref="DY115" si="1423">IF(AS115="","","|n"&amp;DY$2&amp;"+"&amp;AS115&amp;DY$1)</f>
        <v/>
      </c>
      <c r="DZ115" s="66" t="str">
        <f t="shared" ref="DZ115" si="1424">IF(AT115="","","|n"&amp;DZ$2&amp;"+"&amp;AT115&amp;DZ$1)</f>
        <v/>
      </c>
      <c r="EA115" s="66" t="str">
        <f t="shared" ref="EA115" si="1425">IF(AU115="","","|n"&amp;EA$2&amp;"+"&amp;AU115&amp;EA$1)</f>
        <v/>
      </c>
      <c r="EB115" s="66" t="str">
        <f t="shared" ref="EB115" si="1426">IF(AV115="","","|n"&amp;EB$2&amp;"+"&amp;AV115&amp;EB$1)</f>
        <v/>
      </c>
      <c r="EC115" s="66" t="str">
        <f t="shared" ref="EC115" si="1427">IF(AW115="","","|n"&amp;EC$2&amp;"+"&amp;AW115&amp;EC$1)</f>
        <v/>
      </c>
      <c r="ED115" s="66" t="str">
        <f t="shared" ref="ED115" si="1428">IF(AX115="","","|n"&amp;ED$2&amp;"+"&amp;AX115&amp;ED$1)</f>
        <v/>
      </c>
      <c r="EE115" s="66" t="str">
        <f t="shared" ref="EE115" si="1429">IF(AY115="","","|n"&amp;EE$2&amp;"+"&amp;AY115&amp;EE$1)</f>
        <v/>
      </c>
      <c r="EF115" s="66" t="str">
        <f t="shared" ref="EF115" si="1430">IF(AZ115="","","|n"&amp;EF$2&amp;"+"&amp;AZ115&amp;EF$1)</f>
        <v/>
      </c>
      <c r="EG115" s="66" t="str">
        <f t="shared" ref="EG115" si="1431">IF(BA115="","","|n"&amp;EG$2&amp;"+"&amp;BA115&amp;EG$1)</f>
        <v/>
      </c>
      <c r="EH115" s="66" t="str">
        <f t="shared" ref="EH115" si="1432">IF(BB115="","","|n"&amp;EH$2&amp;"+"&amp;BB115&amp;EH$1)</f>
        <v/>
      </c>
      <c r="EI115" s="66" t="str">
        <f t="shared" ref="EI115" si="1433">IF(BC115="","","|n"&amp;EI$2&amp;"+"&amp;BC115&amp;EI$1)</f>
        <v/>
      </c>
      <c r="EJ115" s="66" t="str">
        <f t="shared" ref="EJ115" si="1434">IF(BD115="","","|n"&amp;EJ$2&amp;"+"&amp;BD115&amp;EJ$1)</f>
        <v/>
      </c>
      <c r="EK115" s="66" t="str">
        <f t="shared" ref="EK115" si="1435">IF(BE115="","","|n"&amp;EK$2&amp;"+"&amp;BE115&amp;EK$1)</f>
        <v/>
      </c>
      <c r="EL115" s="66" t="str">
        <f t="shared" ref="EL115" si="1436">IF(BF115="","","|n"&amp;EL$2&amp;"+"&amp;BF115&amp;EL$1)</f>
        <v/>
      </c>
      <c r="EM115" s="66" t="str">
        <f t="shared" ref="EM115" si="1437">IF(BG115="","","|n"&amp;EM$2&amp;"+"&amp;BG115&amp;EM$1)</f>
        <v/>
      </c>
      <c r="EN115" s="66" t="str">
        <f t="shared" ref="EN115" si="1438">IF(BH115="","","|n"&amp;EN$2&amp;"+"&amp;BH115&amp;EN$1)</f>
        <v/>
      </c>
      <c r="EO115" s="66" t="str">
        <f t="shared" ref="EO115" si="1439">IF(BI115="","","|n"&amp;EO$2&amp;"+"&amp;BI115&amp;EO$1)</f>
        <v/>
      </c>
      <c r="EP115" s="66" t="str">
        <f t="shared" ref="EP115" si="1440">IF(BJ115="","","|n"&amp;EP$2&amp;"+"&amp;BJ115&amp;EP$1)</f>
        <v/>
      </c>
      <c r="EQ115" s="66" t="str">
        <f t="shared" ref="EQ115" si="1441">IF(BK115="","","|n"&amp;EQ$2&amp;"+"&amp;BK115&amp;EQ$1)</f>
        <v/>
      </c>
      <c r="ER115" s="66" t="str">
        <f t="shared" ref="ER115" si="1442">IF(BL115="","","|n"&amp;ER$2&amp;"+"&amp;BL115&amp;ER$1)</f>
        <v/>
      </c>
      <c r="ES115" s="66" t="str">
        <f t="shared" ref="ES115" si="1443">IF(BM115="","","|n"&amp;ES$2&amp;"+"&amp;BM115&amp;ES$1)</f>
        <v/>
      </c>
      <c r="ET115" s="66" t="str">
        <f t="shared" ref="ET115" si="1444">IF(BN115="","","|n"&amp;ET$2&amp;"+"&amp;BN115&amp;ET$1)</f>
        <v/>
      </c>
      <c r="EU115" s="66" t="str">
        <f t="shared" ref="EU115" si="1445">IF(BO115="","","|n"&amp;EU$2&amp;"+"&amp;BO115&amp;EU$1)</f>
        <v/>
      </c>
      <c r="EV115" s="66" t="str">
        <f t="shared" ref="EV115" si="1446">IF(BP115="","","|n"&amp;EV$2&amp;"+"&amp;BP115&amp;EV$1)</f>
        <v/>
      </c>
      <c r="EW115" s="66" t="str">
        <f t="shared" ref="EW115" si="1447">IF(BQ115="","","|n"&amp;EW$2&amp;"+"&amp;BQ115&amp;EW$1)</f>
        <v/>
      </c>
      <c r="EX115" s="66" t="str">
        <f t="shared" ref="EX115" si="1448">IF(BR115="","","|n"&amp;EX$2&amp;"+"&amp;BR115&amp;EX$1)</f>
        <v/>
      </c>
      <c r="EY115" s="66" t="str">
        <f t="shared" ref="EY115" si="1449">IF(BS115="","","|n"&amp;EY$2&amp;"+"&amp;BS115&amp;EY$1)</f>
        <v/>
      </c>
      <c r="EZ115" s="66" t="str">
        <f t="shared" ref="EZ115" si="1450">IF(BT115="","","|n"&amp;EZ$2&amp;"+"&amp;BT115&amp;EZ$1)</f>
        <v/>
      </c>
      <c r="FA115" s="66" t="str">
        <f t="shared" ref="FA115" si="1451">IF(BU115="","","|n"&amp;FA$2&amp;"+"&amp;BU115&amp;FA$1)</f>
        <v/>
      </c>
      <c r="FB115" s="66" t="str">
        <f t="shared" ref="FB115" si="1452">IF(BV115="","","|n"&amp;FB$2&amp;"+"&amp;BV115&amp;FB$1)</f>
        <v/>
      </c>
      <c r="FC115" s="66" t="str">
        <f t="shared" ref="FC115" si="1453">IF(BW115="","","|n"&amp;FC$2&amp;"+"&amp;BW115&amp;FC$1)</f>
        <v/>
      </c>
      <c r="FD115" s="66" t="str">
        <f t="shared" ref="FD115" si="1454">IF(BX115="","","|n"&amp;FD$2&amp;"+"&amp;BX115&amp;FD$1)</f>
        <v/>
      </c>
      <c r="FE115" s="66" t="str">
        <f t="shared" ref="FE115" si="1455">IF(BY115="","","|n"&amp;FE$2&amp;"+"&amp;BY115&amp;FE$1)</f>
        <v/>
      </c>
      <c r="FF115" s="66" t="str">
        <f t="shared" ref="FF115" si="1456">IF(BZ115="","","|n"&amp;FF$2&amp;"+"&amp;BZ115&amp;FF$1)</f>
        <v/>
      </c>
      <c r="FG115" s="66" t="str">
        <f t="shared" ref="FG115" si="1457">IF(CA115="","","|n"&amp;FG$2&amp;"+"&amp;CA115&amp;FG$1)</f>
        <v/>
      </c>
      <c r="FH115" s="66" t="str">
        <f t="shared" ref="FH115" si="1458">IF(CB115="","","|n"&amp;FH$2&amp;"+"&amp;CB115&amp;FH$1)</f>
        <v/>
      </c>
      <c r="FI115" s="66" t="str">
        <f t="shared" ref="FI115" si="1459">IF(CC115="","","|n"&amp;FI$2&amp;"+"&amp;CC115&amp;FI$1)</f>
        <v/>
      </c>
      <c r="FJ115" s="66" t="str">
        <f t="shared" ref="FJ115" si="1460">IF(CD115="","","|n"&amp;FJ$2&amp;"+"&amp;CD115&amp;FJ$1)</f>
        <v/>
      </c>
      <c r="FK115" s="66" t="str">
        <f t="shared" ref="FK115" si="1461">IF(CE115="","","|n"&amp;FK$2&amp;"+"&amp;CE115&amp;FK$1)</f>
        <v/>
      </c>
      <c r="FL115" s="66" t="str">
        <f t="shared" ref="FL115" si="1462">IF(CF115="","","|n"&amp;FL$2&amp;"+"&amp;CF115&amp;FL$1)</f>
        <v/>
      </c>
      <c r="FM115" s="66" t="str">
        <f t="shared" ref="FM115" si="1463">IF(CG115="","","|n"&amp;FM$2&amp;"+"&amp;CG115&amp;FM$1)</f>
        <v/>
      </c>
      <c r="FN115" s="66" t="str">
        <f t="shared" ref="FN115" si="1464">IF(CH115="","","|n"&amp;FN$2&amp;"+"&amp;CH115&amp;FN$1)</f>
        <v/>
      </c>
      <c r="FO115" s="66" t="str">
        <f t="shared" ref="FO115" si="1465">IF(CI115="","","|n"&amp;FO$2&amp;"+"&amp;CI115&amp;FO$1)</f>
        <v/>
      </c>
      <c r="FP115" s="66" t="str">
        <f t="shared" ref="FP115" si="1466">IF(CJ115="","","|n"&amp;FP$2&amp;"+"&amp;CJ115&amp;FP$1)</f>
        <v/>
      </c>
      <c r="FQ115" s="66" t="str">
        <f t="shared" ref="FQ115" si="1467">IF(CK115="","","|n"&amp;FQ$2&amp;"+"&amp;CK115&amp;FQ$1)</f>
        <v/>
      </c>
      <c r="FR115" s="66" t="str">
        <f t="shared" ref="FR115" si="1468">IF(CL115="","","|n"&amp;FR$2&amp;"+"&amp;CL115&amp;FR$1)</f>
        <v/>
      </c>
      <c r="FS115" s="66" t="str">
        <f t="shared" ref="FS115" si="1469">IF(CM115="","","|n"&amp;FS$2&amp;"+"&amp;CM115&amp;FS$1)</f>
        <v/>
      </c>
    </row>
    <row r="116" spans="1:175" ht="16.5">
      <c r="A116" s="9"/>
      <c r="B116" s="9" t="s">
        <v>468</v>
      </c>
      <c r="C116" s="9" t="s">
        <v>461</v>
      </c>
      <c r="T116" s="9"/>
      <c r="U116" s="77" t="s">
        <v>455</v>
      </c>
      <c r="CN116" s="36" t="str">
        <f t="shared" ref="CN116" si="1470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36" t="str">
        <f t="shared" ref="CO116" si="1471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36" t="str">
        <f t="shared" ref="CP116" si="1472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36" t="str">
        <f t="shared" ref="CQ116" si="1473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88" t="str">
        <f t="shared" ref="CU116" si="1474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19">
        <f t="shared" ref="CV116" si="1475">T116</f>
        <v>0</v>
      </c>
      <c r="CW116" s="33"/>
      <c r="CX116" s="33"/>
      <c r="CY116" s="33"/>
      <c r="CZ116" s="33"/>
      <c r="DA116" s="33"/>
      <c r="DB116" s="66" t="str">
        <f t="shared" ref="DB116" si="1476">IF(V116="","","|n"&amp;DB$2&amp;"+"&amp;V116&amp;DB$1)</f>
        <v/>
      </c>
      <c r="DC116" s="66" t="str">
        <f t="shared" ref="DC116" si="1477">IF(W116="","","|n"&amp;DC$2&amp;"+"&amp;W116&amp;DC$1)</f>
        <v/>
      </c>
      <c r="DD116" s="66" t="str">
        <f t="shared" ref="DD116" si="1478">IF(X116="","","|n"&amp;DD$2&amp;"+"&amp;X116&amp;DD$1)</f>
        <v/>
      </c>
      <c r="DE116" s="66" t="str">
        <f t="shared" ref="DE116" si="1479">IF(Y116="","","|n"&amp;DE$2&amp;"+"&amp;Y116&amp;DE$1)</f>
        <v/>
      </c>
      <c r="DF116" s="66" t="str">
        <f t="shared" ref="DF116" si="1480">IF(Z116="","","|n"&amp;DF$2&amp;"+"&amp;Z116&amp;DF$1)</f>
        <v/>
      </c>
      <c r="DG116" s="66" t="str">
        <f t="shared" ref="DG116" si="1481">IF(AA116="","","|n"&amp;DG$2&amp;"+"&amp;AA116&amp;DG$1)</f>
        <v/>
      </c>
      <c r="DH116" s="66" t="str">
        <f t="shared" ref="DH116" si="1482">IF(AB116="","","|n"&amp;DH$2&amp;"+"&amp;AB116&amp;DH$1)</f>
        <v/>
      </c>
      <c r="DI116" s="66" t="str">
        <f t="shared" ref="DI116" si="1483">IF(AC116="","","|n"&amp;DI$2&amp;"+"&amp;AC116&amp;DI$1)</f>
        <v/>
      </c>
      <c r="DJ116" s="66" t="str">
        <f t="shared" ref="DJ116" si="1484">IF(AD116="","","|n"&amp;DJ$2&amp;"+"&amp;AD116&amp;DJ$1)</f>
        <v/>
      </c>
      <c r="DK116" s="66" t="str">
        <f t="shared" ref="DK116" si="1485">IF(AE116="","","|n"&amp;DK$2&amp;"+"&amp;AE116&amp;DK$1)</f>
        <v/>
      </c>
      <c r="DL116" s="66" t="str">
        <f t="shared" ref="DL116" si="1486">IF(AF116="","","|n"&amp;DL$2&amp;"+"&amp;AF116&amp;DL$1)</f>
        <v/>
      </c>
      <c r="DM116" s="66" t="str">
        <f t="shared" ref="DM116" si="1487">IF(AG116="","","|n"&amp;DM$2&amp;"+"&amp;AG116&amp;DM$1)</f>
        <v/>
      </c>
      <c r="DN116" s="66" t="str">
        <f t="shared" ref="DN116" si="1488">IF(AH116="","","|n"&amp;DN$2&amp;"+"&amp;AH116&amp;DN$1)</f>
        <v/>
      </c>
      <c r="DO116" s="66" t="str">
        <f t="shared" ref="DO116" si="1489">IF(AI116="","","|n"&amp;DO$2&amp;"+"&amp;AI116&amp;DO$1)</f>
        <v/>
      </c>
      <c r="DP116" s="66" t="str">
        <f t="shared" ref="DP116" si="1490">IF(AJ116="","","|n"&amp;DP$2&amp;"+"&amp;AJ116&amp;DP$1)</f>
        <v/>
      </c>
      <c r="DQ116" s="66" t="str">
        <f t="shared" ref="DQ116" si="1491">IF(AK116="","","|n"&amp;DQ$2&amp;"+"&amp;AK116&amp;DQ$1)</f>
        <v/>
      </c>
      <c r="DR116" s="66" t="str">
        <f t="shared" ref="DR116" si="1492">IF(AL116="","","|n"&amp;DR$2&amp;"+"&amp;AL116&amp;DR$1)</f>
        <v/>
      </c>
      <c r="DS116" s="66" t="str">
        <f t="shared" ref="DS116" si="1493">IF(AM116="","","|n"&amp;DS$2&amp;"+"&amp;AM116&amp;DS$1)</f>
        <v/>
      </c>
      <c r="DT116" s="66" t="str">
        <f t="shared" ref="DT116" si="1494">IF(AN116="","","|n"&amp;DT$2&amp;"+"&amp;AN116&amp;DT$1)</f>
        <v/>
      </c>
      <c r="DU116" s="66" t="str">
        <f t="shared" ref="DU116" si="1495">IF(AO116="","","|n"&amp;DU$2&amp;"+"&amp;AO116&amp;DU$1)</f>
        <v/>
      </c>
      <c r="DV116" s="66" t="str">
        <f t="shared" ref="DV116" si="1496">IF(AP116="","","|n"&amp;DV$2&amp;"+"&amp;AP116&amp;DV$1)</f>
        <v/>
      </c>
      <c r="DW116" s="66" t="str">
        <f t="shared" ref="DW116" si="1497">IF(AQ116="","","|n"&amp;DW$2&amp;"+"&amp;AQ116&amp;DW$1)</f>
        <v/>
      </c>
      <c r="DX116" s="66" t="str">
        <f t="shared" ref="DX116" si="1498">IF(AR116="","","|n"&amp;DX$2&amp;"+"&amp;AR116&amp;DX$1)</f>
        <v/>
      </c>
      <c r="DY116" s="66" t="str">
        <f t="shared" ref="DY116" si="1499">IF(AS116="","","|n"&amp;DY$2&amp;"+"&amp;AS116&amp;DY$1)</f>
        <v/>
      </c>
      <c r="DZ116" s="66" t="str">
        <f t="shared" ref="DZ116" si="1500">IF(AT116="","","|n"&amp;DZ$2&amp;"+"&amp;AT116&amp;DZ$1)</f>
        <v/>
      </c>
      <c r="EA116" s="66" t="str">
        <f t="shared" ref="EA116" si="1501">IF(AU116="","","|n"&amp;EA$2&amp;"+"&amp;AU116&amp;EA$1)</f>
        <v/>
      </c>
      <c r="EB116" s="66" t="str">
        <f t="shared" ref="EB116" si="1502">IF(AV116="","","|n"&amp;EB$2&amp;"+"&amp;AV116&amp;EB$1)</f>
        <v/>
      </c>
      <c r="EC116" s="66" t="str">
        <f t="shared" ref="EC116" si="1503">IF(AW116="","","|n"&amp;EC$2&amp;"+"&amp;AW116&amp;EC$1)</f>
        <v/>
      </c>
      <c r="ED116" s="66" t="str">
        <f t="shared" ref="ED116" si="1504">IF(AX116="","","|n"&amp;ED$2&amp;"+"&amp;AX116&amp;ED$1)</f>
        <v/>
      </c>
      <c r="EE116" s="66" t="str">
        <f t="shared" ref="EE116" si="1505">IF(AY116="","","|n"&amp;EE$2&amp;"+"&amp;AY116&amp;EE$1)</f>
        <v/>
      </c>
      <c r="EF116" s="66" t="str">
        <f t="shared" ref="EF116" si="1506">IF(AZ116="","","|n"&amp;EF$2&amp;"+"&amp;AZ116&amp;EF$1)</f>
        <v/>
      </c>
      <c r="EG116" s="66" t="str">
        <f t="shared" ref="EG116" si="1507">IF(BA116="","","|n"&amp;EG$2&amp;"+"&amp;BA116&amp;EG$1)</f>
        <v/>
      </c>
      <c r="EH116" s="66" t="str">
        <f t="shared" ref="EH116" si="1508">IF(BB116="","","|n"&amp;EH$2&amp;"+"&amp;BB116&amp;EH$1)</f>
        <v/>
      </c>
      <c r="EI116" s="66" t="str">
        <f t="shared" ref="EI116" si="1509">IF(BC116="","","|n"&amp;EI$2&amp;"+"&amp;BC116&amp;EI$1)</f>
        <v/>
      </c>
      <c r="EJ116" s="66" t="str">
        <f t="shared" ref="EJ116" si="1510">IF(BD116="","","|n"&amp;EJ$2&amp;"+"&amp;BD116&amp;EJ$1)</f>
        <v/>
      </c>
      <c r="EK116" s="66" t="str">
        <f t="shared" ref="EK116" si="1511">IF(BE116="","","|n"&amp;EK$2&amp;"+"&amp;BE116&amp;EK$1)</f>
        <v/>
      </c>
      <c r="EL116" s="66" t="str">
        <f t="shared" ref="EL116" si="1512">IF(BF116="","","|n"&amp;EL$2&amp;"+"&amp;BF116&amp;EL$1)</f>
        <v/>
      </c>
      <c r="EM116" s="66" t="str">
        <f t="shared" ref="EM116" si="1513">IF(BG116="","","|n"&amp;EM$2&amp;"+"&amp;BG116&amp;EM$1)</f>
        <v/>
      </c>
      <c r="EN116" s="66" t="str">
        <f t="shared" ref="EN116" si="1514">IF(BH116="","","|n"&amp;EN$2&amp;"+"&amp;BH116&amp;EN$1)</f>
        <v/>
      </c>
      <c r="EO116" s="66" t="str">
        <f t="shared" ref="EO116" si="1515">IF(BI116="","","|n"&amp;EO$2&amp;"+"&amp;BI116&amp;EO$1)</f>
        <v/>
      </c>
      <c r="EP116" s="66" t="str">
        <f t="shared" ref="EP116" si="1516">IF(BJ116="","","|n"&amp;EP$2&amp;"+"&amp;BJ116&amp;EP$1)</f>
        <v/>
      </c>
      <c r="EQ116" s="66" t="str">
        <f t="shared" ref="EQ116" si="1517">IF(BK116="","","|n"&amp;EQ$2&amp;"+"&amp;BK116&amp;EQ$1)</f>
        <v/>
      </c>
      <c r="ER116" s="66" t="str">
        <f t="shared" ref="ER116" si="1518">IF(BL116="","","|n"&amp;ER$2&amp;"+"&amp;BL116&amp;ER$1)</f>
        <v/>
      </c>
      <c r="ES116" s="66" t="str">
        <f t="shared" ref="ES116" si="1519">IF(BM116="","","|n"&amp;ES$2&amp;"+"&amp;BM116&amp;ES$1)</f>
        <v/>
      </c>
      <c r="ET116" s="66" t="str">
        <f t="shared" ref="ET116" si="1520">IF(BN116="","","|n"&amp;ET$2&amp;"+"&amp;BN116&amp;ET$1)</f>
        <v/>
      </c>
      <c r="EU116" s="66" t="str">
        <f t="shared" ref="EU116" si="1521">IF(BO116="","","|n"&amp;EU$2&amp;"+"&amp;BO116&amp;EU$1)</f>
        <v/>
      </c>
      <c r="EV116" s="66" t="str">
        <f t="shared" ref="EV116" si="1522">IF(BP116="","","|n"&amp;EV$2&amp;"+"&amp;BP116&amp;EV$1)</f>
        <v/>
      </c>
      <c r="EW116" s="66" t="str">
        <f t="shared" ref="EW116" si="1523">IF(BQ116="","","|n"&amp;EW$2&amp;"+"&amp;BQ116&amp;EW$1)</f>
        <v/>
      </c>
      <c r="EX116" s="66" t="str">
        <f t="shared" ref="EX116" si="1524">IF(BR116="","","|n"&amp;EX$2&amp;"+"&amp;BR116&amp;EX$1)</f>
        <v/>
      </c>
      <c r="EY116" s="66" t="str">
        <f t="shared" ref="EY116" si="1525">IF(BS116="","","|n"&amp;EY$2&amp;"+"&amp;BS116&amp;EY$1)</f>
        <v/>
      </c>
      <c r="EZ116" s="66" t="str">
        <f t="shared" ref="EZ116" si="1526">IF(BT116="","","|n"&amp;EZ$2&amp;"+"&amp;BT116&amp;EZ$1)</f>
        <v/>
      </c>
      <c r="FA116" s="66" t="str">
        <f t="shared" ref="FA116" si="1527">IF(BU116="","","|n"&amp;FA$2&amp;"+"&amp;BU116&amp;FA$1)</f>
        <v/>
      </c>
      <c r="FB116" s="66" t="str">
        <f t="shared" ref="FB116" si="1528">IF(BV116="","","|n"&amp;FB$2&amp;"+"&amp;BV116&amp;FB$1)</f>
        <v/>
      </c>
      <c r="FC116" s="66" t="str">
        <f t="shared" ref="FC116" si="1529">IF(BW116="","","|n"&amp;FC$2&amp;"+"&amp;BW116&amp;FC$1)</f>
        <v/>
      </c>
      <c r="FD116" s="66" t="str">
        <f t="shared" ref="FD116" si="1530">IF(BX116="","","|n"&amp;FD$2&amp;"+"&amp;BX116&amp;FD$1)</f>
        <v/>
      </c>
      <c r="FE116" s="66" t="str">
        <f t="shared" ref="FE116" si="1531">IF(BY116="","","|n"&amp;FE$2&amp;"+"&amp;BY116&amp;FE$1)</f>
        <v/>
      </c>
      <c r="FF116" s="66" t="str">
        <f t="shared" ref="FF116" si="1532">IF(BZ116="","","|n"&amp;FF$2&amp;"+"&amp;BZ116&amp;FF$1)</f>
        <v/>
      </c>
      <c r="FG116" s="66" t="str">
        <f t="shared" ref="FG116" si="1533">IF(CA116="","","|n"&amp;FG$2&amp;"+"&amp;CA116&amp;FG$1)</f>
        <v/>
      </c>
      <c r="FH116" s="66" t="str">
        <f t="shared" ref="FH116" si="1534">IF(CB116="","","|n"&amp;FH$2&amp;"+"&amp;CB116&amp;FH$1)</f>
        <v/>
      </c>
      <c r="FI116" s="66" t="str">
        <f t="shared" ref="FI116" si="1535">IF(CC116="","","|n"&amp;FI$2&amp;"+"&amp;CC116&amp;FI$1)</f>
        <v/>
      </c>
      <c r="FJ116" s="66" t="str">
        <f t="shared" ref="FJ116" si="1536">IF(CD116="","","|n"&amp;FJ$2&amp;"+"&amp;CD116&amp;FJ$1)</f>
        <v/>
      </c>
      <c r="FK116" s="66" t="str">
        <f t="shared" ref="FK116" si="1537">IF(CE116="","","|n"&amp;FK$2&amp;"+"&amp;CE116&amp;FK$1)</f>
        <v/>
      </c>
      <c r="FL116" s="66" t="str">
        <f t="shared" ref="FL116" si="1538">IF(CF116="","","|n"&amp;FL$2&amp;"+"&amp;CF116&amp;FL$1)</f>
        <v/>
      </c>
      <c r="FM116" s="66" t="str">
        <f t="shared" ref="FM116" si="1539">IF(CG116="","","|n"&amp;FM$2&amp;"+"&amp;CG116&amp;FM$1)</f>
        <v/>
      </c>
      <c r="FN116" s="66" t="str">
        <f t="shared" ref="FN116" si="1540">IF(CH116="","","|n"&amp;FN$2&amp;"+"&amp;CH116&amp;FN$1)</f>
        <v/>
      </c>
      <c r="FO116" s="66" t="str">
        <f t="shared" ref="FO116" si="1541">IF(CI116="","","|n"&amp;FO$2&amp;"+"&amp;CI116&amp;FO$1)</f>
        <v/>
      </c>
      <c r="FP116" s="66" t="str">
        <f t="shared" ref="FP116" si="1542">IF(CJ116="","","|n"&amp;FP$2&amp;"+"&amp;CJ116&amp;FP$1)</f>
        <v/>
      </c>
      <c r="FQ116" s="66" t="str">
        <f t="shared" ref="FQ116" si="1543">IF(CK116="","","|n"&amp;FQ$2&amp;"+"&amp;CK116&amp;FQ$1)</f>
        <v/>
      </c>
      <c r="FR116" s="66" t="str">
        <f t="shared" ref="FR116" si="1544">IF(CL116="","","|n"&amp;FR$2&amp;"+"&amp;CL116&amp;FR$1)</f>
        <v/>
      </c>
      <c r="FS116" s="66" t="str">
        <f t="shared" ref="FS116" si="1545">IF(CM116="","","|n"&amp;FS$2&amp;"+"&amp;CM116&amp;FS$1)</f>
        <v/>
      </c>
    </row>
    <row r="117" spans="1:175" ht="27">
      <c r="A117" s="14"/>
      <c r="B117" s="9" t="s">
        <v>469</v>
      </c>
      <c r="C117" s="14" t="s">
        <v>470</v>
      </c>
      <c r="T117" s="97" t="s">
        <v>471</v>
      </c>
      <c r="U117" s="77" t="str">
        <f t="shared" ref="U117:U141" si="1546">"ReplaceableTextures\\CommandButtons\\BTN"&amp;B117&amp;".blp"</f>
        <v>ReplaceableTextures\\CommandButtons\\BTNCF01.blp</v>
      </c>
      <c r="CN117" s="36" t="str">
        <f t="shared" ref="CN117:CN127" si="1547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36" t="str">
        <f t="shared" ref="CO117:CO127" si="1548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36" t="str">
        <f t="shared" ref="CP117:CP127" si="1549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36" t="str">
        <f t="shared" ref="CQ117:CQ127" si="1550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36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88" t="str">
        <f t="shared" ref="CU117:CU118" si="1551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8" si="1552">T117</f>
        <v>获得一个随机品质的法宝。|n|n|Cff00ff7f副本难度影响法宝品质稀有度。|r</v>
      </c>
      <c r="CW117" s="33"/>
      <c r="CX117" s="33"/>
      <c r="CY117" s="33"/>
      <c r="CZ117" s="33"/>
      <c r="DA117" s="33"/>
      <c r="DB117" s="66" t="str">
        <f t="shared" ref="DB117:DB118" si="1553">IF(V117="","","|n"&amp;DB$2&amp;"+"&amp;V117&amp;DB$1)</f>
        <v/>
      </c>
      <c r="DC117" s="66" t="str">
        <f t="shared" ref="DC117:DC118" si="1554">IF(W117="","","|n"&amp;DC$2&amp;"+"&amp;W117&amp;DC$1)</f>
        <v/>
      </c>
      <c r="DD117" s="66" t="str">
        <f t="shared" ref="DD117:DD118" si="1555">IF(X117="","","|n"&amp;DD$2&amp;"+"&amp;X117&amp;DD$1)</f>
        <v/>
      </c>
      <c r="DE117" s="66" t="str">
        <f t="shared" ref="DE117:DE118" si="1556">IF(Y117="","","|n"&amp;DE$2&amp;"+"&amp;Y117&amp;DE$1)</f>
        <v/>
      </c>
      <c r="DF117" s="66" t="str">
        <f t="shared" ref="DF117:DF118" si="1557">IF(Z117="","","|n"&amp;DF$2&amp;"+"&amp;Z117&amp;DF$1)</f>
        <v/>
      </c>
      <c r="DG117" s="66" t="str">
        <f t="shared" ref="DG117:DG118" si="1558">IF(AA117="","","|n"&amp;DG$2&amp;"+"&amp;AA117&amp;DG$1)</f>
        <v/>
      </c>
      <c r="DH117" s="66" t="str">
        <f t="shared" ref="DH117:DH118" si="1559">IF(AB117="","","|n"&amp;DH$2&amp;"+"&amp;AB117&amp;DH$1)</f>
        <v/>
      </c>
      <c r="DI117" s="66" t="str">
        <f t="shared" ref="DI117:DI118" si="1560">IF(AC117="","","|n"&amp;DI$2&amp;"+"&amp;AC117&amp;DI$1)</f>
        <v/>
      </c>
      <c r="DJ117" s="66" t="str">
        <f t="shared" ref="DJ117:DJ118" si="1561">IF(AD117="","","|n"&amp;DJ$2&amp;"+"&amp;AD117&amp;DJ$1)</f>
        <v/>
      </c>
      <c r="DK117" s="66" t="str">
        <f t="shared" ref="DK117:DK118" si="1562">IF(AE117="","","|n"&amp;DK$2&amp;"+"&amp;AE117&amp;DK$1)</f>
        <v/>
      </c>
      <c r="DL117" s="66" t="str">
        <f t="shared" ref="DL117:DL118" si="1563">IF(AF117="","","|n"&amp;DL$2&amp;"+"&amp;AF117&amp;DL$1)</f>
        <v/>
      </c>
      <c r="DM117" s="66" t="str">
        <f t="shared" ref="DM117:DM118" si="1564">IF(AG117="","","|n"&amp;DM$2&amp;"+"&amp;AG117&amp;DM$1)</f>
        <v/>
      </c>
      <c r="DN117" s="66" t="str">
        <f t="shared" ref="DN117:DN118" si="1565">IF(AH117="","","|n"&amp;DN$2&amp;"+"&amp;AH117&amp;DN$1)</f>
        <v/>
      </c>
      <c r="DO117" s="66" t="str">
        <f t="shared" ref="DO117:DO118" si="1566">IF(AI117="","","|n"&amp;DO$2&amp;"+"&amp;AI117&amp;DO$1)</f>
        <v/>
      </c>
      <c r="DP117" s="66" t="str">
        <f t="shared" ref="DP117:DP118" si="1567">IF(AJ117="","","|n"&amp;DP$2&amp;"+"&amp;AJ117&amp;DP$1)</f>
        <v/>
      </c>
      <c r="DQ117" s="66" t="str">
        <f t="shared" ref="DQ117:DQ118" si="1568">IF(AK117="","","|n"&amp;DQ$2&amp;"+"&amp;AK117&amp;DQ$1)</f>
        <v/>
      </c>
      <c r="DR117" s="66" t="str">
        <f t="shared" ref="DR117:DR118" si="1569">IF(AL117="","","|n"&amp;DR$2&amp;"+"&amp;AL117&amp;DR$1)</f>
        <v/>
      </c>
      <c r="DS117" s="66" t="str">
        <f t="shared" ref="DS117:DS118" si="1570">IF(AM117="","","|n"&amp;DS$2&amp;"+"&amp;AM117&amp;DS$1)</f>
        <v/>
      </c>
      <c r="DT117" s="66" t="str">
        <f t="shared" ref="DT117:DT118" si="1571">IF(AN117="","","|n"&amp;DT$2&amp;"+"&amp;AN117&amp;DT$1)</f>
        <v/>
      </c>
      <c r="DU117" s="66" t="str">
        <f t="shared" ref="DU117:DU118" si="1572">IF(AO117="","","|n"&amp;DU$2&amp;"+"&amp;AO117&amp;DU$1)</f>
        <v/>
      </c>
      <c r="DV117" s="66" t="str">
        <f t="shared" ref="DV117:DV118" si="1573">IF(AP117="","","|n"&amp;DV$2&amp;"+"&amp;AP117&amp;DV$1)</f>
        <v/>
      </c>
      <c r="DW117" s="66" t="str">
        <f t="shared" ref="DW117:DW118" si="1574">IF(AQ117="","","|n"&amp;DW$2&amp;"+"&amp;AQ117&amp;DW$1)</f>
        <v/>
      </c>
      <c r="DX117" s="66" t="str">
        <f t="shared" ref="DX117:DX118" si="1575">IF(AR117="","","|n"&amp;DX$2&amp;"+"&amp;AR117&amp;DX$1)</f>
        <v/>
      </c>
      <c r="DY117" s="66" t="str">
        <f t="shared" ref="DY117:DY118" si="1576">IF(AS117="","","|n"&amp;DY$2&amp;"+"&amp;AS117&amp;DY$1)</f>
        <v/>
      </c>
      <c r="DZ117" s="66" t="str">
        <f t="shared" ref="DZ117:DZ118" si="1577">IF(AT117="","","|n"&amp;DZ$2&amp;"+"&amp;AT117&amp;DZ$1)</f>
        <v/>
      </c>
      <c r="EA117" s="66" t="str">
        <f t="shared" ref="EA117:EA118" si="1578">IF(AU117="","","|n"&amp;EA$2&amp;"+"&amp;AU117&amp;EA$1)</f>
        <v/>
      </c>
      <c r="EB117" s="66" t="str">
        <f t="shared" ref="EB117:EB118" si="1579">IF(AV117="","","|n"&amp;EB$2&amp;"+"&amp;AV117&amp;EB$1)</f>
        <v/>
      </c>
      <c r="EC117" s="66" t="str">
        <f t="shared" ref="EC117:EC118" si="1580">IF(AW117="","","|n"&amp;EC$2&amp;"+"&amp;AW117&amp;EC$1)</f>
        <v/>
      </c>
      <c r="ED117" s="66" t="str">
        <f t="shared" ref="ED117:ED118" si="1581">IF(AX117="","","|n"&amp;ED$2&amp;"+"&amp;AX117&amp;ED$1)</f>
        <v/>
      </c>
      <c r="EE117" s="66" t="str">
        <f t="shared" ref="EE117:EE118" si="1582">IF(AY117="","","|n"&amp;EE$2&amp;"+"&amp;AY117&amp;EE$1)</f>
        <v/>
      </c>
      <c r="EF117" s="66" t="str">
        <f t="shared" ref="EF117:EF118" si="1583">IF(AZ117="","","|n"&amp;EF$2&amp;"+"&amp;AZ117&amp;EF$1)</f>
        <v/>
      </c>
      <c r="EG117" s="66" t="str">
        <f t="shared" ref="EG117:EG118" si="1584">IF(BA117="","","|n"&amp;EG$2&amp;"+"&amp;BA117&amp;EG$1)</f>
        <v/>
      </c>
      <c r="EH117" s="66" t="str">
        <f t="shared" ref="EH117:EH118" si="1585">IF(BB117="","","|n"&amp;EH$2&amp;"+"&amp;BB117&amp;EH$1)</f>
        <v/>
      </c>
      <c r="EI117" s="66" t="str">
        <f t="shared" ref="EI117:EI118" si="1586">IF(BC117="","","|n"&amp;EI$2&amp;"+"&amp;BC117&amp;EI$1)</f>
        <v/>
      </c>
      <c r="EJ117" s="66" t="str">
        <f t="shared" ref="EJ117:EJ118" si="1587">IF(BD117="","","|n"&amp;EJ$2&amp;"+"&amp;BD117&amp;EJ$1)</f>
        <v/>
      </c>
      <c r="EK117" s="66" t="str">
        <f t="shared" ref="EK117:EK118" si="1588">IF(BE117="","","|n"&amp;EK$2&amp;"+"&amp;BE117&amp;EK$1)</f>
        <v/>
      </c>
      <c r="EL117" s="66" t="str">
        <f t="shared" ref="EL117:EL118" si="1589">IF(BF117="","","|n"&amp;EL$2&amp;"+"&amp;BF117&amp;EL$1)</f>
        <v/>
      </c>
      <c r="EM117" s="66" t="str">
        <f t="shared" ref="EM117:EM118" si="1590">IF(BG117="","","|n"&amp;EM$2&amp;"+"&amp;BG117&amp;EM$1)</f>
        <v/>
      </c>
      <c r="EN117" s="66" t="str">
        <f t="shared" ref="EN117:EN118" si="1591">IF(BH117="","","|n"&amp;EN$2&amp;"+"&amp;BH117&amp;EN$1)</f>
        <v/>
      </c>
      <c r="EO117" s="66" t="str">
        <f t="shared" ref="EO117:EO118" si="1592">IF(BI117="","","|n"&amp;EO$2&amp;"+"&amp;BI117&amp;EO$1)</f>
        <v/>
      </c>
      <c r="EP117" s="66" t="str">
        <f t="shared" ref="EP117:EP118" si="1593">IF(BJ117="","","|n"&amp;EP$2&amp;"+"&amp;BJ117&amp;EP$1)</f>
        <v/>
      </c>
      <c r="EQ117" s="66" t="str">
        <f t="shared" ref="EQ117:EQ118" si="1594">IF(BK117="","","|n"&amp;EQ$2&amp;"+"&amp;BK117&amp;EQ$1)</f>
        <v/>
      </c>
      <c r="ER117" s="66" t="str">
        <f t="shared" ref="ER117:ER118" si="1595">IF(BL117="","","|n"&amp;ER$2&amp;"+"&amp;BL117&amp;ER$1)</f>
        <v/>
      </c>
      <c r="ES117" s="66" t="str">
        <f t="shared" ref="ES117:ES118" si="1596">IF(BM117="","","|n"&amp;ES$2&amp;"+"&amp;BM117&amp;ES$1)</f>
        <v/>
      </c>
      <c r="ET117" s="66" t="str">
        <f t="shared" ref="ET117:ET118" si="1597">IF(BN117="","","|n"&amp;ET$2&amp;"+"&amp;BN117&amp;ET$1)</f>
        <v/>
      </c>
      <c r="EU117" s="66" t="str">
        <f t="shared" ref="EU117:EU118" si="1598">IF(BO117="","","|n"&amp;EU$2&amp;"+"&amp;BO117&amp;EU$1)</f>
        <v/>
      </c>
      <c r="EV117" s="66" t="str">
        <f t="shared" ref="EV117:EV118" si="1599">IF(BP117="","","|n"&amp;EV$2&amp;"+"&amp;BP117&amp;EV$1)</f>
        <v/>
      </c>
      <c r="EW117" s="66" t="str">
        <f t="shared" ref="EW117:EW118" si="1600">IF(BQ117="","","|n"&amp;EW$2&amp;"+"&amp;BQ117&amp;EW$1)</f>
        <v/>
      </c>
      <c r="EX117" s="66" t="str">
        <f t="shared" ref="EX117:EX118" si="1601">IF(BR117="","","|n"&amp;EX$2&amp;"+"&amp;BR117&amp;EX$1)</f>
        <v/>
      </c>
      <c r="EY117" s="66" t="str">
        <f t="shared" ref="EY117:EY118" si="1602">IF(BS117="","","|n"&amp;EY$2&amp;"+"&amp;BS117&amp;EY$1)</f>
        <v/>
      </c>
      <c r="EZ117" s="66" t="str">
        <f t="shared" ref="EZ117:EZ118" si="1603">IF(BT117="","","|n"&amp;EZ$2&amp;"+"&amp;BT117&amp;EZ$1)</f>
        <v/>
      </c>
      <c r="FA117" s="66" t="str">
        <f t="shared" ref="FA117:FA118" si="1604">IF(BU117="","","|n"&amp;FA$2&amp;"+"&amp;BU117&amp;FA$1)</f>
        <v/>
      </c>
      <c r="FB117" s="66" t="str">
        <f t="shared" ref="FB117:FB118" si="1605">IF(BV117="","","|n"&amp;FB$2&amp;"+"&amp;BV117&amp;FB$1)</f>
        <v/>
      </c>
      <c r="FC117" s="66" t="str">
        <f t="shared" ref="FC117:FC118" si="1606">IF(BW117="","","|n"&amp;FC$2&amp;"+"&amp;BW117&amp;FC$1)</f>
        <v/>
      </c>
      <c r="FD117" s="66" t="str">
        <f t="shared" ref="FD117:FD118" si="1607">IF(BX117="","","|n"&amp;FD$2&amp;"+"&amp;BX117&amp;FD$1)</f>
        <v/>
      </c>
      <c r="FE117" s="66" t="str">
        <f t="shared" ref="FE117:FE118" si="1608">IF(BY117="","","|n"&amp;FE$2&amp;"+"&amp;BY117&amp;FE$1)</f>
        <v/>
      </c>
      <c r="FF117" s="66" t="str">
        <f t="shared" ref="FF117:FF118" si="1609">IF(BZ117="","","|n"&amp;FF$2&amp;"+"&amp;BZ117&amp;FF$1)</f>
        <v/>
      </c>
      <c r="FG117" s="66" t="str">
        <f t="shared" ref="FG117:FG118" si="1610">IF(CA117="","","|n"&amp;FG$2&amp;"+"&amp;CA117&amp;FG$1)</f>
        <v/>
      </c>
      <c r="FH117" s="66" t="str">
        <f t="shared" ref="FH117:FH118" si="1611">IF(CB117="","","|n"&amp;FH$2&amp;"+"&amp;CB117&amp;FH$1)</f>
        <v/>
      </c>
      <c r="FI117" s="66" t="str">
        <f t="shared" ref="FI117:FI118" si="1612">IF(CC117="","","|n"&amp;FI$2&amp;"+"&amp;CC117&amp;FI$1)</f>
        <v/>
      </c>
      <c r="FJ117" s="66" t="str">
        <f t="shared" ref="FJ117:FJ118" si="1613">IF(CD117="","","|n"&amp;FJ$2&amp;"+"&amp;CD117&amp;FJ$1)</f>
        <v/>
      </c>
      <c r="FK117" s="66" t="str">
        <f t="shared" ref="FK117:FK118" si="1614">IF(CE117="","","|n"&amp;FK$2&amp;"+"&amp;CE117&amp;FK$1)</f>
        <v/>
      </c>
      <c r="FL117" s="66" t="str">
        <f t="shared" ref="FL117:FL118" si="1615">IF(CF117="","","|n"&amp;FL$2&amp;"+"&amp;CF117&amp;FL$1)</f>
        <v/>
      </c>
      <c r="FM117" s="66" t="str">
        <f t="shared" ref="FM117:FM118" si="1616">IF(CG117="","","|n"&amp;FM$2&amp;"+"&amp;CG117&amp;FM$1)</f>
        <v/>
      </c>
      <c r="FN117" s="66" t="str">
        <f t="shared" ref="FN117:FN118" si="1617">IF(CH117="","","|n"&amp;FN$2&amp;"+"&amp;CH117&amp;FN$1)</f>
        <v/>
      </c>
      <c r="FO117" s="66" t="str">
        <f t="shared" ref="FO117:FO118" si="1618">IF(CI117="","","|n"&amp;FO$2&amp;"+"&amp;CI117&amp;FO$1)</f>
        <v/>
      </c>
      <c r="FP117" s="66" t="str">
        <f t="shared" ref="FP117:FP118" si="1619">IF(CJ117="","","|n"&amp;FP$2&amp;"+"&amp;CJ117&amp;FP$1)</f>
        <v/>
      </c>
      <c r="FQ117" s="66" t="str">
        <f t="shared" ref="FQ117:FQ118" si="1620">IF(CK117="","","|n"&amp;FQ$2&amp;"+"&amp;CK117&amp;FQ$1)</f>
        <v/>
      </c>
      <c r="FR117" s="66" t="str">
        <f t="shared" ref="FR117:FR118" si="1621">IF(CL117="","","|n"&amp;FR$2&amp;"+"&amp;CL117&amp;FR$1)</f>
        <v/>
      </c>
      <c r="FS117" s="66" t="str">
        <f t="shared" ref="FS117:FS118" si="1622">IF(CM117="","","|n"&amp;FS$2&amp;"+"&amp;CM117&amp;FS$1)</f>
        <v/>
      </c>
    </row>
    <row r="118" spans="1:175" ht="16.5">
      <c r="A118" s="9"/>
      <c r="B118" s="9" t="s">
        <v>472</v>
      </c>
      <c r="C118" s="9" t="s">
        <v>473</v>
      </c>
      <c r="T118" s="98" t="s">
        <v>474</v>
      </c>
      <c r="U118" s="77" t="str">
        <f t="shared" si="1546"/>
        <v>ReplaceableTextures\\CommandButtons\\BTNI001.blp</v>
      </c>
      <c r="CN118" s="36" t="str">
        <f t="shared" si="1547"/>
        <v>InitUnitState('I001',,,,,,,,,,)</v>
      </c>
      <c r="CO118" s="36" t="str">
        <f t="shared" si="1548"/>
        <v>InitUnitNormal('I001',,,,,,,,,,)</v>
      </c>
      <c r="CP118" s="36" t="str">
        <f t="shared" si="1549"/>
        <v>InitUnitMagic('I001',,,,,,,,,,)</v>
      </c>
      <c r="CQ118" s="36" t="str">
        <f t="shared" si="1550"/>
        <v>InitUnitAdd('I001',,,,,,,,,,)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156&amp;CR$1&amp;")"</f>
        <v>InitEquipData('I001',,"",,,,,'','','','','','',"ReplaceableTextures\\CommandButtons\\BTNIP01.blp")</v>
      </c>
      <c r="CU118" s="88" t="str">
        <f t="shared" si="1551"/>
        <v>|n</v>
      </c>
      <c r="CV118" s="19" t="str">
        <f t="shared" si="1552"/>
        <v>回复|Cffffd24d80%|r生命，|Cff00ff7f解除|r异常状态</v>
      </c>
      <c r="CW118" s="33"/>
      <c r="CX118" s="33"/>
      <c r="CY118" s="33"/>
      <c r="CZ118" s="33"/>
      <c r="DA118" s="33"/>
      <c r="DB118" s="66" t="str">
        <f t="shared" si="1553"/>
        <v/>
      </c>
      <c r="DC118" s="66" t="str">
        <f t="shared" si="1554"/>
        <v/>
      </c>
      <c r="DD118" s="66" t="str">
        <f t="shared" si="1555"/>
        <v/>
      </c>
      <c r="DE118" s="66" t="str">
        <f t="shared" si="1556"/>
        <v/>
      </c>
      <c r="DF118" s="66" t="str">
        <f t="shared" si="1557"/>
        <v/>
      </c>
      <c r="DG118" s="66" t="str">
        <f t="shared" si="1558"/>
        <v/>
      </c>
      <c r="DH118" s="66" t="str">
        <f t="shared" si="1559"/>
        <v/>
      </c>
      <c r="DI118" s="66" t="str">
        <f t="shared" si="1560"/>
        <v/>
      </c>
      <c r="DJ118" s="66" t="str">
        <f t="shared" si="1561"/>
        <v/>
      </c>
      <c r="DK118" s="66" t="str">
        <f t="shared" si="1562"/>
        <v/>
      </c>
      <c r="DL118" s="66" t="str">
        <f t="shared" si="1563"/>
        <v/>
      </c>
      <c r="DM118" s="66" t="str">
        <f t="shared" si="1564"/>
        <v/>
      </c>
      <c r="DN118" s="66" t="str">
        <f t="shared" si="1565"/>
        <v/>
      </c>
      <c r="DO118" s="66" t="str">
        <f t="shared" si="1566"/>
        <v/>
      </c>
      <c r="DP118" s="66" t="str">
        <f t="shared" si="1567"/>
        <v/>
      </c>
      <c r="DQ118" s="66" t="str">
        <f t="shared" si="1568"/>
        <v/>
      </c>
      <c r="DR118" s="66" t="str">
        <f t="shared" si="1569"/>
        <v/>
      </c>
      <c r="DS118" s="66" t="str">
        <f t="shared" si="1570"/>
        <v/>
      </c>
      <c r="DT118" s="66" t="str">
        <f t="shared" si="1571"/>
        <v/>
      </c>
      <c r="DU118" s="66" t="str">
        <f t="shared" si="1572"/>
        <v/>
      </c>
      <c r="DV118" s="66" t="str">
        <f t="shared" si="1573"/>
        <v/>
      </c>
      <c r="DW118" s="66" t="str">
        <f t="shared" si="1574"/>
        <v/>
      </c>
      <c r="DX118" s="66" t="str">
        <f t="shared" si="1575"/>
        <v/>
      </c>
      <c r="DY118" s="66" t="str">
        <f t="shared" si="1576"/>
        <v/>
      </c>
      <c r="DZ118" s="66" t="str">
        <f t="shared" si="1577"/>
        <v/>
      </c>
      <c r="EA118" s="66" t="str">
        <f t="shared" si="1578"/>
        <v/>
      </c>
      <c r="EB118" s="66" t="str">
        <f t="shared" si="1579"/>
        <v/>
      </c>
      <c r="EC118" s="66" t="str">
        <f t="shared" si="1580"/>
        <v/>
      </c>
      <c r="ED118" s="66" t="str">
        <f t="shared" si="1581"/>
        <v/>
      </c>
      <c r="EE118" s="66" t="str">
        <f t="shared" si="1582"/>
        <v/>
      </c>
      <c r="EF118" s="66" t="str">
        <f t="shared" si="1583"/>
        <v/>
      </c>
      <c r="EG118" s="66" t="str">
        <f t="shared" si="1584"/>
        <v/>
      </c>
      <c r="EH118" s="66" t="str">
        <f t="shared" si="1585"/>
        <v/>
      </c>
      <c r="EI118" s="66" t="str">
        <f t="shared" si="1586"/>
        <v/>
      </c>
      <c r="EJ118" s="66" t="str">
        <f t="shared" si="1587"/>
        <v/>
      </c>
      <c r="EK118" s="66" t="str">
        <f t="shared" si="1588"/>
        <v/>
      </c>
      <c r="EL118" s="66" t="str">
        <f t="shared" si="1589"/>
        <v/>
      </c>
      <c r="EM118" s="66" t="str">
        <f t="shared" si="1590"/>
        <v/>
      </c>
      <c r="EN118" s="66" t="str">
        <f t="shared" si="1591"/>
        <v/>
      </c>
      <c r="EO118" s="66" t="str">
        <f t="shared" si="1592"/>
        <v/>
      </c>
      <c r="EP118" s="66" t="str">
        <f t="shared" si="1593"/>
        <v/>
      </c>
      <c r="EQ118" s="66" t="str">
        <f t="shared" si="1594"/>
        <v/>
      </c>
      <c r="ER118" s="66" t="str">
        <f t="shared" si="1595"/>
        <v/>
      </c>
      <c r="ES118" s="66" t="str">
        <f t="shared" si="1596"/>
        <v/>
      </c>
      <c r="ET118" s="66" t="str">
        <f t="shared" si="1597"/>
        <v/>
      </c>
      <c r="EU118" s="66" t="str">
        <f t="shared" si="1598"/>
        <v/>
      </c>
      <c r="EV118" s="66" t="str">
        <f t="shared" si="1599"/>
        <v/>
      </c>
      <c r="EW118" s="66" t="str">
        <f t="shared" si="1600"/>
        <v/>
      </c>
      <c r="EX118" s="66" t="str">
        <f t="shared" si="1601"/>
        <v/>
      </c>
      <c r="EY118" s="66" t="str">
        <f t="shared" si="1602"/>
        <v/>
      </c>
      <c r="EZ118" s="66" t="str">
        <f t="shared" si="1603"/>
        <v/>
      </c>
      <c r="FA118" s="66" t="str">
        <f t="shared" si="1604"/>
        <v/>
      </c>
      <c r="FB118" s="66" t="str">
        <f t="shared" si="1605"/>
        <v/>
      </c>
      <c r="FC118" s="66" t="str">
        <f t="shared" si="1606"/>
        <v/>
      </c>
      <c r="FD118" s="66" t="str">
        <f t="shared" si="1607"/>
        <v/>
      </c>
      <c r="FE118" s="66" t="str">
        <f t="shared" si="1608"/>
        <v/>
      </c>
      <c r="FF118" s="66" t="str">
        <f t="shared" si="1609"/>
        <v/>
      </c>
      <c r="FG118" s="66" t="str">
        <f t="shared" si="1610"/>
        <v/>
      </c>
      <c r="FH118" s="66" t="str">
        <f t="shared" si="1611"/>
        <v/>
      </c>
      <c r="FI118" s="66" t="str">
        <f t="shared" si="1612"/>
        <v/>
      </c>
      <c r="FJ118" s="66" t="str">
        <f t="shared" si="1613"/>
        <v/>
      </c>
      <c r="FK118" s="66" t="str">
        <f t="shared" si="1614"/>
        <v/>
      </c>
      <c r="FL118" s="66" t="str">
        <f t="shared" si="1615"/>
        <v/>
      </c>
      <c r="FM118" s="66" t="str">
        <f t="shared" si="1616"/>
        <v/>
      </c>
      <c r="FN118" s="66" t="str">
        <f t="shared" si="1617"/>
        <v/>
      </c>
      <c r="FO118" s="66" t="str">
        <f t="shared" si="1618"/>
        <v/>
      </c>
      <c r="FP118" s="66" t="str">
        <f t="shared" si="1619"/>
        <v/>
      </c>
      <c r="FQ118" s="66" t="str">
        <f t="shared" si="1620"/>
        <v/>
      </c>
      <c r="FR118" s="66" t="str">
        <f t="shared" si="1621"/>
        <v/>
      </c>
      <c r="FS118" s="66" t="str">
        <f t="shared" si="1622"/>
        <v/>
      </c>
    </row>
    <row r="119" spans="1:175" ht="16.5">
      <c r="A119" s="9"/>
      <c r="B119" s="9" t="s">
        <v>475</v>
      </c>
      <c r="C119" s="9" t="s">
        <v>476</v>
      </c>
      <c r="T119" s="98" t="s">
        <v>477</v>
      </c>
      <c r="U119" s="77" t="str">
        <f t="shared" si="1546"/>
        <v>ReplaceableTextures\\CommandButtons\\BTNI002.blp</v>
      </c>
      <c r="CN119" s="36" t="str">
        <f t="shared" si="1547"/>
        <v>InitUnitState('I002',,,,,,,,,,)</v>
      </c>
      <c r="CO119" s="36" t="str">
        <f t="shared" si="1548"/>
        <v>InitUnitNormal('I002',,,,,,,,,,)</v>
      </c>
      <c r="CP119" s="36" t="str">
        <f t="shared" si="1549"/>
        <v>InitUnitMagic('I002',,,,,,,,,,)</v>
      </c>
      <c r="CQ119" s="36" t="str">
        <f t="shared" si="1550"/>
        <v>InitUnitAdd('I002',,,,,,,,,,)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157&amp;CR$1&amp;")"</f>
        <v>InitEquipData('I002',,"",,,,,'','','','','','',"ReplaceableTextures\\CommandButtons\\BTNIP02.blp")</v>
      </c>
      <c r="CU119" s="88" t="str">
        <f t="shared" ref="CU119:CU120" si="1623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19" t="str">
        <f t="shared" ref="CV119:CV120" si="1624">T119</f>
        <v>暴击|Cffff0000+10%|n|n|r|Cff00ff7f效果持续15秒。|r</v>
      </c>
      <c r="CW119" s="33"/>
      <c r="CX119" s="33"/>
      <c r="CY119" s="33"/>
      <c r="CZ119" s="33"/>
      <c r="DA119" s="33"/>
      <c r="DB119" s="66" t="str">
        <f t="shared" ref="DB119:DB120" si="1625">IF(V119="","","|n"&amp;DB$2&amp;"+"&amp;V119&amp;DB$1)</f>
        <v/>
      </c>
      <c r="DC119" s="66" t="str">
        <f t="shared" ref="DC119:DC120" si="1626">IF(W119="","","|n"&amp;DC$2&amp;"+"&amp;W119&amp;DC$1)</f>
        <v/>
      </c>
      <c r="DD119" s="66" t="str">
        <f t="shared" ref="DD119:DD120" si="1627">IF(X119="","","|n"&amp;DD$2&amp;"+"&amp;X119&amp;DD$1)</f>
        <v/>
      </c>
      <c r="DE119" s="66" t="str">
        <f t="shared" ref="DE119:DE120" si="1628">IF(Y119="","","|n"&amp;DE$2&amp;"+"&amp;Y119&amp;DE$1)</f>
        <v/>
      </c>
      <c r="DF119" s="66" t="str">
        <f t="shared" ref="DF119:DF120" si="1629">IF(Z119="","","|n"&amp;DF$2&amp;"+"&amp;Z119&amp;DF$1)</f>
        <v/>
      </c>
      <c r="DG119" s="66" t="str">
        <f t="shared" ref="DG119:DG120" si="1630">IF(AA119="","","|n"&amp;DG$2&amp;"+"&amp;AA119&amp;DG$1)</f>
        <v/>
      </c>
      <c r="DH119" s="66" t="str">
        <f t="shared" ref="DH119:DH120" si="1631">IF(AB119="","","|n"&amp;DH$2&amp;"+"&amp;AB119&amp;DH$1)</f>
        <v/>
      </c>
      <c r="DI119" s="66" t="str">
        <f t="shared" ref="DI119:DI120" si="1632">IF(AC119="","","|n"&amp;DI$2&amp;"+"&amp;AC119&amp;DI$1)</f>
        <v/>
      </c>
      <c r="DJ119" s="66" t="str">
        <f t="shared" ref="DJ119:DJ120" si="1633">IF(AD119="","","|n"&amp;DJ$2&amp;"+"&amp;AD119&amp;DJ$1)</f>
        <v/>
      </c>
      <c r="DK119" s="66" t="str">
        <f t="shared" ref="DK119:DK120" si="1634">IF(AE119="","","|n"&amp;DK$2&amp;"+"&amp;AE119&amp;DK$1)</f>
        <v/>
      </c>
      <c r="DL119" s="66" t="str">
        <f t="shared" ref="DL119:DL120" si="1635">IF(AF119="","","|n"&amp;DL$2&amp;"+"&amp;AF119&amp;DL$1)</f>
        <v/>
      </c>
      <c r="DM119" s="66" t="str">
        <f t="shared" ref="DM119:DM120" si="1636">IF(AG119="","","|n"&amp;DM$2&amp;"+"&amp;AG119&amp;DM$1)</f>
        <v/>
      </c>
      <c r="DN119" s="66" t="str">
        <f t="shared" ref="DN119:DN120" si="1637">IF(AH119="","","|n"&amp;DN$2&amp;"+"&amp;AH119&amp;DN$1)</f>
        <v/>
      </c>
      <c r="DO119" s="66" t="str">
        <f t="shared" ref="DO119:DO120" si="1638">IF(AI119="","","|n"&amp;DO$2&amp;"+"&amp;AI119&amp;DO$1)</f>
        <v/>
      </c>
      <c r="DP119" s="66" t="str">
        <f t="shared" ref="DP119:DP120" si="1639">IF(AJ119="","","|n"&amp;DP$2&amp;"+"&amp;AJ119&amp;DP$1)</f>
        <v/>
      </c>
      <c r="DQ119" s="66" t="str">
        <f t="shared" ref="DQ119:DQ120" si="1640">IF(AK119="","","|n"&amp;DQ$2&amp;"+"&amp;AK119&amp;DQ$1)</f>
        <v/>
      </c>
      <c r="DR119" s="66" t="str">
        <f t="shared" ref="DR119:DR120" si="1641">IF(AL119="","","|n"&amp;DR$2&amp;"+"&amp;AL119&amp;DR$1)</f>
        <v/>
      </c>
      <c r="DS119" s="66" t="str">
        <f t="shared" ref="DS119:DS120" si="1642">IF(AM119="","","|n"&amp;DS$2&amp;"+"&amp;AM119&amp;DS$1)</f>
        <v/>
      </c>
      <c r="DT119" s="66" t="str">
        <f t="shared" ref="DT119:DT120" si="1643">IF(AN119="","","|n"&amp;DT$2&amp;"+"&amp;AN119&amp;DT$1)</f>
        <v/>
      </c>
      <c r="DU119" s="66" t="str">
        <f t="shared" ref="DU119:DU120" si="1644">IF(AO119="","","|n"&amp;DU$2&amp;"+"&amp;AO119&amp;DU$1)</f>
        <v/>
      </c>
      <c r="DV119" s="66" t="str">
        <f t="shared" ref="DV119:DV120" si="1645">IF(AP119="","","|n"&amp;DV$2&amp;"+"&amp;AP119&amp;DV$1)</f>
        <v/>
      </c>
      <c r="DW119" s="66" t="str">
        <f t="shared" ref="DW119:DW120" si="1646">IF(AQ119="","","|n"&amp;DW$2&amp;"+"&amp;AQ119&amp;DW$1)</f>
        <v/>
      </c>
      <c r="DX119" s="66" t="str">
        <f t="shared" ref="DX119:DX120" si="1647">IF(AR119="","","|n"&amp;DX$2&amp;"+"&amp;AR119&amp;DX$1)</f>
        <v/>
      </c>
      <c r="DY119" s="66" t="str">
        <f t="shared" ref="DY119:DY120" si="1648">IF(AS119="","","|n"&amp;DY$2&amp;"+"&amp;AS119&amp;DY$1)</f>
        <v/>
      </c>
      <c r="DZ119" s="66" t="str">
        <f t="shared" ref="DZ119:DZ120" si="1649">IF(AT119="","","|n"&amp;DZ$2&amp;"+"&amp;AT119&amp;DZ$1)</f>
        <v/>
      </c>
      <c r="EA119" s="66" t="str">
        <f t="shared" ref="EA119:EA120" si="1650">IF(AU119="","","|n"&amp;EA$2&amp;"+"&amp;AU119&amp;EA$1)</f>
        <v/>
      </c>
      <c r="EB119" s="66" t="str">
        <f t="shared" ref="EB119:EB120" si="1651">IF(AV119="","","|n"&amp;EB$2&amp;"+"&amp;AV119&amp;EB$1)</f>
        <v/>
      </c>
      <c r="EC119" s="66" t="str">
        <f t="shared" ref="EC119:EC120" si="1652">IF(AW119="","","|n"&amp;EC$2&amp;"+"&amp;AW119&amp;EC$1)</f>
        <v/>
      </c>
      <c r="ED119" s="66" t="str">
        <f t="shared" ref="ED119:ED120" si="1653">IF(AX119="","","|n"&amp;ED$2&amp;"+"&amp;AX119&amp;ED$1)</f>
        <v/>
      </c>
      <c r="EE119" s="66" t="str">
        <f t="shared" ref="EE119:EE120" si="1654">IF(AY119="","","|n"&amp;EE$2&amp;"+"&amp;AY119&amp;EE$1)</f>
        <v/>
      </c>
      <c r="EF119" s="66" t="str">
        <f t="shared" ref="EF119:EF120" si="1655">IF(AZ119="","","|n"&amp;EF$2&amp;"+"&amp;AZ119&amp;EF$1)</f>
        <v/>
      </c>
      <c r="EG119" s="66" t="str">
        <f t="shared" ref="EG119:EG120" si="1656">IF(BA119="","","|n"&amp;EG$2&amp;"+"&amp;BA119&amp;EG$1)</f>
        <v/>
      </c>
      <c r="EH119" s="66" t="str">
        <f t="shared" ref="EH119:EH120" si="1657">IF(BB119="","","|n"&amp;EH$2&amp;"+"&amp;BB119&amp;EH$1)</f>
        <v/>
      </c>
      <c r="EI119" s="66" t="str">
        <f t="shared" ref="EI119:EI120" si="1658">IF(BC119="","","|n"&amp;EI$2&amp;"+"&amp;BC119&amp;EI$1)</f>
        <v/>
      </c>
      <c r="EJ119" s="66" t="str">
        <f t="shared" ref="EJ119:EJ120" si="1659">IF(BD119="","","|n"&amp;EJ$2&amp;"+"&amp;BD119&amp;EJ$1)</f>
        <v/>
      </c>
      <c r="EK119" s="66" t="str">
        <f t="shared" ref="EK119:EK120" si="1660">IF(BE119="","","|n"&amp;EK$2&amp;"+"&amp;BE119&amp;EK$1)</f>
        <v/>
      </c>
      <c r="EL119" s="66" t="str">
        <f t="shared" ref="EL119:EL120" si="1661">IF(BF119="","","|n"&amp;EL$2&amp;"+"&amp;BF119&amp;EL$1)</f>
        <v/>
      </c>
      <c r="EM119" s="66" t="str">
        <f t="shared" ref="EM119:EM120" si="1662">IF(BG119="","","|n"&amp;EM$2&amp;"+"&amp;BG119&amp;EM$1)</f>
        <v/>
      </c>
      <c r="EN119" s="66" t="str">
        <f t="shared" ref="EN119:EN120" si="1663">IF(BH119="","","|n"&amp;EN$2&amp;"+"&amp;BH119&amp;EN$1)</f>
        <v/>
      </c>
      <c r="EO119" s="66" t="str">
        <f t="shared" ref="EO119:EO120" si="1664">IF(BI119="","","|n"&amp;EO$2&amp;"+"&amp;BI119&amp;EO$1)</f>
        <v/>
      </c>
      <c r="EP119" s="66" t="str">
        <f t="shared" ref="EP119:EP120" si="1665">IF(BJ119="","","|n"&amp;EP$2&amp;"+"&amp;BJ119&amp;EP$1)</f>
        <v/>
      </c>
      <c r="EQ119" s="66" t="str">
        <f t="shared" ref="EQ119:EQ120" si="1666">IF(BK119="","","|n"&amp;EQ$2&amp;"+"&amp;BK119&amp;EQ$1)</f>
        <v/>
      </c>
      <c r="ER119" s="66" t="str">
        <f t="shared" ref="ER119:ER120" si="1667">IF(BL119="","","|n"&amp;ER$2&amp;"+"&amp;BL119&amp;ER$1)</f>
        <v/>
      </c>
      <c r="ES119" s="66" t="str">
        <f t="shared" ref="ES119:ES120" si="1668">IF(BM119="","","|n"&amp;ES$2&amp;"+"&amp;BM119&amp;ES$1)</f>
        <v/>
      </c>
      <c r="ET119" s="66" t="str">
        <f t="shared" ref="ET119:ET120" si="1669">IF(BN119="","","|n"&amp;ET$2&amp;"+"&amp;BN119&amp;ET$1)</f>
        <v/>
      </c>
      <c r="EU119" s="66" t="str">
        <f t="shared" ref="EU119:EU120" si="1670">IF(BO119="","","|n"&amp;EU$2&amp;"+"&amp;BO119&amp;EU$1)</f>
        <v/>
      </c>
      <c r="EV119" s="66" t="str">
        <f t="shared" ref="EV119:EV120" si="1671">IF(BP119="","","|n"&amp;EV$2&amp;"+"&amp;BP119&amp;EV$1)</f>
        <v/>
      </c>
      <c r="EW119" s="66" t="str">
        <f t="shared" ref="EW119:EW120" si="1672">IF(BQ119="","","|n"&amp;EW$2&amp;"+"&amp;BQ119&amp;EW$1)</f>
        <v/>
      </c>
      <c r="EX119" s="66" t="str">
        <f t="shared" ref="EX119:EX120" si="1673">IF(BR119="","","|n"&amp;EX$2&amp;"+"&amp;BR119&amp;EX$1)</f>
        <v/>
      </c>
      <c r="EY119" s="66" t="str">
        <f t="shared" ref="EY119:EY120" si="1674">IF(BS119="","","|n"&amp;EY$2&amp;"+"&amp;BS119&amp;EY$1)</f>
        <v/>
      </c>
      <c r="EZ119" s="66" t="str">
        <f t="shared" ref="EZ119:EZ120" si="1675">IF(BT119="","","|n"&amp;EZ$2&amp;"+"&amp;BT119&amp;EZ$1)</f>
        <v/>
      </c>
      <c r="FA119" s="66" t="str">
        <f t="shared" ref="FA119:FA120" si="1676">IF(BU119="","","|n"&amp;FA$2&amp;"+"&amp;BU119&amp;FA$1)</f>
        <v/>
      </c>
      <c r="FB119" s="66" t="str">
        <f t="shared" ref="FB119:FB120" si="1677">IF(BV119="","","|n"&amp;FB$2&amp;"+"&amp;BV119&amp;FB$1)</f>
        <v/>
      </c>
      <c r="FC119" s="66" t="str">
        <f t="shared" ref="FC119:FC120" si="1678">IF(BW119="","","|n"&amp;FC$2&amp;"+"&amp;BW119&amp;FC$1)</f>
        <v/>
      </c>
      <c r="FD119" s="66" t="str">
        <f t="shared" ref="FD119:FD120" si="1679">IF(BX119="","","|n"&amp;FD$2&amp;"+"&amp;BX119&amp;FD$1)</f>
        <v/>
      </c>
      <c r="FE119" s="66" t="str">
        <f t="shared" ref="FE119:FE120" si="1680">IF(BY119="","","|n"&amp;FE$2&amp;"+"&amp;BY119&amp;FE$1)</f>
        <v/>
      </c>
      <c r="FF119" s="66" t="str">
        <f t="shared" ref="FF119:FF120" si="1681">IF(BZ119="","","|n"&amp;FF$2&amp;"+"&amp;BZ119&amp;FF$1)</f>
        <v/>
      </c>
      <c r="FG119" s="66" t="str">
        <f t="shared" ref="FG119:FG120" si="1682">IF(CA119="","","|n"&amp;FG$2&amp;"+"&amp;CA119&amp;FG$1)</f>
        <v/>
      </c>
      <c r="FH119" s="66" t="str">
        <f t="shared" ref="FH119:FH120" si="1683">IF(CB119="","","|n"&amp;FH$2&amp;"+"&amp;CB119&amp;FH$1)</f>
        <v/>
      </c>
      <c r="FI119" s="66" t="str">
        <f t="shared" ref="FI119:FI120" si="1684">IF(CC119="","","|n"&amp;FI$2&amp;"+"&amp;CC119&amp;FI$1)</f>
        <v/>
      </c>
      <c r="FJ119" s="66" t="str">
        <f t="shared" ref="FJ119:FJ120" si="1685">IF(CD119="","","|n"&amp;FJ$2&amp;"+"&amp;CD119&amp;FJ$1)</f>
        <v/>
      </c>
      <c r="FK119" s="66" t="str">
        <f t="shared" ref="FK119:FK120" si="1686">IF(CE119="","","|n"&amp;FK$2&amp;"+"&amp;CE119&amp;FK$1)</f>
        <v/>
      </c>
      <c r="FL119" s="66" t="str">
        <f t="shared" ref="FL119:FL120" si="1687">IF(CF119="","","|n"&amp;FL$2&amp;"+"&amp;CF119&amp;FL$1)</f>
        <v/>
      </c>
      <c r="FM119" s="66" t="str">
        <f t="shared" ref="FM119:FM120" si="1688">IF(CG119="","","|n"&amp;FM$2&amp;"+"&amp;CG119&amp;FM$1)</f>
        <v/>
      </c>
      <c r="FN119" s="66" t="str">
        <f t="shared" ref="FN119:FN120" si="1689">IF(CH119="","","|n"&amp;FN$2&amp;"+"&amp;CH119&amp;FN$1)</f>
        <v/>
      </c>
      <c r="FO119" s="66" t="str">
        <f t="shared" ref="FO119:FO120" si="1690">IF(CI119="","","|n"&amp;FO$2&amp;"+"&amp;CI119&amp;FO$1)</f>
        <v/>
      </c>
      <c r="FP119" s="66" t="str">
        <f t="shared" ref="FP119:FP120" si="1691">IF(CJ119="","","|n"&amp;FP$2&amp;"+"&amp;CJ119&amp;FP$1)</f>
        <v/>
      </c>
      <c r="FQ119" s="66" t="str">
        <f t="shared" ref="FQ119:FQ120" si="1692">IF(CK119="","","|n"&amp;FQ$2&amp;"+"&amp;CK119&amp;FQ$1)</f>
        <v/>
      </c>
      <c r="FR119" s="66" t="str">
        <f t="shared" ref="FR119:FR120" si="1693">IF(CL119="","","|n"&amp;FR$2&amp;"+"&amp;CL119&amp;FR$1)</f>
        <v/>
      </c>
      <c r="FS119" s="66" t="str">
        <f t="shared" ref="FS119:FS120" si="1694">IF(CM119="","","|n"&amp;FS$2&amp;"+"&amp;CM119&amp;FS$1)</f>
        <v/>
      </c>
    </row>
    <row r="120" spans="1:175" ht="16.5">
      <c r="A120" s="9"/>
      <c r="B120" s="9" t="s">
        <v>478</v>
      </c>
      <c r="C120" s="9" t="s">
        <v>479</v>
      </c>
      <c r="T120" s="98" t="s">
        <v>480</v>
      </c>
      <c r="U120" s="77" t="str">
        <f t="shared" si="1546"/>
        <v>ReplaceableTextures\\CommandButtons\\BTNI003.blp</v>
      </c>
      <c r="CN120" s="36" t="str">
        <f t="shared" si="1547"/>
        <v>InitUnitState('I003',,,,,,,,,,)</v>
      </c>
      <c r="CO120" s="36" t="str">
        <f t="shared" si="1548"/>
        <v>InitUnitNormal('I003',,,,,,,,,,)</v>
      </c>
      <c r="CP120" s="36" t="str">
        <f t="shared" si="1549"/>
        <v>InitUnitMagic('I003',,,,,,,,,,)</v>
      </c>
      <c r="CQ120" s="36" t="str">
        <f t="shared" si="1550"/>
        <v>InitUnitAdd('I003',,,,,,,,,,)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158&amp;CR$1&amp;")"</f>
        <v>InitEquipData('I003',,"",,,,,'','','','','','',"ReplaceableTextures\\CommandButtons\\BTNIP03.blp")</v>
      </c>
      <c r="CU120" s="88" t="str">
        <f t="shared" si="1623"/>
        <v>|n</v>
      </c>
      <c r="CV120" s="19" t="str">
        <f t="shared" si="1624"/>
        <v>攻击速度|Cffffd24d+40%|r。|n|n|Cff00ff7f持续15秒。|r</v>
      </c>
      <c r="CW120" s="33"/>
      <c r="CX120" s="33"/>
      <c r="CY120" s="33"/>
      <c r="CZ120" s="33"/>
      <c r="DA120" s="33"/>
      <c r="DB120" s="66" t="str">
        <f t="shared" si="1625"/>
        <v/>
      </c>
      <c r="DC120" s="66" t="str">
        <f t="shared" si="1626"/>
        <v/>
      </c>
      <c r="DD120" s="66" t="str">
        <f t="shared" si="1627"/>
        <v/>
      </c>
      <c r="DE120" s="66" t="str">
        <f t="shared" si="1628"/>
        <v/>
      </c>
      <c r="DF120" s="66" t="str">
        <f t="shared" si="1629"/>
        <v/>
      </c>
      <c r="DG120" s="66" t="str">
        <f t="shared" si="1630"/>
        <v/>
      </c>
      <c r="DH120" s="66" t="str">
        <f t="shared" si="1631"/>
        <v/>
      </c>
      <c r="DI120" s="66" t="str">
        <f t="shared" si="1632"/>
        <v/>
      </c>
      <c r="DJ120" s="66" t="str">
        <f t="shared" si="1633"/>
        <v/>
      </c>
      <c r="DK120" s="66" t="str">
        <f t="shared" si="1634"/>
        <v/>
      </c>
      <c r="DL120" s="66" t="str">
        <f t="shared" si="1635"/>
        <v/>
      </c>
      <c r="DM120" s="66" t="str">
        <f t="shared" si="1636"/>
        <v/>
      </c>
      <c r="DN120" s="66" t="str">
        <f t="shared" si="1637"/>
        <v/>
      </c>
      <c r="DO120" s="66" t="str">
        <f t="shared" si="1638"/>
        <v/>
      </c>
      <c r="DP120" s="66" t="str">
        <f t="shared" si="1639"/>
        <v/>
      </c>
      <c r="DQ120" s="66" t="str">
        <f t="shared" si="1640"/>
        <v/>
      </c>
      <c r="DR120" s="66" t="str">
        <f t="shared" si="1641"/>
        <v/>
      </c>
      <c r="DS120" s="66" t="str">
        <f t="shared" si="1642"/>
        <v/>
      </c>
      <c r="DT120" s="66" t="str">
        <f t="shared" si="1643"/>
        <v/>
      </c>
      <c r="DU120" s="66" t="str">
        <f t="shared" si="1644"/>
        <v/>
      </c>
      <c r="DV120" s="66" t="str">
        <f t="shared" si="1645"/>
        <v/>
      </c>
      <c r="DW120" s="66" t="str">
        <f t="shared" si="1646"/>
        <v/>
      </c>
      <c r="DX120" s="66" t="str">
        <f t="shared" si="1647"/>
        <v/>
      </c>
      <c r="DY120" s="66" t="str">
        <f t="shared" si="1648"/>
        <v/>
      </c>
      <c r="DZ120" s="66" t="str">
        <f t="shared" si="1649"/>
        <v/>
      </c>
      <c r="EA120" s="66" t="str">
        <f t="shared" si="1650"/>
        <v/>
      </c>
      <c r="EB120" s="66" t="str">
        <f t="shared" si="1651"/>
        <v/>
      </c>
      <c r="EC120" s="66" t="str">
        <f t="shared" si="1652"/>
        <v/>
      </c>
      <c r="ED120" s="66" t="str">
        <f t="shared" si="1653"/>
        <v/>
      </c>
      <c r="EE120" s="66" t="str">
        <f t="shared" si="1654"/>
        <v/>
      </c>
      <c r="EF120" s="66" t="str">
        <f t="shared" si="1655"/>
        <v/>
      </c>
      <c r="EG120" s="66" t="str">
        <f t="shared" si="1656"/>
        <v/>
      </c>
      <c r="EH120" s="66" t="str">
        <f t="shared" si="1657"/>
        <v/>
      </c>
      <c r="EI120" s="66" t="str">
        <f t="shared" si="1658"/>
        <v/>
      </c>
      <c r="EJ120" s="66" t="str">
        <f t="shared" si="1659"/>
        <v/>
      </c>
      <c r="EK120" s="66" t="str">
        <f t="shared" si="1660"/>
        <v/>
      </c>
      <c r="EL120" s="66" t="str">
        <f t="shared" si="1661"/>
        <v/>
      </c>
      <c r="EM120" s="66" t="str">
        <f t="shared" si="1662"/>
        <v/>
      </c>
      <c r="EN120" s="66" t="str">
        <f t="shared" si="1663"/>
        <v/>
      </c>
      <c r="EO120" s="66" t="str">
        <f t="shared" si="1664"/>
        <v/>
      </c>
      <c r="EP120" s="66" t="str">
        <f t="shared" si="1665"/>
        <v/>
      </c>
      <c r="EQ120" s="66" t="str">
        <f t="shared" si="1666"/>
        <v/>
      </c>
      <c r="ER120" s="66" t="str">
        <f t="shared" si="1667"/>
        <v/>
      </c>
      <c r="ES120" s="66" t="str">
        <f t="shared" si="1668"/>
        <v/>
      </c>
      <c r="ET120" s="66" t="str">
        <f t="shared" si="1669"/>
        <v/>
      </c>
      <c r="EU120" s="66" t="str">
        <f t="shared" si="1670"/>
        <v/>
      </c>
      <c r="EV120" s="66" t="str">
        <f t="shared" si="1671"/>
        <v/>
      </c>
      <c r="EW120" s="66" t="str">
        <f t="shared" si="1672"/>
        <v/>
      </c>
      <c r="EX120" s="66" t="str">
        <f t="shared" si="1673"/>
        <v/>
      </c>
      <c r="EY120" s="66" t="str">
        <f t="shared" si="1674"/>
        <v/>
      </c>
      <c r="EZ120" s="66" t="str">
        <f t="shared" si="1675"/>
        <v/>
      </c>
      <c r="FA120" s="66" t="str">
        <f t="shared" si="1676"/>
        <v/>
      </c>
      <c r="FB120" s="66" t="str">
        <f t="shared" si="1677"/>
        <v/>
      </c>
      <c r="FC120" s="66" t="str">
        <f t="shared" si="1678"/>
        <v/>
      </c>
      <c r="FD120" s="66" t="str">
        <f t="shared" si="1679"/>
        <v/>
      </c>
      <c r="FE120" s="66" t="str">
        <f t="shared" si="1680"/>
        <v/>
      </c>
      <c r="FF120" s="66" t="str">
        <f t="shared" si="1681"/>
        <v/>
      </c>
      <c r="FG120" s="66" t="str">
        <f t="shared" si="1682"/>
        <v/>
      </c>
      <c r="FH120" s="66" t="str">
        <f t="shared" si="1683"/>
        <v/>
      </c>
      <c r="FI120" s="66" t="str">
        <f t="shared" si="1684"/>
        <v/>
      </c>
      <c r="FJ120" s="66" t="str">
        <f t="shared" si="1685"/>
        <v/>
      </c>
      <c r="FK120" s="66" t="str">
        <f t="shared" si="1686"/>
        <v/>
      </c>
      <c r="FL120" s="66" t="str">
        <f t="shared" si="1687"/>
        <v/>
      </c>
      <c r="FM120" s="66" t="str">
        <f t="shared" si="1688"/>
        <v/>
      </c>
      <c r="FN120" s="66" t="str">
        <f t="shared" si="1689"/>
        <v/>
      </c>
      <c r="FO120" s="66" t="str">
        <f t="shared" si="1690"/>
        <v/>
      </c>
      <c r="FP120" s="66" t="str">
        <f t="shared" si="1691"/>
        <v/>
      </c>
      <c r="FQ120" s="66" t="str">
        <f t="shared" si="1692"/>
        <v/>
      </c>
      <c r="FR120" s="66" t="str">
        <f t="shared" si="1693"/>
        <v/>
      </c>
      <c r="FS120" s="66" t="str">
        <f t="shared" si="1694"/>
        <v/>
      </c>
    </row>
    <row r="121" spans="1:175" ht="16.5">
      <c r="A121" s="9"/>
      <c r="B121" s="9" t="s">
        <v>481</v>
      </c>
      <c r="C121" s="9" t="s">
        <v>482</v>
      </c>
      <c r="T121" s="98" t="s">
        <v>483</v>
      </c>
      <c r="U121" s="77" t="str">
        <f t="shared" si="1546"/>
        <v>ReplaceableTextures\\CommandButtons\\BTNI004.blp</v>
      </c>
      <c r="CN121" s="36" t="str">
        <f t="shared" si="1547"/>
        <v>InitUnitState('I004',,,,,,,,,,)</v>
      </c>
      <c r="CO121" s="36" t="str">
        <f t="shared" si="1548"/>
        <v>InitUnitNormal('I004',,,,,,,,,,)</v>
      </c>
      <c r="CP121" s="36" t="str">
        <f t="shared" si="1549"/>
        <v>InitUnitMagic('I004',,,,,,,,,,)</v>
      </c>
      <c r="CQ121" s="36" t="str">
        <f t="shared" si="1550"/>
        <v>InitUnitAdd('I004',,,,,,,,,,)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165&amp;CR$1&amp;")"</f>
        <v>InitEquipData('I004',,"",,,,,'','','','','','',"ReplaceableTextures\\CommandButtons\\BTNIT01.blp")</v>
      </c>
      <c r="CU121" s="88" t="str">
        <f t="shared" ref="CU121:CU124" si="1695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4" si="1696">T121</f>
        <v>法术伤害提高|Cffffd24d20%|r|Cfff0f0f0。|n|n|r|Cff00ff7f持续15秒。|r</v>
      </c>
      <c r="CW121" s="33"/>
      <c r="CX121" s="33"/>
      <c r="CY121" s="33"/>
      <c r="CZ121" s="33"/>
      <c r="DA121" s="33"/>
      <c r="DB121" s="66" t="str">
        <f t="shared" ref="DB121:DB124" si="1697">IF(V121="","","|n"&amp;DB$2&amp;"+"&amp;V121&amp;DB$1)</f>
        <v/>
      </c>
      <c r="DC121" s="66" t="str">
        <f t="shared" ref="DC121:DC124" si="1698">IF(W121="","","|n"&amp;DC$2&amp;"+"&amp;W121&amp;DC$1)</f>
        <v/>
      </c>
      <c r="DD121" s="66" t="str">
        <f t="shared" ref="DD121:DD124" si="1699">IF(X121="","","|n"&amp;DD$2&amp;"+"&amp;X121&amp;DD$1)</f>
        <v/>
      </c>
      <c r="DE121" s="66" t="str">
        <f t="shared" ref="DE121:DE124" si="1700">IF(Y121="","","|n"&amp;DE$2&amp;"+"&amp;Y121&amp;DE$1)</f>
        <v/>
      </c>
      <c r="DF121" s="66" t="str">
        <f t="shared" ref="DF121:DF124" si="1701">IF(Z121="","","|n"&amp;DF$2&amp;"+"&amp;Z121&amp;DF$1)</f>
        <v/>
      </c>
      <c r="DG121" s="66" t="str">
        <f t="shared" ref="DG121:DG124" si="1702">IF(AA121="","","|n"&amp;DG$2&amp;"+"&amp;AA121&amp;DG$1)</f>
        <v/>
      </c>
      <c r="DH121" s="66" t="str">
        <f t="shared" ref="DH121:DH124" si="1703">IF(AB121="","","|n"&amp;DH$2&amp;"+"&amp;AB121&amp;DH$1)</f>
        <v/>
      </c>
      <c r="DI121" s="66" t="str">
        <f t="shared" ref="DI121:DI124" si="1704">IF(AC121="","","|n"&amp;DI$2&amp;"+"&amp;AC121&amp;DI$1)</f>
        <v/>
      </c>
      <c r="DJ121" s="66" t="str">
        <f t="shared" ref="DJ121:DJ124" si="1705">IF(AD121="","","|n"&amp;DJ$2&amp;"+"&amp;AD121&amp;DJ$1)</f>
        <v/>
      </c>
      <c r="DK121" s="66" t="str">
        <f t="shared" ref="DK121:DK124" si="1706">IF(AE121="","","|n"&amp;DK$2&amp;"+"&amp;AE121&amp;DK$1)</f>
        <v/>
      </c>
      <c r="DL121" s="66" t="str">
        <f t="shared" ref="DL121:DL124" si="1707">IF(AF121="","","|n"&amp;DL$2&amp;"+"&amp;AF121&amp;DL$1)</f>
        <v/>
      </c>
      <c r="DM121" s="66" t="str">
        <f t="shared" ref="DM121:DM124" si="1708">IF(AG121="","","|n"&amp;DM$2&amp;"+"&amp;AG121&amp;DM$1)</f>
        <v/>
      </c>
      <c r="DN121" s="66" t="str">
        <f t="shared" ref="DN121:DN124" si="1709">IF(AH121="","","|n"&amp;DN$2&amp;"+"&amp;AH121&amp;DN$1)</f>
        <v/>
      </c>
      <c r="DO121" s="66" t="str">
        <f t="shared" ref="DO121:DO124" si="1710">IF(AI121="","","|n"&amp;DO$2&amp;"+"&amp;AI121&amp;DO$1)</f>
        <v/>
      </c>
      <c r="DP121" s="66" t="str">
        <f t="shared" ref="DP121:DP124" si="1711">IF(AJ121="","","|n"&amp;DP$2&amp;"+"&amp;AJ121&amp;DP$1)</f>
        <v/>
      </c>
      <c r="DQ121" s="66" t="str">
        <f t="shared" ref="DQ121:DQ124" si="1712">IF(AK121="","","|n"&amp;DQ$2&amp;"+"&amp;AK121&amp;DQ$1)</f>
        <v/>
      </c>
      <c r="DR121" s="66" t="str">
        <f t="shared" ref="DR121:DR124" si="1713">IF(AL121="","","|n"&amp;DR$2&amp;"+"&amp;AL121&amp;DR$1)</f>
        <v/>
      </c>
      <c r="DS121" s="66" t="str">
        <f t="shared" ref="DS121:DS124" si="1714">IF(AM121="","","|n"&amp;DS$2&amp;"+"&amp;AM121&amp;DS$1)</f>
        <v/>
      </c>
      <c r="DT121" s="66" t="str">
        <f t="shared" ref="DT121:DT124" si="1715">IF(AN121="","","|n"&amp;DT$2&amp;"+"&amp;AN121&amp;DT$1)</f>
        <v/>
      </c>
      <c r="DU121" s="66" t="str">
        <f t="shared" ref="DU121:DU124" si="1716">IF(AO121="","","|n"&amp;DU$2&amp;"+"&amp;AO121&amp;DU$1)</f>
        <v/>
      </c>
      <c r="DV121" s="66" t="str">
        <f t="shared" ref="DV121:DV124" si="1717">IF(AP121="","","|n"&amp;DV$2&amp;"+"&amp;AP121&amp;DV$1)</f>
        <v/>
      </c>
      <c r="DW121" s="66" t="str">
        <f t="shared" ref="DW121:DW124" si="1718">IF(AQ121="","","|n"&amp;DW$2&amp;"+"&amp;AQ121&amp;DW$1)</f>
        <v/>
      </c>
      <c r="DX121" s="66" t="str">
        <f t="shared" ref="DX121:DX124" si="1719">IF(AR121="","","|n"&amp;DX$2&amp;"+"&amp;AR121&amp;DX$1)</f>
        <v/>
      </c>
      <c r="DY121" s="66" t="str">
        <f t="shared" ref="DY121:DY124" si="1720">IF(AS121="","","|n"&amp;DY$2&amp;"+"&amp;AS121&amp;DY$1)</f>
        <v/>
      </c>
      <c r="DZ121" s="66" t="str">
        <f t="shared" ref="DZ121:DZ124" si="1721">IF(AT121="","","|n"&amp;DZ$2&amp;"+"&amp;AT121&amp;DZ$1)</f>
        <v/>
      </c>
      <c r="EA121" s="66" t="str">
        <f t="shared" ref="EA121:EA124" si="1722">IF(AU121="","","|n"&amp;EA$2&amp;"+"&amp;AU121&amp;EA$1)</f>
        <v/>
      </c>
      <c r="EB121" s="66" t="str">
        <f t="shared" ref="EB121:EB124" si="1723">IF(AV121="","","|n"&amp;EB$2&amp;"+"&amp;AV121&amp;EB$1)</f>
        <v/>
      </c>
      <c r="EC121" s="66" t="str">
        <f t="shared" ref="EC121:EC124" si="1724">IF(AW121="","","|n"&amp;EC$2&amp;"+"&amp;AW121&amp;EC$1)</f>
        <v/>
      </c>
      <c r="ED121" s="66" t="str">
        <f t="shared" ref="ED121:ED124" si="1725">IF(AX121="","","|n"&amp;ED$2&amp;"+"&amp;AX121&amp;ED$1)</f>
        <v/>
      </c>
      <c r="EE121" s="66" t="str">
        <f t="shared" ref="EE121:EE124" si="1726">IF(AY121="","","|n"&amp;EE$2&amp;"+"&amp;AY121&amp;EE$1)</f>
        <v/>
      </c>
      <c r="EF121" s="66" t="str">
        <f t="shared" ref="EF121:EF124" si="1727">IF(AZ121="","","|n"&amp;EF$2&amp;"+"&amp;AZ121&amp;EF$1)</f>
        <v/>
      </c>
      <c r="EG121" s="66" t="str">
        <f t="shared" ref="EG121:EG124" si="1728">IF(BA121="","","|n"&amp;EG$2&amp;"+"&amp;BA121&amp;EG$1)</f>
        <v/>
      </c>
      <c r="EH121" s="66" t="str">
        <f t="shared" ref="EH121:EH124" si="1729">IF(BB121="","","|n"&amp;EH$2&amp;"+"&amp;BB121&amp;EH$1)</f>
        <v/>
      </c>
      <c r="EI121" s="66" t="str">
        <f t="shared" ref="EI121:EI124" si="1730">IF(BC121="","","|n"&amp;EI$2&amp;"+"&amp;BC121&amp;EI$1)</f>
        <v/>
      </c>
      <c r="EJ121" s="66" t="str">
        <f t="shared" ref="EJ121:EJ124" si="1731">IF(BD121="","","|n"&amp;EJ$2&amp;"+"&amp;BD121&amp;EJ$1)</f>
        <v/>
      </c>
      <c r="EK121" s="66" t="str">
        <f t="shared" ref="EK121:EK124" si="1732">IF(BE121="","","|n"&amp;EK$2&amp;"+"&amp;BE121&amp;EK$1)</f>
        <v/>
      </c>
      <c r="EL121" s="66" t="str">
        <f t="shared" ref="EL121:EL124" si="1733">IF(BF121="","","|n"&amp;EL$2&amp;"+"&amp;BF121&amp;EL$1)</f>
        <v/>
      </c>
      <c r="EM121" s="66" t="str">
        <f t="shared" ref="EM121:EM124" si="1734">IF(BG121="","","|n"&amp;EM$2&amp;"+"&amp;BG121&amp;EM$1)</f>
        <v/>
      </c>
      <c r="EN121" s="66" t="str">
        <f t="shared" ref="EN121:EN124" si="1735">IF(BH121="","","|n"&amp;EN$2&amp;"+"&amp;BH121&amp;EN$1)</f>
        <v/>
      </c>
      <c r="EO121" s="66" t="str">
        <f t="shared" ref="EO121:EO124" si="1736">IF(BI121="","","|n"&amp;EO$2&amp;"+"&amp;BI121&amp;EO$1)</f>
        <v/>
      </c>
      <c r="EP121" s="66" t="str">
        <f t="shared" ref="EP121:EP124" si="1737">IF(BJ121="","","|n"&amp;EP$2&amp;"+"&amp;BJ121&amp;EP$1)</f>
        <v/>
      </c>
      <c r="EQ121" s="66" t="str">
        <f t="shared" ref="EQ121:EQ124" si="1738">IF(BK121="","","|n"&amp;EQ$2&amp;"+"&amp;BK121&amp;EQ$1)</f>
        <v/>
      </c>
      <c r="ER121" s="66" t="str">
        <f t="shared" ref="ER121:ER124" si="1739">IF(BL121="","","|n"&amp;ER$2&amp;"+"&amp;BL121&amp;ER$1)</f>
        <v/>
      </c>
      <c r="ES121" s="66" t="str">
        <f t="shared" ref="ES121:ES124" si="1740">IF(BM121="","","|n"&amp;ES$2&amp;"+"&amp;BM121&amp;ES$1)</f>
        <v/>
      </c>
      <c r="ET121" s="66" t="str">
        <f t="shared" ref="ET121:ET124" si="1741">IF(BN121="","","|n"&amp;ET$2&amp;"+"&amp;BN121&amp;ET$1)</f>
        <v/>
      </c>
      <c r="EU121" s="66" t="str">
        <f t="shared" ref="EU121:EU124" si="1742">IF(BO121="","","|n"&amp;EU$2&amp;"+"&amp;BO121&amp;EU$1)</f>
        <v/>
      </c>
      <c r="EV121" s="66" t="str">
        <f t="shared" ref="EV121:EV124" si="1743">IF(BP121="","","|n"&amp;EV$2&amp;"+"&amp;BP121&amp;EV$1)</f>
        <v/>
      </c>
      <c r="EW121" s="66" t="str">
        <f t="shared" ref="EW121:EW124" si="1744">IF(BQ121="","","|n"&amp;EW$2&amp;"+"&amp;BQ121&amp;EW$1)</f>
        <v/>
      </c>
      <c r="EX121" s="66" t="str">
        <f t="shared" ref="EX121:EX124" si="1745">IF(BR121="","","|n"&amp;EX$2&amp;"+"&amp;BR121&amp;EX$1)</f>
        <v/>
      </c>
      <c r="EY121" s="66" t="str">
        <f t="shared" ref="EY121:EY124" si="1746">IF(BS121="","","|n"&amp;EY$2&amp;"+"&amp;BS121&amp;EY$1)</f>
        <v/>
      </c>
      <c r="EZ121" s="66" t="str">
        <f t="shared" ref="EZ121:EZ124" si="1747">IF(BT121="","","|n"&amp;EZ$2&amp;"+"&amp;BT121&amp;EZ$1)</f>
        <v/>
      </c>
      <c r="FA121" s="66" t="str">
        <f t="shared" ref="FA121:FA124" si="1748">IF(BU121="","","|n"&amp;FA$2&amp;"+"&amp;BU121&amp;FA$1)</f>
        <v/>
      </c>
      <c r="FB121" s="66" t="str">
        <f t="shared" ref="FB121:FB124" si="1749">IF(BV121="","","|n"&amp;FB$2&amp;"+"&amp;BV121&amp;FB$1)</f>
        <v/>
      </c>
      <c r="FC121" s="66" t="str">
        <f t="shared" ref="FC121:FC124" si="1750">IF(BW121="","","|n"&amp;FC$2&amp;"+"&amp;BW121&amp;FC$1)</f>
        <v/>
      </c>
      <c r="FD121" s="66" t="str">
        <f t="shared" ref="FD121:FD124" si="1751">IF(BX121="","","|n"&amp;FD$2&amp;"+"&amp;BX121&amp;FD$1)</f>
        <v/>
      </c>
      <c r="FE121" s="66" t="str">
        <f t="shared" ref="FE121:FE124" si="1752">IF(BY121="","","|n"&amp;FE$2&amp;"+"&amp;BY121&amp;FE$1)</f>
        <v/>
      </c>
      <c r="FF121" s="66" t="str">
        <f t="shared" ref="FF121:FF124" si="1753">IF(BZ121="","","|n"&amp;FF$2&amp;"+"&amp;BZ121&amp;FF$1)</f>
        <v/>
      </c>
      <c r="FG121" s="66" t="str">
        <f t="shared" ref="FG121:FG124" si="1754">IF(CA121="","","|n"&amp;FG$2&amp;"+"&amp;CA121&amp;FG$1)</f>
        <v/>
      </c>
      <c r="FH121" s="66" t="str">
        <f t="shared" ref="FH121:FH124" si="1755">IF(CB121="","","|n"&amp;FH$2&amp;"+"&amp;CB121&amp;FH$1)</f>
        <v/>
      </c>
      <c r="FI121" s="66" t="str">
        <f t="shared" ref="FI121:FI124" si="1756">IF(CC121="","","|n"&amp;FI$2&amp;"+"&amp;CC121&amp;FI$1)</f>
        <v/>
      </c>
      <c r="FJ121" s="66" t="str">
        <f t="shared" ref="FJ121:FJ124" si="1757">IF(CD121="","","|n"&amp;FJ$2&amp;"+"&amp;CD121&amp;FJ$1)</f>
        <v/>
      </c>
      <c r="FK121" s="66" t="str">
        <f t="shared" ref="FK121:FK124" si="1758">IF(CE121="","","|n"&amp;FK$2&amp;"+"&amp;CE121&amp;FK$1)</f>
        <v/>
      </c>
      <c r="FL121" s="66" t="str">
        <f t="shared" ref="FL121:FL124" si="1759">IF(CF121="","","|n"&amp;FL$2&amp;"+"&amp;CF121&amp;FL$1)</f>
        <v/>
      </c>
      <c r="FM121" s="66" t="str">
        <f t="shared" ref="FM121:FM124" si="1760">IF(CG121="","","|n"&amp;FM$2&amp;"+"&amp;CG121&amp;FM$1)</f>
        <v/>
      </c>
      <c r="FN121" s="66" t="str">
        <f t="shared" ref="FN121:FN124" si="1761">IF(CH121="","","|n"&amp;FN$2&amp;"+"&amp;CH121&amp;FN$1)</f>
        <v/>
      </c>
      <c r="FO121" s="66" t="str">
        <f t="shared" ref="FO121:FO124" si="1762">IF(CI121="","","|n"&amp;FO$2&amp;"+"&amp;CI121&amp;FO$1)</f>
        <v/>
      </c>
      <c r="FP121" s="66" t="str">
        <f t="shared" ref="FP121:FP124" si="1763">IF(CJ121="","","|n"&amp;FP$2&amp;"+"&amp;CJ121&amp;FP$1)</f>
        <v/>
      </c>
      <c r="FQ121" s="66" t="str">
        <f t="shared" ref="FQ121:FQ124" si="1764">IF(CK121="","","|n"&amp;FQ$2&amp;"+"&amp;CK121&amp;FQ$1)</f>
        <v/>
      </c>
      <c r="FR121" s="66" t="str">
        <f t="shared" ref="FR121:FR124" si="1765">IF(CL121="","","|n"&amp;FR$2&amp;"+"&amp;CL121&amp;FR$1)</f>
        <v/>
      </c>
      <c r="FS121" s="66" t="str">
        <f t="shared" ref="FS121:FS124" si="1766">IF(CM121="","","|n"&amp;FS$2&amp;"+"&amp;CM121&amp;FS$1)</f>
        <v/>
      </c>
    </row>
    <row r="122" spans="1:175" ht="16.5">
      <c r="A122" s="9"/>
      <c r="B122" s="9" t="s">
        <v>484</v>
      </c>
      <c r="C122" s="9" t="s">
        <v>485</v>
      </c>
      <c r="T122" s="98" t="s">
        <v>486</v>
      </c>
      <c r="U122" s="77" t="str">
        <f t="shared" si="1546"/>
        <v>ReplaceableTextures\\CommandButtons\\BTNI005.blp</v>
      </c>
      <c r="CN122" s="36" t="str">
        <f t="shared" si="1547"/>
        <v>InitUnitState('I005',,,,,,,,,,)</v>
      </c>
      <c r="CO122" s="36" t="str">
        <f t="shared" si="1548"/>
        <v>InitUnitNormal('I005',,,,,,,,,,)</v>
      </c>
      <c r="CP122" s="36" t="str">
        <f t="shared" si="1549"/>
        <v>InitUnitMagic('I005',,,,,,,,,,)</v>
      </c>
      <c r="CQ122" s="36" t="str">
        <f t="shared" si="1550"/>
        <v>InitUnitAdd('I005',,,,,,,,,,)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166&amp;CR$1&amp;")"</f>
        <v>InitEquipData('I005',,"",,,,,'','','','','','',"ReplaceableTextures\\CommandButtons\\BTNIT02.blp")</v>
      </c>
      <c r="CU122" s="88" t="str">
        <f t="shared" ref="CU122:CU123" si="1767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23" si="1768">T122</f>
        <v>物理伤害提高|Cffffd24d20%|r。|n|n|Cff00ff7f持续15秒。|r</v>
      </c>
      <c r="CW122" s="33"/>
      <c r="CX122" s="33"/>
      <c r="CY122" s="33"/>
      <c r="CZ122" s="33"/>
      <c r="DA122" s="33"/>
      <c r="DB122" s="66" t="str">
        <f t="shared" ref="DB122:DB123" si="1769">IF(V122="","","|n"&amp;DB$2&amp;"+"&amp;V122&amp;DB$1)</f>
        <v/>
      </c>
      <c r="DC122" s="66" t="str">
        <f t="shared" ref="DC122:DC123" si="1770">IF(W122="","","|n"&amp;DC$2&amp;"+"&amp;W122&amp;DC$1)</f>
        <v/>
      </c>
      <c r="DD122" s="66" t="str">
        <f t="shared" ref="DD122:DD123" si="1771">IF(X122="","","|n"&amp;DD$2&amp;"+"&amp;X122&amp;DD$1)</f>
        <v/>
      </c>
      <c r="DE122" s="66" t="str">
        <f t="shared" ref="DE122:DE123" si="1772">IF(Y122="","","|n"&amp;DE$2&amp;"+"&amp;Y122&amp;DE$1)</f>
        <v/>
      </c>
      <c r="DF122" s="66" t="str">
        <f t="shared" ref="DF122:DF123" si="1773">IF(Z122="","","|n"&amp;DF$2&amp;"+"&amp;Z122&amp;DF$1)</f>
        <v/>
      </c>
      <c r="DG122" s="66" t="str">
        <f t="shared" ref="DG122:DG123" si="1774">IF(AA122="","","|n"&amp;DG$2&amp;"+"&amp;AA122&amp;DG$1)</f>
        <v/>
      </c>
      <c r="DH122" s="66" t="str">
        <f t="shared" ref="DH122:DH123" si="1775">IF(AB122="","","|n"&amp;DH$2&amp;"+"&amp;AB122&amp;DH$1)</f>
        <v/>
      </c>
      <c r="DI122" s="66" t="str">
        <f t="shared" ref="DI122:DI123" si="1776">IF(AC122="","","|n"&amp;DI$2&amp;"+"&amp;AC122&amp;DI$1)</f>
        <v/>
      </c>
      <c r="DJ122" s="66" t="str">
        <f t="shared" ref="DJ122:DJ123" si="1777">IF(AD122="","","|n"&amp;DJ$2&amp;"+"&amp;AD122&amp;DJ$1)</f>
        <v/>
      </c>
      <c r="DK122" s="66" t="str">
        <f t="shared" ref="DK122:DK123" si="1778">IF(AE122="","","|n"&amp;DK$2&amp;"+"&amp;AE122&amp;DK$1)</f>
        <v/>
      </c>
      <c r="DL122" s="66" t="str">
        <f t="shared" ref="DL122:DL123" si="1779">IF(AF122="","","|n"&amp;DL$2&amp;"+"&amp;AF122&amp;DL$1)</f>
        <v/>
      </c>
      <c r="DM122" s="66" t="str">
        <f t="shared" ref="DM122:DM123" si="1780">IF(AG122="","","|n"&amp;DM$2&amp;"+"&amp;AG122&amp;DM$1)</f>
        <v/>
      </c>
      <c r="DN122" s="66" t="str">
        <f t="shared" ref="DN122:DN123" si="1781">IF(AH122="","","|n"&amp;DN$2&amp;"+"&amp;AH122&amp;DN$1)</f>
        <v/>
      </c>
      <c r="DO122" s="66" t="str">
        <f t="shared" ref="DO122:DO123" si="1782">IF(AI122="","","|n"&amp;DO$2&amp;"+"&amp;AI122&amp;DO$1)</f>
        <v/>
      </c>
      <c r="DP122" s="66" t="str">
        <f t="shared" ref="DP122:DP123" si="1783">IF(AJ122="","","|n"&amp;DP$2&amp;"+"&amp;AJ122&amp;DP$1)</f>
        <v/>
      </c>
      <c r="DQ122" s="66" t="str">
        <f t="shared" ref="DQ122:DQ123" si="1784">IF(AK122="","","|n"&amp;DQ$2&amp;"+"&amp;AK122&amp;DQ$1)</f>
        <v/>
      </c>
      <c r="DR122" s="66" t="str">
        <f t="shared" ref="DR122:DR123" si="1785">IF(AL122="","","|n"&amp;DR$2&amp;"+"&amp;AL122&amp;DR$1)</f>
        <v/>
      </c>
      <c r="DS122" s="66" t="str">
        <f t="shared" ref="DS122:DS123" si="1786">IF(AM122="","","|n"&amp;DS$2&amp;"+"&amp;AM122&amp;DS$1)</f>
        <v/>
      </c>
      <c r="DT122" s="66" t="str">
        <f t="shared" ref="DT122:DT123" si="1787">IF(AN122="","","|n"&amp;DT$2&amp;"+"&amp;AN122&amp;DT$1)</f>
        <v/>
      </c>
      <c r="DU122" s="66" t="str">
        <f t="shared" ref="DU122:DU123" si="1788">IF(AO122="","","|n"&amp;DU$2&amp;"+"&amp;AO122&amp;DU$1)</f>
        <v/>
      </c>
      <c r="DV122" s="66" t="str">
        <f t="shared" ref="DV122:DV123" si="1789">IF(AP122="","","|n"&amp;DV$2&amp;"+"&amp;AP122&amp;DV$1)</f>
        <v/>
      </c>
      <c r="DW122" s="66" t="str">
        <f t="shared" ref="DW122:DW123" si="1790">IF(AQ122="","","|n"&amp;DW$2&amp;"+"&amp;AQ122&amp;DW$1)</f>
        <v/>
      </c>
      <c r="DX122" s="66" t="str">
        <f t="shared" ref="DX122:DX123" si="1791">IF(AR122="","","|n"&amp;DX$2&amp;"+"&amp;AR122&amp;DX$1)</f>
        <v/>
      </c>
      <c r="DY122" s="66" t="str">
        <f t="shared" ref="DY122:DY123" si="1792">IF(AS122="","","|n"&amp;DY$2&amp;"+"&amp;AS122&amp;DY$1)</f>
        <v/>
      </c>
      <c r="DZ122" s="66" t="str">
        <f t="shared" ref="DZ122:DZ123" si="1793">IF(AT122="","","|n"&amp;DZ$2&amp;"+"&amp;AT122&amp;DZ$1)</f>
        <v/>
      </c>
      <c r="EA122" s="66" t="str">
        <f t="shared" ref="EA122:EA123" si="1794">IF(AU122="","","|n"&amp;EA$2&amp;"+"&amp;AU122&amp;EA$1)</f>
        <v/>
      </c>
      <c r="EB122" s="66" t="str">
        <f t="shared" ref="EB122:EB123" si="1795">IF(AV122="","","|n"&amp;EB$2&amp;"+"&amp;AV122&amp;EB$1)</f>
        <v/>
      </c>
      <c r="EC122" s="66" t="str">
        <f t="shared" ref="EC122:EC123" si="1796">IF(AW122="","","|n"&amp;EC$2&amp;"+"&amp;AW122&amp;EC$1)</f>
        <v/>
      </c>
      <c r="ED122" s="66" t="str">
        <f t="shared" ref="ED122:ED123" si="1797">IF(AX122="","","|n"&amp;ED$2&amp;"+"&amp;AX122&amp;ED$1)</f>
        <v/>
      </c>
      <c r="EE122" s="66" t="str">
        <f t="shared" ref="EE122:EE123" si="1798">IF(AY122="","","|n"&amp;EE$2&amp;"+"&amp;AY122&amp;EE$1)</f>
        <v/>
      </c>
      <c r="EF122" s="66" t="str">
        <f t="shared" ref="EF122:EF123" si="1799">IF(AZ122="","","|n"&amp;EF$2&amp;"+"&amp;AZ122&amp;EF$1)</f>
        <v/>
      </c>
      <c r="EG122" s="66" t="str">
        <f t="shared" ref="EG122:EG123" si="1800">IF(BA122="","","|n"&amp;EG$2&amp;"+"&amp;BA122&amp;EG$1)</f>
        <v/>
      </c>
      <c r="EH122" s="66" t="str">
        <f t="shared" ref="EH122:EH123" si="1801">IF(BB122="","","|n"&amp;EH$2&amp;"+"&amp;BB122&amp;EH$1)</f>
        <v/>
      </c>
      <c r="EI122" s="66" t="str">
        <f t="shared" ref="EI122:EI123" si="1802">IF(BC122="","","|n"&amp;EI$2&amp;"+"&amp;BC122&amp;EI$1)</f>
        <v/>
      </c>
      <c r="EJ122" s="66" t="str">
        <f t="shared" ref="EJ122:EJ123" si="1803">IF(BD122="","","|n"&amp;EJ$2&amp;"+"&amp;BD122&amp;EJ$1)</f>
        <v/>
      </c>
      <c r="EK122" s="66" t="str">
        <f t="shared" ref="EK122:EK123" si="1804">IF(BE122="","","|n"&amp;EK$2&amp;"+"&amp;BE122&amp;EK$1)</f>
        <v/>
      </c>
      <c r="EL122" s="66" t="str">
        <f t="shared" ref="EL122:EL123" si="1805">IF(BF122="","","|n"&amp;EL$2&amp;"+"&amp;BF122&amp;EL$1)</f>
        <v/>
      </c>
      <c r="EM122" s="66" t="str">
        <f t="shared" ref="EM122:EM123" si="1806">IF(BG122="","","|n"&amp;EM$2&amp;"+"&amp;BG122&amp;EM$1)</f>
        <v/>
      </c>
      <c r="EN122" s="66" t="str">
        <f t="shared" ref="EN122:EN123" si="1807">IF(BH122="","","|n"&amp;EN$2&amp;"+"&amp;BH122&amp;EN$1)</f>
        <v/>
      </c>
      <c r="EO122" s="66" t="str">
        <f t="shared" ref="EO122:EO123" si="1808">IF(BI122="","","|n"&amp;EO$2&amp;"+"&amp;BI122&amp;EO$1)</f>
        <v/>
      </c>
      <c r="EP122" s="66" t="str">
        <f t="shared" ref="EP122:EP123" si="1809">IF(BJ122="","","|n"&amp;EP$2&amp;"+"&amp;BJ122&amp;EP$1)</f>
        <v/>
      </c>
      <c r="EQ122" s="66" t="str">
        <f t="shared" ref="EQ122:EQ123" si="1810">IF(BK122="","","|n"&amp;EQ$2&amp;"+"&amp;BK122&amp;EQ$1)</f>
        <v/>
      </c>
      <c r="ER122" s="66" t="str">
        <f t="shared" ref="ER122:ER123" si="1811">IF(BL122="","","|n"&amp;ER$2&amp;"+"&amp;BL122&amp;ER$1)</f>
        <v/>
      </c>
      <c r="ES122" s="66" t="str">
        <f t="shared" ref="ES122:ES123" si="1812">IF(BM122="","","|n"&amp;ES$2&amp;"+"&amp;BM122&amp;ES$1)</f>
        <v/>
      </c>
      <c r="ET122" s="66" t="str">
        <f t="shared" ref="ET122:ET123" si="1813">IF(BN122="","","|n"&amp;ET$2&amp;"+"&amp;BN122&amp;ET$1)</f>
        <v/>
      </c>
      <c r="EU122" s="66" t="str">
        <f t="shared" ref="EU122:EU123" si="1814">IF(BO122="","","|n"&amp;EU$2&amp;"+"&amp;BO122&amp;EU$1)</f>
        <v/>
      </c>
      <c r="EV122" s="66" t="str">
        <f t="shared" ref="EV122:EV123" si="1815">IF(BP122="","","|n"&amp;EV$2&amp;"+"&amp;BP122&amp;EV$1)</f>
        <v/>
      </c>
      <c r="EW122" s="66" t="str">
        <f t="shared" ref="EW122:EW123" si="1816">IF(BQ122="","","|n"&amp;EW$2&amp;"+"&amp;BQ122&amp;EW$1)</f>
        <v/>
      </c>
      <c r="EX122" s="66" t="str">
        <f t="shared" ref="EX122:EX123" si="1817">IF(BR122="","","|n"&amp;EX$2&amp;"+"&amp;BR122&amp;EX$1)</f>
        <v/>
      </c>
      <c r="EY122" s="66" t="str">
        <f t="shared" ref="EY122:EY123" si="1818">IF(BS122="","","|n"&amp;EY$2&amp;"+"&amp;BS122&amp;EY$1)</f>
        <v/>
      </c>
      <c r="EZ122" s="66" t="str">
        <f t="shared" ref="EZ122:EZ123" si="1819">IF(BT122="","","|n"&amp;EZ$2&amp;"+"&amp;BT122&amp;EZ$1)</f>
        <v/>
      </c>
      <c r="FA122" s="66" t="str">
        <f t="shared" ref="FA122:FA123" si="1820">IF(BU122="","","|n"&amp;FA$2&amp;"+"&amp;BU122&amp;FA$1)</f>
        <v/>
      </c>
      <c r="FB122" s="66" t="str">
        <f t="shared" ref="FB122:FB123" si="1821">IF(BV122="","","|n"&amp;FB$2&amp;"+"&amp;BV122&amp;FB$1)</f>
        <v/>
      </c>
      <c r="FC122" s="66" t="str">
        <f t="shared" ref="FC122:FC123" si="1822">IF(BW122="","","|n"&amp;FC$2&amp;"+"&amp;BW122&amp;FC$1)</f>
        <v/>
      </c>
      <c r="FD122" s="66" t="str">
        <f t="shared" ref="FD122:FD123" si="1823">IF(BX122="","","|n"&amp;FD$2&amp;"+"&amp;BX122&amp;FD$1)</f>
        <v/>
      </c>
      <c r="FE122" s="66" t="str">
        <f t="shared" ref="FE122:FE123" si="1824">IF(BY122="","","|n"&amp;FE$2&amp;"+"&amp;BY122&amp;FE$1)</f>
        <v/>
      </c>
      <c r="FF122" s="66" t="str">
        <f t="shared" ref="FF122:FF123" si="1825">IF(BZ122="","","|n"&amp;FF$2&amp;"+"&amp;BZ122&amp;FF$1)</f>
        <v/>
      </c>
      <c r="FG122" s="66" t="str">
        <f t="shared" ref="FG122:FG123" si="1826">IF(CA122="","","|n"&amp;FG$2&amp;"+"&amp;CA122&amp;FG$1)</f>
        <v/>
      </c>
      <c r="FH122" s="66" t="str">
        <f t="shared" ref="FH122:FH123" si="1827">IF(CB122="","","|n"&amp;FH$2&amp;"+"&amp;CB122&amp;FH$1)</f>
        <v/>
      </c>
      <c r="FI122" s="66" t="str">
        <f t="shared" ref="FI122:FI123" si="1828">IF(CC122="","","|n"&amp;FI$2&amp;"+"&amp;CC122&amp;FI$1)</f>
        <v/>
      </c>
      <c r="FJ122" s="66" t="str">
        <f t="shared" ref="FJ122:FJ123" si="1829">IF(CD122="","","|n"&amp;FJ$2&amp;"+"&amp;CD122&amp;FJ$1)</f>
        <v/>
      </c>
      <c r="FK122" s="66" t="str">
        <f t="shared" ref="FK122:FK123" si="1830">IF(CE122="","","|n"&amp;FK$2&amp;"+"&amp;CE122&amp;FK$1)</f>
        <v/>
      </c>
      <c r="FL122" s="66" t="str">
        <f t="shared" ref="FL122:FL123" si="1831">IF(CF122="","","|n"&amp;FL$2&amp;"+"&amp;CF122&amp;FL$1)</f>
        <v/>
      </c>
      <c r="FM122" s="66" t="str">
        <f t="shared" ref="FM122:FM123" si="1832">IF(CG122="","","|n"&amp;FM$2&amp;"+"&amp;CG122&amp;FM$1)</f>
        <v/>
      </c>
      <c r="FN122" s="66" t="str">
        <f t="shared" ref="FN122:FN123" si="1833">IF(CH122="","","|n"&amp;FN$2&amp;"+"&amp;CH122&amp;FN$1)</f>
        <v/>
      </c>
      <c r="FO122" s="66" t="str">
        <f t="shared" ref="FO122:FO123" si="1834">IF(CI122="","","|n"&amp;FO$2&amp;"+"&amp;CI122&amp;FO$1)</f>
        <v/>
      </c>
      <c r="FP122" s="66" t="str">
        <f t="shared" ref="FP122:FP123" si="1835">IF(CJ122="","","|n"&amp;FP$2&amp;"+"&amp;CJ122&amp;FP$1)</f>
        <v/>
      </c>
      <c r="FQ122" s="66" t="str">
        <f t="shared" ref="FQ122:FQ123" si="1836">IF(CK122="","","|n"&amp;FQ$2&amp;"+"&amp;CK122&amp;FQ$1)</f>
        <v/>
      </c>
      <c r="FR122" s="66" t="str">
        <f t="shared" ref="FR122:FR123" si="1837">IF(CL122="","","|n"&amp;FR$2&amp;"+"&amp;CL122&amp;FR$1)</f>
        <v/>
      </c>
      <c r="FS122" s="66" t="str">
        <f t="shared" ref="FS122:FS123" si="1838">IF(CM122="","","|n"&amp;FS$2&amp;"+"&amp;CM122&amp;FS$1)</f>
        <v/>
      </c>
    </row>
    <row r="123" spans="1:175" ht="16.5">
      <c r="A123" s="9"/>
      <c r="B123" s="9" t="s">
        <v>487</v>
      </c>
      <c r="C123" s="15" t="s">
        <v>488</v>
      </c>
      <c r="T123" s="11" t="s">
        <v>489</v>
      </c>
      <c r="U123" s="77" t="s">
        <v>490</v>
      </c>
      <c r="V123" s="78"/>
      <c r="W123" s="78"/>
      <c r="X123" s="78">
        <v>5</v>
      </c>
      <c r="Y123" s="78"/>
      <c r="Z123" s="78"/>
      <c r="AA123" s="78"/>
      <c r="AB123" s="78"/>
      <c r="AC123" s="78"/>
      <c r="AD123" s="78"/>
      <c r="AE123" s="78"/>
      <c r="AF123" s="78"/>
      <c r="AG123" s="81"/>
      <c r="AH123" s="78"/>
      <c r="AI123" s="78"/>
      <c r="AJ123" s="78"/>
      <c r="AK123" s="78"/>
      <c r="AL123" s="81"/>
      <c r="AM123" s="78"/>
      <c r="AN123" s="78"/>
      <c r="AO123" s="78"/>
      <c r="AP123" s="78"/>
      <c r="AQ123" s="78"/>
      <c r="AR123" s="81"/>
      <c r="AS123" s="81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  <c r="BF123" s="78"/>
      <c r="BG123" s="78"/>
      <c r="BH123" s="78"/>
      <c r="BI123" s="78"/>
      <c r="BJ123" s="78">
        <v>10</v>
      </c>
      <c r="CN123" s="36" t="str">
        <f t="shared" ref="CN123" si="1839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36" t="str">
        <f t="shared" ref="CO123" si="1840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36" t="str">
        <f t="shared" ref="CP123" si="1841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36" t="str">
        <f t="shared" ref="CQ123" si="1842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36" t="str">
        <f t="shared" ref="CR123:CR128" si="1843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InitEquipData('I010',,"",,,,,'','','','','','',"ReplaceableTextures\\CommandButtons\\BTNIT01.blp")</v>
      </c>
      <c r="CU123" s="88" t="str">
        <f t="shared" si="1767"/>
        <v>|n护甲+5|n金币加成+10|n</v>
      </c>
      <c r="CV123" s="19" t="str">
        <f t="shared" si="1768"/>
        <v>护甲|Cffffd24d+10|r|n金币加成|Cffffd24d+10%|n|r|n击杀300个敌人后奖励：|n|CffFFD24D3000~6000|r金币|n|CffCC99FF1000-2000|r业力|n|n|Cff00FF7F同时只能携带一个招魂幡|r</v>
      </c>
      <c r="CW123" s="33"/>
      <c r="CX123" s="33"/>
      <c r="CY123" s="33"/>
      <c r="CZ123" s="33"/>
      <c r="DA123" s="33"/>
      <c r="DB123" s="66" t="str">
        <f t="shared" si="1769"/>
        <v/>
      </c>
      <c r="DC123" s="66" t="str">
        <f t="shared" si="1770"/>
        <v/>
      </c>
      <c r="DD123" s="66" t="str">
        <f t="shared" si="1771"/>
        <v>|n护甲+5</v>
      </c>
      <c r="DE123" s="66" t="str">
        <f t="shared" si="1772"/>
        <v/>
      </c>
      <c r="DF123" s="66" t="str">
        <f t="shared" si="1773"/>
        <v/>
      </c>
      <c r="DG123" s="66" t="str">
        <f t="shared" si="1774"/>
        <v/>
      </c>
      <c r="DH123" s="66" t="str">
        <f t="shared" si="1775"/>
        <v/>
      </c>
      <c r="DI123" s="66" t="str">
        <f t="shared" si="1776"/>
        <v/>
      </c>
      <c r="DJ123" s="66" t="str">
        <f t="shared" si="1777"/>
        <v/>
      </c>
      <c r="DK123" s="66" t="str">
        <f t="shared" si="1778"/>
        <v/>
      </c>
      <c r="DL123" s="66" t="str">
        <f t="shared" si="1779"/>
        <v/>
      </c>
      <c r="DM123" s="66" t="str">
        <f t="shared" si="1780"/>
        <v/>
      </c>
      <c r="DN123" s="66" t="str">
        <f t="shared" si="1781"/>
        <v/>
      </c>
      <c r="DO123" s="66" t="str">
        <f t="shared" si="1782"/>
        <v/>
      </c>
      <c r="DP123" s="66" t="str">
        <f t="shared" si="1783"/>
        <v/>
      </c>
      <c r="DQ123" s="66" t="str">
        <f t="shared" si="1784"/>
        <v/>
      </c>
      <c r="DR123" s="66" t="str">
        <f t="shared" si="1785"/>
        <v/>
      </c>
      <c r="DS123" s="66" t="str">
        <f t="shared" si="1786"/>
        <v/>
      </c>
      <c r="DT123" s="66" t="str">
        <f t="shared" si="1787"/>
        <v/>
      </c>
      <c r="DU123" s="66" t="str">
        <f t="shared" si="1788"/>
        <v/>
      </c>
      <c r="DV123" s="66" t="str">
        <f t="shared" si="1789"/>
        <v/>
      </c>
      <c r="DW123" s="66" t="str">
        <f t="shared" si="1790"/>
        <v/>
      </c>
      <c r="DX123" s="66" t="str">
        <f t="shared" si="1791"/>
        <v/>
      </c>
      <c r="DY123" s="66" t="str">
        <f t="shared" si="1792"/>
        <v/>
      </c>
      <c r="DZ123" s="66" t="str">
        <f t="shared" si="1793"/>
        <v/>
      </c>
      <c r="EA123" s="66" t="str">
        <f t="shared" si="1794"/>
        <v/>
      </c>
      <c r="EB123" s="66" t="str">
        <f t="shared" si="1795"/>
        <v/>
      </c>
      <c r="EC123" s="66" t="str">
        <f t="shared" si="1796"/>
        <v/>
      </c>
      <c r="ED123" s="66" t="str">
        <f t="shared" si="1797"/>
        <v/>
      </c>
      <c r="EE123" s="66" t="str">
        <f t="shared" si="1798"/>
        <v/>
      </c>
      <c r="EF123" s="66" t="str">
        <f t="shared" si="1799"/>
        <v/>
      </c>
      <c r="EG123" s="66" t="str">
        <f t="shared" si="1800"/>
        <v/>
      </c>
      <c r="EH123" s="66" t="str">
        <f t="shared" si="1801"/>
        <v/>
      </c>
      <c r="EI123" s="66" t="str">
        <f t="shared" si="1802"/>
        <v/>
      </c>
      <c r="EJ123" s="66" t="str">
        <f t="shared" si="1803"/>
        <v/>
      </c>
      <c r="EK123" s="66" t="str">
        <f t="shared" si="1804"/>
        <v/>
      </c>
      <c r="EL123" s="66" t="str">
        <f t="shared" si="1805"/>
        <v/>
      </c>
      <c r="EM123" s="66" t="str">
        <f t="shared" si="1806"/>
        <v/>
      </c>
      <c r="EN123" s="66" t="str">
        <f t="shared" si="1807"/>
        <v/>
      </c>
      <c r="EO123" s="66" t="str">
        <f t="shared" si="1808"/>
        <v/>
      </c>
      <c r="EP123" s="66" t="str">
        <f t="shared" si="1809"/>
        <v>|n金币加成+10</v>
      </c>
      <c r="EQ123" s="66" t="str">
        <f t="shared" si="1810"/>
        <v/>
      </c>
      <c r="ER123" s="66" t="str">
        <f t="shared" si="1811"/>
        <v/>
      </c>
      <c r="ES123" s="66" t="str">
        <f t="shared" si="1812"/>
        <v/>
      </c>
      <c r="ET123" s="66" t="str">
        <f t="shared" si="1813"/>
        <v/>
      </c>
      <c r="EU123" s="66" t="str">
        <f t="shared" si="1814"/>
        <v/>
      </c>
      <c r="EV123" s="66" t="str">
        <f t="shared" si="1815"/>
        <v/>
      </c>
      <c r="EW123" s="66" t="str">
        <f t="shared" si="1816"/>
        <v/>
      </c>
      <c r="EX123" s="66" t="str">
        <f t="shared" si="1817"/>
        <v/>
      </c>
      <c r="EY123" s="66" t="str">
        <f t="shared" si="1818"/>
        <v/>
      </c>
      <c r="EZ123" s="66" t="str">
        <f t="shared" si="1819"/>
        <v/>
      </c>
      <c r="FA123" s="66" t="str">
        <f t="shared" si="1820"/>
        <v/>
      </c>
      <c r="FB123" s="66" t="str">
        <f t="shared" si="1821"/>
        <v/>
      </c>
      <c r="FC123" s="66" t="str">
        <f t="shared" si="1822"/>
        <v/>
      </c>
      <c r="FD123" s="66" t="str">
        <f t="shared" si="1823"/>
        <v/>
      </c>
      <c r="FE123" s="66" t="str">
        <f t="shared" si="1824"/>
        <v/>
      </c>
      <c r="FF123" s="66" t="str">
        <f t="shared" si="1825"/>
        <v/>
      </c>
      <c r="FG123" s="66" t="str">
        <f t="shared" si="1826"/>
        <v/>
      </c>
      <c r="FH123" s="66" t="str">
        <f t="shared" si="1827"/>
        <v/>
      </c>
      <c r="FI123" s="66" t="str">
        <f t="shared" si="1828"/>
        <v/>
      </c>
      <c r="FJ123" s="66" t="str">
        <f t="shared" si="1829"/>
        <v/>
      </c>
      <c r="FK123" s="66" t="str">
        <f t="shared" si="1830"/>
        <v/>
      </c>
      <c r="FL123" s="66" t="str">
        <f t="shared" si="1831"/>
        <v/>
      </c>
      <c r="FM123" s="66" t="str">
        <f t="shared" si="1832"/>
        <v/>
      </c>
      <c r="FN123" s="66" t="str">
        <f t="shared" si="1833"/>
        <v/>
      </c>
      <c r="FO123" s="66" t="str">
        <f t="shared" si="1834"/>
        <v/>
      </c>
      <c r="FP123" s="66" t="str">
        <f t="shared" si="1835"/>
        <v/>
      </c>
      <c r="FQ123" s="66" t="str">
        <f t="shared" si="1836"/>
        <v/>
      </c>
      <c r="FR123" s="66" t="str">
        <f t="shared" si="1837"/>
        <v/>
      </c>
      <c r="FS123" s="66" t="str">
        <f t="shared" si="1838"/>
        <v/>
      </c>
    </row>
    <row r="124" spans="1:175" ht="16.5">
      <c r="A124" s="9"/>
      <c r="B124" s="9" t="s">
        <v>491</v>
      </c>
      <c r="C124" s="15" t="s">
        <v>492</v>
      </c>
      <c r="T124" s="11" t="s">
        <v>493</v>
      </c>
      <c r="U124" s="77" t="s">
        <v>490</v>
      </c>
      <c r="V124" s="78"/>
      <c r="W124" s="78"/>
      <c r="X124" s="78">
        <v>10</v>
      </c>
      <c r="Y124" s="78"/>
      <c r="Z124" s="78"/>
      <c r="AA124" s="78"/>
      <c r="AB124" s="78"/>
      <c r="AC124" s="78"/>
      <c r="AD124" s="78"/>
      <c r="AE124" s="78"/>
      <c r="AF124" s="78"/>
      <c r="AG124" s="81"/>
      <c r="AH124" s="78"/>
      <c r="AI124" s="78"/>
      <c r="AJ124" s="78"/>
      <c r="AK124" s="78"/>
      <c r="AL124" s="81"/>
      <c r="AM124" s="78"/>
      <c r="AN124" s="78"/>
      <c r="AO124" s="78"/>
      <c r="AP124" s="78"/>
      <c r="AQ124" s="78"/>
      <c r="AR124" s="81"/>
      <c r="AS124" s="81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>
        <v>15</v>
      </c>
      <c r="CN124" s="36" t="str">
        <f t="shared" si="1547"/>
        <v>InitUnitState('I011',,,10,,,,,,,)</v>
      </c>
      <c r="CO124" s="36" t="str">
        <f t="shared" si="1548"/>
        <v>InitUnitNormal('I011',,,,,,,,,,)</v>
      </c>
      <c r="CP124" s="36" t="str">
        <f t="shared" si="1549"/>
        <v>InitUnitMagic('I011',,,,,,,,,,15)</v>
      </c>
      <c r="CQ124" s="36" t="str">
        <f t="shared" si="1550"/>
        <v>InitUnitAdd('I011',,,,,,,,,,)</v>
      </c>
      <c r="CR124" s="36" t="str">
        <f t="shared" si="1843"/>
        <v>InitEquipData('I011',,"",,,,,'','','','','','',"ReplaceableTextures\\CommandButtons\\BTNIT02.blp")</v>
      </c>
      <c r="CU124" s="88" t="str">
        <f t="shared" si="1695"/>
        <v>|n护甲+10|n金币加成+15|n</v>
      </c>
      <c r="CV124" s="19" t="str">
        <f t="shared" si="1696"/>
        <v>护甲|cffffd24d+20|n|r金币加成|cffffd24d+15%|n|n|r击杀1000个敌人后奖励：|n|cffffd24d7000~12000|r金币|n|cffcc99ff2000-5000|r业力|n|n|cff00ff7f同时只能携带一个招魂幡|r</v>
      </c>
      <c r="CW124" s="33"/>
      <c r="CX124" s="33"/>
      <c r="CY124" s="33"/>
      <c r="CZ124" s="33"/>
      <c r="DA124" s="33"/>
      <c r="DB124" s="66" t="str">
        <f t="shared" si="1697"/>
        <v/>
      </c>
      <c r="DC124" s="66" t="str">
        <f t="shared" si="1698"/>
        <v/>
      </c>
      <c r="DD124" s="66" t="str">
        <f t="shared" si="1699"/>
        <v>|n护甲+10</v>
      </c>
      <c r="DE124" s="66" t="str">
        <f t="shared" si="1700"/>
        <v/>
      </c>
      <c r="DF124" s="66" t="str">
        <f t="shared" si="1701"/>
        <v/>
      </c>
      <c r="DG124" s="66" t="str">
        <f t="shared" si="1702"/>
        <v/>
      </c>
      <c r="DH124" s="66" t="str">
        <f t="shared" si="1703"/>
        <v/>
      </c>
      <c r="DI124" s="66" t="str">
        <f t="shared" si="1704"/>
        <v/>
      </c>
      <c r="DJ124" s="66" t="str">
        <f t="shared" si="1705"/>
        <v/>
      </c>
      <c r="DK124" s="66" t="str">
        <f t="shared" si="1706"/>
        <v/>
      </c>
      <c r="DL124" s="66" t="str">
        <f t="shared" si="1707"/>
        <v/>
      </c>
      <c r="DM124" s="66" t="str">
        <f t="shared" si="1708"/>
        <v/>
      </c>
      <c r="DN124" s="66" t="str">
        <f t="shared" si="1709"/>
        <v/>
      </c>
      <c r="DO124" s="66" t="str">
        <f t="shared" si="1710"/>
        <v/>
      </c>
      <c r="DP124" s="66" t="str">
        <f t="shared" si="1711"/>
        <v/>
      </c>
      <c r="DQ124" s="66" t="str">
        <f t="shared" si="1712"/>
        <v/>
      </c>
      <c r="DR124" s="66" t="str">
        <f t="shared" si="1713"/>
        <v/>
      </c>
      <c r="DS124" s="66" t="str">
        <f t="shared" si="1714"/>
        <v/>
      </c>
      <c r="DT124" s="66" t="str">
        <f t="shared" si="1715"/>
        <v/>
      </c>
      <c r="DU124" s="66" t="str">
        <f t="shared" si="1716"/>
        <v/>
      </c>
      <c r="DV124" s="66" t="str">
        <f t="shared" si="1717"/>
        <v/>
      </c>
      <c r="DW124" s="66" t="str">
        <f t="shared" si="1718"/>
        <v/>
      </c>
      <c r="DX124" s="66" t="str">
        <f t="shared" si="1719"/>
        <v/>
      </c>
      <c r="DY124" s="66" t="str">
        <f t="shared" si="1720"/>
        <v/>
      </c>
      <c r="DZ124" s="66" t="str">
        <f t="shared" si="1721"/>
        <v/>
      </c>
      <c r="EA124" s="66" t="str">
        <f t="shared" si="1722"/>
        <v/>
      </c>
      <c r="EB124" s="66" t="str">
        <f t="shared" si="1723"/>
        <v/>
      </c>
      <c r="EC124" s="66" t="str">
        <f t="shared" si="1724"/>
        <v/>
      </c>
      <c r="ED124" s="66" t="str">
        <f t="shared" si="1725"/>
        <v/>
      </c>
      <c r="EE124" s="66" t="str">
        <f t="shared" si="1726"/>
        <v/>
      </c>
      <c r="EF124" s="66" t="str">
        <f t="shared" si="1727"/>
        <v/>
      </c>
      <c r="EG124" s="66" t="str">
        <f t="shared" si="1728"/>
        <v/>
      </c>
      <c r="EH124" s="66" t="str">
        <f t="shared" si="1729"/>
        <v/>
      </c>
      <c r="EI124" s="66" t="str">
        <f t="shared" si="1730"/>
        <v/>
      </c>
      <c r="EJ124" s="66" t="str">
        <f t="shared" si="1731"/>
        <v/>
      </c>
      <c r="EK124" s="66" t="str">
        <f t="shared" si="1732"/>
        <v/>
      </c>
      <c r="EL124" s="66" t="str">
        <f t="shared" si="1733"/>
        <v/>
      </c>
      <c r="EM124" s="66" t="str">
        <f t="shared" si="1734"/>
        <v/>
      </c>
      <c r="EN124" s="66" t="str">
        <f t="shared" si="1735"/>
        <v/>
      </c>
      <c r="EO124" s="66" t="str">
        <f t="shared" si="1736"/>
        <v/>
      </c>
      <c r="EP124" s="66" t="str">
        <f t="shared" si="1737"/>
        <v>|n金币加成+15</v>
      </c>
      <c r="EQ124" s="66" t="str">
        <f t="shared" si="1738"/>
        <v/>
      </c>
      <c r="ER124" s="66" t="str">
        <f t="shared" si="1739"/>
        <v/>
      </c>
      <c r="ES124" s="66" t="str">
        <f t="shared" si="1740"/>
        <v/>
      </c>
      <c r="ET124" s="66" t="str">
        <f t="shared" si="1741"/>
        <v/>
      </c>
      <c r="EU124" s="66" t="str">
        <f t="shared" si="1742"/>
        <v/>
      </c>
      <c r="EV124" s="66" t="str">
        <f t="shared" si="1743"/>
        <v/>
      </c>
      <c r="EW124" s="66" t="str">
        <f t="shared" si="1744"/>
        <v/>
      </c>
      <c r="EX124" s="66" t="str">
        <f t="shared" si="1745"/>
        <v/>
      </c>
      <c r="EY124" s="66" t="str">
        <f t="shared" si="1746"/>
        <v/>
      </c>
      <c r="EZ124" s="66" t="str">
        <f t="shared" si="1747"/>
        <v/>
      </c>
      <c r="FA124" s="66" t="str">
        <f t="shared" si="1748"/>
        <v/>
      </c>
      <c r="FB124" s="66" t="str">
        <f t="shared" si="1749"/>
        <v/>
      </c>
      <c r="FC124" s="66" t="str">
        <f t="shared" si="1750"/>
        <v/>
      </c>
      <c r="FD124" s="66" t="str">
        <f t="shared" si="1751"/>
        <v/>
      </c>
      <c r="FE124" s="66" t="str">
        <f t="shared" si="1752"/>
        <v/>
      </c>
      <c r="FF124" s="66" t="str">
        <f t="shared" si="1753"/>
        <v/>
      </c>
      <c r="FG124" s="66" t="str">
        <f t="shared" si="1754"/>
        <v/>
      </c>
      <c r="FH124" s="66" t="str">
        <f t="shared" si="1755"/>
        <v/>
      </c>
      <c r="FI124" s="66" t="str">
        <f t="shared" si="1756"/>
        <v/>
      </c>
      <c r="FJ124" s="66" t="str">
        <f t="shared" si="1757"/>
        <v/>
      </c>
      <c r="FK124" s="66" t="str">
        <f t="shared" si="1758"/>
        <v/>
      </c>
      <c r="FL124" s="66" t="str">
        <f t="shared" si="1759"/>
        <v/>
      </c>
      <c r="FM124" s="66" t="str">
        <f t="shared" si="1760"/>
        <v/>
      </c>
      <c r="FN124" s="66" t="str">
        <f t="shared" si="1761"/>
        <v/>
      </c>
      <c r="FO124" s="66" t="str">
        <f t="shared" si="1762"/>
        <v/>
      </c>
      <c r="FP124" s="66" t="str">
        <f t="shared" si="1763"/>
        <v/>
      </c>
      <c r="FQ124" s="66" t="str">
        <f t="shared" si="1764"/>
        <v/>
      </c>
      <c r="FR124" s="66" t="str">
        <f t="shared" si="1765"/>
        <v/>
      </c>
      <c r="FS124" s="66" t="str">
        <f t="shared" si="1766"/>
        <v/>
      </c>
    </row>
    <row r="125" spans="1:175" ht="16.5">
      <c r="A125" s="9"/>
      <c r="B125" s="9" t="s">
        <v>494</v>
      </c>
      <c r="C125" s="16" t="s">
        <v>495</v>
      </c>
      <c r="T125" s="11" t="s">
        <v>496</v>
      </c>
      <c r="U125" s="77" t="s">
        <v>497</v>
      </c>
      <c r="V125" s="78"/>
      <c r="W125" s="78"/>
      <c r="X125" s="78">
        <v>20</v>
      </c>
      <c r="Y125" s="78"/>
      <c r="Z125" s="78"/>
      <c r="AA125" s="78"/>
      <c r="AB125" s="78"/>
      <c r="AC125" s="78"/>
      <c r="AD125" s="78"/>
      <c r="AE125" s="78"/>
      <c r="AF125" s="78"/>
      <c r="AG125" s="81"/>
      <c r="AH125" s="78"/>
      <c r="AI125" s="78"/>
      <c r="AJ125" s="78"/>
      <c r="AK125" s="78"/>
      <c r="AL125" s="81"/>
      <c r="AM125" s="78"/>
      <c r="AN125" s="78"/>
      <c r="AO125" s="78"/>
      <c r="AP125" s="78"/>
      <c r="AQ125" s="78"/>
      <c r="AR125" s="81"/>
      <c r="AS125" s="81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  <c r="BF125" s="78"/>
      <c r="BG125" s="78"/>
      <c r="BH125" s="78"/>
      <c r="BI125" s="78"/>
      <c r="BJ125" s="78">
        <v>20</v>
      </c>
      <c r="CN125" s="36" t="str">
        <f t="shared" si="1547"/>
        <v>InitUnitState('I012',,,20,,,,,,,)</v>
      </c>
      <c r="CO125" s="36" t="str">
        <f t="shared" si="1548"/>
        <v>InitUnitNormal('I012',,,,,,,,,,)</v>
      </c>
      <c r="CP125" s="36" t="str">
        <f t="shared" si="1549"/>
        <v>InitUnitMagic('I012',,,,,,,,,,20)</v>
      </c>
      <c r="CQ125" s="36" t="str">
        <f t="shared" si="1550"/>
        <v>InitUnitAdd('I012',,,,,,,,,,)</v>
      </c>
      <c r="CR125" s="36" t="str">
        <f t="shared" si="1843"/>
        <v>InitEquipData('I012',,"",,,,,'','','','','','',"ReplaceableTextures\\CommandButtons\\BTNIT03.blp")</v>
      </c>
      <c r="CU125" s="88" t="str">
        <f t="shared" ref="CU125:CU126" si="184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19" t="str">
        <f t="shared" ref="CV125:CV126" si="1845">T125</f>
        <v>护甲|cffffd24d+50|n|r金币加成|cffffd24d+20%|n|n|r击杀1000个敌人后奖励：|n|cffffd24d8000~13000|r金币|n|cffcc99ff3000-6000|r业力|n|n|cff00ff7f同时只能携带一个招魂幡|r</v>
      </c>
      <c r="CW125" s="33"/>
      <c r="CX125" s="33"/>
      <c r="CY125" s="33"/>
      <c r="CZ125" s="33"/>
      <c r="DA125" s="33"/>
      <c r="DB125" s="66" t="str">
        <f t="shared" ref="DB125:DB126" si="1846">IF(V125="","","|n"&amp;DB$2&amp;"+"&amp;V125&amp;DB$1)</f>
        <v/>
      </c>
      <c r="DC125" s="66" t="str">
        <f t="shared" ref="DC125:DC126" si="1847">IF(W125="","","|n"&amp;DC$2&amp;"+"&amp;W125&amp;DC$1)</f>
        <v/>
      </c>
      <c r="DD125" s="66" t="str">
        <f t="shared" ref="DD125:DD126" si="1848">IF(X125="","","|n"&amp;DD$2&amp;"+"&amp;X125&amp;DD$1)</f>
        <v>|n护甲+20</v>
      </c>
      <c r="DE125" s="66" t="str">
        <f t="shared" ref="DE125:DE126" si="1849">IF(Y125="","","|n"&amp;DE$2&amp;"+"&amp;Y125&amp;DE$1)</f>
        <v/>
      </c>
      <c r="DF125" s="66" t="str">
        <f t="shared" ref="DF125:DF126" si="1850">IF(Z125="","","|n"&amp;DF$2&amp;"+"&amp;Z125&amp;DF$1)</f>
        <v/>
      </c>
      <c r="DG125" s="66" t="str">
        <f t="shared" ref="DG125:DG126" si="1851">IF(AA125="","","|n"&amp;DG$2&amp;"+"&amp;AA125&amp;DG$1)</f>
        <v/>
      </c>
      <c r="DH125" s="66" t="str">
        <f t="shared" ref="DH125:DH126" si="1852">IF(AB125="","","|n"&amp;DH$2&amp;"+"&amp;AB125&amp;DH$1)</f>
        <v/>
      </c>
      <c r="DI125" s="66" t="str">
        <f t="shared" ref="DI125:DI126" si="1853">IF(AC125="","","|n"&amp;DI$2&amp;"+"&amp;AC125&amp;DI$1)</f>
        <v/>
      </c>
      <c r="DJ125" s="66" t="str">
        <f t="shared" ref="DJ125:DJ126" si="1854">IF(AD125="","","|n"&amp;DJ$2&amp;"+"&amp;AD125&amp;DJ$1)</f>
        <v/>
      </c>
      <c r="DK125" s="66" t="str">
        <f t="shared" ref="DK125:DK126" si="1855">IF(AE125="","","|n"&amp;DK$2&amp;"+"&amp;AE125&amp;DK$1)</f>
        <v/>
      </c>
      <c r="DL125" s="66" t="str">
        <f t="shared" ref="DL125:DL126" si="1856">IF(AF125="","","|n"&amp;DL$2&amp;"+"&amp;AF125&amp;DL$1)</f>
        <v/>
      </c>
      <c r="DM125" s="66" t="str">
        <f t="shared" ref="DM125:DM126" si="1857">IF(AG125="","","|n"&amp;DM$2&amp;"+"&amp;AG125&amp;DM$1)</f>
        <v/>
      </c>
      <c r="DN125" s="66" t="str">
        <f t="shared" ref="DN125:DN126" si="1858">IF(AH125="","","|n"&amp;DN$2&amp;"+"&amp;AH125&amp;DN$1)</f>
        <v/>
      </c>
      <c r="DO125" s="66" t="str">
        <f t="shared" ref="DO125:DO126" si="1859">IF(AI125="","","|n"&amp;DO$2&amp;"+"&amp;AI125&amp;DO$1)</f>
        <v/>
      </c>
      <c r="DP125" s="66" t="str">
        <f t="shared" ref="DP125:DP126" si="1860">IF(AJ125="","","|n"&amp;DP$2&amp;"+"&amp;AJ125&amp;DP$1)</f>
        <v/>
      </c>
      <c r="DQ125" s="66" t="str">
        <f t="shared" ref="DQ125:DQ126" si="1861">IF(AK125="","","|n"&amp;DQ$2&amp;"+"&amp;AK125&amp;DQ$1)</f>
        <v/>
      </c>
      <c r="DR125" s="66" t="str">
        <f t="shared" ref="DR125:DR126" si="1862">IF(AL125="","","|n"&amp;DR$2&amp;"+"&amp;AL125&amp;DR$1)</f>
        <v/>
      </c>
      <c r="DS125" s="66" t="str">
        <f t="shared" ref="DS125:DS126" si="1863">IF(AM125="","","|n"&amp;DS$2&amp;"+"&amp;AM125&amp;DS$1)</f>
        <v/>
      </c>
      <c r="DT125" s="66" t="str">
        <f t="shared" ref="DT125:DT126" si="1864">IF(AN125="","","|n"&amp;DT$2&amp;"+"&amp;AN125&amp;DT$1)</f>
        <v/>
      </c>
      <c r="DU125" s="66" t="str">
        <f t="shared" ref="DU125:DU126" si="1865">IF(AO125="","","|n"&amp;DU$2&amp;"+"&amp;AO125&amp;DU$1)</f>
        <v/>
      </c>
      <c r="DV125" s="66" t="str">
        <f t="shared" ref="DV125:DV126" si="1866">IF(AP125="","","|n"&amp;DV$2&amp;"+"&amp;AP125&amp;DV$1)</f>
        <v/>
      </c>
      <c r="DW125" s="66" t="str">
        <f t="shared" ref="DW125:DW126" si="1867">IF(AQ125="","","|n"&amp;DW$2&amp;"+"&amp;AQ125&amp;DW$1)</f>
        <v/>
      </c>
      <c r="DX125" s="66" t="str">
        <f t="shared" ref="DX125:DX126" si="1868">IF(AR125="","","|n"&amp;DX$2&amp;"+"&amp;AR125&amp;DX$1)</f>
        <v/>
      </c>
      <c r="DY125" s="66" t="str">
        <f t="shared" ref="DY125:DY126" si="1869">IF(AS125="","","|n"&amp;DY$2&amp;"+"&amp;AS125&amp;DY$1)</f>
        <v/>
      </c>
      <c r="DZ125" s="66" t="str">
        <f t="shared" ref="DZ125:DZ126" si="1870">IF(AT125="","","|n"&amp;DZ$2&amp;"+"&amp;AT125&amp;DZ$1)</f>
        <v/>
      </c>
      <c r="EA125" s="66" t="str">
        <f t="shared" ref="EA125:EA126" si="1871">IF(AU125="","","|n"&amp;EA$2&amp;"+"&amp;AU125&amp;EA$1)</f>
        <v/>
      </c>
      <c r="EB125" s="66" t="str">
        <f t="shared" ref="EB125:EB126" si="1872">IF(AV125="","","|n"&amp;EB$2&amp;"+"&amp;AV125&amp;EB$1)</f>
        <v/>
      </c>
      <c r="EC125" s="66" t="str">
        <f t="shared" ref="EC125:EC126" si="1873">IF(AW125="","","|n"&amp;EC$2&amp;"+"&amp;AW125&amp;EC$1)</f>
        <v/>
      </c>
      <c r="ED125" s="66" t="str">
        <f t="shared" ref="ED125:ED126" si="1874">IF(AX125="","","|n"&amp;ED$2&amp;"+"&amp;AX125&amp;ED$1)</f>
        <v/>
      </c>
      <c r="EE125" s="66" t="str">
        <f t="shared" ref="EE125:EE126" si="1875">IF(AY125="","","|n"&amp;EE$2&amp;"+"&amp;AY125&amp;EE$1)</f>
        <v/>
      </c>
      <c r="EF125" s="66" t="str">
        <f t="shared" ref="EF125:EF126" si="1876">IF(AZ125="","","|n"&amp;EF$2&amp;"+"&amp;AZ125&amp;EF$1)</f>
        <v/>
      </c>
      <c r="EG125" s="66" t="str">
        <f t="shared" ref="EG125:EG126" si="1877">IF(BA125="","","|n"&amp;EG$2&amp;"+"&amp;BA125&amp;EG$1)</f>
        <v/>
      </c>
      <c r="EH125" s="66" t="str">
        <f t="shared" ref="EH125:EH126" si="1878">IF(BB125="","","|n"&amp;EH$2&amp;"+"&amp;BB125&amp;EH$1)</f>
        <v/>
      </c>
      <c r="EI125" s="66" t="str">
        <f t="shared" ref="EI125:EI126" si="1879">IF(BC125="","","|n"&amp;EI$2&amp;"+"&amp;BC125&amp;EI$1)</f>
        <v/>
      </c>
      <c r="EJ125" s="66" t="str">
        <f t="shared" ref="EJ125:EJ126" si="1880">IF(BD125="","","|n"&amp;EJ$2&amp;"+"&amp;BD125&amp;EJ$1)</f>
        <v/>
      </c>
      <c r="EK125" s="66" t="str">
        <f t="shared" ref="EK125:EK126" si="1881">IF(BE125="","","|n"&amp;EK$2&amp;"+"&amp;BE125&amp;EK$1)</f>
        <v/>
      </c>
      <c r="EL125" s="66" t="str">
        <f t="shared" ref="EL125:EL126" si="1882">IF(BF125="","","|n"&amp;EL$2&amp;"+"&amp;BF125&amp;EL$1)</f>
        <v/>
      </c>
      <c r="EM125" s="66" t="str">
        <f t="shared" ref="EM125:EM126" si="1883">IF(BG125="","","|n"&amp;EM$2&amp;"+"&amp;BG125&amp;EM$1)</f>
        <v/>
      </c>
      <c r="EN125" s="66" t="str">
        <f t="shared" ref="EN125:EN126" si="1884">IF(BH125="","","|n"&amp;EN$2&amp;"+"&amp;BH125&amp;EN$1)</f>
        <v/>
      </c>
      <c r="EO125" s="66" t="str">
        <f t="shared" ref="EO125:EO126" si="1885">IF(BI125="","","|n"&amp;EO$2&amp;"+"&amp;BI125&amp;EO$1)</f>
        <v/>
      </c>
      <c r="EP125" s="66" t="str">
        <f t="shared" ref="EP125:EP126" si="1886">IF(BJ125="","","|n"&amp;EP$2&amp;"+"&amp;BJ125&amp;EP$1)</f>
        <v>|n金币加成+20</v>
      </c>
      <c r="EQ125" s="66" t="str">
        <f t="shared" ref="EQ125:EQ126" si="1887">IF(BK125="","","|n"&amp;EQ$2&amp;"+"&amp;BK125&amp;EQ$1)</f>
        <v/>
      </c>
      <c r="ER125" s="66" t="str">
        <f t="shared" ref="ER125:ER126" si="1888">IF(BL125="","","|n"&amp;ER$2&amp;"+"&amp;BL125&amp;ER$1)</f>
        <v/>
      </c>
      <c r="ES125" s="66" t="str">
        <f t="shared" ref="ES125:ES126" si="1889">IF(BM125="","","|n"&amp;ES$2&amp;"+"&amp;BM125&amp;ES$1)</f>
        <v/>
      </c>
      <c r="ET125" s="66" t="str">
        <f t="shared" ref="ET125:ET126" si="1890">IF(BN125="","","|n"&amp;ET$2&amp;"+"&amp;BN125&amp;ET$1)</f>
        <v/>
      </c>
      <c r="EU125" s="66" t="str">
        <f t="shared" ref="EU125:EU126" si="1891">IF(BO125="","","|n"&amp;EU$2&amp;"+"&amp;BO125&amp;EU$1)</f>
        <v/>
      </c>
      <c r="EV125" s="66" t="str">
        <f t="shared" ref="EV125:EV126" si="1892">IF(BP125="","","|n"&amp;EV$2&amp;"+"&amp;BP125&amp;EV$1)</f>
        <v/>
      </c>
      <c r="EW125" s="66" t="str">
        <f t="shared" ref="EW125:EW126" si="1893">IF(BQ125="","","|n"&amp;EW$2&amp;"+"&amp;BQ125&amp;EW$1)</f>
        <v/>
      </c>
      <c r="EX125" s="66" t="str">
        <f t="shared" ref="EX125:EX126" si="1894">IF(BR125="","","|n"&amp;EX$2&amp;"+"&amp;BR125&amp;EX$1)</f>
        <v/>
      </c>
      <c r="EY125" s="66" t="str">
        <f t="shared" ref="EY125:EY126" si="1895">IF(BS125="","","|n"&amp;EY$2&amp;"+"&amp;BS125&amp;EY$1)</f>
        <v/>
      </c>
      <c r="EZ125" s="66" t="str">
        <f t="shared" ref="EZ125:EZ126" si="1896">IF(BT125="","","|n"&amp;EZ$2&amp;"+"&amp;BT125&amp;EZ$1)</f>
        <v/>
      </c>
      <c r="FA125" s="66" t="str">
        <f t="shared" ref="FA125:FA126" si="1897">IF(BU125="","","|n"&amp;FA$2&amp;"+"&amp;BU125&amp;FA$1)</f>
        <v/>
      </c>
      <c r="FB125" s="66" t="str">
        <f t="shared" ref="FB125:FB126" si="1898">IF(BV125="","","|n"&amp;FB$2&amp;"+"&amp;BV125&amp;FB$1)</f>
        <v/>
      </c>
      <c r="FC125" s="66" t="str">
        <f t="shared" ref="FC125:FC126" si="1899">IF(BW125="","","|n"&amp;FC$2&amp;"+"&amp;BW125&amp;FC$1)</f>
        <v/>
      </c>
      <c r="FD125" s="66" t="str">
        <f t="shared" ref="FD125:FD126" si="1900">IF(BX125="","","|n"&amp;FD$2&amp;"+"&amp;BX125&amp;FD$1)</f>
        <v/>
      </c>
      <c r="FE125" s="66" t="str">
        <f t="shared" ref="FE125:FE126" si="1901">IF(BY125="","","|n"&amp;FE$2&amp;"+"&amp;BY125&amp;FE$1)</f>
        <v/>
      </c>
      <c r="FF125" s="66" t="str">
        <f t="shared" ref="FF125:FF126" si="1902">IF(BZ125="","","|n"&amp;FF$2&amp;"+"&amp;BZ125&amp;FF$1)</f>
        <v/>
      </c>
      <c r="FG125" s="66" t="str">
        <f t="shared" ref="FG125:FG126" si="1903">IF(CA125="","","|n"&amp;FG$2&amp;"+"&amp;CA125&amp;FG$1)</f>
        <v/>
      </c>
      <c r="FH125" s="66" t="str">
        <f t="shared" ref="FH125:FH126" si="1904">IF(CB125="","","|n"&amp;FH$2&amp;"+"&amp;CB125&amp;FH$1)</f>
        <v/>
      </c>
      <c r="FI125" s="66" t="str">
        <f t="shared" ref="FI125:FI126" si="1905">IF(CC125="","","|n"&amp;FI$2&amp;"+"&amp;CC125&amp;FI$1)</f>
        <v/>
      </c>
      <c r="FJ125" s="66" t="str">
        <f t="shared" ref="FJ125:FJ126" si="1906">IF(CD125="","","|n"&amp;FJ$2&amp;"+"&amp;CD125&amp;FJ$1)</f>
        <v/>
      </c>
      <c r="FK125" s="66" t="str">
        <f t="shared" ref="FK125:FK126" si="1907">IF(CE125="","","|n"&amp;FK$2&amp;"+"&amp;CE125&amp;FK$1)</f>
        <v/>
      </c>
      <c r="FL125" s="66" t="str">
        <f t="shared" ref="FL125:FL126" si="1908">IF(CF125="","","|n"&amp;FL$2&amp;"+"&amp;CF125&amp;FL$1)</f>
        <v/>
      </c>
      <c r="FM125" s="66" t="str">
        <f t="shared" ref="FM125:FM126" si="1909">IF(CG125="","","|n"&amp;FM$2&amp;"+"&amp;CG125&amp;FM$1)</f>
        <v/>
      </c>
      <c r="FN125" s="66" t="str">
        <f t="shared" ref="FN125:FN126" si="1910">IF(CH125="","","|n"&amp;FN$2&amp;"+"&amp;CH125&amp;FN$1)</f>
        <v/>
      </c>
      <c r="FO125" s="66" t="str">
        <f t="shared" ref="FO125:FO126" si="1911">IF(CI125="","","|n"&amp;FO$2&amp;"+"&amp;CI125&amp;FO$1)</f>
        <v/>
      </c>
      <c r="FP125" s="66" t="str">
        <f t="shared" ref="FP125:FP126" si="1912">IF(CJ125="","","|n"&amp;FP$2&amp;"+"&amp;CJ125&amp;FP$1)</f>
        <v/>
      </c>
      <c r="FQ125" s="66" t="str">
        <f t="shared" ref="FQ125:FQ126" si="1913">IF(CK125="","","|n"&amp;FQ$2&amp;"+"&amp;CK125&amp;FQ$1)</f>
        <v/>
      </c>
      <c r="FR125" s="66" t="str">
        <f t="shared" ref="FR125:FR126" si="1914">IF(CL125="","","|n"&amp;FR$2&amp;"+"&amp;CL125&amp;FR$1)</f>
        <v/>
      </c>
      <c r="FS125" s="66" t="str">
        <f t="shared" ref="FS125:FS126" si="1915">IF(CM125="","","|n"&amp;FS$2&amp;"+"&amp;CM125&amp;FS$1)</f>
        <v/>
      </c>
    </row>
    <row r="126" spans="1:175" ht="16.5">
      <c r="A126" s="9"/>
      <c r="B126" s="9" t="s">
        <v>498</v>
      </c>
      <c r="C126" s="16" t="s">
        <v>499</v>
      </c>
      <c r="T126" s="11" t="s">
        <v>500</v>
      </c>
      <c r="U126" s="77" t="s">
        <v>501</v>
      </c>
      <c r="V126" s="78"/>
      <c r="W126" s="78"/>
      <c r="X126" s="78">
        <v>30</v>
      </c>
      <c r="Y126" s="78"/>
      <c r="Z126" s="78"/>
      <c r="AA126" s="78"/>
      <c r="AB126" s="78"/>
      <c r="AC126" s="78"/>
      <c r="AD126" s="78"/>
      <c r="AE126" s="78"/>
      <c r="AF126" s="78"/>
      <c r="AG126" s="81"/>
      <c r="AH126" s="78"/>
      <c r="AI126" s="78"/>
      <c r="AJ126" s="78"/>
      <c r="AK126" s="78"/>
      <c r="AL126" s="81"/>
      <c r="AM126" s="78"/>
      <c r="AN126" s="78"/>
      <c r="AO126" s="78"/>
      <c r="AP126" s="78"/>
      <c r="AQ126" s="78"/>
      <c r="AR126" s="81"/>
      <c r="AS126" s="81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/>
      <c r="BI126" s="78"/>
      <c r="BJ126" s="78">
        <v>25</v>
      </c>
      <c r="CN126" s="36" t="str">
        <f t="shared" si="1547"/>
        <v>InitUnitState('I013',,,30,,,,,,,)</v>
      </c>
      <c r="CO126" s="36" t="str">
        <f t="shared" si="1548"/>
        <v>InitUnitNormal('I013',,,,,,,,,,)</v>
      </c>
      <c r="CP126" s="36" t="str">
        <f t="shared" si="1549"/>
        <v>InitUnitMagic('I013',,,,,,,,,,25)</v>
      </c>
      <c r="CQ126" s="36" t="str">
        <f t="shared" si="1550"/>
        <v>InitUnitAdd('I013',,,,,,,,,,)</v>
      </c>
      <c r="CR126" s="36" t="str">
        <f t="shared" si="1843"/>
        <v>InitEquipData('I013',,"",,,,,'','','','','','',"ReplaceableTextures\\CommandButtons\\BTNIT04.blp")</v>
      </c>
      <c r="CU126" s="88" t="str">
        <f t="shared" si="1844"/>
        <v>|n护甲+30|n金币加成+25|n</v>
      </c>
      <c r="CV126" s="19" t="str">
        <f t="shared" si="1845"/>
        <v>护甲|cffffd24d+100|n|r金币加成|cffffd24d+25%|n|n|r击杀1000个敌人后奖励：|n|cffffd24d9000~14000|r金币|n|cffcc99ff4000-7000|r业力|n|n|cff00ff7f同时只能携带一个招魂幡|r</v>
      </c>
      <c r="CW126" s="33"/>
      <c r="CX126" s="33"/>
      <c r="CY126" s="33"/>
      <c r="CZ126" s="33"/>
      <c r="DA126" s="33"/>
      <c r="DB126" s="66" t="str">
        <f t="shared" si="1846"/>
        <v/>
      </c>
      <c r="DC126" s="66" t="str">
        <f t="shared" si="1847"/>
        <v/>
      </c>
      <c r="DD126" s="66" t="str">
        <f t="shared" si="1848"/>
        <v>|n护甲+30</v>
      </c>
      <c r="DE126" s="66" t="str">
        <f t="shared" si="1849"/>
        <v/>
      </c>
      <c r="DF126" s="66" t="str">
        <f t="shared" si="1850"/>
        <v/>
      </c>
      <c r="DG126" s="66" t="str">
        <f t="shared" si="1851"/>
        <v/>
      </c>
      <c r="DH126" s="66" t="str">
        <f t="shared" si="1852"/>
        <v/>
      </c>
      <c r="DI126" s="66" t="str">
        <f t="shared" si="1853"/>
        <v/>
      </c>
      <c r="DJ126" s="66" t="str">
        <f t="shared" si="1854"/>
        <v/>
      </c>
      <c r="DK126" s="66" t="str">
        <f t="shared" si="1855"/>
        <v/>
      </c>
      <c r="DL126" s="66" t="str">
        <f t="shared" si="1856"/>
        <v/>
      </c>
      <c r="DM126" s="66" t="str">
        <f t="shared" si="1857"/>
        <v/>
      </c>
      <c r="DN126" s="66" t="str">
        <f t="shared" si="1858"/>
        <v/>
      </c>
      <c r="DO126" s="66" t="str">
        <f t="shared" si="1859"/>
        <v/>
      </c>
      <c r="DP126" s="66" t="str">
        <f t="shared" si="1860"/>
        <v/>
      </c>
      <c r="DQ126" s="66" t="str">
        <f t="shared" si="1861"/>
        <v/>
      </c>
      <c r="DR126" s="66" t="str">
        <f t="shared" si="1862"/>
        <v/>
      </c>
      <c r="DS126" s="66" t="str">
        <f t="shared" si="1863"/>
        <v/>
      </c>
      <c r="DT126" s="66" t="str">
        <f t="shared" si="1864"/>
        <v/>
      </c>
      <c r="DU126" s="66" t="str">
        <f t="shared" si="1865"/>
        <v/>
      </c>
      <c r="DV126" s="66" t="str">
        <f t="shared" si="1866"/>
        <v/>
      </c>
      <c r="DW126" s="66" t="str">
        <f t="shared" si="1867"/>
        <v/>
      </c>
      <c r="DX126" s="66" t="str">
        <f t="shared" si="1868"/>
        <v/>
      </c>
      <c r="DY126" s="66" t="str">
        <f t="shared" si="1869"/>
        <v/>
      </c>
      <c r="DZ126" s="66" t="str">
        <f t="shared" si="1870"/>
        <v/>
      </c>
      <c r="EA126" s="66" t="str">
        <f t="shared" si="1871"/>
        <v/>
      </c>
      <c r="EB126" s="66" t="str">
        <f t="shared" si="1872"/>
        <v/>
      </c>
      <c r="EC126" s="66" t="str">
        <f t="shared" si="1873"/>
        <v/>
      </c>
      <c r="ED126" s="66" t="str">
        <f t="shared" si="1874"/>
        <v/>
      </c>
      <c r="EE126" s="66" t="str">
        <f t="shared" si="1875"/>
        <v/>
      </c>
      <c r="EF126" s="66" t="str">
        <f t="shared" si="1876"/>
        <v/>
      </c>
      <c r="EG126" s="66" t="str">
        <f t="shared" si="1877"/>
        <v/>
      </c>
      <c r="EH126" s="66" t="str">
        <f t="shared" si="1878"/>
        <v/>
      </c>
      <c r="EI126" s="66" t="str">
        <f t="shared" si="1879"/>
        <v/>
      </c>
      <c r="EJ126" s="66" t="str">
        <f t="shared" si="1880"/>
        <v/>
      </c>
      <c r="EK126" s="66" t="str">
        <f t="shared" si="1881"/>
        <v/>
      </c>
      <c r="EL126" s="66" t="str">
        <f t="shared" si="1882"/>
        <v/>
      </c>
      <c r="EM126" s="66" t="str">
        <f t="shared" si="1883"/>
        <v/>
      </c>
      <c r="EN126" s="66" t="str">
        <f t="shared" si="1884"/>
        <v/>
      </c>
      <c r="EO126" s="66" t="str">
        <f t="shared" si="1885"/>
        <v/>
      </c>
      <c r="EP126" s="66" t="str">
        <f t="shared" si="1886"/>
        <v>|n金币加成+25</v>
      </c>
      <c r="EQ126" s="66" t="str">
        <f t="shared" si="1887"/>
        <v/>
      </c>
      <c r="ER126" s="66" t="str">
        <f t="shared" si="1888"/>
        <v/>
      </c>
      <c r="ES126" s="66" t="str">
        <f t="shared" si="1889"/>
        <v/>
      </c>
      <c r="ET126" s="66" t="str">
        <f t="shared" si="1890"/>
        <v/>
      </c>
      <c r="EU126" s="66" t="str">
        <f t="shared" si="1891"/>
        <v/>
      </c>
      <c r="EV126" s="66" t="str">
        <f t="shared" si="1892"/>
        <v/>
      </c>
      <c r="EW126" s="66" t="str">
        <f t="shared" si="1893"/>
        <v/>
      </c>
      <c r="EX126" s="66" t="str">
        <f t="shared" si="1894"/>
        <v/>
      </c>
      <c r="EY126" s="66" t="str">
        <f t="shared" si="1895"/>
        <v/>
      </c>
      <c r="EZ126" s="66" t="str">
        <f t="shared" si="1896"/>
        <v/>
      </c>
      <c r="FA126" s="66" t="str">
        <f t="shared" si="1897"/>
        <v/>
      </c>
      <c r="FB126" s="66" t="str">
        <f t="shared" si="1898"/>
        <v/>
      </c>
      <c r="FC126" s="66" t="str">
        <f t="shared" si="1899"/>
        <v/>
      </c>
      <c r="FD126" s="66" t="str">
        <f t="shared" si="1900"/>
        <v/>
      </c>
      <c r="FE126" s="66" t="str">
        <f t="shared" si="1901"/>
        <v/>
      </c>
      <c r="FF126" s="66" t="str">
        <f t="shared" si="1902"/>
        <v/>
      </c>
      <c r="FG126" s="66" t="str">
        <f t="shared" si="1903"/>
        <v/>
      </c>
      <c r="FH126" s="66" t="str">
        <f t="shared" si="1904"/>
        <v/>
      </c>
      <c r="FI126" s="66" t="str">
        <f t="shared" si="1905"/>
        <v/>
      </c>
      <c r="FJ126" s="66" t="str">
        <f t="shared" si="1906"/>
        <v/>
      </c>
      <c r="FK126" s="66" t="str">
        <f t="shared" si="1907"/>
        <v/>
      </c>
      <c r="FL126" s="66" t="str">
        <f t="shared" si="1908"/>
        <v/>
      </c>
      <c r="FM126" s="66" t="str">
        <f t="shared" si="1909"/>
        <v/>
      </c>
      <c r="FN126" s="66" t="str">
        <f t="shared" si="1910"/>
        <v/>
      </c>
      <c r="FO126" s="66" t="str">
        <f t="shared" si="1911"/>
        <v/>
      </c>
      <c r="FP126" s="66" t="str">
        <f t="shared" si="1912"/>
        <v/>
      </c>
      <c r="FQ126" s="66" t="str">
        <f t="shared" si="1913"/>
        <v/>
      </c>
      <c r="FR126" s="66" t="str">
        <f t="shared" si="1914"/>
        <v/>
      </c>
      <c r="FS126" s="66" t="str">
        <f t="shared" si="1915"/>
        <v/>
      </c>
    </row>
    <row r="127" spans="1:175" ht="16.5">
      <c r="A127" s="9"/>
      <c r="B127" s="9" t="s">
        <v>502</v>
      </c>
      <c r="C127" s="16" t="s">
        <v>503</v>
      </c>
      <c r="T127" s="11" t="s">
        <v>504</v>
      </c>
      <c r="U127" s="77" t="s">
        <v>505</v>
      </c>
      <c r="V127" s="78"/>
      <c r="W127" s="78"/>
      <c r="X127" s="78">
        <v>40</v>
      </c>
      <c r="Y127" s="78"/>
      <c r="Z127" s="78"/>
      <c r="AA127" s="78"/>
      <c r="AB127" s="78"/>
      <c r="AC127" s="78"/>
      <c r="AD127" s="78"/>
      <c r="AE127" s="78"/>
      <c r="AF127" s="78"/>
      <c r="AG127" s="81"/>
      <c r="AH127" s="78"/>
      <c r="AI127" s="78"/>
      <c r="AJ127" s="78"/>
      <c r="AK127" s="78"/>
      <c r="AL127" s="81"/>
      <c r="AM127" s="78"/>
      <c r="AN127" s="78"/>
      <c r="AO127" s="78"/>
      <c r="AP127" s="78"/>
      <c r="AQ127" s="78"/>
      <c r="AR127" s="81"/>
      <c r="AS127" s="81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  <c r="BF127" s="78"/>
      <c r="BG127" s="78"/>
      <c r="BH127" s="78"/>
      <c r="BI127" s="78"/>
      <c r="BJ127" s="78">
        <v>30</v>
      </c>
      <c r="CN127" s="36" t="str">
        <f t="shared" si="1547"/>
        <v>InitUnitState('I014',,,40,,,,,,,)</v>
      </c>
      <c r="CO127" s="36" t="str">
        <f t="shared" si="1548"/>
        <v>InitUnitNormal('I014',,,,,,,,,,)</v>
      </c>
      <c r="CP127" s="36" t="str">
        <f t="shared" si="1549"/>
        <v>InitUnitMagic('I014',,,,,,,,,,30)</v>
      </c>
      <c r="CQ127" s="36" t="str">
        <f t="shared" si="1550"/>
        <v>InitUnitAdd('I014',,,,,,,,,,)</v>
      </c>
      <c r="CR127" s="36" t="str">
        <f t="shared" si="1843"/>
        <v>InitEquipData('I014',,"",,,,,'','','','','','',"ReplaceableTextures\\CommandButtons\\BTNIT05.blp")</v>
      </c>
      <c r="CU127" s="88" t="str">
        <f t="shared" ref="CU127:CU137" si="191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19" t="str">
        <f t="shared" ref="CV127:CV137" si="1917">T127</f>
        <v>护甲|cffffd24d+200|n|r金币加成|cffffd24d+30%|n|n|r击杀1000个敌人后奖励：|n|cffffd24d10000~15000|r金币|n|cffcc99ff5000-8000|r业力|n|n|cff00ff7f同时只能携带一个招魂幡|r</v>
      </c>
      <c r="CW127" s="33"/>
      <c r="CX127" s="33"/>
      <c r="CY127" s="33"/>
      <c r="CZ127" s="33"/>
      <c r="DA127" s="33"/>
      <c r="DB127" s="66" t="str">
        <f t="shared" ref="DB127:DB137" si="1918">IF(V127="","","|n"&amp;DB$2&amp;"+"&amp;V127&amp;DB$1)</f>
        <v/>
      </c>
      <c r="DC127" s="66" t="str">
        <f t="shared" ref="DC127:DC137" si="1919">IF(W127="","","|n"&amp;DC$2&amp;"+"&amp;W127&amp;DC$1)</f>
        <v/>
      </c>
      <c r="DD127" s="66" t="str">
        <f t="shared" ref="DD127:DD137" si="1920">IF(X127="","","|n"&amp;DD$2&amp;"+"&amp;X127&amp;DD$1)</f>
        <v>|n护甲+40</v>
      </c>
      <c r="DE127" s="66" t="str">
        <f t="shared" ref="DE127:DE137" si="1921">IF(Y127="","","|n"&amp;DE$2&amp;"+"&amp;Y127&amp;DE$1)</f>
        <v/>
      </c>
      <c r="DF127" s="66" t="str">
        <f t="shared" ref="DF127:DF137" si="1922">IF(Z127="","","|n"&amp;DF$2&amp;"+"&amp;Z127&amp;DF$1)</f>
        <v/>
      </c>
      <c r="DG127" s="66" t="str">
        <f t="shared" ref="DG127:DG137" si="1923">IF(AA127="","","|n"&amp;DG$2&amp;"+"&amp;AA127&amp;DG$1)</f>
        <v/>
      </c>
      <c r="DH127" s="66" t="str">
        <f t="shared" ref="DH127:DH137" si="1924">IF(AB127="","","|n"&amp;DH$2&amp;"+"&amp;AB127&amp;DH$1)</f>
        <v/>
      </c>
      <c r="DI127" s="66" t="str">
        <f t="shared" ref="DI127:DI137" si="1925">IF(AC127="","","|n"&amp;DI$2&amp;"+"&amp;AC127&amp;DI$1)</f>
        <v/>
      </c>
      <c r="DJ127" s="66" t="str">
        <f t="shared" ref="DJ127:DJ137" si="1926">IF(AD127="","","|n"&amp;DJ$2&amp;"+"&amp;AD127&amp;DJ$1)</f>
        <v/>
      </c>
      <c r="DK127" s="66" t="str">
        <f t="shared" ref="DK127:DK137" si="1927">IF(AE127="","","|n"&amp;DK$2&amp;"+"&amp;AE127&amp;DK$1)</f>
        <v/>
      </c>
      <c r="DL127" s="66" t="str">
        <f t="shared" ref="DL127:DL137" si="1928">IF(AF127="","","|n"&amp;DL$2&amp;"+"&amp;AF127&amp;DL$1)</f>
        <v/>
      </c>
      <c r="DM127" s="66" t="str">
        <f t="shared" ref="DM127:DM137" si="1929">IF(AG127="","","|n"&amp;DM$2&amp;"+"&amp;AG127&amp;DM$1)</f>
        <v/>
      </c>
      <c r="DN127" s="66" t="str">
        <f t="shared" ref="DN127:DN137" si="1930">IF(AH127="","","|n"&amp;DN$2&amp;"+"&amp;AH127&amp;DN$1)</f>
        <v/>
      </c>
      <c r="DO127" s="66" t="str">
        <f t="shared" ref="DO127:DO137" si="1931">IF(AI127="","","|n"&amp;DO$2&amp;"+"&amp;AI127&amp;DO$1)</f>
        <v/>
      </c>
      <c r="DP127" s="66" t="str">
        <f t="shared" ref="DP127:DP137" si="1932">IF(AJ127="","","|n"&amp;DP$2&amp;"+"&amp;AJ127&amp;DP$1)</f>
        <v/>
      </c>
      <c r="DQ127" s="66" t="str">
        <f t="shared" ref="DQ127:DQ137" si="1933">IF(AK127="","","|n"&amp;DQ$2&amp;"+"&amp;AK127&amp;DQ$1)</f>
        <v/>
      </c>
      <c r="DR127" s="66" t="str">
        <f t="shared" ref="DR127:DR137" si="1934">IF(AL127="","","|n"&amp;DR$2&amp;"+"&amp;AL127&amp;DR$1)</f>
        <v/>
      </c>
      <c r="DS127" s="66" t="str">
        <f t="shared" ref="DS127:DS137" si="1935">IF(AM127="","","|n"&amp;DS$2&amp;"+"&amp;AM127&amp;DS$1)</f>
        <v/>
      </c>
      <c r="DT127" s="66" t="str">
        <f t="shared" ref="DT127:DT137" si="1936">IF(AN127="","","|n"&amp;DT$2&amp;"+"&amp;AN127&amp;DT$1)</f>
        <v/>
      </c>
      <c r="DU127" s="66" t="str">
        <f t="shared" ref="DU127:DU137" si="1937">IF(AO127="","","|n"&amp;DU$2&amp;"+"&amp;AO127&amp;DU$1)</f>
        <v/>
      </c>
      <c r="DV127" s="66" t="str">
        <f t="shared" ref="DV127:DV137" si="1938">IF(AP127="","","|n"&amp;DV$2&amp;"+"&amp;AP127&amp;DV$1)</f>
        <v/>
      </c>
      <c r="DW127" s="66" t="str">
        <f t="shared" ref="DW127:DW137" si="1939">IF(AQ127="","","|n"&amp;DW$2&amp;"+"&amp;AQ127&amp;DW$1)</f>
        <v/>
      </c>
      <c r="DX127" s="66" t="str">
        <f t="shared" ref="DX127:DX137" si="1940">IF(AR127="","","|n"&amp;DX$2&amp;"+"&amp;AR127&amp;DX$1)</f>
        <v/>
      </c>
      <c r="DY127" s="66" t="str">
        <f t="shared" ref="DY127:DY137" si="1941">IF(AS127="","","|n"&amp;DY$2&amp;"+"&amp;AS127&amp;DY$1)</f>
        <v/>
      </c>
      <c r="DZ127" s="66" t="str">
        <f t="shared" ref="DZ127:DZ137" si="1942">IF(AT127="","","|n"&amp;DZ$2&amp;"+"&amp;AT127&amp;DZ$1)</f>
        <v/>
      </c>
      <c r="EA127" s="66" t="str">
        <f t="shared" ref="EA127:EA137" si="1943">IF(AU127="","","|n"&amp;EA$2&amp;"+"&amp;AU127&amp;EA$1)</f>
        <v/>
      </c>
      <c r="EB127" s="66" t="str">
        <f t="shared" ref="EB127:EB137" si="1944">IF(AV127="","","|n"&amp;EB$2&amp;"+"&amp;AV127&amp;EB$1)</f>
        <v/>
      </c>
      <c r="EC127" s="66" t="str">
        <f t="shared" ref="EC127:EC137" si="1945">IF(AW127="","","|n"&amp;EC$2&amp;"+"&amp;AW127&amp;EC$1)</f>
        <v/>
      </c>
      <c r="ED127" s="66" t="str">
        <f t="shared" ref="ED127:ED137" si="1946">IF(AX127="","","|n"&amp;ED$2&amp;"+"&amp;AX127&amp;ED$1)</f>
        <v/>
      </c>
      <c r="EE127" s="66" t="str">
        <f t="shared" ref="EE127:EE137" si="1947">IF(AY127="","","|n"&amp;EE$2&amp;"+"&amp;AY127&amp;EE$1)</f>
        <v/>
      </c>
      <c r="EF127" s="66" t="str">
        <f t="shared" ref="EF127:EF137" si="1948">IF(AZ127="","","|n"&amp;EF$2&amp;"+"&amp;AZ127&amp;EF$1)</f>
        <v/>
      </c>
      <c r="EG127" s="66" t="str">
        <f t="shared" ref="EG127:EG137" si="1949">IF(BA127="","","|n"&amp;EG$2&amp;"+"&amp;BA127&amp;EG$1)</f>
        <v/>
      </c>
      <c r="EH127" s="66" t="str">
        <f t="shared" ref="EH127:EH137" si="1950">IF(BB127="","","|n"&amp;EH$2&amp;"+"&amp;BB127&amp;EH$1)</f>
        <v/>
      </c>
      <c r="EI127" s="66" t="str">
        <f t="shared" ref="EI127:EI137" si="1951">IF(BC127="","","|n"&amp;EI$2&amp;"+"&amp;BC127&amp;EI$1)</f>
        <v/>
      </c>
      <c r="EJ127" s="66" t="str">
        <f t="shared" ref="EJ127:EJ137" si="1952">IF(BD127="","","|n"&amp;EJ$2&amp;"+"&amp;BD127&amp;EJ$1)</f>
        <v/>
      </c>
      <c r="EK127" s="66" t="str">
        <f t="shared" ref="EK127:EK137" si="1953">IF(BE127="","","|n"&amp;EK$2&amp;"+"&amp;BE127&amp;EK$1)</f>
        <v/>
      </c>
      <c r="EL127" s="66" t="str">
        <f t="shared" ref="EL127:EL137" si="1954">IF(BF127="","","|n"&amp;EL$2&amp;"+"&amp;BF127&amp;EL$1)</f>
        <v/>
      </c>
      <c r="EM127" s="66" t="str">
        <f t="shared" ref="EM127:EM137" si="1955">IF(BG127="","","|n"&amp;EM$2&amp;"+"&amp;BG127&amp;EM$1)</f>
        <v/>
      </c>
      <c r="EN127" s="66" t="str">
        <f t="shared" ref="EN127:EN137" si="1956">IF(BH127="","","|n"&amp;EN$2&amp;"+"&amp;BH127&amp;EN$1)</f>
        <v/>
      </c>
      <c r="EO127" s="66" t="str">
        <f t="shared" ref="EO127:EO137" si="1957">IF(BI127="","","|n"&amp;EO$2&amp;"+"&amp;BI127&amp;EO$1)</f>
        <v/>
      </c>
      <c r="EP127" s="66" t="str">
        <f t="shared" ref="EP127:EP137" si="1958">IF(BJ127="","","|n"&amp;EP$2&amp;"+"&amp;BJ127&amp;EP$1)</f>
        <v>|n金币加成+30</v>
      </c>
      <c r="EQ127" s="66" t="str">
        <f t="shared" ref="EQ127:EQ137" si="1959">IF(BK127="","","|n"&amp;EQ$2&amp;"+"&amp;BK127&amp;EQ$1)</f>
        <v/>
      </c>
      <c r="ER127" s="66" t="str">
        <f t="shared" ref="ER127:ER137" si="1960">IF(BL127="","","|n"&amp;ER$2&amp;"+"&amp;BL127&amp;ER$1)</f>
        <v/>
      </c>
      <c r="ES127" s="66" t="str">
        <f t="shared" ref="ES127:ES137" si="1961">IF(BM127="","","|n"&amp;ES$2&amp;"+"&amp;BM127&amp;ES$1)</f>
        <v/>
      </c>
      <c r="ET127" s="66" t="str">
        <f t="shared" ref="ET127:ET137" si="1962">IF(BN127="","","|n"&amp;ET$2&amp;"+"&amp;BN127&amp;ET$1)</f>
        <v/>
      </c>
      <c r="EU127" s="66" t="str">
        <f t="shared" ref="EU127:EU137" si="1963">IF(BO127="","","|n"&amp;EU$2&amp;"+"&amp;BO127&amp;EU$1)</f>
        <v/>
      </c>
      <c r="EV127" s="66" t="str">
        <f t="shared" ref="EV127:EV137" si="1964">IF(BP127="","","|n"&amp;EV$2&amp;"+"&amp;BP127&amp;EV$1)</f>
        <v/>
      </c>
      <c r="EW127" s="66" t="str">
        <f t="shared" ref="EW127:EW137" si="1965">IF(BQ127="","","|n"&amp;EW$2&amp;"+"&amp;BQ127&amp;EW$1)</f>
        <v/>
      </c>
      <c r="EX127" s="66" t="str">
        <f t="shared" ref="EX127:EX137" si="1966">IF(BR127="","","|n"&amp;EX$2&amp;"+"&amp;BR127&amp;EX$1)</f>
        <v/>
      </c>
      <c r="EY127" s="66" t="str">
        <f t="shared" ref="EY127:EY137" si="1967">IF(BS127="","","|n"&amp;EY$2&amp;"+"&amp;BS127&amp;EY$1)</f>
        <v/>
      </c>
      <c r="EZ127" s="66" t="str">
        <f t="shared" ref="EZ127:EZ137" si="1968">IF(BT127="","","|n"&amp;EZ$2&amp;"+"&amp;BT127&amp;EZ$1)</f>
        <v/>
      </c>
      <c r="FA127" s="66" t="str">
        <f t="shared" ref="FA127:FA137" si="1969">IF(BU127="","","|n"&amp;FA$2&amp;"+"&amp;BU127&amp;FA$1)</f>
        <v/>
      </c>
      <c r="FB127" s="66" t="str">
        <f t="shared" ref="FB127:FB137" si="1970">IF(BV127="","","|n"&amp;FB$2&amp;"+"&amp;BV127&amp;FB$1)</f>
        <v/>
      </c>
      <c r="FC127" s="66" t="str">
        <f t="shared" ref="FC127:FC137" si="1971">IF(BW127="","","|n"&amp;FC$2&amp;"+"&amp;BW127&amp;FC$1)</f>
        <v/>
      </c>
      <c r="FD127" s="66" t="str">
        <f t="shared" ref="FD127:FD137" si="1972">IF(BX127="","","|n"&amp;FD$2&amp;"+"&amp;BX127&amp;FD$1)</f>
        <v/>
      </c>
      <c r="FE127" s="66" t="str">
        <f t="shared" ref="FE127:FE137" si="1973">IF(BY127="","","|n"&amp;FE$2&amp;"+"&amp;BY127&amp;FE$1)</f>
        <v/>
      </c>
      <c r="FF127" s="66" t="str">
        <f t="shared" ref="FF127:FF137" si="1974">IF(BZ127="","","|n"&amp;FF$2&amp;"+"&amp;BZ127&amp;FF$1)</f>
        <v/>
      </c>
      <c r="FG127" s="66" t="str">
        <f t="shared" ref="FG127:FG137" si="1975">IF(CA127="","","|n"&amp;FG$2&amp;"+"&amp;CA127&amp;FG$1)</f>
        <v/>
      </c>
      <c r="FH127" s="66" t="str">
        <f t="shared" ref="FH127:FH137" si="1976">IF(CB127="","","|n"&amp;FH$2&amp;"+"&amp;CB127&amp;FH$1)</f>
        <v/>
      </c>
      <c r="FI127" s="66" t="str">
        <f t="shared" ref="FI127:FI137" si="1977">IF(CC127="","","|n"&amp;FI$2&amp;"+"&amp;CC127&amp;FI$1)</f>
        <v/>
      </c>
      <c r="FJ127" s="66" t="str">
        <f t="shared" ref="FJ127:FJ137" si="1978">IF(CD127="","","|n"&amp;FJ$2&amp;"+"&amp;CD127&amp;FJ$1)</f>
        <v/>
      </c>
      <c r="FK127" s="66" t="str">
        <f t="shared" ref="FK127:FK137" si="1979">IF(CE127="","","|n"&amp;FK$2&amp;"+"&amp;CE127&amp;FK$1)</f>
        <v/>
      </c>
      <c r="FL127" s="66" t="str">
        <f t="shared" ref="FL127:FL137" si="1980">IF(CF127="","","|n"&amp;FL$2&amp;"+"&amp;CF127&amp;FL$1)</f>
        <v/>
      </c>
      <c r="FM127" s="66" t="str">
        <f t="shared" ref="FM127:FM137" si="1981">IF(CG127="","","|n"&amp;FM$2&amp;"+"&amp;CG127&amp;FM$1)</f>
        <v/>
      </c>
      <c r="FN127" s="66" t="str">
        <f t="shared" ref="FN127:FN137" si="1982">IF(CH127="","","|n"&amp;FN$2&amp;"+"&amp;CH127&amp;FN$1)</f>
        <v/>
      </c>
      <c r="FO127" s="66" t="str">
        <f t="shared" ref="FO127:FO137" si="1983">IF(CI127="","","|n"&amp;FO$2&amp;"+"&amp;CI127&amp;FO$1)</f>
        <v/>
      </c>
      <c r="FP127" s="66" t="str">
        <f t="shared" ref="FP127:FP137" si="1984">IF(CJ127="","","|n"&amp;FP$2&amp;"+"&amp;CJ127&amp;FP$1)</f>
        <v/>
      </c>
      <c r="FQ127" s="66" t="str">
        <f t="shared" ref="FQ127:FQ137" si="1985">IF(CK127="","","|n"&amp;FQ$2&amp;"+"&amp;CK127&amp;FQ$1)</f>
        <v/>
      </c>
      <c r="FR127" s="66" t="str">
        <f t="shared" ref="FR127:FR137" si="1986">IF(CL127="","","|n"&amp;FR$2&amp;"+"&amp;CL127&amp;FR$1)</f>
        <v/>
      </c>
      <c r="FS127" s="66" t="str">
        <f t="shared" ref="FS127:FS137" si="1987">IF(CM127="","","|n"&amp;FS$2&amp;"+"&amp;CM127&amp;FS$1)</f>
        <v/>
      </c>
    </row>
    <row r="128" spans="1:175" ht="16.5">
      <c r="A128" s="9"/>
      <c r="B128" s="9" t="s">
        <v>506</v>
      </c>
      <c r="C128" s="16" t="s">
        <v>507</v>
      </c>
      <c r="T128" s="11" t="s">
        <v>508</v>
      </c>
      <c r="U128" s="77" t="s">
        <v>509</v>
      </c>
      <c r="V128" s="78"/>
      <c r="W128" s="78"/>
      <c r="X128" s="78">
        <v>50</v>
      </c>
      <c r="Y128" s="78"/>
      <c r="Z128" s="78"/>
      <c r="AA128" s="78"/>
      <c r="AB128" s="78"/>
      <c r="AC128" s="78"/>
      <c r="AD128" s="78"/>
      <c r="AE128" s="78"/>
      <c r="AF128" s="78"/>
      <c r="AG128" s="81"/>
      <c r="AH128" s="78"/>
      <c r="AI128" s="78"/>
      <c r="AJ128" s="78"/>
      <c r="AK128" s="78"/>
      <c r="AL128" s="81"/>
      <c r="AM128" s="78"/>
      <c r="AN128" s="78"/>
      <c r="AO128" s="78"/>
      <c r="AP128" s="78"/>
      <c r="AQ128" s="78"/>
      <c r="AR128" s="81"/>
      <c r="AS128" s="81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>
        <v>35</v>
      </c>
      <c r="CN128" s="36" t="str">
        <f t="shared" ref="CN128" si="1988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36" t="str">
        <f t="shared" ref="CO128" si="1989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36" t="str">
        <f t="shared" ref="CP128" si="1990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36" t="str">
        <f t="shared" ref="CQ128" si="1991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36" t="str">
        <f t="shared" si="1843"/>
        <v>InitEquipData('I015',,"",,,,,'','','','','','',"ReplaceableTextures\\CommandButtons\\BTNIT06.blp")</v>
      </c>
      <c r="CU128" s="88" t="str">
        <f t="shared" ref="CU128" si="1992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19" t="str">
        <f t="shared" ref="CV128" si="1993">T128</f>
        <v>护甲|cffffd24d+300|n|r金币加成|cffffd24d+35%|n|n|r击杀1000个敌人后奖励：|n|cffffd24d12000~17000|r金币|n|cffcc99ff6000-9000|r业力|n|n|cff00ff7f同时只能携带一个招魂幡|r</v>
      </c>
      <c r="CW128" s="33"/>
      <c r="CX128" s="33"/>
      <c r="CY128" s="33"/>
      <c r="CZ128" s="33"/>
      <c r="DA128" s="33"/>
      <c r="DB128" s="66" t="str">
        <f t="shared" ref="DB128" si="1994">IF(V128="","","|n"&amp;DB$2&amp;"+"&amp;V128&amp;DB$1)</f>
        <v/>
      </c>
      <c r="DC128" s="66" t="str">
        <f t="shared" ref="DC128" si="1995">IF(W128="","","|n"&amp;DC$2&amp;"+"&amp;W128&amp;DC$1)</f>
        <v/>
      </c>
      <c r="DD128" s="66" t="str">
        <f t="shared" ref="DD128" si="1996">IF(X128="","","|n"&amp;DD$2&amp;"+"&amp;X128&amp;DD$1)</f>
        <v>|n护甲+50</v>
      </c>
      <c r="DE128" s="66" t="str">
        <f t="shared" ref="DE128" si="1997">IF(Y128="","","|n"&amp;DE$2&amp;"+"&amp;Y128&amp;DE$1)</f>
        <v/>
      </c>
      <c r="DF128" s="66" t="str">
        <f t="shared" ref="DF128" si="1998">IF(Z128="","","|n"&amp;DF$2&amp;"+"&amp;Z128&amp;DF$1)</f>
        <v/>
      </c>
      <c r="DG128" s="66" t="str">
        <f t="shared" ref="DG128" si="1999">IF(AA128="","","|n"&amp;DG$2&amp;"+"&amp;AA128&amp;DG$1)</f>
        <v/>
      </c>
      <c r="DH128" s="66" t="str">
        <f t="shared" ref="DH128" si="2000">IF(AB128="","","|n"&amp;DH$2&amp;"+"&amp;AB128&amp;DH$1)</f>
        <v/>
      </c>
      <c r="DI128" s="66" t="str">
        <f t="shared" ref="DI128" si="2001">IF(AC128="","","|n"&amp;DI$2&amp;"+"&amp;AC128&amp;DI$1)</f>
        <v/>
      </c>
      <c r="DJ128" s="66" t="str">
        <f t="shared" ref="DJ128" si="2002">IF(AD128="","","|n"&amp;DJ$2&amp;"+"&amp;AD128&amp;DJ$1)</f>
        <v/>
      </c>
      <c r="DK128" s="66" t="str">
        <f t="shared" ref="DK128" si="2003">IF(AE128="","","|n"&amp;DK$2&amp;"+"&amp;AE128&amp;DK$1)</f>
        <v/>
      </c>
      <c r="DL128" s="66" t="str">
        <f t="shared" ref="DL128" si="2004">IF(AF128="","","|n"&amp;DL$2&amp;"+"&amp;AF128&amp;DL$1)</f>
        <v/>
      </c>
      <c r="DM128" s="66" t="str">
        <f t="shared" ref="DM128" si="2005">IF(AG128="","","|n"&amp;DM$2&amp;"+"&amp;AG128&amp;DM$1)</f>
        <v/>
      </c>
      <c r="DN128" s="66" t="str">
        <f t="shared" ref="DN128" si="2006">IF(AH128="","","|n"&amp;DN$2&amp;"+"&amp;AH128&amp;DN$1)</f>
        <v/>
      </c>
      <c r="DO128" s="66" t="str">
        <f t="shared" ref="DO128" si="2007">IF(AI128="","","|n"&amp;DO$2&amp;"+"&amp;AI128&amp;DO$1)</f>
        <v/>
      </c>
      <c r="DP128" s="66" t="str">
        <f t="shared" ref="DP128" si="2008">IF(AJ128="","","|n"&amp;DP$2&amp;"+"&amp;AJ128&amp;DP$1)</f>
        <v/>
      </c>
      <c r="DQ128" s="66" t="str">
        <f t="shared" ref="DQ128" si="2009">IF(AK128="","","|n"&amp;DQ$2&amp;"+"&amp;AK128&amp;DQ$1)</f>
        <v/>
      </c>
      <c r="DR128" s="66" t="str">
        <f t="shared" ref="DR128" si="2010">IF(AL128="","","|n"&amp;DR$2&amp;"+"&amp;AL128&amp;DR$1)</f>
        <v/>
      </c>
      <c r="DS128" s="66" t="str">
        <f t="shared" ref="DS128" si="2011">IF(AM128="","","|n"&amp;DS$2&amp;"+"&amp;AM128&amp;DS$1)</f>
        <v/>
      </c>
      <c r="DT128" s="66" t="str">
        <f t="shared" ref="DT128" si="2012">IF(AN128="","","|n"&amp;DT$2&amp;"+"&amp;AN128&amp;DT$1)</f>
        <v/>
      </c>
      <c r="DU128" s="66" t="str">
        <f t="shared" ref="DU128" si="2013">IF(AO128="","","|n"&amp;DU$2&amp;"+"&amp;AO128&amp;DU$1)</f>
        <v/>
      </c>
      <c r="DV128" s="66" t="str">
        <f t="shared" ref="DV128" si="2014">IF(AP128="","","|n"&amp;DV$2&amp;"+"&amp;AP128&amp;DV$1)</f>
        <v/>
      </c>
      <c r="DW128" s="66" t="str">
        <f t="shared" ref="DW128" si="2015">IF(AQ128="","","|n"&amp;DW$2&amp;"+"&amp;AQ128&amp;DW$1)</f>
        <v/>
      </c>
      <c r="DX128" s="66" t="str">
        <f t="shared" ref="DX128" si="2016">IF(AR128="","","|n"&amp;DX$2&amp;"+"&amp;AR128&amp;DX$1)</f>
        <v/>
      </c>
      <c r="DY128" s="66" t="str">
        <f t="shared" ref="DY128" si="2017">IF(AS128="","","|n"&amp;DY$2&amp;"+"&amp;AS128&amp;DY$1)</f>
        <v/>
      </c>
      <c r="DZ128" s="66" t="str">
        <f t="shared" ref="DZ128" si="2018">IF(AT128="","","|n"&amp;DZ$2&amp;"+"&amp;AT128&amp;DZ$1)</f>
        <v/>
      </c>
      <c r="EA128" s="66" t="str">
        <f t="shared" ref="EA128" si="2019">IF(AU128="","","|n"&amp;EA$2&amp;"+"&amp;AU128&amp;EA$1)</f>
        <v/>
      </c>
      <c r="EB128" s="66" t="str">
        <f t="shared" ref="EB128" si="2020">IF(AV128="","","|n"&amp;EB$2&amp;"+"&amp;AV128&amp;EB$1)</f>
        <v/>
      </c>
      <c r="EC128" s="66" t="str">
        <f t="shared" ref="EC128" si="2021">IF(AW128="","","|n"&amp;EC$2&amp;"+"&amp;AW128&amp;EC$1)</f>
        <v/>
      </c>
      <c r="ED128" s="66" t="str">
        <f t="shared" ref="ED128" si="2022">IF(AX128="","","|n"&amp;ED$2&amp;"+"&amp;AX128&amp;ED$1)</f>
        <v/>
      </c>
      <c r="EE128" s="66" t="str">
        <f t="shared" ref="EE128" si="2023">IF(AY128="","","|n"&amp;EE$2&amp;"+"&amp;AY128&amp;EE$1)</f>
        <v/>
      </c>
      <c r="EF128" s="66" t="str">
        <f t="shared" ref="EF128" si="2024">IF(AZ128="","","|n"&amp;EF$2&amp;"+"&amp;AZ128&amp;EF$1)</f>
        <v/>
      </c>
      <c r="EG128" s="66" t="str">
        <f t="shared" ref="EG128" si="2025">IF(BA128="","","|n"&amp;EG$2&amp;"+"&amp;BA128&amp;EG$1)</f>
        <v/>
      </c>
      <c r="EH128" s="66" t="str">
        <f t="shared" ref="EH128" si="2026">IF(BB128="","","|n"&amp;EH$2&amp;"+"&amp;BB128&amp;EH$1)</f>
        <v/>
      </c>
      <c r="EI128" s="66" t="str">
        <f t="shared" ref="EI128" si="2027">IF(BC128="","","|n"&amp;EI$2&amp;"+"&amp;BC128&amp;EI$1)</f>
        <v/>
      </c>
      <c r="EJ128" s="66" t="str">
        <f t="shared" ref="EJ128" si="2028">IF(BD128="","","|n"&amp;EJ$2&amp;"+"&amp;BD128&amp;EJ$1)</f>
        <v/>
      </c>
      <c r="EK128" s="66" t="str">
        <f t="shared" ref="EK128" si="2029">IF(BE128="","","|n"&amp;EK$2&amp;"+"&amp;BE128&amp;EK$1)</f>
        <v/>
      </c>
      <c r="EL128" s="66" t="str">
        <f t="shared" ref="EL128" si="2030">IF(BF128="","","|n"&amp;EL$2&amp;"+"&amp;BF128&amp;EL$1)</f>
        <v/>
      </c>
      <c r="EM128" s="66" t="str">
        <f t="shared" ref="EM128" si="2031">IF(BG128="","","|n"&amp;EM$2&amp;"+"&amp;BG128&amp;EM$1)</f>
        <v/>
      </c>
      <c r="EN128" s="66" t="str">
        <f t="shared" ref="EN128" si="2032">IF(BH128="","","|n"&amp;EN$2&amp;"+"&amp;BH128&amp;EN$1)</f>
        <v/>
      </c>
      <c r="EO128" s="66" t="str">
        <f t="shared" ref="EO128" si="2033">IF(BI128="","","|n"&amp;EO$2&amp;"+"&amp;BI128&amp;EO$1)</f>
        <v/>
      </c>
      <c r="EP128" s="66" t="str">
        <f t="shared" ref="EP128" si="2034">IF(BJ128="","","|n"&amp;EP$2&amp;"+"&amp;BJ128&amp;EP$1)</f>
        <v>|n金币加成+35</v>
      </c>
      <c r="EQ128" s="66" t="str">
        <f t="shared" ref="EQ128" si="2035">IF(BK128="","","|n"&amp;EQ$2&amp;"+"&amp;BK128&amp;EQ$1)</f>
        <v/>
      </c>
      <c r="ER128" s="66" t="str">
        <f t="shared" ref="ER128" si="2036">IF(BL128="","","|n"&amp;ER$2&amp;"+"&amp;BL128&amp;ER$1)</f>
        <v/>
      </c>
      <c r="ES128" s="66" t="str">
        <f t="shared" ref="ES128" si="2037">IF(BM128="","","|n"&amp;ES$2&amp;"+"&amp;BM128&amp;ES$1)</f>
        <v/>
      </c>
      <c r="ET128" s="66" t="str">
        <f t="shared" ref="ET128" si="2038">IF(BN128="","","|n"&amp;ET$2&amp;"+"&amp;BN128&amp;ET$1)</f>
        <v/>
      </c>
      <c r="EU128" s="66" t="str">
        <f t="shared" ref="EU128" si="2039">IF(BO128="","","|n"&amp;EU$2&amp;"+"&amp;BO128&amp;EU$1)</f>
        <v/>
      </c>
      <c r="EV128" s="66" t="str">
        <f t="shared" ref="EV128" si="2040">IF(BP128="","","|n"&amp;EV$2&amp;"+"&amp;BP128&amp;EV$1)</f>
        <v/>
      </c>
      <c r="EW128" s="66" t="str">
        <f t="shared" ref="EW128" si="2041">IF(BQ128="","","|n"&amp;EW$2&amp;"+"&amp;BQ128&amp;EW$1)</f>
        <v/>
      </c>
      <c r="EX128" s="66" t="str">
        <f t="shared" ref="EX128" si="2042">IF(BR128="","","|n"&amp;EX$2&amp;"+"&amp;BR128&amp;EX$1)</f>
        <v/>
      </c>
      <c r="EY128" s="66" t="str">
        <f t="shared" ref="EY128" si="2043">IF(BS128="","","|n"&amp;EY$2&amp;"+"&amp;BS128&amp;EY$1)</f>
        <v/>
      </c>
      <c r="EZ128" s="66" t="str">
        <f t="shared" ref="EZ128" si="2044">IF(BT128="","","|n"&amp;EZ$2&amp;"+"&amp;BT128&amp;EZ$1)</f>
        <v/>
      </c>
      <c r="FA128" s="66" t="str">
        <f t="shared" ref="FA128" si="2045">IF(BU128="","","|n"&amp;FA$2&amp;"+"&amp;BU128&amp;FA$1)</f>
        <v/>
      </c>
      <c r="FB128" s="66" t="str">
        <f t="shared" ref="FB128" si="2046">IF(BV128="","","|n"&amp;FB$2&amp;"+"&amp;BV128&amp;FB$1)</f>
        <v/>
      </c>
      <c r="FC128" s="66" t="str">
        <f t="shared" ref="FC128" si="2047">IF(BW128="","","|n"&amp;FC$2&amp;"+"&amp;BW128&amp;FC$1)</f>
        <v/>
      </c>
      <c r="FD128" s="66" t="str">
        <f t="shared" ref="FD128" si="2048">IF(BX128="","","|n"&amp;FD$2&amp;"+"&amp;BX128&amp;FD$1)</f>
        <v/>
      </c>
      <c r="FE128" s="66" t="str">
        <f t="shared" ref="FE128" si="2049">IF(BY128="","","|n"&amp;FE$2&amp;"+"&amp;BY128&amp;FE$1)</f>
        <v/>
      </c>
      <c r="FF128" s="66" t="str">
        <f t="shared" ref="FF128" si="2050">IF(BZ128="","","|n"&amp;FF$2&amp;"+"&amp;BZ128&amp;FF$1)</f>
        <v/>
      </c>
      <c r="FG128" s="66" t="str">
        <f t="shared" ref="FG128" si="2051">IF(CA128="","","|n"&amp;FG$2&amp;"+"&amp;CA128&amp;FG$1)</f>
        <v/>
      </c>
      <c r="FH128" s="66" t="str">
        <f t="shared" ref="FH128" si="2052">IF(CB128="","","|n"&amp;FH$2&amp;"+"&amp;CB128&amp;FH$1)</f>
        <v/>
      </c>
      <c r="FI128" s="66" t="str">
        <f t="shared" ref="FI128" si="2053">IF(CC128="","","|n"&amp;FI$2&amp;"+"&amp;CC128&amp;FI$1)</f>
        <v/>
      </c>
      <c r="FJ128" s="66" t="str">
        <f t="shared" ref="FJ128" si="2054">IF(CD128="","","|n"&amp;FJ$2&amp;"+"&amp;CD128&amp;FJ$1)</f>
        <v/>
      </c>
      <c r="FK128" s="66" t="str">
        <f t="shared" ref="FK128" si="2055">IF(CE128="","","|n"&amp;FK$2&amp;"+"&amp;CE128&amp;FK$1)</f>
        <v/>
      </c>
      <c r="FL128" s="66" t="str">
        <f t="shared" ref="FL128" si="2056">IF(CF128="","","|n"&amp;FL$2&amp;"+"&amp;CF128&amp;FL$1)</f>
        <v/>
      </c>
      <c r="FM128" s="66" t="str">
        <f t="shared" ref="FM128" si="2057">IF(CG128="","","|n"&amp;FM$2&amp;"+"&amp;CG128&amp;FM$1)</f>
        <v/>
      </c>
      <c r="FN128" s="66" t="str">
        <f t="shared" ref="FN128" si="2058">IF(CH128="","","|n"&amp;FN$2&amp;"+"&amp;CH128&amp;FN$1)</f>
        <v/>
      </c>
      <c r="FO128" s="66" t="str">
        <f t="shared" ref="FO128" si="2059">IF(CI128="","","|n"&amp;FO$2&amp;"+"&amp;CI128&amp;FO$1)</f>
        <v/>
      </c>
      <c r="FP128" s="66" t="str">
        <f t="shared" ref="FP128" si="2060">IF(CJ128="","","|n"&amp;FP$2&amp;"+"&amp;CJ128&amp;FP$1)</f>
        <v/>
      </c>
      <c r="FQ128" s="66" t="str">
        <f t="shared" ref="FQ128" si="2061">IF(CK128="","","|n"&amp;FQ$2&amp;"+"&amp;CK128&amp;FQ$1)</f>
        <v/>
      </c>
      <c r="FR128" s="66" t="str">
        <f t="shared" ref="FR128" si="2062">IF(CL128="","","|n"&amp;FR$2&amp;"+"&amp;CL128&amp;FR$1)</f>
        <v/>
      </c>
      <c r="FS128" s="66" t="str">
        <f t="shared" ref="FS128" si="2063">IF(CM128="","","|n"&amp;FS$2&amp;"+"&amp;CM128&amp;FS$1)</f>
        <v/>
      </c>
    </row>
    <row r="129" spans="1:175" ht="16.5">
      <c r="A129" s="9"/>
      <c r="B129" s="9" t="s">
        <v>510</v>
      </c>
      <c r="C129" s="9" t="s">
        <v>511</v>
      </c>
      <c r="T129" s="97" t="s">
        <v>512</v>
      </c>
      <c r="U129" s="77" t="str">
        <f t="shared" si="1546"/>
        <v>ReplaceableTextures\\CommandButtons\\BTNIN00.blp</v>
      </c>
      <c r="CN129" s="36" t="str">
        <f t="shared" ref="CN129:CN152" si="2064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36" t="str">
        <f t="shared" ref="CO129:CO152" si="2065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36" t="str">
        <f t="shared" ref="CP129:CP152" si="2066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36" t="str">
        <f t="shared" ref="CQ129:CQ152" si="2067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36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170&amp;CR$1&amp;")"</f>
        <v>InitEquipData('IN00',,"",,,,,'','','','','','',"ReplaceableTextures\\CommandButtons\\BTNIT06.blp")</v>
      </c>
      <c r="CU129" s="88" t="str">
        <f t="shared" si="1916"/>
        <v>|n</v>
      </c>
      <c r="CV129" s="19" t="str">
        <f t="shared" si="1917"/>
        <v>开启后获得一个|Cffffd24d随机锦囊|r。</v>
      </c>
      <c r="CW129" s="33"/>
      <c r="CX129" s="33"/>
      <c r="CY129" s="33"/>
      <c r="CZ129" s="33"/>
      <c r="DA129" s="33"/>
      <c r="DB129" s="66" t="str">
        <f t="shared" si="1918"/>
        <v/>
      </c>
      <c r="DC129" s="66" t="str">
        <f t="shared" si="1919"/>
        <v/>
      </c>
      <c r="DD129" s="66" t="str">
        <f t="shared" si="1920"/>
        <v/>
      </c>
      <c r="DE129" s="66" t="str">
        <f t="shared" si="1921"/>
        <v/>
      </c>
      <c r="DF129" s="66" t="str">
        <f t="shared" si="1922"/>
        <v/>
      </c>
      <c r="DG129" s="66" t="str">
        <f t="shared" si="1923"/>
        <v/>
      </c>
      <c r="DH129" s="66" t="str">
        <f t="shared" si="1924"/>
        <v/>
      </c>
      <c r="DI129" s="66" t="str">
        <f t="shared" si="1925"/>
        <v/>
      </c>
      <c r="DJ129" s="66" t="str">
        <f t="shared" si="1926"/>
        <v/>
      </c>
      <c r="DK129" s="66" t="str">
        <f t="shared" si="1927"/>
        <v/>
      </c>
      <c r="DL129" s="66" t="str">
        <f t="shared" si="1928"/>
        <v/>
      </c>
      <c r="DM129" s="66" t="str">
        <f t="shared" si="1929"/>
        <v/>
      </c>
      <c r="DN129" s="66" t="str">
        <f t="shared" si="1930"/>
        <v/>
      </c>
      <c r="DO129" s="66" t="str">
        <f t="shared" si="1931"/>
        <v/>
      </c>
      <c r="DP129" s="66" t="str">
        <f t="shared" si="1932"/>
        <v/>
      </c>
      <c r="DQ129" s="66" t="str">
        <f t="shared" si="1933"/>
        <v/>
      </c>
      <c r="DR129" s="66" t="str">
        <f t="shared" si="1934"/>
        <v/>
      </c>
      <c r="DS129" s="66" t="str">
        <f t="shared" si="1935"/>
        <v/>
      </c>
      <c r="DT129" s="66" t="str">
        <f t="shared" si="1936"/>
        <v/>
      </c>
      <c r="DU129" s="66" t="str">
        <f t="shared" si="1937"/>
        <v/>
      </c>
      <c r="DV129" s="66" t="str">
        <f t="shared" si="1938"/>
        <v/>
      </c>
      <c r="DW129" s="66" t="str">
        <f t="shared" si="1939"/>
        <v/>
      </c>
      <c r="DX129" s="66" t="str">
        <f t="shared" si="1940"/>
        <v/>
      </c>
      <c r="DY129" s="66" t="str">
        <f t="shared" si="1941"/>
        <v/>
      </c>
      <c r="DZ129" s="66" t="str">
        <f t="shared" si="1942"/>
        <v/>
      </c>
      <c r="EA129" s="66" t="str">
        <f t="shared" si="1943"/>
        <v/>
      </c>
      <c r="EB129" s="66" t="str">
        <f t="shared" si="1944"/>
        <v/>
      </c>
      <c r="EC129" s="66" t="str">
        <f t="shared" si="1945"/>
        <v/>
      </c>
      <c r="ED129" s="66" t="str">
        <f t="shared" si="1946"/>
        <v/>
      </c>
      <c r="EE129" s="66" t="str">
        <f t="shared" si="1947"/>
        <v/>
      </c>
      <c r="EF129" s="66" t="str">
        <f t="shared" si="1948"/>
        <v/>
      </c>
      <c r="EG129" s="66" t="str">
        <f t="shared" si="1949"/>
        <v/>
      </c>
      <c r="EH129" s="66" t="str">
        <f t="shared" si="1950"/>
        <v/>
      </c>
      <c r="EI129" s="66" t="str">
        <f t="shared" si="1951"/>
        <v/>
      </c>
      <c r="EJ129" s="66" t="str">
        <f t="shared" si="1952"/>
        <v/>
      </c>
      <c r="EK129" s="66" t="str">
        <f t="shared" si="1953"/>
        <v/>
      </c>
      <c r="EL129" s="66" t="str">
        <f t="shared" si="1954"/>
        <v/>
      </c>
      <c r="EM129" s="66" t="str">
        <f t="shared" si="1955"/>
        <v/>
      </c>
      <c r="EN129" s="66" t="str">
        <f t="shared" si="1956"/>
        <v/>
      </c>
      <c r="EO129" s="66" t="str">
        <f t="shared" si="1957"/>
        <v/>
      </c>
      <c r="EP129" s="66" t="str">
        <f t="shared" si="1958"/>
        <v/>
      </c>
      <c r="EQ129" s="66" t="str">
        <f t="shared" si="1959"/>
        <v/>
      </c>
      <c r="ER129" s="66" t="str">
        <f t="shared" si="1960"/>
        <v/>
      </c>
      <c r="ES129" s="66" t="str">
        <f t="shared" si="1961"/>
        <v/>
      </c>
      <c r="ET129" s="66" t="str">
        <f t="shared" si="1962"/>
        <v/>
      </c>
      <c r="EU129" s="66" t="str">
        <f t="shared" si="1963"/>
        <v/>
      </c>
      <c r="EV129" s="66" t="str">
        <f t="shared" si="1964"/>
        <v/>
      </c>
      <c r="EW129" s="66" t="str">
        <f t="shared" si="1965"/>
        <v/>
      </c>
      <c r="EX129" s="66" t="str">
        <f t="shared" si="1966"/>
        <v/>
      </c>
      <c r="EY129" s="66" t="str">
        <f t="shared" si="1967"/>
        <v/>
      </c>
      <c r="EZ129" s="66" t="str">
        <f t="shared" si="1968"/>
        <v/>
      </c>
      <c r="FA129" s="66" t="str">
        <f t="shared" si="1969"/>
        <v/>
      </c>
      <c r="FB129" s="66" t="str">
        <f t="shared" si="1970"/>
        <v/>
      </c>
      <c r="FC129" s="66" t="str">
        <f t="shared" si="1971"/>
        <v/>
      </c>
      <c r="FD129" s="66" t="str">
        <f t="shared" si="1972"/>
        <v/>
      </c>
      <c r="FE129" s="66" t="str">
        <f t="shared" si="1973"/>
        <v/>
      </c>
      <c r="FF129" s="66" t="str">
        <f t="shared" si="1974"/>
        <v/>
      </c>
      <c r="FG129" s="66" t="str">
        <f t="shared" si="1975"/>
        <v/>
      </c>
      <c r="FH129" s="66" t="str">
        <f t="shared" si="1976"/>
        <v/>
      </c>
      <c r="FI129" s="66" t="str">
        <f t="shared" si="1977"/>
        <v/>
      </c>
      <c r="FJ129" s="66" t="str">
        <f t="shared" si="1978"/>
        <v/>
      </c>
      <c r="FK129" s="66" t="str">
        <f t="shared" si="1979"/>
        <v/>
      </c>
      <c r="FL129" s="66" t="str">
        <f t="shared" si="1980"/>
        <v/>
      </c>
      <c r="FM129" s="66" t="str">
        <f t="shared" si="1981"/>
        <v/>
      </c>
      <c r="FN129" s="66" t="str">
        <f t="shared" si="1982"/>
        <v/>
      </c>
      <c r="FO129" s="66" t="str">
        <f t="shared" si="1983"/>
        <v/>
      </c>
      <c r="FP129" s="66" t="str">
        <f t="shared" si="1984"/>
        <v/>
      </c>
      <c r="FQ129" s="66" t="str">
        <f t="shared" si="1985"/>
        <v/>
      </c>
      <c r="FR129" s="66" t="str">
        <f t="shared" si="1986"/>
        <v/>
      </c>
      <c r="FS129" s="66" t="str">
        <f t="shared" si="1987"/>
        <v/>
      </c>
    </row>
    <row r="130" spans="1:175" ht="16.5">
      <c r="A130" s="9"/>
      <c r="B130" s="17" t="s">
        <v>513</v>
      </c>
      <c r="C130" s="18" t="s">
        <v>514</v>
      </c>
      <c r="T130" s="19" t="s">
        <v>515</v>
      </c>
      <c r="U130" s="77" t="str">
        <f t="shared" si="1546"/>
        <v>ReplaceableTextures\\CommandButtons\\BTNIN07.blp</v>
      </c>
      <c r="CN130" s="36" t="str">
        <f t="shared" si="2064"/>
        <v>InitUnitState('IN07',,,,,,,,,,)</v>
      </c>
      <c r="CO130" s="36" t="str">
        <f t="shared" si="2065"/>
        <v>InitUnitNormal('IN07',,,,,,,,,,)</v>
      </c>
      <c r="CP130" s="36" t="str">
        <f t="shared" si="2066"/>
        <v>InitUnitMagic('IN07',,,,,,,,,,)</v>
      </c>
      <c r="CQ130" s="36" t="str">
        <f t="shared" si="2067"/>
        <v>InitUnitAdd('IN07',,,,,,,,,,)</v>
      </c>
      <c r="CR130" s="36" t="str">
        <f t="shared" ref="CR130:CR144" si="2068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165&amp;CR$1&amp;")"</f>
        <v>InitEquipData('IN07',,"",,,,,'','','','','','',"ReplaceableTextures\\CommandButtons\\BTNIT01.blp")</v>
      </c>
      <c r="CU130" s="88" t="str">
        <f t="shared" ref="CU130:CU135" si="2069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19" t="str">
        <f t="shared" ref="CV130:CV135" si="2070">T130</f>
        <v>每秒回复|Cffffd24d10%|r生命值，持续|Cffffd24d10|r秒</v>
      </c>
      <c r="CW130" s="33"/>
      <c r="CX130" s="33"/>
      <c r="CY130" s="33"/>
      <c r="CZ130" s="33"/>
      <c r="DA130" s="33"/>
      <c r="DB130" s="66" t="str">
        <f t="shared" ref="DB130:DB135" si="2071">IF(V130="","","|n"&amp;DB$2&amp;"+"&amp;V130&amp;DB$1)</f>
        <v/>
      </c>
      <c r="DC130" s="66" t="str">
        <f t="shared" ref="DC130:DC135" si="2072">IF(W130="","","|n"&amp;DC$2&amp;"+"&amp;W130&amp;DC$1)</f>
        <v/>
      </c>
      <c r="DD130" s="66" t="str">
        <f t="shared" ref="DD130:DD135" si="2073">IF(X130="","","|n"&amp;DD$2&amp;"+"&amp;X130&amp;DD$1)</f>
        <v/>
      </c>
      <c r="DE130" s="66" t="str">
        <f t="shared" ref="DE130:DE135" si="2074">IF(Y130="","","|n"&amp;DE$2&amp;"+"&amp;Y130&amp;DE$1)</f>
        <v/>
      </c>
      <c r="DF130" s="66" t="str">
        <f t="shared" ref="DF130:DF135" si="2075">IF(Z130="","","|n"&amp;DF$2&amp;"+"&amp;Z130&amp;DF$1)</f>
        <v/>
      </c>
      <c r="DG130" s="66" t="str">
        <f t="shared" ref="DG130:DG135" si="2076">IF(AA130="","","|n"&amp;DG$2&amp;"+"&amp;AA130&amp;DG$1)</f>
        <v/>
      </c>
      <c r="DH130" s="66" t="str">
        <f t="shared" ref="DH130:DH135" si="2077">IF(AB130="","","|n"&amp;DH$2&amp;"+"&amp;AB130&amp;DH$1)</f>
        <v/>
      </c>
      <c r="DI130" s="66" t="str">
        <f t="shared" ref="DI130:DI135" si="2078">IF(AC130="","","|n"&amp;DI$2&amp;"+"&amp;AC130&amp;DI$1)</f>
        <v/>
      </c>
      <c r="DJ130" s="66" t="str">
        <f t="shared" ref="DJ130:DJ135" si="2079">IF(AD130="","","|n"&amp;DJ$2&amp;"+"&amp;AD130&amp;DJ$1)</f>
        <v/>
      </c>
      <c r="DK130" s="66" t="str">
        <f t="shared" ref="DK130:DK135" si="2080">IF(AE130="","","|n"&amp;DK$2&amp;"+"&amp;AE130&amp;DK$1)</f>
        <v/>
      </c>
      <c r="DL130" s="66" t="str">
        <f t="shared" ref="DL130:DL135" si="2081">IF(AF130="","","|n"&amp;DL$2&amp;"+"&amp;AF130&amp;DL$1)</f>
        <v/>
      </c>
      <c r="DM130" s="66" t="str">
        <f t="shared" ref="DM130:DM135" si="2082">IF(AG130="","","|n"&amp;DM$2&amp;"+"&amp;AG130&amp;DM$1)</f>
        <v/>
      </c>
      <c r="DN130" s="66" t="str">
        <f t="shared" ref="DN130:DN135" si="2083">IF(AH130="","","|n"&amp;DN$2&amp;"+"&amp;AH130&amp;DN$1)</f>
        <v/>
      </c>
      <c r="DO130" s="66" t="str">
        <f t="shared" ref="DO130:DO135" si="2084">IF(AI130="","","|n"&amp;DO$2&amp;"+"&amp;AI130&amp;DO$1)</f>
        <v/>
      </c>
      <c r="DP130" s="66" t="str">
        <f t="shared" ref="DP130:DP135" si="2085">IF(AJ130="","","|n"&amp;DP$2&amp;"+"&amp;AJ130&amp;DP$1)</f>
        <v/>
      </c>
      <c r="DQ130" s="66" t="str">
        <f t="shared" ref="DQ130:DQ135" si="2086">IF(AK130="","","|n"&amp;DQ$2&amp;"+"&amp;AK130&amp;DQ$1)</f>
        <v/>
      </c>
      <c r="DR130" s="66" t="str">
        <f t="shared" ref="DR130:DR135" si="2087">IF(AL130="","","|n"&amp;DR$2&amp;"+"&amp;AL130&amp;DR$1)</f>
        <v/>
      </c>
      <c r="DS130" s="66" t="str">
        <f t="shared" ref="DS130:DS135" si="2088">IF(AM130="","","|n"&amp;DS$2&amp;"+"&amp;AM130&amp;DS$1)</f>
        <v/>
      </c>
      <c r="DT130" s="66" t="str">
        <f t="shared" ref="DT130:DT135" si="2089">IF(AN130="","","|n"&amp;DT$2&amp;"+"&amp;AN130&amp;DT$1)</f>
        <v/>
      </c>
      <c r="DU130" s="66" t="str">
        <f t="shared" ref="DU130:DU135" si="2090">IF(AO130="","","|n"&amp;DU$2&amp;"+"&amp;AO130&amp;DU$1)</f>
        <v/>
      </c>
      <c r="DV130" s="66" t="str">
        <f t="shared" ref="DV130:DV135" si="2091">IF(AP130="","","|n"&amp;DV$2&amp;"+"&amp;AP130&amp;DV$1)</f>
        <v/>
      </c>
      <c r="DW130" s="66" t="str">
        <f t="shared" ref="DW130:DW135" si="2092">IF(AQ130="","","|n"&amp;DW$2&amp;"+"&amp;AQ130&amp;DW$1)</f>
        <v/>
      </c>
      <c r="DX130" s="66" t="str">
        <f t="shared" ref="DX130:DX135" si="2093">IF(AR130="","","|n"&amp;DX$2&amp;"+"&amp;AR130&amp;DX$1)</f>
        <v/>
      </c>
      <c r="DY130" s="66" t="str">
        <f t="shared" ref="DY130:DY135" si="2094">IF(AS130="","","|n"&amp;DY$2&amp;"+"&amp;AS130&amp;DY$1)</f>
        <v/>
      </c>
      <c r="DZ130" s="66" t="str">
        <f t="shared" ref="DZ130:DZ135" si="2095">IF(AT130="","","|n"&amp;DZ$2&amp;"+"&amp;AT130&amp;DZ$1)</f>
        <v/>
      </c>
      <c r="EA130" s="66" t="str">
        <f t="shared" ref="EA130:EA135" si="2096">IF(AU130="","","|n"&amp;EA$2&amp;"+"&amp;AU130&amp;EA$1)</f>
        <v/>
      </c>
      <c r="EB130" s="66" t="str">
        <f t="shared" ref="EB130:EB135" si="2097">IF(AV130="","","|n"&amp;EB$2&amp;"+"&amp;AV130&amp;EB$1)</f>
        <v/>
      </c>
      <c r="EC130" s="66" t="str">
        <f t="shared" ref="EC130:EC135" si="2098">IF(AW130="","","|n"&amp;EC$2&amp;"+"&amp;AW130&amp;EC$1)</f>
        <v/>
      </c>
      <c r="ED130" s="66" t="str">
        <f t="shared" ref="ED130:ED135" si="2099">IF(AX130="","","|n"&amp;ED$2&amp;"+"&amp;AX130&amp;ED$1)</f>
        <v/>
      </c>
      <c r="EE130" s="66" t="str">
        <f t="shared" ref="EE130:EE135" si="2100">IF(AY130="","","|n"&amp;EE$2&amp;"+"&amp;AY130&amp;EE$1)</f>
        <v/>
      </c>
      <c r="EF130" s="66" t="str">
        <f t="shared" ref="EF130:EF135" si="2101">IF(AZ130="","","|n"&amp;EF$2&amp;"+"&amp;AZ130&amp;EF$1)</f>
        <v/>
      </c>
      <c r="EG130" s="66" t="str">
        <f t="shared" ref="EG130:EG135" si="2102">IF(BA130="","","|n"&amp;EG$2&amp;"+"&amp;BA130&amp;EG$1)</f>
        <v/>
      </c>
      <c r="EH130" s="66" t="str">
        <f t="shared" ref="EH130:EH135" si="2103">IF(BB130="","","|n"&amp;EH$2&amp;"+"&amp;BB130&amp;EH$1)</f>
        <v/>
      </c>
      <c r="EI130" s="66" t="str">
        <f t="shared" ref="EI130:EI135" si="2104">IF(BC130="","","|n"&amp;EI$2&amp;"+"&amp;BC130&amp;EI$1)</f>
        <v/>
      </c>
      <c r="EJ130" s="66" t="str">
        <f t="shared" ref="EJ130:EJ135" si="2105">IF(BD130="","","|n"&amp;EJ$2&amp;"+"&amp;BD130&amp;EJ$1)</f>
        <v/>
      </c>
      <c r="EK130" s="66" t="str">
        <f t="shared" ref="EK130:EK135" si="2106">IF(BE130="","","|n"&amp;EK$2&amp;"+"&amp;BE130&amp;EK$1)</f>
        <v/>
      </c>
      <c r="EL130" s="66" t="str">
        <f t="shared" ref="EL130:EL135" si="2107">IF(BF130="","","|n"&amp;EL$2&amp;"+"&amp;BF130&amp;EL$1)</f>
        <v/>
      </c>
      <c r="EM130" s="66" t="str">
        <f t="shared" ref="EM130:EM135" si="2108">IF(BG130="","","|n"&amp;EM$2&amp;"+"&amp;BG130&amp;EM$1)</f>
        <v/>
      </c>
      <c r="EN130" s="66" t="str">
        <f t="shared" ref="EN130:EN135" si="2109">IF(BH130="","","|n"&amp;EN$2&amp;"+"&amp;BH130&amp;EN$1)</f>
        <v/>
      </c>
      <c r="EO130" s="66" t="str">
        <f t="shared" ref="EO130:EO135" si="2110">IF(BI130="","","|n"&amp;EO$2&amp;"+"&amp;BI130&amp;EO$1)</f>
        <v/>
      </c>
      <c r="EP130" s="66" t="str">
        <f t="shared" ref="EP130:EP135" si="2111">IF(BJ130="","","|n"&amp;EP$2&amp;"+"&amp;BJ130&amp;EP$1)</f>
        <v/>
      </c>
      <c r="EQ130" s="66" t="str">
        <f t="shared" ref="EQ130:EQ135" si="2112">IF(BK130="","","|n"&amp;EQ$2&amp;"+"&amp;BK130&amp;EQ$1)</f>
        <v/>
      </c>
      <c r="ER130" s="66" t="str">
        <f t="shared" ref="ER130:ER135" si="2113">IF(BL130="","","|n"&amp;ER$2&amp;"+"&amp;BL130&amp;ER$1)</f>
        <v/>
      </c>
      <c r="ES130" s="66" t="str">
        <f t="shared" ref="ES130:ES135" si="2114">IF(BM130="","","|n"&amp;ES$2&amp;"+"&amp;BM130&amp;ES$1)</f>
        <v/>
      </c>
      <c r="ET130" s="66" t="str">
        <f t="shared" ref="ET130:ET135" si="2115">IF(BN130="","","|n"&amp;ET$2&amp;"+"&amp;BN130&amp;ET$1)</f>
        <v/>
      </c>
      <c r="EU130" s="66" t="str">
        <f t="shared" ref="EU130:EU135" si="2116">IF(BO130="","","|n"&amp;EU$2&amp;"+"&amp;BO130&amp;EU$1)</f>
        <v/>
      </c>
      <c r="EV130" s="66" t="str">
        <f t="shared" ref="EV130:EV135" si="2117">IF(BP130="","","|n"&amp;EV$2&amp;"+"&amp;BP130&amp;EV$1)</f>
        <v/>
      </c>
      <c r="EW130" s="66" t="str">
        <f t="shared" ref="EW130:EW135" si="2118">IF(BQ130="","","|n"&amp;EW$2&amp;"+"&amp;BQ130&amp;EW$1)</f>
        <v/>
      </c>
      <c r="EX130" s="66" t="str">
        <f t="shared" ref="EX130:EX135" si="2119">IF(BR130="","","|n"&amp;EX$2&amp;"+"&amp;BR130&amp;EX$1)</f>
        <v/>
      </c>
      <c r="EY130" s="66" t="str">
        <f t="shared" ref="EY130:EY135" si="2120">IF(BS130="","","|n"&amp;EY$2&amp;"+"&amp;BS130&amp;EY$1)</f>
        <v/>
      </c>
      <c r="EZ130" s="66" t="str">
        <f t="shared" ref="EZ130:EZ135" si="2121">IF(BT130="","","|n"&amp;EZ$2&amp;"+"&amp;BT130&amp;EZ$1)</f>
        <v/>
      </c>
      <c r="FA130" s="66" t="str">
        <f t="shared" ref="FA130:FA135" si="2122">IF(BU130="","","|n"&amp;FA$2&amp;"+"&amp;BU130&amp;FA$1)</f>
        <v/>
      </c>
      <c r="FB130" s="66" t="str">
        <f t="shared" ref="FB130:FB135" si="2123">IF(BV130="","","|n"&amp;FB$2&amp;"+"&amp;BV130&amp;FB$1)</f>
        <v/>
      </c>
      <c r="FC130" s="66" t="str">
        <f t="shared" ref="FC130:FC135" si="2124">IF(BW130="","","|n"&amp;FC$2&amp;"+"&amp;BW130&amp;FC$1)</f>
        <v/>
      </c>
      <c r="FD130" s="66" t="str">
        <f t="shared" ref="FD130:FD135" si="2125">IF(BX130="","","|n"&amp;FD$2&amp;"+"&amp;BX130&amp;FD$1)</f>
        <v/>
      </c>
      <c r="FE130" s="66" t="str">
        <f t="shared" ref="FE130:FE135" si="2126">IF(BY130="","","|n"&amp;FE$2&amp;"+"&amp;BY130&amp;FE$1)</f>
        <v/>
      </c>
      <c r="FF130" s="66" t="str">
        <f t="shared" ref="FF130:FF135" si="2127">IF(BZ130="","","|n"&amp;FF$2&amp;"+"&amp;BZ130&amp;FF$1)</f>
        <v/>
      </c>
      <c r="FG130" s="66" t="str">
        <f t="shared" ref="FG130:FG135" si="2128">IF(CA130="","","|n"&amp;FG$2&amp;"+"&amp;CA130&amp;FG$1)</f>
        <v/>
      </c>
      <c r="FH130" s="66" t="str">
        <f t="shared" ref="FH130:FH135" si="2129">IF(CB130="","","|n"&amp;FH$2&amp;"+"&amp;CB130&amp;FH$1)</f>
        <v/>
      </c>
      <c r="FI130" s="66" t="str">
        <f t="shared" ref="FI130:FI135" si="2130">IF(CC130="","","|n"&amp;FI$2&amp;"+"&amp;CC130&amp;FI$1)</f>
        <v/>
      </c>
      <c r="FJ130" s="66" t="str">
        <f t="shared" ref="FJ130:FJ135" si="2131">IF(CD130="","","|n"&amp;FJ$2&amp;"+"&amp;CD130&amp;FJ$1)</f>
        <v/>
      </c>
      <c r="FK130" s="66" t="str">
        <f t="shared" ref="FK130:FK135" si="2132">IF(CE130="","","|n"&amp;FK$2&amp;"+"&amp;CE130&amp;FK$1)</f>
        <v/>
      </c>
      <c r="FL130" s="66" t="str">
        <f t="shared" ref="FL130:FL135" si="2133">IF(CF130="","","|n"&amp;FL$2&amp;"+"&amp;CF130&amp;FL$1)</f>
        <v/>
      </c>
      <c r="FM130" s="66" t="str">
        <f t="shared" ref="FM130:FM135" si="2134">IF(CG130="","","|n"&amp;FM$2&amp;"+"&amp;CG130&amp;FM$1)</f>
        <v/>
      </c>
      <c r="FN130" s="66" t="str">
        <f t="shared" ref="FN130:FN135" si="2135">IF(CH130="","","|n"&amp;FN$2&amp;"+"&amp;CH130&amp;FN$1)</f>
        <v/>
      </c>
      <c r="FO130" s="66" t="str">
        <f t="shared" ref="FO130:FO135" si="2136">IF(CI130="","","|n"&amp;FO$2&amp;"+"&amp;CI130&amp;FO$1)</f>
        <v/>
      </c>
      <c r="FP130" s="66" t="str">
        <f t="shared" ref="FP130:FP135" si="2137">IF(CJ130="","","|n"&amp;FP$2&amp;"+"&amp;CJ130&amp;FP$1)</f>
        <v/>
      </c>
      <c r="FQ130" s="66" t="str">
        <f t="shared" ref="FQ130:FQ135" si="2138">IF(CK130="","","|n"&amp;FQ$2&amp;"+"&amp;CK130&amp;FQ$1)</f>
        <v/>
      </c>
      <c r="FR130" s="66" t="str">
        <f t="shared" ref="FR130:FR135" si="2139">IF(CL130="","","|n"&amp;FR$2&amp;"+"&amp;CL130&amp;FR$1)</f>
        <v/>
      </c>
      <c r="FS130" s="66" t="str">
        <f t="shared" ref="FS130:FS135" si="2140">IF(CM130="","","|n"&amp;FS$2&amp;"+"&amp;CM130&amp;FS$1)</f>
        <v/>
      </c>
    </row>
    <row r="131" spans="1:175" ht="16.5">
      <c r="A131" s="9"/>
      <c r="B131" s="9" t="s">
        <v>516</v>
      </c>
      <c r="C131" s="19" t="s">
        <v>517</v>
      </c>
      <c r="T131" s="19" t="s">
        <v>518</v>
      </c>
      <c r="U131" s="77" t="str">
        <f t="shared" si="1546"/>
        <v>ReplaceableTextures\\CommandButtons\\BTNIN08.blp</v>
      </c>
      <c r="CN131" s="36" t="str">
        <f t="shared" si="2064"/>
        <v>InitUnitState('IN08',,,,,,,,,,)</v>
      </c>
      <c r="CO131" s="36" t="str">
        <f t="shared" si="2065"/>
        <v>InitUnitNormal('IN08',,,,,,,,,,)</v>
      </c>
      <c r="CP131" s="36" t="str">
        <f t="shared" si="2066"/>
        <v>InitUnitMagic('IN08',,,,,,,,,,)</v>
      </c>
      <c r="CQ131" s="36" t="str">
        <f t="shared" si="2067"/>
        <v>InitUnitAdd('IN08',,,,,,,,,,)</v>
      </c>
      <c r="CR131" s="36" t="str">
        <f t="shared" si="2068"/>
        <v>InitEquipData('IN08',,"",,,,,'','','','','','',"ReplaceableTextures\\CommandButtons\\BTNIT02.blp")</v>
      </c>
      <c r="CU131" s="88" t="str">
        <f t="shared" si="2069"/>
        <v>|n</v>
      </c>
      <c r="CV131" s="19" t="str">
        <f t="shared" si="2070"/>
        <v>|CffFFC926击杀|r当前存在的|Cffffc926进攻怪|r和|Cffffc926Boss|r。|n|n|Cff00ff7f无法在大决战时使用|r</v>
      </c>
      <c r="CW131" s="33"/>
      <c r="CX131" s="33"/>
      <c r="CY131" s="33"/>
      <c r="CZ131" s="33"/>
      <c r="DA131" s="33"/>
      <c r="DB131" s="66" t="str">
        <f t="shared" si="2071"/>
        <v/>
      </c>
      <c r="DC131" s="66" t="str">
        <f t="shared" si="2072"/>
        <v/>
      </c>
      <c r="DD131" s="66" t="str">
        <f t="shared" si="2073"/>
        <v/>
      </c>
      <c r="DE131" s="66" t="str">
        <f t="shared" si="2074"/>
        <v/>
      </c>
      <c r="DF131" s="66" t="str">
        <f t="shared" si="2075"/>
        <v/>
      </c>
      <c r="DG131" s="66" t="str">
        <f t="shared" si="2076"/>
        <v/>
      </c>
      <c r="DH131" s="66" t="str">
        <f t="shared" si="2077"/>
        <v/>
      </c>
      <c r="DI131" s="66" t="str">
        <f t="shared" si="2078"/>
        <v/>
      </c>
      <c r="DJ131" s="66" t="str">
        <f t="shared" si="2079"/>
        <v/>
      </c>
      <c r="DK131" s="66" t="str">
        <f t="shared" si="2080"/>
        <v/>
      </c>
      <c r="DL131" s="66" t="str">
        <f t="shared" si="2081"/>
        <v/>
      </c>
      <c r="DM131" s="66" t="str">
        <f t="shared" si="2082"/>
        <v/>
      </c>
      <c r="DN131" s="66" t="str">
        <f t="shared" si="2083"/>
        <v/>
      </c>
      <c r="DO131" s="66" t="str">
        <f t="shared" si="2084"/>
        <v/>
      </c>
      <c r="DP131" s="66" t="str">
        <f t="shared" si="2085"/>
        <v/>
      </c>
      <c r="DQ131" s="66" t="str">
        <f t="shared" si="2086"/>
        <v/>
      </c>
      <c r="DR131" s="66" t="str">
        <f t="shared" si="2087"/>
        <v/>
      </c>
      <c r="DS131" s="66" t="str">
        <f t="shared" si="2088"/>
        <v/>
      </c>
      <c r="DT131" s="66" t="str">
        <f t="shared" si="2089"/>
        <v/>
      </c>
      <c r="DU131" s="66" t="str">
        <f t="shared" si="2090"/>
        <v/>
      </c>
      <c r="DV131" s="66" t="str">
        <f t="shared" si="2091"/>
        <v/>
      </c>
      <c r="DW131" s="66" t="str">
        <f t="shared" si="2092"/>
        <v/>
      </c>
      <c r="DX131" s="66" t="str">
        <f t="shared" si="2093"/>
        <v/>
      </c>
      <c r="DY131" s="66" t="str">
        <f t="shared" si="2094"/>
        <v/>
      </c>
      <c r="DZ131" s="66" t="str">
        <f t="shared" si="2095"/>
        <v/>
      </c>
      <c r="EA131" s="66" t="str">
        <f t="shared" si="2096"/>
        <v/>
      </c>
      <c r="EB131" s="66" t="str">
        <f t="shared" si="2097"/>
        <v/>
      </c>
      <c r="EC131" s="66" t="str">
        <f t="shared" si="2098"/>
        <v/>
      </c>
      <c r="ED131" s="66" t="str">
        <f t="shared" si="2099"/>
        <v/>
      </c>
      <c r="EE131" s="66" t="str">
        <f t="shared" si="2100"/>
        <v/>
      </c>
      <c r="EF131" s="66" t="str">
        <f t="shared" si="2101"/>
        <v/>
      </c>
      <c r="EG131" s="66" t="str">
        <f t="shared" si="2102"/>
        <v/>
      </c>
      <c r="EH131" s="66" t="str">
        <f t="shared" si="2103"/>
        <v/>
      </c>
      <c r="EI131" s="66" t="str">
        <f t="shared" si="2104"/>
        <v/>
      </c>
      <c r="EJ131" s="66" t="str">
        <f t="shared" si="2105"/>
        <v/>
      </c>
      <c r="EK131" s="66" t="str">
        <f t="shared" si="2106"/>
        <v/>
      </c>
      <c r="EL131" s="66" t="str">
        <f t="shared" si="2107"/>
        <v/>
      </c>
      <c r="EM131" s="66" t="str">
        <f t="shared" si="2108"/>
        <v/>
      </c>
      <c r="EN131" s="66" t="str">
        <f t="shared" si="2109"/>
        <v/>
      </c>
      <c r="EO131" s="66" t="str">
        <f t="shared" si="2110"/>
        <v/>
      </c>
      <c r="EP131" s="66" t="str">
        <f t="shared" si="2111"/>
        <v/>
      </c>
      <c r="EQ131" s="66" t="str">
        <f t="shared" si="2112"/>
        <v/>
      </c>
      <c r="ER131" s="66" t="str">
        <f t="shared" si="2113"/>
        <v/>
      </c>
      <c r="ES131" s="66" t="str">
        <f t="shared" si="2114"/>
        <v/>
      </c>
      <c r="ET131" s="66" t="str">
        <f t="shared" si="2115"/>
        <v/>
      </c>
      <c r="EU131" s="66" t="str">
        <f t="shared" si="2116"/>
        <v/>
      </c>
      <c r="EV131" s="66" t="str">
        <f t="shared" si="2117"/>
        <v/>
      </c>
      <c r="EW131" s="66" t="str">
        <f t="shared" si="2118"/>
        <v/>
      </c>
      <c r="EX131" s="66" t="str">
        <f t="shared" si="2119"/>
        <v/>
      </c>
      <c r="EY131" s="66" t="str">
        <f t="shared" si="2120"/>
        <v/>
      </c>
      <c r="EZ131" s="66" t="str">
        <f t="shared" si="2121"/>
        <v/>
      </c>
      <c r="FA131" s="66" t="str">
        <f t="shared" si="2122"/>
        <v/>
      </c>
      <c r="FB131" s="66" t="str">
        <f t="shared" si="2123"/>
        <v/>
      </c>
      <c r="FC131" s="66" t="str">
        <f t="shared" si="2124"/>
        <v/>
      </c>
      <c r="FD131" s="66" t="str">
        <f t="shared" si="2125"/>
        <v/>
      </c>
      <c r="FE131" s="66" t="str">
        <f t="shared" si="2126"/>
        <v/>
      </c>
      <c r="FF131" s="66" t="str">
        <f t="shared" si="2127"/>
        <v/>
      </c>
      <c r="FG131" s="66" t="str">
        <f t="shared" si="2128"/>
        <v/>
      </c>
      <c r="FH131" s="66" t="str">
        <f t="shared" si="2129"/>
        <v/>
      </c>
      <c r="FI131" s="66" t="str">
        <f t="shared" si="2130"/>
        <v/>
      </c>
      <c r="FJ131" s="66" t="str">
        <f t="shared" si="2131"/>
        <v/>
      </c>
      <c r="FK131" s="66" t="str">
        <f t="shared" si="2132"/>
        <v/>
      </c>
      <c r="FL131" s="66" t="str">
        <f t="shared" si="2133"/>
        <v/>
      </c>
      <c r="FM131" s="66" t="str">
        <f t="shared" si="2134"/>
        <v/>
      </c>
      <c r="FN131" s="66" t="str">
        <f t="shared" si="2135"/>
        <v/>
      </c>
      <c r="FO131" s="66" t="str">
        <f t="shared" si="2136"/>
        <v/>
      </c>
      <c r="FP131" s="66" t="str">
        <f t="shared" si="2137"/>
        <v/>
      </c>
      <c r="FQ131" s="66" t="str">
        <f t="shared" si="2138"/>
        <v/>
      </c>
      <c r="FR131" s="66" t="str">
        <f t="shared" si="2139"/>
        <v/>
      </c>
      <c r="FS131" s="66" t="str">
        <f t="shared" si="2140"/>
        <v/>
      </c>
    </row>
    <row r="132" spans="1:175" ht="16.5">
      <c r="A132" s="9"/>
      <c r="B132" s="17" t="s">
        <v>519</v>
      </c>
      <c r="C132" s="18" t="s">
        <v>520</v>
      </c>
      <c r="T132" s="19" t="s">
        <v>521</v>
      </c>
      <c r="U132" s="77" t="str">
        <f t="shared" si="1546"/>
        <v>ReplaceableTextures\\CommandButtons\\BTNIN09.blp</v>
      </c>
      <c r="CN132" s="36" t="str">
        <f t="shared" si="2064"/>
        <v>InitUnitState('IN09',,,,,,,,,,)</v>
      </c>
      <c r="CO132" s="36" t="str">
        <f t="shared" si="2065"/>
        <v>InitUnitNormal('IN09',,,,,,,,,,)</v>
      </c>
      <c r="CP132" s="36" t="str">
        <f t="shared" si="2066"/>
        <v>InitUnitMagic('IN09',,,,,,,,,,)</v>
      </c>
      <c r="CQ132" s="36" t="str">
        <f t="shared" si="2067"/>
        <v>InitUnitAdd('IN09',,,,,,,,,,)</v>
      </c>
      <c r="CR132" s="36" t="str">
        <f t="shared" si="2068"/>
        <v>InitEquipData('IN09',,"",,,,,'','','','','','',"ReplaceableTextures\\CommandButtons\\BTNIT03.blp")</v>
      </c>
      <c r="CU132" s="88" t="str">
        <f t="shared" si="2069"/>
        <v>|n</v>
      </c>
      <c r="CV132" s="19" t="str">
        <f t="shared" si="2070"/>
        <v>死亡时复活。</v>
      </c>
      <c r="CW132" s="33"/>
      <c r="CX132" s="33"/>
      <c r="CY132" s="33"/>
      <c r="CZ132" s="33"/>
      <c r="DA132" s="33"/>
      <c r="DB132" s="66" t="str">
        <f t="shared" si="2071"/>
        <v/>
      </c>
      <c r="DC132" s="66" t="str">
        <f t="shared" si="2072"/>
        <v/>
      </c>
      <c r="DD132" s="66" t="str">
        <f t="shared" si="2073"/>
        <v/>
      </c>
      <c r="DE132" s="66" t="str">
        <f t="shared" si="2074"/>
        <v/>
      </c>
      <c r="DF132" s="66" t="str">
        <f t="shared" si="2075"/>
        <v/>
      </c>
      <c r="DG132" s="66" t="str">
        <f t="shared" si="2076"/>
        <v/>
      </c>
      <c r="DH132" s="66" t="str">
        <f t="shared" si="2077"/>
        <v/>
      </c>
      <c r="DI132" s="66" t="str">
        <f t="shared" si="2078"/>
        <v/>
      </c>
      <c r="DJ132" s="66" t="str">
        <f t="shared" si="2079"/>
        <v/>
      </c>
      <c r="DK132" s="66" t="str">
        <f t="shared" si="2080"/>
        <v/>
      </c>
      <c r="DL132" s="66" t="str">
        <f t="shared" si="2081"/>
        <v/>
      </c>
      <c r="DM132" s="66" t="str">
        <f t="shared" si="2082"/>
        <v/>
      </c>
      <c r="DN132" s="66" t="str">
        <f t="shared" si="2083"/>
        <v/>
      </c>
      <c r="DO132" s="66" t="str">
        <f t="shared" si="2084"/>
        <v/>
      </c>
      <c r="DP132" s="66" t="str">
        <f t="shared" si="2085"/>
        <v/>
      </c>
      <c r="DQ132" s="66" t="str">
        <f t="shared" si="2086"/>
        <v/>
      </c>
      <c r="DR132" s="66" t="str">
        <f t="shared" si="2087"/>
        <v/>
      </c>
      <c r="DS132" s="66" t="str">
        <f t="shared" si="2088"/>
        <v/>
      </c>
      <c r="DT132" s="66" t="str">
        <f t="shared" si="2089"/>
        <v/>
      </c>
      <c r="DU132" s="66" t="str">
        <f t="shared" si="2090"/>
        <v/>
      </c>
      <c r="DV132" s="66" t="str">
        <f t="shared" si="2091"/>
        <v/>
      </c>
      <c r="DW132" s="66" t="str">
        <f t="shared" si="2092"/>
        <v/>
      </c>
      <c r="DX132" s="66" t="str">
        <f t="shared" si="2093"/>
        <v/>
      </c>
      <c r="DY132" s="66" t="str">
        <f t="shared" si="2094"/>
        <v/>
      </c>
      <c r="DZ132" s="66" t="str">
        <f t="shared" si="2095"/>
        <v/>
      </c>
      <c r="EA132" s="66" t="str">
        <f t="shared" si="2096"/>
        <v/>
      </c>
      <c r="EB132" s="66" t="str">
        <f t="shared" si="2097"/>
        <v/>
      </c>
      <c r="EC132" s="66" t="str">
        <f t="shared" si="2098"/>
        <v/>
      </c>
      <c r="ED132" s="66" t="str">
        <f t="shared" si="2099"/>
        <v/>
      </c>
      <c r="EE132" s="66" t="str">
        <f t="shared" si="2100"/>
        <v/>
      </c>
      <c r="EF132" s="66" t="str">
        <f t="shared" si="2101"/>
        <v/>
      </c>
      <c r="EG132" s="66" t="str">
        <f t="shared" si="2102"/>
        <v/>
      </c>
      <c r="EH132" s="66" t="str">
        <f t="shared" si="2103"/>
        <v/>
      </c>
      <c r="EI132" s="66" t="str">
        <f t="shared" si="2104"/>
        <v/>
      </c>
      <c r="EJ132" s="66" t="str">
        <f t="shared" si="2105"/>
        <v/>
      </c>
      <c r="EK132" s="66" t="str">
        <f t="shared" si="2106"/>
        <v/>
      </c>
      <c r="EL132" s="66" t="str">
        <f t="shared" si="2107"/>
        <v/>
      </c>
      <c r="EM132" s="66" t="str">
        <f t="shared" si="2108"/>
        <v/>
      </c>
      <c r="EN132" s="66" t="str">
        <f t="shared" si="2109"/>
        <v/>
      </c>
      <c r="EO132" s="66" t="str">
        <f t="shared" si="2110"/>
        <v/>
      </c>
      <c r="EP132" s="66" t="str">
        <f t="shared" si="2111"/>
        <v/>
      </c>
      <c r="EQ132" s="66" t="str">
        <f t="shared" si="2112"/>
        <v/>
      </c>
      <c r="ER132" s="66" t="str">
        <f t="shared" si="2113"/>
        <v/>
      </c>
      <c r="ES132" s="66" t="str">
        <f t="shared" si="2114"/>
        <v/>
      </c>
      <c r="ET132" s="66" t="str">
        <f t="shared" si="2115"/>
        <v/>
      </c>
      <c r="EU132" s="66" t="str">
        <f t="shared" si="2116"/>
        <v/>
      </c>
      <c r="EV132" s="66" t="str">
        <f t="shared" si="2117"/>
        <v/>
      </c>
      <c r="EW132" s="66" t="str">
        <f t="shared" si="2118"/>
        <v/>
      </c>
      <c r="EX132" s="66" t="str">
        <f t="shared" si="2119"/>
        <v/>
      </c>
      <c r="EY132" s="66" t="str">
        <f t="shared" si="2120"/>
        <v/>
      </c>
      <c r="EZ132" s="66" t="str">
        <f t="shared" si="2121"/>
        <v/>
      </c>
      <c r="FA132" s="66" t="str">
        <f t="shared" si="2122"/>
        <v/>
      </c>
      <c r="FB132" s="66" t="str">
        <f t="shared" si="2123"/>
        <v/>
      </c>
      <c r="FC132" s="66" t="str">
        <f t="shared" si="2124"/>
        <v/>
      </c>
      <c r="FD132" s="66" t="str">
        <f t="shared" si="2125"/>
        <v/>
      </c>
      <c r="FE132" s="66" t="str">
        <f t="shared" si="2126"/>
        <v/>
      </c>
      <c r="FF132" s="66" t="str">
        <f t="shared" si="2127"/>
        <v/>
      </c>
      <c r="FG132" s="66" t="str">
        <f t="shared" si="2128"/>
        <v/>
      </c>
      <c r="FH132" s="66" t="str">
        <f t="shared" si="2129"/>
        <v/>
      </c>
      <c r="FI132" s="66" t="str">
        <f t="shared" si="2130"/>
        <v/>
      </c>
      <c r="FJ132" s="66" t="str">
        <f t="shared" si="2131"/>
        <v/>
      </c>
      <c r="FK132" s="66" t="str">
        <f t="shared" si="2132"/>
        <v/>
      </c>
      <c r="FL132" s="66" t="str">
        <f t="shared" si="2133"/>
        <v/>
      </c>
      <c r="FM132" s="66" t="str">
        <f t="shared" si="2134"/>
        <v/>
      </c>
      <c r="FN132" s="66" t="str">
        <f t="shared" si="2135"/>
        <v/>
      </c>
      <c r="FO132" s="66" t="str">
        <f t="shared" si="2136"/>
        <v/>
      </c>
      <c r="FP132" s="66" t="str">
        <f t="shared" si="2137"/>
        <v/>
      </c>
      <c r="FQ132" s="66" t="str">
        <f t="shared" si="2138"/>
        <v/>
      </c>
      <c r="FR132" s="66" t="str">
        <f t="shared" si="2139"/>
        <v/>
      </c>
      <c r="FS132" s="66" t="str">
        <f t="shared" si="2140"/>
        <v/>
      </c>
    </row>
    <row r="133" spans="1:175" ht="16.5">
      <c r="A133" s="9"/>
      <c r="B133" s="17" t="s">
        <v>522</v>
      </c>
      <c r="C133" s="18" t="s">
        <v>523</v>
      </c>
      <c r="T133" s="19" t="s">
        <v>524</v>
      </c>
      <c r="U133" s="77" t="str">
        <f t="shared" si="1546"/>
        <v>ReplaceableTextures\\CommandButtons\\BTNIN10.blp</v>
      </c>
      <c r="CN133" s="36" t="str">
        <f t="shared" si="2064"/>
        <v>InitUnitState('IN10',,,,,,,,,,)</v>
      </c>
      <c r="CO133" s="36" t="str">
        <f t="shared" si="2065"/>
        <v>InitUnitNormal('IN10',,,,,,,,,,)</v>
      </c>
      <c r="CP133" s="36" t="str">
        <f t="shared" si="2066"/>
        <v>InitUnitMagic('IN10',,,,,,,,,,)</v>
      </c>
      <c r="CQ133" s="36" t="str">
        <f t="shared" si="2067"/>
        <v>InitUnitAdd('IN10',,,,,,,,,,)</v>
      </c>
      <c r="CR133" s="36" t="str">
        <f t="shared" si="2068"/>
        <v>InitEquipData('IN10',,"",,,,,'','','','','','',"ReplaceableTextures\\CommandButtons\\BTNIT04.blp")</v>
      </c>
      <c r="CU133" s="88" t="str">
        <f t="shared" si="2069"/>
        <v>|n</v>
      </c>
      <c r="CV133" s="19" t="str">
        <f t="shared" si="2070"/>
        <v>点金一个|Cffffd24d练功房福娃|r，获得|Cffffd24d100|r倍金币奖励</v>
      </c>
      <c r="CW133" s="33"/>
      <c r="CX133" s="33"/>
      <c r="CY133" s="33"/>
      <c r="CZ133" s="33"/>
      <c r="DA133" s="33"/>
      <c r="DB133" s="66" t="str">
        <f t="shared" si="2071"/>
        <v/>
      </c>
      <c r="DC133" s="66" t="str">
        <f t="shared" si="2072"/>
        <v/>
      </c>
      <c r="DD133" s="66" t="str">
        <f t="shared" si="2073"/>
        <v/>
      </c>
      <c r="DE133" s="66" t="str">
        <f t="shared" si="2074"/>
        <v/>
      </c>
      <c r="DF133" s="66" t="str">
        <f t="shared" si="2075"/>
        <v/>
      </c>
      <c r="DG133" s="66" t="str">
        <f t="shared" si="2076"/>
        <v/>
      </c>
      <c r="DH133" s="66" t="str">
        <f t="shared" si="2077"/>
        <v/>
      </c>
      <c r="DI133" s="66" t="str">
        <f t="shared" si="2078"/>
        <v/>
      </c>
      <c r="DJ133" s="66" t="str">
        <f t="shared" si="2079"/>
        <v/>
      </c>
      <c r="DK133" s="66" t="str">
        <f t="shared" si="2080"/>
        <v/>
      </c>
      <c r="DL133" s="66" t="str">
        <f t="shared" si="2081"/>
        <v/>
      </c>
      <c r="DM133" s="66" t="str">
        <f t="shared" si="2082"/>
        <v/>
      </c>
      <c r="DN133" s="66" t="str">
        <f t="shared" si="2083"/>
        <v/>
      </c>
      <c r="DO133" s="66" t="str">
        <f t="shared" si="2084"/>
        <v/>
      </c>
      <c r="DP133" s="66" t="str">
        <f t="shared" si="2085"/>
        <v/>
      </c>
      <c r="DQ133" s="66" t="str">
        <f t="shared" si="2086"/>
        <v/>
      </c>
      <c r="DR133" s="66" t="str">
        <f t="shared" si="2087"/>
        <v/>
      </c>
      <c r="DS133" s="66" t="str">
        <f t="shared" si="2088"/>
        <v/>
      </c>
      <c r="DT133" s="66" t="str">
        <f t="shared" si="2089"/>
        <v/>
      </c>
      <c r="DU133" s="66" t="str">
        <f t="shared" si="2090"/>
        <v/>
      </c>
      <c r="DV133" s="66" t="str">
        <f t="shared" si="2091"/>
        <v/>
      </c>
      <c r="DW133" s="66" t="str">
        <f t="shared" si="2092"/>
        <v/>
      </c>
      <c r="DX133" s="66" t="str">
        <f t="shared" si="2093"/>
        <v/>
      </c>
      <c r="DY133" s="66" t="str">
        <f t="shared" si="2094"/>
        <v/>
      </c>
      <c r="DZ133" s="66" t="str">
        <f t="shared" si="2095"/>
        <v/>
      </c>
      <c r="EA133" s="66" t="str">
        <f t="shared" si="2096"/>
        <v/>
      </c>
      <c r="EB133" s="66" t="str">
        <f t="shared" si="2097"/>
        <v/>
      </c>
      <c r="EC133" s="66" t="str">
        <f t="shared" si="2098"/>
        <v/>
      </c>
      <c r="ED133" s="66" t="str">
        <f t="shared" si="2099"/>
        <v/>
      </c>
      <c r="EE133" s="66" t="str">
        <f t="shared" si="2100"/>
        <v/>
      </c>
      <c r="EF133" s="66" t="str">
        <f t="shared" si="2101"/>
        <v/>
      </c>
      <c r="EG133" s="66" t="str">
        <f t="shared" si="2102"/>
        <v/>
      </c>
      <c r="EH133" s="66" t="str">
        <f t="shared" si="2103"/>
        <v/>
      </c>
      <c r="EI133" s="66" t="str">
        <f t="shared" si="2104"/>
        <v/>
      </c>
      <c r="EJ133" s="66" t="str">
        <f t="shared" si="2105"/>
        <v/>
      </c>
      <c r="EK133" s="66" t="str">
        <f t="shared" si="2106"/>
        <v/>
      </c>
      <c r="EL133" s="66" t="str">
        <f t="shared" si="2107"/>
        <v/>
      </c>
      <c r="EM133" s="66" t="str">
        <f t="shared" si="2108"/>
        <v/>
      </c>
      <c r="EN133" s="66" t="str">
        <f t="shared" si="2109"/>
        <v/>
      </c>
      <c r="EO133" s="66" t="str">
        <f t="shared" si="2110"/>
        <v/>
      </c>
      <c r="EP133" s="66" t="str">
        <f t="shared" si="2111"/>
        <v/>
      </c>
      <c r="EQ133" s="66" t="str">
        <f t="shared" si="2112"/>
        <v/>
      </c>
      <c r="ER133" s="66" t="str">
        <f t="shared" si="2113"/>
        <v/>
      </c>
      <c r="ES133" s="66" t="str">
        <f t="shared" si="2114"/>
        <v/>
      </c>
      <c r="ET133" s="66" t="str">
        <f t="shared" si="2115"/>
        <v/>
      </c>
      <c r="EU133" s="66" t="str">
        <f t="shared" si="2116"/>
        <v/>
      </c>
      <c r="EV133" s="66" t="str">
        <f t="shared" si="2117"/>
        <v/>
      </c>
      <c r="EW133" s="66" t="str">
        <f t="shared" si="2118"/>
        <v/>
      </c>
      <c r="EX133" s="66" t="str">
        <f t="shared" si="2119"/>
        <v/>
      </c>
      <c r="EY133" s="66" t="str">
        <f t="shared" si="2120"/>
        <v/>
      </c>
      <c r="EZ133" s="66" t="str">
        <f t="shared" si="2121"/>
        <v/>
      </c>
      <c r="FA133" s="66" t="str">
        <f t="shared" si="2122"/>
        <v/>
      </c>
      <c r="FB133" s="66" t="str">
        <f t="shared" si="2123"/>
        <v/>
      </c>
      <c r="FC133" s="66" t="str">
        <f t="shared" si="2124"/>
        <v/>
      </c>
      <c r="FD133" s="66" t="str">
        <f t="shared" si="2125"/>
        <v/>
      </c>
      <c r="FE133" s="66" t="str">
        <f t="shared" si="2126"/>
        <v/>
      </c>
      <c r="FF133" s="66" t="str">
        <f t="shared" si="2127"/>
        <v/>
      </c>
      <c r="FG133" s="66" t="str">
        <f t="shared" si="2128"/>
        <v/>
      </c>
      <c r="FH133" s="66" t="str">
        <f t="shared" si="2129"/>
        <v/>
      </c>
      <c r="FI133" s="66" t="str">
        <f t="shared" si="2130"/>
        <v/>
      </c>
      <c r="FJ133" s="66" t="str">
        <f t="shared" si="2131"/>
        <v/>
      </c>
      <c r="FK133" s="66" t="str">
        <f t="shared" si="2132"/>
        <v/>
      </c>
      <c r="FL133" s="66" t="str">
        <f t="shared" si="2133"/>
        <v/>
      </c>
      <c r="FM133" s="66" t="str">
        <f t="shared" si="2134"/>
        <v/>
      </c>
      <c r="FN133" s="66" t="str">
        <f t="shared" si="2135"/>
        <v/>
      </c>
      <c r="FO133" s="66" t="str">
        <f t="shared" si="2136"/>
        <v/>
      </c>
      <c r="FP133" s="66" t="str">
        <f t="shared" si="2137"/>
        <v/>
      </c>
      <c r="FQ133" s="66" t="str">
        <f t="shared" si="2138"/>
        <v/>
      </c>
      <c r="FR133" s="66" t="str">
        <f t="shared" si="2139"/>
        <v/>
      </c>
      <c r="FS133" s="66" t="str">
        <f t="shared" si="2140"/>
        <v/>
      </c>
    </row>
    <row r="134" spans="1:175" ht="16.5">
      <c r="A134" s="9"/>
      <c r="B134" s="17" t="s">
        <v>525</v>
      </c>
      <c r="C134" s="18" t="s">
        <v>526</v>
      </c>
      <c r="T134" s="19" t="s">
        <v>527</v>
      </c>
      <c r="U134" s="77" t="str">
        <f t="shared" si="1546"/>
        <v>ReplaceableTextures\\CommandButtons\\BTNIN11.blp</v>
      </c>
      <c r="CN134" s="36" t="str">
        <f t="shared" si="2064"/>
        <v>InitUnitState('IN11',,,,,,,,,,)</v>
      </c>
      <c r="CO134" s="36" t="str">
        <f t="shared" si="2065"/>
        <v>InitUnitNormal('IN11',,,,,,,,,,)</v>
      </c>
      <c r="CP134" s="36" t="str">
        <f t="shared" si="2066"/>
        <v>InitUnitMagic('IN11',,,,,,,,,,)</v>
      </c>
      <c r="CQ134" s="36" t="str">
        <f t="shared" si="2067"/>
        <v>InitUnitAdd('IN11',,,,,,,,,,)</v>
      </c>
      <c r="CR134" s="36" t="str">
        <f t="shared" si="2068"/>
        <v>InitEquipData('IN11',,"",,,,,'','','','','','',"ReplaceableTextures\\CommandButtons\\BTNIT05.blp")</v>
      </c>
      <c r="CU134" s="88" t="str">
        <f t="shared" si="2069"/>
        <v>|n</v>
      </c>
      <c r="CV134" s="19" t="str">
        <f t="shared" si="2070"/>
        <v>|CffFFD24D5|r秒内提高|Cffffd24d100%|r物理伤害</v>
      </c>
      <c r="CW134" s="33"/>
      <c r="CX134" s="33"/>
      <c r="CY134" s="33"/>
      <c r="CZ134" s="33"/>
      <c r="DA134" s="33"/>
      <c r="DB134" s="66" t="str">
        <f t="shared" si="2071"/>
        <v/>
      </c>
      <c r="DC134" s="66" t="str">
        <f t="shared" si="2072"/>
        <v/>
      </c>
      <c r="DD134" s="66" t="str">
        <f t="shared" si="2073"/>
        <v/>
      </c>
      <c r="DE134" s="66" t="str">
        <f t="shared" si="2074"/>
        <v/>
      </c>
      <c r="DF134" s="66" t="str">
        <f t="shared" si="2075"/>
        <v/>
      </c>
      <c r="DG134" s="66" t="str">
        <f t="shared" si="2076"/>
        <v/>
      </c>
      <c r="DH134" s="66" t="str">
        <f t="shared" si="2077"/>
        <v/>
      </c>
      <c r="DI134" s="66" t="str">
        <f t="shared" si="2078"/>
        <v/>
      </c>
      <c r="DJ134" s="66" t="str">
        <f t="shared" si="2079"/>
        <v/>
      </c>
      <c r="DK134" s="66" t="str">
        <f t="shared" si="2080"/>
        <v/>
      </c>
      <c r="DL134" s="66" t="str">
        <f t="shared" si="2081"/>
        <v/>
      </c>
      <c r="DM134" s="66" t="str">
        <f t="shared" si="2082"/>
        <v/>
      </c>
      <c r="DN134" s="66" t="str">
        <f t="shared" si="2083"/>
        <v/>
      </c>
      <c r="DO134" s="66" t="str">
        <f t="shared" si="2084"/>
        <v/>
      </c>
      <c r="DP134" s="66" t="str">
        <f t="shared" si="2085"/>
        <v/>
      </c>
      <c r="DQ134" s="66" t="str">
        <f t="shared" si="2086"/>
        <v/>
      </c>
      <c r="DR134" s="66" t="str">
        <f t="shared" si="2087"/>
        <v/>
      </c>
      <c r="DS134" s="66" t="str">
        <f t="shared" si="2088"/>
        <v/>
      </c>
      <c r="DT134" s="66" t="str">
        <f t="shared" si="2089"/>
        <v/>
      </c>
      <c r="DU134" s="66" t="str">
        <f t="shared" si="2090"/>
        <v/>
      </c>
      <c r="DV134" s="66" t="str">
        <f t="shared" si="2091"/>
        <v/>
      </c>
      <c r="DW134" s="66" t="str">
        <f t="shared" si="2092"/>
        <v/>
      </c>
      <c r="DX134" s="66" t="str">
        <f t="shared" si="2093"/>
        <v/>
      </c>
      <c r="DY134" s="66" t="str">
        <f t="shared" si="2094"/>
        <v/>
      </c>
      <c r="DZ134" s="66" t="str">
        <f t="shared" si="2095"/>
        <v/>
      </c>
      <c r="EA134" s="66" t="str">
        <f t="shared" si="2096"/>
        <v/>
      </c>
      <c r="EB134" s="66" t="str">
        <f t="shared" si="2097"/>
        <v/>
      </c>
      <c r="EC134" s="66" t="str">
        <f t="shared" si="2098"/>
        <v/>
      </c>
      <c r="ED134" s="66" t="str">
        <f t="shared" si="2099"/>
        <v/>
      </c>
      <c r="EE134" s="66" t="str">
        <f t="shared" si="2100"/>
        <v/>
      </c>
      <c r="EF134" s="66" t="str">
        <f t="shared" si="2101"/>
        <v/>
      </c>
      <c r="EG134" s="66" t="str">
        <f t="shared" si="2102"/>
        <v/>
      </c>
      <c r="EH134" s="66" t="str">
        <f t="shared" si="2103"/>
        <v/>
      </c>
      <c r="EI134" s="66" t="str">
        <f t="shared" si="2104"/>
        <v/>
      </c>
      <c r="EJ134" s="66" t="str">
        <f t="shared" si="2105"/>
        <v/>
      </c>
      <c r="EK134" s="66" t="str">
        <f t="shared" si="2106"/>
        <v/>
      </c>
      <c r="EL134" s="66" t="str">
        <f t="shared" si="2107"/>
        <v/>
      </c>
      <c r="EM134" s="66" t="str">
        <f t="shared" si="2108"/>
        <v/>
      </c>
      <c r="EN134" s="66" t="str">
        <f t="shared" si="2109"/>
        <v/>
      </c>
      <c r="EO134" s="66" t="str">
        <f t="shared" si="2110"/>
        <v/>
      </c>
      <c r="EP134" s="66" t="str">
        <f t="shared" si="2111"/>
        <v/>
      </c>
      <c r="EQ134" s="66" t="str">
        <f t="shared" si="2112"/>
        <v/>
      </c>
      <c r="ER134" s="66" t="str">
        <f t="shared" si="2113"/>
        <v/>
      </c>
      <c r="ES134" s="66" t="str">
        <f t="shared" si="2114"/>
        <v/>
      </c>
      <c r="ET134" s="66" t="str">
        <f t="shared" si="2115"/>
        <v/>
      </c>
      <c r="EU134" s="66" t="str">
        <f t="shared" si="2116"/>
        <v/>
      </c>
      <c r="EV134" s="66" t="str">
        <f t="shared" si="2117"/>
        <v/>
      </c>
      <c r="EW134" s="66" t="str">
        <f t="shared" si="2118"/>
        <v/>
      </c>
      <c r="EX134" s="66" t="str">
        <f t="shared" si="2119"/>
        <v/>
      </c>
      <c r="EY134" s="66" t="str">
        <f t="shared" si="2120"/>
        <v/>
      </c>
      <c r="EZ134" s="66" t="str">
        <f t="shared" si="2121"/>
        <v/>
      </c>
      <c r="FA134" s="66" t="str">
        <f t="shared" si="2122"/>
        <v/>
      </c>
      <c r="FB134" s="66" t="str">
        <f t="shared" si="2123"/>
        <v/>
      </c>
      <c r="FC134" s="66" t="str">
        <f t="shared" si="2124"/>
        <v/>
      </c>
      <c r="FD134" s="66" t="str">
        <f t="shared" si="2125"/>
        <v/>
      </c>
      <c r="FE134" s="66" t="str">
        <f t="shared" si="2126"/>
        <v/>
      </c>
      <c r="FF134" s="66" t="str">
        <f t="shared" si="2127"/>
        <v/>
      </c>
      <c r="FG134" s="66" t="str">
        <f t="shared" si="2128"/>
        <v/>
      </c>
      <c r="FH134" s="66" t="str">
        <f t="shared" si="2129"/>
        <v/>
      </c>
      <c r="FI134" s="66" t="str">
        <f t="shared" si="2130"/>
        <v/>
      </c>
      <c r="FJ134" s="66" t="str">
        <f t="shared" si="2131"/>
        <v/>
      </c>
      <c r="FK134" s="66" t="str">
        <f t="shared" si="2132"/>
        <v/>
      </c>
      <c r="FL134" s="66" t="str">
        <f t="shared" si="2133"/>
        <v/>
      </c>
      <c r="FM134" s="66" t="str">
        <f t="shared" si="2134"/>
        <v/>
      </c>
      <c r="FN134" s="66" t="str">
        <f t="shared" si="2135"/>
        <v/>
      </c>
      <c r="FO134" s="66" t="str">
        <f t="shared" si="2136"/>
        <v/>
      </c>
      <c r="FP134" s="66" t="str">
        <f t="shared" si="2137"/>
        <v/>
      </c>
      <c r="FQ134" s="66" t="str">
        <f t="shared" si="2138"/>
        <v/>
      </c>
      <c r="FR134" s="66" t="str">
        <f t="shared" si="2139"/>
        <v/>
      </c>
      <c r="FS134" s="66" t="str">
        <f t="shared" si="2140"/>
        <v/>
      </c>
    </row>
    <row r="135" spans="1:175" ht="16.5">
      <c r="A135" s="9"/>
      <c r="B135" s="17" t="s">
        <v>528</v>
      </c>
      <c r="C135" s="18" t="s">
        <v>529</v>
      </c>
      <c r="T135" s="19" t="s">
        <v>530</v>
      </c>
      <c r="U135" s="77" t="str">
        <f t="shared" si="1546"/>
        <v>ReplaceableTextures\\CommandButtons\\BTNIN12.blp</v>
      </c>
      <c r="CN135" s="36" t="str">
        <f t="shared" si="2064"/>
        <v>InitUnitState('IN12',,,,,,,,,,)</v>
      </c>
      <c r="CO135" s="36" t="str">
        <f t="shared" si="2065"/>
        <v>InitUnitNormal('IN12',,,,,,,,,,)</v>
      </c>
      <c r="CP135" s="36" t="str">
        <f t="shared" si="2066"/>
        <v>InitUnitMagic('IN12',,,,,,,,,,)</v>
      </c>
      <c r="CQ135" s="36" t="str">
        <f t="shared" si="2067"/>
        <v>InitUnitAdd('IN12',,,,,,,,,,)</v>
      </c>
      <c r="CR135" s="36" t="str">
        <f t="shared" si="2068"/>
        <v>InitEquipData('IN12',,"",,,,,'','','','','','',"ReplaceableTextures\\CommandButtons\\BTNIT06.blp")</v>
      </c>
      <c r="CU135" s="88" t="str">
        <f t="shared" si="2069"/>
        <v>|n</v>
      </c>
      <c r="CV135" s="19" t="str">
        <f t="shared" si="2070"/>
        <v>在|Cffffd24d基地-周文王|r附近召唤|Cffffd24d1|r个|Cffffd24d黑市商店|r，仅存在|Cffffd24d30|r秒。</v>
      </c>
      <c r="CW135" s="33"/>
      <c r="CX135" s="33"/>
      <c r="CY135" s="33"/>
      <c r="CZ135" s="33"/>
      <c r="DA135" s="33"/>
      <c r="DB135" s="66" t="str">
        <f t="shared" si="2071"/>
        <v/>
      </c>
      <c r="DC135" s="66" t="str">
        <f t="shared" si="2072"/>
        <v/>
      </c>
      <c r="DD135" s="66" t="str">
        <f t="shared" si="2073"/>
        <v/>
      </c>
      <c r="DE135" s="66" t="str">
        <f t="shared" si="2074"/>
        <v/>
      </c>
      <c r="DF135" s="66" t="str">
        <f t="shared" si="2075"/>
        <v/>
      </c>
      <c r="DG135" s="66" t="str">
        <f t="shared" si="2076"/>
        <v/>
      </c>
      <c r="DH135" s="66" t="str">
        <f t="shared" si="2077"/>
        <v/>
      </c>
      <c r="DI135" s="66" t="str">
        <f t="shared" si="2078"/>
        <v/>
      </c>
      <c r="DJ135" s="66" t="str">
        <f t="shared" si="2079"/>
        <v/>
      </c>
      <c r="DK135" s="66" t="str">
        <f t="shared" si="2080"/>
        <v/>
      </c>
      <c r="DL135" s="66" t="str">
        <f t="shared" si="2081"/>
        <v/>
      </c>
      <c r="DM135" s="66" t="str">
        <f t="shared" si="2082"/>
        <v/>
      </c>
      <c r="DN135" s="66" t="str">
        <f t="shared" si="2083"/>
        <v/>
      </c>
      <c r="DO135" s="66" t="str">
        <f t="shared" si="2084"/>
        <v/>
      </c>
      <c r="DP135" s="66" t="str">
        <f t="shared" si="2085"/>
        <v/>
      </c>
      <c r="DQ135" s="66" t="str">
        <f t="shared" si="2086"/>
        <v/>
      </c>
      <c r="DR135" s="66" t="str">
        <f t="shared" si="2087"/>
        <v/>
      </c>
      <c r="DS135" s="66" t="str">
        <f t="shared" si="2088"/>
        <v/>
      </c>
      <c r="DT135" s="66" t="str">
        <f t="shared" si="2089"/>
        <v/>
      </c>
      <c r="DU135" s="66" t="str">
        <f t="shared" si="2090"/>
        <v/>
      </c>
      <c r="DV135" s="66" t="str">
        <f t="shared" si="2091"/>
        <v/>
      </c>
      <c r="DW135" s="66" t="str">
        <f t="shared" si="2092"/>
        <v/>
      </c>
      <c r="DX135" s="66" t="str">
        <f t="shared" si="2093"/>
        <v/>
      </c>
      <c r="DY135" s="66" t="str">
        <f t="shared" si="2094"/>
        <v/>
      </c>
      <c r="DZ135" s="66" t="str">
        <f t="shared" si="2095"/>
        <v/>
      </c>
      <c r="EA135" s="66" t="str">
        <f t="shared" si="2096"/>
        <v/>
      </c>
      <c r="EB135" s="66" t="str">
        <f t="shared" si="2097"/>
        <v/>
      </c>
      <c r="EC135" s="66" t="str">
        <f t="shared" si="2098"/>
        <v/>
      </c>
      <c r="ED135" s="66" t="str">
        <f t="shared" si="2099"/>
        <v/>
      </c>
      <c r="EE135" s="66" t="str">
        <f t="shared" si="2100"/>
        <v/>
      </c>
      <c r="EF135" s="66" t="str">
        <f t="shared" si="2101"/>
        <v/>
      </c>
      <c r="EG135" s="66" t="str">
        <f t="shared" si="2102"/>
        <v/>
      </c>
      <c r="EH135" s="66" t="str">
        <f t="shared" si="2103"/>
        <v/>
      </c>
      <c r="EI135" s="66" t="str">
        <f t="shared" si="2104"/>
        <v/>
      </c>
      <c r="EJ135" s="66" t="str">
        <f t="shared" si="2105"/>
        <v/>
      </c>
      <c r="EK135" s="66" t="str">
        <f t="shared" si="2106"/>
        <v/>
      </c>
      <c r="EL135" s="66" t="str">
        <f t="shared" si="2107"/>
        <v/>
      </c>
      <c r="EM135" s="66" t="str">
        <f t="shared" si="2108"/>
        <v/>
      </c>
      <c r="EN135" s="66" t="str">
        <f t="shared" si="2109"/>
        <v/>
      </c>
      <c r="EO135" s="66" t="str">
        <f t="shared" si="2110"/>
        <v/>
      </c>
      <c r="EP135" s="66" t="str">
        <f t="shared" si="2111"/>
        <v/>
      </c>
      <c r="EQ135" s="66" t="str">
        <f t="shared" si="2112"/>
        <v/>
      </c>
      <c r="ER135" s="66" t="str">
        <f t="shared" si="2113"/>
        <v/>
      </c>
      <c r="ES135" s="66" t="str">
        <f t="shared" si="2114"/>
        <v/>
      </c>
      <c r="ET135" s="66" t="str">
        <f t="shared" si="2115"/>
        <v/>
      </c>
      <c r="EU135" s="66" t="str">
        <f t="shared" si="2116"/>
        <v/>
      </c>
      <c r="EV135" s="66" t="str">
        <f t="shared" si="2117"/>
        <v/>
      </c>
      <c r="EW135" s="66" t="str">
        <f t="shared" si="2118"/>
        <v/>
      </c>
      <c r="EX135" s="66" t="str">
        <f t="shared" si="2119"/>
        <v/>
      </c>
      <c r="EY135" s="66" t="str">
        <f t="shared" si="2120"/>
        <v/>
      </c>
      <c r="EZ135" s="66" t="str">
        <f t="shared" si="2121"/>
        <v/>
      </c>
      <c r="FA135" s="66" t="str">
        <f t="shared" si="2122"/>
        <v/>
      </c>
      <c r="FB135" s="66" t="str">
        <f t="shared" si="2123"/>
        <v/>
      </c>
      <c r="FC135" s="66" t="str">
        <f t="shared" si="2124"/>
        <v/>
      </c>
      <c r="FD135" s="66" t="str">
        <f t="shared" si="2125"/>
        <v/>
      </c>
      <c r="FE135" s="66" t="str">
        <f t="shared" si="2126"/>
        <v/>
      </c>
      <c r="FF135" s="66" t="str">
        <f t="shared" si="2127"/>
        <v/>
      </c>
      <c r="FG135" s="66" t="str">
        <f t="shared" si="2128"/>
        <v/>
      </c>
      <c r="FH135" s="66" t="str">
        <f t="shared" si="2129"/>
        <v/>
      </c>
      <c r="FI135" s="66" t="str">
        <f t="shared" si="2130"/>
        <v/>
      </c>
      <c r="FJ135" s="66" t="str">
        <f t="shared" si="2131"/>
        <v/>
      </c>
      <c r="FK135" s="66" t="str">
        <f t="shared" si="2132"/>
        <v/>
      </c>
      <c r="FL135" s="66" t="str">
        <f t="shared" si="2133"/>
        <v/>
      </c>
      <c r="FM135" s="66" t="str">
        <f t="shared" si="2134"/>
        <v/>
      </c>
      <c r="FN135" s="66" t="str">
        <f t="shared" si="2135"/>
        <v/>
      </c>
      <c r="FO135" s="66" t="str">
        <f t="shared" si="2136"/>
        <v/>
      </c>
      <c r="FP135" s="66" t="str">
        <f t="shared" si="2137"/>
        <v/>
      </c>
      <c r="FQ135" s="66" t="str">
        <f t="shared" si="2138"/>
        <v/>
      </c>
      <c r="FR135" s="66" t="str">
        <f t="shared" si="2139"/>
        <v/>
      </c>
      <c r="FS135" s="66" t="str">
        <f t="shared" si="2140"/>
        <v/>
      </c>
    </row>
    <row r="136" spans="1:175" ht="16.5">
      <c r="A136" s="9"/>
      <c r="B136" s="17" t="s">
        <v>531</v>
      </c>
      <c r="C136" s="18" t="s">
        <v>532</v>
      </c>
      <c r="T136" s="19" t="s">
        <v>533</v>
      </c>
      <c r="U136" s="77" t="str">
        <f t="shared" si="1546"/>
        <v>ReplaceableTextures\\CommandButtons\\BTNIN13.blp</v>
      </c>
      <c r="CN136" s="36" t="str">
        <f t="shared" si="2064"/>
        <v>InitUnitState('IN13',,,,,,,,,,)</v>
      </c>
      <c r="CO136" s="36" t="str">
        <f t="shared" si="2065"/>
        <v>InitUnitNormal('IN13',,,,,,,,,,)</v>
      </c>
      <c r="CP136" s="36" t="str">
        <f t="shared" si="2066"/>
        <v>InitUnitMagic('IN13',,,,,,,,,,)</v>
      </c>
      <c r="CQ136" s="36" t="str">
        <f t="shared" si="2067"/>
        <v>InitUnitAdd('IN13',,,,,,,,,,)</v>
      </c>
      <c r="CR136" s="36" t="str">
        <f t="shared" si="2068"/>
        <v>InitEquipData('IN13',,"",,,,,'','','','','','',"ReplaceableTextures\\CommandButtons\\BTNIT07.blp")</v>
      </c>
      <c r="CU136" s="88" t="str">
        <f t="shared" si="1916"/>
        <v>|n</v>
      </c>
      <c r="CV136" s="19" t="str">
        <f t="shared" si="1917"/>
        <v>场上存活的队友|Cffffd24d10|r秒内提高|Cffffd24d30%|r法术伤害</v>
      </c>
      <c r="CW136" s="33"/>
      <c r="CX136" s="33"/>
      <c r="CY136" s="33"/>
      <c r="CZ136" s="33"/>
      <c r="DA136" s="33"/>
      <c r="DB136" s="66" t="str">
        <f t="shared" si="1918"/>
        <v/>
      </c>
      <c r="DC136" s="66" t="str">
        <f t="shared" si="1919"/>
        <v/>
      </c>
      <c r="DD136" s="66" t="str">
        <f t="shared" si="1920"/>
        <v/>
      </c>
      <c r="DE136" s="66" t="str">
        <f t="shared" si="1921"/>
        <v/>
      </c>
      <c r="DF136" s="66" t="str">
        <f t="shared" si="1922"/>
        <v/>
      </c>
      <c r="DG136" s="66" t="str">
        <f t="shared" si="1923"/>
        <v/>
      </c>
      <c r="DH136" s="66" t="str">
        <f t="shared" si="1924"/>
        <v/>
      </c>
      <c r="DI136" s="66" t="str">
        <f t="shared" si="1925"/>
        <v/>
      </c>
      <c r="DJ136" s="66" t="str">
        <f t="shared" si="1926"/>
        <v/>
      </c>
      <c r="DK136" s="66" t="str">
        <f t="shared" si="1927"/>
        <v/>
      </c>
      <c r="DL136" s="66" t="str">
        <f t="shared" si="1928"/>
        <v/>
      </c>
      <c r="DM136" s="66" t="str">
        <f t="shared" si="1929"/>
        <v/>
      </c>
      <c r="DN136" s="66" t="str">
        <f t="shared" si="1930"/>
        <v/>
      </c>
      <c r="DO136" s="66" t="str">
        <f t="shared" si="1931"/>
        <v/>
      </c>
      <c r="DP136" s="66" t="str">
        <f t="shared" si="1932"/>
        <v/>
      </c>
      <c r="DQ136" s="66" t="str">
        <f t="shared" si="1933"/>
        <v/>
      </c>
      <c r="DR136" s="66" t="str">
        <f t="shared" si="1934"/>
        <v/>
      </c>
      <c r="DS136" s="66" t="str">
        <f t="shared" si="1935"/>
        <v/>
      </c>
      <c r="DT136" s="66" t="str">
        <f t="shared" si="1936"/>
        <v/>
      </c>
      <c r="DU136" s="66" t="str">
        <f t="shared" si="1937"/>
        <v/>
      </c>
      <c r="DV136" s="66" t="str">
        <f t="shared" si="1938"/>
        <v/>
      </c>
      <c r="DW136" s="66" t="str">
        <f t="shared" si="1939"/>
        <v/>
      </c>
      <c r="DX136" s="66" t="str">
        <f t="shared" si="1940"/>
        <v/>
      </c>
      <c r="DY136" s="66" t="str">
        <f t="shared" si="1941"/>
        <v/>
      </c>
      <c r="DZ136" s="66" t="str">
        <f t="shared" si="1942"/>
        <v/>
      </c>
      <c r="EA136" s="66" t="str">
        <f t="shared" si="1943"/>
        <v/>
      </c>
      <c r="EB136" s="66" t="str">
        <f t="shared" si="1944"/>
        <v/>
      </c>
      <c r="EC136" s="66" t="str">
        <f t="shared" si="1945"/>
        <v/>
      </c>
      <c r="ED136" s="66" t="str">
        <f t="shared" si="1946"/>
        <v/>
      </c>
      <c r="EE136" s="66" t="str">
        <f t="shared" si="1947"/>
        <v/>
      </c>
      <c r="EF136" s="66" t="str">
        <f t="shared" si="1948"/>
        <v/>
      </c>
      <c r="EG136" s="66" t="str">
        <f t="shared" si="1949"/>
        <v/>
      </c>
      <c r="EH136" s="66" t="str">
        <f t="shared" si="1950"/>
        <v/>
      </c>
      <c r="EI136" s="66" t="str">
        <f t="shared" si="1951"/>
        <v/>
      </c>
      <c r="EJ136" s="66" t="str">
        <f t="shared" si="1952"/>
        <v/>
      </c>
      <c r="EK136" s="66" t="str">
        <f t="shared" si="1953"/>
        <v/>
      </c>
      <c r="EL136" s="66" t="str">
        <f t="shared" si="1954"/>
        <v/>
      </c>
      <c r="EM136" s="66" t="str">
        <f t="shared" si="1955"/>
        <v/>
      </c>
      <c r="EN136" s="66" t="str">
        <f t="shared" si="1956"/>
        <v/>
      </c>
      <c r="EO136" s="66" t="str">
        <f t="shared" si="1957"/>
        <v/>
      </c>
      <c r="EP136" s="66" t="str">
        <f t="shared" si="1958"/>
        <v/>
      </c>
      <c r="EQ136" s="66" t="str">
        <f t="shared" si="1959"/>
        <v/>
      </c>
      <c r="ER136" s="66" t="str">
        <f t="shared" si="1960"/>
        <v/>
      </c>
      <c r="ES136" s="66" t="str">
        <f t="shared" si="1961"/>
        <v/>
      </c>
      <c r="ET136" s="66" t="str">
        <f t="shared" si="1962"/>
        <v/>
      </c>
      <c r="EU136" s="66" t="str">
        <f t="shared" si="1963"/>
        <v/>
      </c>
      <c r="EV136" s="66" t="str">
        <f t="shared" si="1964"/>
        <v/>
      </c>
      <c r="EW136" s="66" t="str">
        <f t="shared" si="1965"/>
        <v/>
      </c>
      <c r="EX136" s="66" t="str">
        <f t="shared" si="1966"/>
        <v/>
      </c>
      <c r="EY136" s="66" t="str">
        <f t="shared" si="1967"/>
        <v/>
      </c>
      <c r="EZ136" s="66" t="str">
        <f t="shared" si="1968"/>
        <v/>
      </c>
      <c r="FA136" s="66" t="str">
        <f t="shared" si="1969"/>
        <v/>
      </c>
      <c r="FB136" s="66" t="str">
        <f t="shared" si="1970"/>
        <v/>
      </c>
      <c r="FC136" s="66" t="str">
        <f t="shared" si="1971"/>
        <v/>
      </c>
      <c r="FD136" s="66" t="str">
        <f t="shared" si="1972"/>
        <v/>
      </c>
      <c r="FE136" s="66" t="str">
        <f t="shared" si="1973"/>
        <v/>
      </c>
      <c r="FF136" s="66" t="str">
        <f t="shared" si="1974"/>
        <v/>
      </c>
      <c r="FG136" s="66" t="str">
        <f t="shared" si="1975"/>
        <v/>
      </c>
      <c r="FH136" s="66" t="str">
        <f t="shared" si="1976"/>
        <v/>
      </c>
      <c r="FI136" s="66" t="str">
        <f t="shared" si="1977"/>
        <v/>
      </c>
      <c r="FJ136" s="66" t="str">
        <f t="shared" si="1978"/>
        <v/>
      </c>
      <c r="FK136" s="66" t="str">
        <f t="shared" si="1979"/>
        <v/>
      </c>
      <c r="FL136" s="66" t="str">
        <f t="shared" si="1980"/>
        <v/>
      </c>
      <c r="FM136" s="66" t="str">
        <f t="shared" si="1981"/>
        <v/>
      </c>
      <c r="FN136" s="66" t="str">
        <f t="shared" si="1982"/>
        <v/>
      </c>
      <c r="FO136" s="66" t="str">
        <f t="shared" si="1983"/>
        <v/>
      </c>
      <c r="FP136" s="66" t="str">
        <f t="shared" si="1984"/>
        <v/>
      </c>
      <c r="FQ136" s="66" t="str">
        <f t="shared" si="1985"/>
        <v/>
      </c>
      <c r="FR136" s="66" t="str">
        <f t="shared" si="1986"/>
        <v/>
      </c>
      <c r="FS136" s="66" t="str">
        <f t="shared" si="1987"/>
        <v/>
      </c>
    </row>
    <row r="137" spans="1:175" ht="16.5">
      <c r="A137" s="9"/>
      <c r="B137" s="17" t="s">
        <v>534</v>
      </c>
      <c r="C137" s="18" t="s">
        <v>535</v>
      </c>
      <c r="T137" s="102" t="s">
        <v>536</v>
      </c>
      <c r="U137" s="77" t="str">
        <f t="shared" si="1546"/>
        <v>ReplaceableTextures\\CommandButtons\\BTNIN14.blp</v>
      </c>
      <c r="CN137" s="36" t="str">
        <f t="shared" si="2064"/>
        <v>InitUnitState('IN14',,,,,,,,,,)</v>
      </c>
      <c r="CO137" s="36" t="str">
        <f t="shared" si="2065"/>
        <v>InitUnitNormal('IN14',,,,,,,,,,)</v>
      </c>
      <c r="CP137" s="36" t="str">
        <f t="shared" si="2066"/>
        <v>InitUnitMagic('IN14',,,,,,,,,,)</v>
      </c>
      <c r="CQ137" s="36" t="str">
        <f t="shared" si="2067"/>
        <v>InitUnitAdd('IN14',,,,,,,,,,)</v>
      </c>
      <c r="CR137" s="36" t="str">
        <f t="shared" si="2068"/>
        <v>InitEquipData('IN14',,"",,,,,'','','','','','',"ReplaceableTextures\\CommandButtons\\BTNIT08.blp")</v>
      </c>
      <c r="CU137" s="88" t="str">
        <f t="shared" si="1916"/>
        <v>|n</v>
      </c>
      <c r="CV137" s="19" t="str">
        <f t="shared" si="1917"/>
        <v>使用后基地无敌|Cffffd24d5|r秒。</v>
      </c>
      <c r="CW137" s="33"/>
      <c r="CX137" s="33"/>
      <c r="CY137" s="33"/>
      <c r="CZ137" s="33"/>
      <c r="DA137" s="33"/>
      <c r="DB137" s="66" t="str">
        <f t="shared" si="1918"/>
        <v/>
      </c>
      <c r="DC137" s="66" t="str">
        <f t="shared" si="1919"/>
        <v/>
      </c>
      <c r="DD137" s="66" t="str">
        <f t="shared" si="1920"/>
        <v/>
      </c>
      <c r="DE137" s="66" t="str">
        <f t="shared" si="1921"/>
        <v/>
      </c>
      <c r="DF137" s="66" t="str">
        <f t="shared" si="1922"/>
        <v/>
      </c>
      <c r="DG137" s="66" t="str">
        <f t="shared" si="1923"/>
        <v/>
      </c>
      <c r="DH137" s="66" t="str">
        <f t="shared" si="1924"/>
        <v/>
      </c>
      <c r="DI137" s="66" t="str">
        <f t="shared" si="1925"/>
        <v/>
      </c>
      <c r="DJ137" s="66" t="str">
        <f t="shared" si="1926"/>
        <v/>
      </c>
      <c r="DK137" s="66" t="str">
        <f t="shared" si="1927"/>
        <v/>
      </c>
      <c r="DL137" s="66" t="str">
        <f t="shared" si="1928"/>
        <v/>
      </c>
      <c r="DM137" s="66" t="str">
        <f t="shared" si="1929"/>
        <v/>
      </c>
      <c r="DN137" s="66" t="str">
        <f t="shared" si="1930"/>
        <v/>
      </c>
      <c r="DO137" s="66" t="str">
        <f t="shared" si="1931"/>
        <v/>
      </c>
      <c r="DP137" s="66" t="str">
        <f t="shared" si="1932"/>
        <v/>
      </c>
      <c r="DQ137" s="66" t="str">
        <f t="shared" si="1933"/>
        <v/>
      </c>
      <c r="DR137" s="66" t="str">
        <f t="shared" si="1934"/>
        <v/>
      </c>
      <c r="DS137" s="66" t="str">
        <f t="shared" si="1935"/>
        <v/>
      </c>
      <c r="DT137" s="66" t="str">
        <f t="shared" si="1936"/>
        <v/>
      </c>
      <c r="DU137" s="66" t="str">
        <f t="shared" si="1937"/>
        <v/>
      </c>
      <c r="DV137" s="66" t="str">
        <f t="shared" si="1938"/>
        <v/>
      </c>
      <c r="DW137" s="66" t="str">
        <f t="shared" si="1939"/>
        <v/>
      </c>
      <c r="DX137" s="66" t="str">
        <f t="shared" si="1940"/>
        <v/>
      </c>
      <c r="DY137" s="66" t="str">
        <f t="shared" si="1941"/>
        <v/>
      </c>
      <c r="DZ137" s="66" t="str">
        <f t="shared" si="1942"/>
        <v/>
      </c>
      <c r="EA137" s="66" t="str">
        <f t="shared" si="1943"/>
        <v/>
      </c>
      <c r="EB137" s="66" t="str">
        <f t="shared" si="1944"/>
        <v/>
      </c>
      <c r="EC137" s="66" t="str">
        <f t="shared" si="1945"/>
        <v/>
      </c>
      <c r="ED137" s="66" t="str">
        <f t="shared" si="1946"/>
        <v/>
      </c>
      <c r="EE137" s="66" t="str">
        <f t="shared" si="1947"/>
        <v/>
      </c>
      <c r="EF137" s="66" t="str">
        <f t="shared" si="1948"/>
        <v/>
      </c>
      <c r="EG137" s="66" t="str">
        <f t="shared" si="1949"/>
        <v/>
      </c>
      <c r="EH137" s="66" t="str">
        <f t="shared" si="1950"/>
        <v/>
      </c>
      <c r="EI137" s="66" t="str">
        <f t="shared" si="1951"/>
        <v/>
      </c>
      <c r="EJ137" s="66" t="str">
        <f t="shared" si="1952"/>
        <v/>
      </c>
      <c r="EK137" s="66" t="str">
        <f t="shared" si="1953"/>
        <v/>
      </c>
      <c r="EL137" s="66" t="str">
        <f t="shared" si="1954"/>
        <v/>
      </c>
      <c r="EM137" s="66" t="str">
        <f t="shared" si="1955"/>
        <v/>
      </c>
      <c r="EN137" s="66" t="str">
        <f t="shared" si="1956"/>
        <v/>
      </c>
      <c r="EO137" s="66" t="str">
        <f t="shared" si="1957"/>
        <v/>
      </c>
      <c r="EP137" s="66" t="str">
        <f t="shared" si="1958"/>
        <v/>
      </c>
      <c r="EQ137" s="66" t="str">
        <f t="shared" si="1959"/>
        <v/>
      </c>
      <c r="ER137" s="66" t="str">
        <f t="shared" si="1960"/>
        <v/>
      </c>
      <c r="ES137" s="66" t="str">
        <f t="shared" si="1961"/>
        <v/>
      </c>
      <c r="ET137" s="66" t="str">
        <f t="shared" si="1962"/>
        <v/>
      </c>
      <c r="EU137" s="66" t="str">
        <f t="shared" si="1963"/>
        <v/>
      </c>
      <c r="EV137" s="66" t="str">
        <f t="shared" si="1964"/>
        <v/>
      </c>
      <c r="EW137" s="66" t="str">
        <f t="shared" si="1965"/>
        <v/>
      </c>
      <c r="EX137" s="66" t="str">
        <f t="shared" si="1966"/>
        <v/>
      </c>
      <c r="EY137" s="66" t="str">
        <f t="shared" si="1967"/>
        <v/>
      </c>
      <c r="EZ137" s="66" t="str">
        <f t="shared" si="1968"/>
        <v/>
      </c>
      <c r="FA137" s="66" t="str">
        <f t="shared" si="1969"/>
        <v/>
      </c>
      <c r="FB137" s="66" t="str">
        <f t="shared" si="1970"/>
        <v/>
      </c>
      <c r="FC137" s="66" t="str">
        <f t="shared" si="1971"/>
        <v/>
      </c>
      <c r="FD137" s="66" t="str">
        <f t="shared" si="1972"/>
        <v/>
      </c>
      <c r="FE137" s="66" t="str">
        <f t="shared" si="1973"/>
        <v/>
      </c>
      <c r="FF137" s="66" t="str">
        <f t="shared" si="1974"/>
        <v/>
      </c>
      <c r="FG137" s="66" t="str">
        <f t="shared" si="1975"/>
        <v/>
      </c>
      <c r="FH137" s="66" t="str">
        <f t="shared" si="1976"/>
        <v/>
      </c>
      <c r="FI137" s="66" t="str">
        <f t="shared" si="1977"/>
        <v/>
      </c>
      <c r="FJ137" s="66" t="str">
        <f t="shared" si="1978"/>
        <v/>
      </c>
      <c r="FK137" s="66" t="str">
        <f t="shared" si="1979"/>
        <v/>
      </c>
      <c r="FL137" s="66" t="str">
        <f t="shared" si="1980"/>
        <v/>
      </c>
      <c r="FM137" s="66" t="str">
        <f t="shared" si="1981"/>
        <v/>
      </c>
      <c r="FN137" s="66" t="str">
        <f t="shared" si="1982"/>
        <v/>
      </c>
      <c r="FO137" s="66" t="str">
        <f t="shared" si="1983"/>
        <v/>
      </c>
      <c r="FP137" s="66" t="str">
        <f t="shared" si="1984"/>
        <v/>
      </c>
      <c r="FQ137" s="66" t="str">
        <f t="shared" si="1985"/>
        <v/>
      </c>
      <c r="FR137" s="66" t="str">
        <f t="shared" si="1986"/>
        <v/>
      </c>
      <c r="FS137" s="66" t="str">
        <f t="shared" si="1987"/>
        <v/>
      </c>
    </row>
    <row r="138" spans="1:175" ht="28.5">
      <c r="A138" s="9"/>
      <c r="B138" s="17" t="s">
        <v>537</v>
      </c>
      <c r="C138" s="18" t="s">
        <v>538</v>
      </c>
      <c r="T138" s="103" t="s">
        <v>539</v>
      </c>
      <c r="U138" s="77" t="str">
        <f t="shared" si="1546"/>
        <v>ReplaceableTextures\\CommandButtons\\BTNIN15.blp</v>
      </c>
      <c r="CN138" s="36" t="str">
        <f t="shared" si="2064"/>
        <v>InitUnitState('IN15',,,,,,,,,,)</v>
      </c>
      <c r="CO138" s="36" t="str">
        <f t="shared" si="2065"/>
        <v>InitUnitNormal('IN15',,,,,,,,,,)</v>
      </c>
      <c r="CP138" s="36" t="str">
        <f t="shared" si="2066"/>
        <v>InitUnitMagic('IN15',,,,,,,,,,)</v>
      </c>
      <c r="CQ138" s="36" t="str">
        <f t="shared" si="2067"/>
        <v>InitUnitAdd('IN15',,,,,,,,,,)</v>
      </c>
      <c r="CR138" s="36" t="str">
        <f t="shared" si="2068"/>
        <v>InitEquipData('IN15',,"",,,,,'','','','','','',"ReplaceableTextures\\CommandButtons\\BTNIT09.blp")</v>
      </c>
      <c r="CU138" s="88" t="str">
        <f t="shared" ref="CU138:CU140" si="2141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0" si="2142">T138</f>
        <v>场上存活的队友|Cffffd24d10|r秒内减少|Cffffd24d20%|r承受伤害</v>
      </c>
      <c r="CW138" s="33"/>
      <c r="CX138" s="33"/>
      <c r="CY138" s="33"/>
      <c r="CZ138" s="33"/>
      <c r="DA138" s="33"/>
      <c r="DB138" s="66" t="str">
        <f t="shared" ref="DB138:DB140" si="2143">IF(V138="","","|n"&amp;DB$2&amp;"+"&amp;V138&amp;DB$1)</f>
        <v/>
      </c>
      <c r="DC138" s="66" t="str">
        <f t="shared" ref="DC138:DC140" si="2144">IF(W138="","","|n"&amp;DC$2&amp;"+"&amp;W138&amp;DC$1)</f>
        <v/>
      </c>
      <c r="DD138" s="66" t="str">
        <f t="shared" ref="DD138:DD140" si="2145">IF(X138="","","|n"&amp;DD$2&amp;"+"&amp;X138&amp;DD$1)</f>
        <v/>
      </c>
      <c r="DE138" s="66" t="str">
        <f t="shared" ref="DE138:DE140" si="2146">IF(Y138="","","|n"&amp;DE$2&amp;"+"&amp;Y138&amp;DE$1)</f>
        <v/>
      </c>
      <c r="DF138" s="66" t="str">
        <f t="shared" ref="DF138:DF140" si="2147">IF(Z138="","","|n"&amp;DF$2&amp;"+"&amp;Z138&amp;DF$1)</f>
        <v/>
      </c>
      <c r="DG138" s="66" t="str">
        <f t="shared" ref="DG138:DG140" si="2148">IF(AA138="","","|n"&amp;DG$2&amp;"+"&amp;AA138&amp;DG$1)</f>
        <v/>
      </c>
      <c r="DH138" s="66" t="str">
        <f t="shared" ref="DH138:DH140" si="2149">IF(AB138="","","|n"&amp;DH$2&amp;"+"&amp;AB138&amp;DH$1)</f>
        <v/>
      </c>
      <c r="DI138" s="66" t="str">
        <f t="shared" ref="DI138:DI140" si="2150">IF(AC138="","","|n"&amp;DI$2&amp;"+"&amp;AC138&amp;DI$1)</f>
        <v/>
      </c>
      <c r="DJ138" s="66" t="str">
        <f t="shared" ref="DJ138:DJ140" si="2151">IF(AD138="","","|n"&amp;DJ$2&amp;"+"&amp;AD138&amp;DJ$1)</f>
        <v/>
      </c>
      <c r="DK138" s="66" t="str">
        <f t="shared" ref="DK138:DK140" si="2152">IF(AE138="","","|n"&amp;DK$2&amp;"+"&amp;AE138&amp;DK$1)</f>
        <v/>
      </c>
      <c r="DL138" s="66" t="str">
        <f t="shared" ref="DL138:DL140" si="2153">IF(AF138="","","|n"&amp;DL$2&amp;"+"&amp;AF138&amp;DL$1)</f>
        <v/>
      </c>
      <c r="DM138" s="66" t="str">
        <f t="shared" ref="DM138:DM140" si="2154">IF(AG138="","","|n"&amp;DM$2&amp;"+"&amp;AG138&amp;DM$1)</f>
        <v/>
      </c>
      <c r="DN138" s="66" t="str">
        <f t="shared" ref="DN138:DN140" si="2155">IF(AH138="","","|n"&amp;DN$2&amp;"+"&amp;AH138&amp;DN$1)</f>
        <v/>
      </c>
      <c r="DO138" s="66" t="str">
        <f t="shared" ref="DO138:DO140" si="2156">IF(AI138="","","|n"&amp;DO$2&amp;"+"&amp;AI138&amp;DO$1)</f>
        <v/>
      </c>
      <c r="DP138" s="66" t="str">
        <f t="shared" ref="DP138:DP140" si="2157">IF(AJ138="","","|n"&amp;DP$2&amp;"+"&amp;AJ138&amp;DP$1)</f>
        <v/>
      </c>
      <c r="DQ138" s="66" t="str">
        <f t="shared" ref="DQ138:DQ140" si="2158">IF(AK138="","","|n"&amp;DQ$2&amp;"+"&amp;AK138&amp;DQ$1)</f>
        <v/>
      </c>
      <c r="DR138" s="66" t="str">
        <f t="shared" ref="DR138:DR140" si="2159">IF(AL138="","","|n"&amp;DR$2&amp;"+"&amp;AL138&amp;DR$1)</f>
        <v/>
      </c>
      <c r="DS138" s="66" t="str">
        <f t="shared" ref="DS138:DS140" si="2160">IF(AM138="","","|n"&amp;DS$2&amp;"+"&amp;AM138&amp;DS$1)</f>
        <v/>
      </c>
      <c r="DT138" s="66" t="str">
        <f t="shared" ref="DT138:DT140" si="2161">IF(AN138="","","|n"&amp;DT$2&amp;"+"&amp;AN138&amp;DT$1)</f>
        <v/>
      </c>
      <c r="DU138" s="66" t="str">
        <f t="shared" ref="DU138:DU140" si="2162">IF(AO138="","","|n"&amp;DU$2&amp;"+"&amp;AO138&amp;DU$1)</f>
        <v/>
      </c>
      <c r="DV138" s="66" t="str">
        <f t="shared" ref="DV138:DV140" si="2163">IF(AP138="","","|n"&amp;DV$2&amp;"+"&amp;AP138&amp;DV$1)</f>
        <v/>
      </c>
      <c r="DW138" s="66" t="str">
        <f t="shared" ref="DW138:DW140" si="2164">IF(AQ138="","","|n"&amp;DW$2&amp;"+"&amp;AQ138&amp;DW$1)</f>
        <v/>
      </c>
      <c r="DX138" s="66" t="str">
        <f t="shared" ref="DX138:DX140" si="2165">IF(AR138="","","|n"&amp;DX$2&amp;"+"&amp;AR138&amp;DX$1)</f>
        <v/>
      </c>
      <c r="DY138" s="66" t="str">
        <f t="shared" ref="DY138:DY140" si="2166">IF(AS138="","","|n"&amp;DY$2&amp;"+"&amp;AS138&amp;DY$1)</f>
        <v/>
      </c>
      <c r="DZ138" s="66" t="str">
        <f t="shared" ref="DZ138:DZ140" si="2167">IF(AT138="","","|n"&amp;DZ$2&amp;"+"&amp;AT138&amp;DZ$1)</f>
        <v/>
      </c>
      <c r="EA138" s="66" t="str">
        <f t="shared" ref="EA138:EA140" si="2168">IF(AU138="","","|n"&amp;EA$2&amp;"+"&amp;AU138&amp;EA$1)</f>
        <v/>
      </c>
      <c r="EB138" s="66" t="str">
        <f t="shared" ref="EB138:EB140" si="2169">IF(AV138="","","|n"&amp;EB$2&amp;"+"&amp;AV138&amp;EB$1)</f>
        <v/>
      </c>
      <c r="EC138" s="66" t="str">
        <f t="shared" ref="EC138:EC140" si="2170">IF(AW138="","","|n"&amp;EC$2&amp;"+"&amp;AW138&amp;EC$1)</f>
        <v/>
      </c>
      <c r="ED138" s="66" t="str">
        <f t="shared" ref="ED138:ED140" si="2171">IF(AX138="","","|n"&amp;ED$2&amp;"+"&amp;AX138&amp;ED$1)</f>
        <v/>
      </c>
      <c r="EE138" s="66" t="str">
        <f t="shared" ref="EE138:EE140" si="2172">IF(AY138="","","|n"&amp;EE$2&amp;"+"&amp;AY138&amp;EE$1)</f>
        <v/>
      </c>
      <c r="EF138" s="66" t="str">
        <f t="shared" ref="EF138:EF140" si="2173">IF(AZ138="","","|n"&amp;EF$2&amp;"+"&amp;AZ138&amp;EF$1)</f>
        <v/>
      </c>
      <c r="EG138" s="66" t="str">
        <f t="shared" ref="EG138:EG140" si="2174">IF(BA138="","","|n"&amp;EG$2&amp;"+"&amp;BA138&amp;EG$1)</f>
        <v/>
      </c>
      <c r="EH138" s="66" t="str">
        <f t="shared" ref="EH138:EH140" si="2175">IF(BB138="","","|n"&amp;EH$2&amp;"+"&amp;BB138&amp;EH$1)</f>
        <v/>
      </c>
      <c r="EI138" s="66" t="str">
        <f t="shared" ref="EI138:EI140" si="2176">IF(BC138="","","|n"&amp;EI$2&amp;"+"&amp;BC138&amp;EI$1)</f>
        <v/>
      </c>
      <c r="EJ138" s="66" t="str">
        <f t="shared" ref="EJ138:EJ140" si="2177">IF(BD138="","","|n"&amp;EJ$2&amp;"+"&amp;BD138&amp;EJ$1)</f>
        <v/>
      </c>
      <c r="EK138" s="66" t="str">
        <f t="shared" ref="EK138:EK140" si="2178">IF(BE138="","","|n"&amp;EK$2&amp;"+"&amp;BE138&amp;EK$1)</f>
        <v/>
      </c>
      <c r="EL138" s="66" t="str">
        <f t="shared" ref="EL138:EL140" si="2179">IF(BF138="","","|n"&amp;EL$2&amp;"+"&amp;BF138&amp;EL$1)</f>
        <v/>
      </c>
      <c r="EM138" s="66" t="str">
        <f t="shared" ref="EM138:EM140" si="2180">IF(BG138="","","|n"&amp;EM$2&amp;"+"&amp;BG138&amp;EM$1)</f>
        <v/>
      </c>
      <c r="EN138" s="66" t="str">
        <f t="shared" ref="EN138:EN140" si="2181">IF(BH138="","","|n"&amp;EN$2&amp;"+"&amp;BH138&amp;EN$1)</f>
        <v/>
      </c>
      <c r="EO138" s="66" t="str">
        <f t="shared" ref="EO138:EO140" si="2182">IF(BI138="","","|n"&amp;EO$2&amp;"+"&amp;BI138&amp;EO$1)</f>
        <v/>
      </c>
      <c r="EP138" s="66" t="str">
        <f t="shared" ref="EP138:EP140" si="2183">IF(BJ138="","","|n"&amp;EP$2&amp;"+"&amp;BJ138&amp;EP$1)</f>
        <v/>
      </c>
      <c r="EQ138" s="66" t="str">
        <f t="shared" ref="EQ138:EQ140" si="2184">IF(BK138="","","|n"&amp;EQ$2&amp;"+"&amp;BK138&amp;EQ$1)</f>
        <v/>
      </c>
      <c r="ER138" s="66" t="str">
        <f t="shared" ref="ER138:ER140" si="2185">IF(BL138="","","|n"&amp;ER$2&amp;"+"&amp;BL138&amp;ER$1)</f>
        <v/>
      </c>
      <c r="ES138" s="66" t="str">
        <f t="shared" ref="ES138:ES140" si="2186">IF(BM138="","","|n"&amp;ES$2&amp;"+"&amp;BM138&amp;ES$1)</f>
        <v/>
      </c>
      <c r="ET138" s="66" t="str">
        <f t="shared" ref="ET138:ET140" si="2187">IF(BN138="","","|n"&amp;ET$2&amp;"+"&amp;BN138&amp;ET$1)</f>
        <v/>
      </c>
      <c r="EU138" s="66" t="str">
        <f t="shared" ref="EU138:EU140" si="2188">IF(BO138="","","|n"&amp;EU$2&amp;"+"&amp;BO138&amp;EU$1)</f>
        <v/>
      </c>
      <c r="EV138" s="66" t="str">
        <f t="shared" ref="EV138:EV140" si="2189">IF(BP138="","","|n"&amp;EV$2&amp;"+"&amp;BP138&amp;EV$1)</f>
        <v/>
      </c>
      <c r="EW138" s="66" t="str">
        <f t="shared" ref="EW138:EW140" si="2190">IF(BQ138="","","|n"&amp;EW$2&amp;"+"&amp;BQ138&amp;EW$1)</f>
        <v/>
      </c>
      <c r="EX138" s="66" t="str">
        <f t="shared" ref="EX138:EX140" si="2191">IF(BR138="","","|n"&amp;EX$2&amp;"+"&amp;BR138&amp;EX$1)</f>
        <v/>
      </c>
      <c r="EY138" s="66" t="str">
        <f t="shared" ref="EY138:EY140" si="2192">IF(BS138="","","|n"&amp;EY$2&amp;"+"&amp;BS138&amp;EY$1)</f>
        <v/>
      </c>
      <c r="EZ138" s="66" t="str">
        <f t="shared" ref="EZ138:EZ140" si="2193">IF(BT138="","","|n"&amp;EZ$2&amp;"+"&amp;BT138&amp;EZ$1)</f>
        <v/>
      </c>
      <c r="FA138" s="66" t="str">
        <f t="shared" ref="FA138:FA140" si="2194">IF(BU138="","","|n"&amp;FA$2&amp;"+"&amp;BU138&amp;FA$1)</f>
        <v/>
      </c>
      <c r="FB138" s="66" t="str">
        <f t="shared" ref="FB138:FB140" si="2195">IF(BV138="","","|n"&amp;FB$2&amp;"+"&amp;BV138&amp;FB$1)</f>
        <v/>
      </c>
      <c r="FC138" s="66" t="str">
        <f t="shared" ref="FC138:FC140" si="2196">IF(BW138="","","|n"&amp;FC$2&amp;"+"&amp;BW138&amp;FC$1)</f>
        <v/>
      </c>
      <c r="FD138" s="66" t="str">
        <f t="shared" ref="FD138:FD140" si="2197">IF(BX138="","","|n"&amp;FD$2&amp;"+"&amp;BX138&amp;FD$1)</f>
        <v/>
      </c>
      <c r="FE138" s="66" t="str">
        <f t="shared" ref="FE138:FE140" si="2198">IF(BY138="","","|n"&amp;FE$2&amp;"+"&amp;BY138&amp;FE$1)</f>
        <v/>
      </c>
      <c r="FF138" s="66" t="str">
        <f t="shared" ref="FF138:FF140" si="2199">IF(BZ138="","","|n"&amp;FF$2&amp;"+"&amp;BZ138&amp;FF$1)</f>
        <v/>
      </c>
      <c r="FG138" s="66" t="str">
        <f t="shared" ref="FG138:FG140" si="2200">IF(CA138="","","|n"&amp;FG$2&amp;"+"&amp;CA138&amp;FG$1)</f>
        <v/>
      </c>
      <c r="FH138" s="66" t="str">
        <f t="shared" ref="FH138:FH140" si="2201">IF(CB138="","","|n"&amp;FH$2&amp;"+"&amp;CB138&amp;FH$1)</f>
        <v/>
      </c>
      <c r="FI138" s="66" t="str">
        <f t="shared" ref="FI138:FI140" si="2202">IF(CC138="","","|n"&amp;FI$2&amp;"+"&amp;CC138&amp;FI$1)</f>
        <v/>
      </c>
      <c r="FJ138" s="66" t="str">
        <f t="shared" ref="FJ138:FJ140" si="2203">IF(CD138="","","|n"&amp;FJ$2&amp;"+"&amp;CD138&amp;FJ$1)</f>
        <v/>
      </c>
      <c r="FK138" s="66" t="str">
        <f t="shared" ref="FK138:FK140" si="2204">IF(CE138="","","|n"&amp;FK$2&amp;"+"&amp;CE138&amp;FK$1)</f>
        <v/>
      </c>
      <c r="FL138" s="66" t="str">
        <f t="shared" ref="FL138:FL140" si="2205">IF(CF138="","","|n"&amp;FL$2&amp;"+"&amp;CF138&amp;FL$1)</f>
        <v/>
      </c>
      <c r="FM138" s="66" t="str">
        <f t="shared" ref="FM138:FM140" si="2206">IF(CG138="","","|n"&amp;FM$2&amp;"+"&amp;CG138&amp;FM$1)</f>
        <v/>
      </c>
      <c r="FN138" s="66" t="str">
        <f t="shared" ref="FN138:FN140" si="2207">IF(CH138="","","|n"&amp;FN$2&amp;"+"&amp;CH138&amp;FN$1)</f>
        <v/>
      </c>
      <c r="FO138" s="66" t="str">
        <f t="shared" ref="FO138:FO140" si="2208">IF(CI138="","","|n"&amp;FO$2&amp;"+"&amp;CI138&amp;FO$1)</f>
        <v/>
      </c>
      <c r="FP138" s="66" t="str">
        <f t="shared" ref="FP138:FP140" si="2209">IF(CJ138="","","|n"&amp;FP$2&amp;"+"&amp;CJ138&amp;FP$1)</f>
        <v/>
      </c>
      <c r="FQ138" s="66" t="str">
        <f t="shared" ref="FQ138:FQ140" si="2210">IF(CK138="","","|n"&amp;FQ$2&amp;"+"&amp;CK138&amp;FQ$1)</f>
        <v/>
      </c>
      <c r="FR138" s="66" t="str">
        <f t="shared" ref="FR138:FR140" si="2211">IF(CL138="","","|n"&amp;FR$2&amp;"+"&amp;CL138&amp;FR$1)</f>
        <v/>
      </c>
      <c r="FS138" s="66" t="str">
        <f t="shared" ref="FS138:FS140" si="2212">IF(CM138="","","|n"&amp;FS$2&amp;"+"&amp;CM138&amp;FS$1)</f>
        <v/>
      </c>
    </row>
    <row r="139" spans="1:175" ht="42.75">
      <c r="A139" s="9"/>
      <c r="B139" s="17" t="s">
        <v>540</v>
      </c>
      <c r="C139" s="17" t="s">
        <v>541</v>
      </c>
      <c r="T139" s="102" t="s">
        <v>542</v>
      </c>
      <c r="U139" s="77" t="str">
        <f t="shared" si="1546"/>
        <v>ReplaceableTextures\\CommandButtons\\BTNIN16.blp</v>
      </c>
      <c r="CN139" s="36" t="str">
        <f t="shared" si="2064"/>
        <v>InitUnitState('IN16',,,,,,,,,,)</v>
      </c>
      <c r="CO139" s="36" t="str">
        <f t="shared" si="2065"/>
        <v>InitUnitNormal('IN16',,,,,,,,,,)</v>
      </c>
      <c r="CP139" s="36" t="str">
        <f t="shared" si="2066"/>
        <v>InitUnitMagic('IN16',,,,,,,,,,)</v>
      </c>
      <c r="CQ139" s="36" t="str">
        <f t="shared" si="2067"/>
        <v>InitUnitAdd('IN16',,,,,,,,,,)</v>
      </c>
      <c r="CR139" s="36" t="str">
        <f t="shared" si="2068"/>
        <v>InitEquipData('IN16',,"",,,,,'','','','','','',"ReplaceableTextures\\CommandButtons\\BTNIT10.blp")</v>
      </c>
      <c r="CU139" s="88" t="str">
        <f t="shared" si="2141"/>
        <v>|n</v>
      </c>
      <c r="CV139" s="19" t="str">
        <f t="shared" si="2142"/>
        <v>使|Cffffd24d1|r个|Cffffd24d道果品质|r提高|Cffffd24d-1~+2|r。|n|n|Cff00ff7f只能对天级【7】或以下的道果使用|r</v>
      </c>
      <c r="CW139" s="33"/>
      <c r="CX139" s="33"/>
      <c r="CY139" s="33"/>
      <c r="CZ139" s="33"/>
      <c r="DA139" s="33"/>
      <c r="DB139" s="66" t="str">
        <f t="shared" si="2143"/>
        <v/>
      </c>
      <c r="DC139" s="66" t="str">
        <f t="shared" si="2144"/>
        <v/>
      </c>
      <c r="DD139" s="66" t="str">
        <f t="shared" si="2145"/>
        <v/>
      </c>
      <c r="DE139" s="66" t="str">
        <f t="shared" si="2146"/>
        <v/>
      </c>
      <c r="DF139" s="66" t="str">
        <f t="shared" si="2147"/>
        <v/>
      </c>
      <c r="DG139" s="66" t="str">
        <f t="shared" si="2148"/>
        <v/>
      </c>
      <c r="DH139" s="66" t="str">
        <f t="shared" si="2149"/>
        <v/>
      </c>
      <c r="DI139" s="66" t="str">
        <f t="shared" si="2150"/>
        <v/>
      </c>
      <c r="DJ139" s="66" t="str">
        <f t="shared" si="2151"/>
        <v/>
      </c>
      <c r="DK139" s="66" t="str">
        <f t="shared" si="2152"/>
        <v/>
      </c>
      <c r="DL139" s="66" t="str">
        <f t="shared" si="2153"/>
        <v/>
      </c>
      <c r="DM139" s="66" t="str">
        <f t="shared" si="2154"/>
        <v/>
      </c>
      <c r="DN139" s="66" t="str">
        <f t="shared" si="2155"/>
        <v/>
      </c>
      <c r="DO139" s="66" t="str">
        <f t="shared" si="2156"/>
        <v/>
      </c>
      <c r="DP139" s="66" t="str">
        <f t="shared" si="2157"/>
        <v/>
      </c>
      <c r="DQ139" s="66" t="str">
        <f t="shared" si="2158"/>
        <v/>
      </c>
      <c r="DR139" s="66" t="str">
        <f t="shared" si="2159"/>
        <v/>
      </c>
      <c r="DS139" s="66" t="str">
        <f t="shared" si="2160"/>
        <v/>
      </c>
      <c r="DT139" s="66" t="str">
        <f t="shared" si="2161"/>
        <v/>
      </c>
      <c r="DU139" s="66" t="str">
        <f t="shared" si="2162"/>
        <v/>
      </c>
      <c r="DV139" s="66" t="str">
        <f t="shared" si="2163"/>
        <v/>
      </c>
      <c r="DW139" s="66" t="str">
        <f t="shared" si="2164"/>
        <v/>
      </c>
      <c r="DX139" s="66" t="str">
        <f t="shared" si="2165"/>
        <v/>
      </c>
      <c r="DY139" s="66" t="str">
        <f t="shared" si="2166"/>
        <v/>
      </c>
      <c r="DZ139" s="66" t="str">
        <f t="shared" si="2167"/>
        <v/>
      </c>
      <c r="EA139" s="66" t="str">
        <f t="shared" si="2168"/>
        <v/>
      </c>
      <c r="EB139" s="66" t="str">
        <f t="shared" si="2169"/>
        <v/>
      </c>
      <c r="EC139" s="66" t="str">
        <f t="shared" si="2170"/>
        <v/>
      </c>
      <c r="ED139" s="66" t="str">
        <f t="shared" si="2171"/>
        <v/>
      </c>
      <c r="EE139" s="66" t="str">
        <f t="shared" si="2172"/>
        <v/>
      </c>
      <c r="EF139" s="66" t="str">
        <f t="shared" si="2173"/>
        <v/>
      </c>
      <c r="EG139" s="66" t="str">
        <f t="shared" si="2174"/>
        <v/>
      </c>
      <c r="EH139" s="66" t="str">
        <f t="shared" si="2175"/>
        <v/>
      </c>
      <c r="EI139" s="66" t="str">
        <f t="shared" si="2176"/>
        <v/>
      </c>
      <c r="EJ139" s="66" t="str">
        <f t="shared" si="2177"/>
        <v/>
      </c>
      <c r="EK139" s="66" t="str">
        <f t="shared" si="2178"/>
        <v/>
      </c>
      <c r="EL139" s="66" t="str">
        <f t="shared" si="2179"/>
        <v/>
      </c>
      <c r="EM139" s="66" t="str">
        <f t="shared" si="2180"/>
        <v/>
      </c>
      <c r="EN139" s="66" t="str">
        <f t="shared" si="2181"/>
        <v/>
      </c>
      <c r="EO139" s="66" t="str">
        <f t="shared" si="2182"/>
        <v/>
      </c>
      <c r="EP139" s="66" t="str">
        <f t="shared" si="2183"/>
        <v/>
      </c>
      <c r="EQ139" s="66" t="str">
        <f t="shared" si="2184"/>
        <v/>
      </c>
      <c r="ER139" s="66" t="str">
        <f t="shared" si="2185"/>
        <v/>
      </c>
      <c r="ES139" s="66" t="str">
        <f t="shared" si="2186"/>
        <v/>
      </c>
      <c r="ET139" s="66" t="str">
        <f t="shared" si="2187"/>
        <v/>
      </c>
      <c r="EU139" s="66" t="str">
        <f t="shared" si="2188"/>
        <v/>
      </c>
      <c r="EV139" s="66" t="str">
        <f t="shared" si="2189"/>
        <v/>
      </c>
      <c r="EW139" s="66" t="str">
        <f t="shared" si="2190"/>
        <v/>
      </c>
      <c r="EX139" s="66" t="str">
        <f t="shared" si="2191"/>
        <v/>
      </c>
      <c r="EY139" s="66" t="str">
        <f t="shared" si="2192"/>
        <v/>
      </c>
      <c r="EZ139" s="66" t="str">
        <f t="shared" si="2193"/>
        <v/>
      </c>
      <c r="FA139" s="66" t="str">
        <f t="shared" si="2194"/>
        <v/>
      </c>
      <c r="FB139" s="66" t="str">
        <f t="shared" si="2195"/>
        <v/>
      </c>
      <c r="FC139" s="66" t="str">
        <f t="shared" si="2196"/>
        <v/>
      </c>
      <c r="FD139" s="66" t="str">
        <f t="shared" si="2197"/>
        <v/>
      </c>
      <c r="FE139" s="66" t="str">
        <f t="shared" si="2198"/>
        <v/>
      </c>
      <c r="FF139" s="66" t="str">
        <f t="shared" si="2199"/>
        <v/>
      </c>
      <c r="FG139" s="66" t="str">
        <f t="shared" si="2200"/>
        <v/>
      </c>
      <c r="FH139" s="66" t="str">
        <f t="shared" si="2201"/>
        <v/>
      </c>
      <c r="FI139" s="66" t="str">
        <f t="shared" si="2202"/>
        <v/>
      </c>
      <c r="FJ139" s="66" t="str">
        <f t="shared" si="2203"/>
        <v/>
      </c>
      <c r="FK139" s="66" t="str">
        <f t="shared" si="2204"/>
        <v/>
      </c>
      <c r="FL139" s="66" t="str">
        <f t="shared" si="2205"/>
        <v/>
      </c>
      <c r="FM139" s="66" t="str">
        <f t="shared" si="2206"/>
        <v/>
      </c>
      <c r="FN139" s="66" t="str">
        <f t="shared" si="2207"/>
        <v/>
      </c>
      <c r="FO139" s="66" t="str">
        <f t="shared" si="2208"/>
        <v/>
      </c>
      <c r="FP139" s="66" t="str">
        <f t="shared" si="2209"/>
        <v/>
      </c>
      <c r="FQ139" s="66" t="str">
        <f t="shared" si="2210"/>
        <v/>
      </c>
      <c r="FR139" s="66" t="str">
        <f t="shared" si="2211"/>
        <v/>
      </c>
      <c r="FS139" s="66" t="str">
        <f t="shared" si="2212"/>
        <v/>
      </c>
    </row>
    <row r="140" spans="1:175" ht="16.5">
      <c r="A140" s="9"/>
      <c r="B140" s="17" t="s">
        <v>543</v>
      </c>
      <c r="C140" s="18" t="s">
        <v>544</v>
      </c>
      <c r="T140" s="19" t="s">
        <v>545</v>
      </c>
      <c r="U140" s="77" t="str">
        <f t="shared" si="1546"/>
        <v>ReplaceableTextures\\CommandButtons\\BTNIN17.blp</v>
      </c>
      <c r="CN140" s="36" t="str">
        <f t="shared" si="2064"/>
        <v>InitUnitState('IN17',,,,,,,,,,)</v>
      </c>
      <c r="CO140" s="36" t="str">
        <f t="shared" si="2065"/>
        <v>InitUnitNormal('IN17',,,,,,,,,,)</v>
      </c>
      <c r="CP140" s="36" t="str">
        <f t="shared" si="2066"/>
        <v>InitUnitMagic('IN17',,,,,,,,,,)</v>
      </c>
      <c r="CQ140" s="36" t="str">
        <f t="shared" si="2067"/>
        <v>InitUnitAdd('IN17',,,,,,,,,,)</v>
      </c>
      <c r="CR140" s="36" t="str">
        <f t="shared" si="2068"/>
        <v>InitEquipData('IN17',,"",,,,,'','','','','','',"ReplaceableTextures\\CommandButtons\\BTNIT11.blp")</v>
      </c>
      <c r="CU140" s="88" t="str">
        <f t="shared" si="2141"/>
        <v>|n</v>
      </c>
      <c r="CV140" s="19" t="str">
        <f t="shared" si="2142"/>
        <v>玄铁|Cffffd24d+5~50|r</v>
      </c>
      <c r="CW140" s="33"/>
      <c r="CX140" s="33"/>
      <c r="CY140" s="33"/>
      <c r="CZ140" s="33"/>
      <c r="DA140" s="33"/>
      <c r="DB140" s="66" t="str">
        <f t="shared" si="2143"/>
        <v/>
      </c>
      <c r="DC140" s="66" t="str">
        <f t="shared" si="2144"/>
        <v/>
      </c>
      <c r="DD140" s="66" t="str">
        <f t="shared" si="2145"/>
        <v/>
      </c>
      <c r="DE140" s="66" t="str">
        <f t="shared" si="2146"/>
        <v/>
      </c>
      <c r="DF140" s="66" t="str">
        <f t="shared" si="2147"/>
        <v/>
      </c>
      <c r="DG140" s="66" t="str">
        <f t="shared" si="2148"/>
        <v/>
      </c>
      <c r="DH140" s="66" t="str">
        <f t="shared" si="2149"/>
        <v/>
      </c>
      <c r="DI140" s="66" t="str">
        <f t="shared" si="2150"/>
        <v/>
      </c>
      <c r="DJ140" s="66" t="str">
        <f t="shared" si="2151"/>
        <v/>
      </c>
      <c r="DK140" s="66" t="str">
        <f t="shared" si="2152"/>
        <v/>
      </c>
      <c r="DL140" s="66" t="str">
        <f t="shared" si="2153"/>
        <v/>
      </c>
      <c r="DM140" s="66" t="str">
        <f t="shared" si="2154"/>
        <v/>
      </c>
      <c r="DN140" s="66" t="str">
        <f t="shared" si="2155"/>
        <v/>
      </c>
      <c r="DO140" s="66" t="str">
        <f t="shared" si="2156"/>
        <v/>
      </c>
      <c r="DP140" s="66" t="str">
        <f t="shared" si="2157"/>
        <v/>
      </c>
      <c r="DQ140" s="66" t="str">
        <f t="shared" si="2158"/>
        <v/>
      </c>
      <c r="DR140" s="66" t="str">
        <f t="shared" si="2159"/>
        <v/>
      </c>
      <c r="DS140" s="66" t="str">
        <f t="shared" si="2160"/>
        <v/>
      </c>
      <c r="DT140" s="66" t="str">
        <f t="shared" si="2161"/>
        <v/>
      </c>
      <c r="DU140" s="66" t="str">
        <f t="shared" si="2162"/>
        <v/>
      </c>
      <c r="DV140" s="66" t="str">
        <f t="shared" si="2163"/>
        <v/>
      </c>
      <c r="DW140" s="66" t="str">
        <f t="shared" si="2164"/>
        <v/>
      </c>
      <c r="DX140" s="66" t="str">
        <f t="shared" si="2165"/>
        <v/>
      </c>
      <c r="DY140" s="66" t="str">
        <f t="shared" si="2166"/>
        <v/>
      </c>
      <c r="DZ140" s="66" t="str">
        <f t="shared" si="2167"/>
        <v/>
      </c>
      <c r="EA140" s="66" t="str">
        <f t="shared" si="2168"/>
        <v/>
      </c>
      <c r="EB140" s="66" t="str">
        <f t="shared" si="2169"/>
        <v/>
      </c>
      <c r="EC140" s="66" t="str">
        <f t="shared" si="2170"/>
        <v/>
      </c>
      <c r="ED140" s="66" t="str">
        <f t="shared" si="2171"/>
        <v/>
      </c>
      <c r="EE140" s="66" t="str">
        <f t="shared" si="2172"/>
        <v/>
      </c>
      <c r="EF140" s="66" t="str">
        <f t="shared" si="2173"/>
        <v/>
      </c>
      <c r="EG140" s="66" t="str">
        <f t="shared" si="2174"/>
        <v/>
      </c>
      <c r="EH140" s="66" t="str">
        <f t="shared" si="2175"/>
        <v/>
      </c>
      <c r="EI140" s="66" t="str">
        <f t="shared" si="2176"/>
        <v/>
      </c>
      <c r="EJ140" s="66" t="str">
        <f t="shared" si="2177"/>
        <v/>
      </c>
      <c r="EK140" s="66" t="str">
        <f t="shared" si="2178"/>
        <v/>
      </c>
      <c r="EL140" s="66" t="str">
        <f t="shared" si="2179"/>
        <v/>
      </c>
      <c r="EM140" s="66" t="str">
        <f t="shared" si="2180"/>
        <v/>
      </c>
      <c r="EN140" s="66" t="str">
        <f t="shared" si="2181"/>
        <v/>
      </c>
      <c r="EO140" s="66" t="str">
        <f t="shared" si="2182"/>
        <v/>
      </c>
      <c r="EP140" s="66" t="str">
        <f t="shared" si="2183"/>
        <v/>
      </c>
      <c r="EQ140" s="66" t="str">
        <f t="shared" si="2184"/>
        <v/>
      </c>
      <c r="ER140" s="66" t="str">
        <f t="shared" si="2185"/>
        <v/>
      </c>
      <c r="ES140" s="66" t="str">
        <f t="shared" si="2186"/>
        <v/>
      </c>
      <c r="ET140" s="66" t="str">
        <f t="shared" si="2187"/>
        <v/>
      </c>
      <c r="EU140" s="66" t="str">
        <f t="shared" si="2188"/>
        <v/>
      </c>
      <c r="EV140" s="66" t="str">
        <f t="shared" si="2189"/>
        <v/>
      </c>
      <c r="EW140" s="66" t="str">
        <f t="shared" si="2190"/>
        <v/>
      </c>
      <c r="EX140" s="66" t="str">
        <f t="shared" si="2191"/>
        <v/>
      </c>
      <c r="EY140" s="66" t="str">
        <f t="shared" si="2192"/>
        <v/>
      </c>
      <c r="EZ140" s="66" t="str">
        <f t="shared" si="2193"/>
        <v/>
      </c>
      <c r="FA140" s="66" t="str">
        <f t="shared" si="2194"/>
        <v/>
      </c>
      <c r="FB140" s="66" t="str">
        <f t="shared" si="2195"/>
        <v/>
      </c>
      <c r="FC140" s="66" t="str">
        <f t="shared" si="2196"/>
        <v/>
      </c>
      <c r="FD140" s="66" t="str">
        <f t="shared" si="2197"/>
        <v/>
      </c>
      <c r="FE140" s="66" t="str">
        <f t="shared" si="2198"/>
        <v/>
      </c>
      <c r="FF140" s="66" t="str">
        <f t="shared" si="2199"/>
        <v/>
      </c>
      <c r="FG140" s="66" t="str">
        <f t="shared" si="2200"/>
        <v/>
      </c>
      <c r="FH140" s="66" t="str">
        <f t="shared" si="2201"/>
        <v/>
      </c>
      <c r="FI140" s="66" t="str">
        <f t="shared" si="2202"/>
        <v/>
      </c>
      <c r="FJ140" s="66" t="str">
        <f t="shared" si="2203"/>
        <v/>
      </c>
      <c r="FK140" s="66" t="str">
        <f t="shared" si="2204"/>
        <v/>
      </c>
      <c r="FL140" s="66" t="str">
        <f t="shared" si="2205"/>
        <v/>
      </c>
      <c r="FM140" s="66" t="str">
        <f t="shared" si="2206"/>
        <v/>
      </c>
      <c r="FN140" s="66" t="str">
        <f t="shared" si="2207"/>
        <v/>
      </c>
      <c r="FO140" s="66" t="str">
        <f t="shared" si="2208"/>
        <v/>
      </c>
      <c r="FP140" s="66" t="str">
        <f t="shared" si="2209"/>
        <v/>
      </c>
      <c r="FQ140" s="66" t="str">
        <f t="shared" si="2210"/>
        <v/>
      </c>
      <c r="FR140" s="66" t="str">
        <f t="shared" si="2211"/>
        <v/>
      </c>
      <c r="FS140" s="66" t="str">
        <f t="shared" si="2212"/>
        <v/>
      </c>
    </row>
    <row r="141" spans="1:175" ht="16.5">
      <c r="A141" s="9"/>
      <c r="B141" s="17" t="s">
        <v>546</v>
      </c>
      <c r="C141" s="18" t="s">
        <v>547</v>
      </c>
      <c r="T141" s="29" t="s">
        <v>548</v>
      </c>
      <c r="U141" s="77" t="str">
        <f t="shared" si="1546"/>
        <v>ReplaceableTextures\\CommandButtons\\BTNIN18.blp</v>
      </c>
      <c r="CN141" s="36" t="str">
        <f t="shared" si="2064"/>
        <v>InitUnitState('IN18',,,,,,,,,,)</v>
      </c>
      <c r="CO141" s="36" t="str">
        <f t="shared" si="2065"/>
        <v>InitUnitNormal('IN18',,,,,,,,,,)</v>
      </c>
      <c r="CP141" s="36" t="str">
        <f t="shared" si="2066"/>
        <v>InitUnitMagic('IN18',,,,,,,,,,)</v>
      </c>
      <c r="CQ141" s="36" t="str">
        <f t="shared" si="2067"/>
        <v>InitUnitAdd('IN18',,,,,,,,,,)</v>
      </c>
      <c r="CR141" s="36" t="str">
        <f t="shared" si="2068"/>
        <v>InitEquipData('IN18',,"",,,,,'','','','','','',"ReplaceableTextures\\CommandButtons\\BTNIT12.blp")</v>
      </c>
      <c r="CU141" s="88" t="str">
        <f t="shared" ref="CU141" si="2213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19" t="str">
        <f t="shared" ref="CV141" si="2214">T141</f>
        <v>|CffFFD24D30|r秒内增加|Cffffd24d30%|r金币加成</v>
      </c>
      <c r="CW141" s="33"/>
      <c r="CX141" s="33"/>
      <c r="CY141" s="33"/>
      <c r="CZ141" s="33"/>
      <c r="DA141" s="33"/>
      <c r="DB141" s="66" t="str">
        <f t="shared" ref="DB141" si="2215">IF(V141="","","|n"&amp;DB$2&amp;"+"&amp;V141&amp;DB$1)</f>
        <v/>
      </c>
      <c r="DC141" s="66" t="str">
        <f t="shared" ref="DC141" si="2216">IF(W141="","","|n"&amp;DC$2&amp;"+"&amp;W141&amp;DC$1)</f>
        <v/>
      </c>
      <c r="DD141" s="66" t="str">
        <f t="shared" ref="DD141" si="2217">IF(X141="","","|n"&amp;DD$2&amp;"+"&amp;X141&amp;DD$1)</f>
        <v/>
      </c>
      <c r="DE141" s="66" t="str">
        <f t="shared" ref="DE141" si="2218">IF(Y141="","","|n"&amp;DE$2&amp;"+"&amp;Y141&amp;DE$1)</f>
        <v/>
      </c>
      <c r="DF141" s="66" t="str">
        <f t="shared" ref="DF141" si="2219">IF(Z141="","","|n"&amp;DF$2&amp;"+"&amp;Z141&amp;DF$1)</f>
        <v/>
      </c>
      <c r="DG141" s="66" t="str">
        <f t="shared" ref="DG141" si="2220">IF(AA141="","","|n"&amp;DG$2&amp;"+"&amp;AA141&amp;DG$1)</f>
        <v/>
      </c>
      <c r="DH141" s="66" t="str">
        <f t="shared" ref="DH141" si="2221">IF(AB141="","","|n"&amp;DH$2&amp;"+"&amp;AB141&amp;DH$1)</f>
        <v/>
      </c>
      <c r="DI141" s="66" t="str">
        <f t="shared" ref="DI141" si="2222">IF(AC141="","","|n"&amp;DI$2&amp;"+"&amp;AC141&amp;DI$1)</f>
        <v/>
      </c>
      <c r="DJ141" s="66" t="str">
        <f t="shared" ref="DJ141" si="2223">IF(AD141="","","|n"&amp;DJ$2&amp;"+"&amp;AD141&amp;DJ$1)</f>
        <v/>
      </c>
      <c r="DK141" s="66" t="str">
        <f t="shared" ref="DK141" si="2224">IF(AE141="","","|n"&amp;DK$2&amp;"+"&amp;AE141&amp;DK$1)</f>
        <v/>
      </c>
      <c r="DL141" s="66" t="str">
        <f t="shared" ref="DL141" si="2225">IF(AF141="","","|n"&amp;DL$2&amp;"+"&amp;AF141&amp;DL$1)</f>
        <v/>
      </c>
      <c r="DM141" s="66" t="str">
        <f t="shared" ref="DM141" si="2226">IF(AG141="","","|n"&amp;DM$2&amp;"+"&amp;AG141&amp;DM$1)</f>
        <v/>
      </c>
      <c r="DN141" s="66" t="str">
        <f t="shared" ref="DN141" si="2227">IF(AH141="","","|n"&amp;DN$2&amp;"+"&amp;AH141&amp;DN$1)</f>
        <v/>
      </c>
      <c r="DO141" s="66" t="str">
        <f t="shared" ref="DO141" si="2228">IF(AI141="","","|n"&amp;DO$2&amp;"+"&amp;AI141&amp;DO$1)</f>
        <v/>
      </c>
      <c r="DP141" s="66" t="str">
        <f t="shared" ref="DP141" si="2229">IF(AJ141="","","|n"&amp;DP$2&amp;"+"&amp;AJ141&amp;DP$1)</f>
        <v/>
      </c>
      <c r="DQ141" s="66" t="str">
        <f t="shared" ref="DQ141" si="2230">IF(AK141="","","|n"&amp;DQ$2&amp;"+"&amp;AK141&amp;DQ$1)</f>
        <v/>
      </c>
      <c r="DR141" s="66" t="str">
        <f t="shared" ref="DR141" si="2231">IF(AL141="","","|n"&amp;DR$2&amp;"+"&amp;AL141&amp;DR$1)</f>
        <v/>
      </c>
      <c r="DS141" s="66" t="str">
        <f t="shared" ref="DS141" si="2232">IF(AM141="","","|n"&amp;DS$2&amp;"+"&amp;AM141&amp;DS$1)</f>
        <v/>
      </c>
      <c r="DT141" s="66" t="str">
        <f t="shared" ref="DT141" si="2233">IF(AN141="","","|n"&amp;DT$2&amp;"+"&amp;AN141&amp;DT$1)</f>
        <v/>
      </c>
      <c r="DU141" s="66" t="str">
        <f t="shared" ref="DU141" si="2234">IF(AO141="","","|n"&amp;DU$2&amp;"+"&amp;AO141&amp;DU$1)</f>
        <v/>
      </c>
      <c r="DV141" s="66" t="str">
        <f t="shared" ref="DV141" si="2235">IF(AP141="","","|n"&amp;DV$2&amp;"+"&amp;AP141&amp;DV$1)</f>
        <v/>
      </c>
      <c r="DW141" s="66" t="str">
        <f t="shared" ref="DW141" si="2236">IF(AQ141="","","|n"&amp;DW$2&amp;"+"&amp;AQ141&amp;DW$1)</f>
        <v/>
      </c>
      <c r="DX141" s="66" t="str">
        <f t="shared" ref="DX141" si="2237">IF(AR141="","","|n"&amp;DX$2&amp;"+"&amp;AR141&amp;DX$1)</f>
        <v/>
      </c>
      <c r="DY141" s="66" t="str">
        <f t="shared" ref="DY141" si="2238">IF(AS141="","","|n"&amp;DY$2&amp;"+"&amp;AS141&amp;DY$1)</f>
        <v/>
      </c>
      <c r="DZ141" s="66" t="str">
        <f t="shared" ref="DZ141" si="2239">IF(AT141="","","|n"&amp;DZ$2&amp;"+"&amp;AT141&amp;DZ$1)</f>
        <v/>
      </c>
      <c r="EA141" s="66" t="str">
        <f t="shared" ref="EA141" si="2240">IF(AU141="","","|n"&amp;EA$2&amp;"+"&amp;AU141&amp;EA$1)</f>
        <v/>
      </c>
      <c r="EB141" s="66" t="str">
        <f t="shared" ref="EB141" si="2241">IF(AV141="","","|n"&amp;EB$2&amp;"+"&amp;AV141&amp;EB$1)</f>
        <v/>
      </c>
      <c r="EC141" s="66" t="str">
        <f t="shared" ref="EC141" si="2242">IF(AW141="","","|n"&amp;EC$2&amp;"+"&amp;AW141&amp;EC$1)</f>
        <v/>
      </c>
      <c r="ED141" s="66" t="str">
        <f t="shared" ref="ED141" si="2243">IF(AX141="","","|n"&amp;ED$2&amp;"+"&amp;AX141&amp;ED$1)</f>
        <v/>
      </c>
      <c r="EE141" s="66" t="str">
        <f t="shared" ref="EE141" si="2244">IF(AY141="","","|n"&amp;EE$2&amp;"+"&amp;AY141&amp;EE$1)</f>
        <v/>
      </c>
      <c r="EF141" s="66" t="str">
        <f t="shared" ref="EF141" si="2245">IF(AZ141="","","|n"&amp;EF$2&amp;"+"&amp;AZ141&amp;EF$1)</f>
        <v/>
      </c>
      <c r="EG141" s="66" t="str">
        <f t="shared" ref="EG141" si="2246">IF(BA141="","","|n"&amp;EG$2&amp;"+"&amp;BA141&amp;EG$1)</f>
        <v/>
      </c>
      <c r="EH141" s="66" t="str">
        <f t="shared" ref="EH141" si="2247">IF(BB141="","","|n"&amp;EH$2&amp;"+"&amp;BB141&amp;EH$1)</f>
        <v/>
      </c>
      <c r="EI141" s="66" t="str">
        <f t="shared" ref="EI141" si="2248">IF(BC141="","","|n"&amp;EI$2&amp;"+"&amp;BC141&amp;EI$1)</f>
        <v/>
      </c>
      <c r="EJ141" s="66" t="str">
        <f t="shared" ref="EJ141" si="2249">IF(BD141="","","|n"&amp;EJ$2&amp;"+"&amp;BD141&amp;EJ$1)</f>
        <v/>
      </c>
      <c r="EK141" s="66" t="str">
        <f t="shared" ref="EK141" si="2250">IF(BE141="","","|n"&amp;EK$2&amp;"+"&amp;BE141&amp;EK$1)</f>
        <v/>
      </c>
      <c r="EL141" s="66" t="str">
        <f t="shared" ref="EL141" si="2251">IF(BF141="","","|n"&amp;EL$2&amp;"+"&amp;BF141&amp;EL$1)</f>
        <v/>
      </c>
      <c r="EM141" s="66" t="str">
        <f t="shared" ref="EM141" si="2252">IF(BG141="","","|n"&amp;EM$2&amp;"+"&amp;BG141&amp;EM$1)</f>
        <v/>
      </c>
      <c r="EN141" s="66" t="str">
        <f t="shared" ref="EN141" si="2253">IF(BH141="","","|n"&amp;EN$2&amp;"+"&amp;BH141&amp;EN$1)</f>
        <v/>
      </c>
      <c r="EO141" s="66" t="str">
        <f t="shared" ref="EO141" si="2254">IF(BI141="","","|n"&amp;EO$2&amp;"+"&amp;BI141&amp;EO$1)</f>
        <v/>
      </c>
      <c r="EP141" s="66" t="str">
        <f t="shared" ref="EP141" si="2255">IF(BJ141="","","|n"&amp;EP$2&amp;"+"&amp;BJ141&amp;EP$1)</f>
        <v/>
      </c>
      <c r="EQ141" s="66" t="str">
        <f t="shared" ref="EQ141" si="2256">IF(BK141="","","|n"&amp;EQ$2&amp;"+"&amp;BK141&amp;EQ$1)</f>
        <v/>
      </c>
      <c r="ER141" s="66" t="str">
        <f t="shared" ref="ER141" si="2257">IF(BL141="","","|n"&amp;ER$2&amp;"+"&amp;BL141&amp;ER$1)</f>
        <v/>
      </c>
      <c r="ES141" s="66" t="str">
        <f t="shared" ref="ES141" si="2258">IF(BM141="","","|n"&amp;ES$2&amp;"+"&amp;BM141&amp;ES$1)</f>
        <v/>
      </c>
      <c r="ET141" s="66" t="str">
        <f t="shared" ref="ET141" si="2259">IF(BN141="","","|n"&amp;ET$2&amp;"+"&amp;BN141&amp;ET$1)</f>
        <v/>
      </c>
      <c r="EU141" s="66" t="str">
        <f t="shared" ref="EU141" si="2260">IF(BO141="","","|n"&amp;EU$2&amp;"+"&amp;BO141&amp;EU$1)</f>
        <v/>
      </c>
      <c r="EV141" s="66" t="str">
        <f t="shared" ref="EV141" si="2261">IF(BP141="","","|n"&amp;EV$2&amp;"+"&amp;BP141&amp;EV$1)</f>
        <v/>
      </c>
      <c r="EW141" s="66" t="str">
        <f t="shared" ref="EW141" si="2262">IF(BQ141="","","|n"&amp;EW$2&amp;"+"&amp;BQ141&amp;EW$1)</f>
        <v/>
      </c>
      <c r="EX141" s="66" t="str">
        <f t="shared" ref="EX141" si="2263">IF(BR141="","","|n"&amp;EX$2&amp;"+"&amp;BR141&amp;EX$1)</f>
        <v/>
      </c>
      <c r="EY141" s="66" t="str">
        <f t="shared" ref="EY141" si="2264">IF(BS141="","","|n"&amp;EY$2&amp;"+"&amp;BS141&amp;EY$1)</f>
        <v/>
      </c>
      <c r="EZ141" s="66" t="str">
        <f t="shared" ref="EZ141" si="2265">IF(BT141="","","|n"&amp;EZ$2&amp;"+"&amp;BT141&amp;EZ$1)</f>
        <v/>
      </c>
      <c r="FA141" s="66" t="str">
        <f t="shared" ref="FA141" si="2266">IF(BU141="","","|n"&amp;FA$2&amp;"+"&amp;BU141&amp;FA$1)</f>
        <v/>
      </c>
      <c r="FB141" s="66" t="str">
        <f t="shared" ref="FB141" si="2267">IF(BV141="","","|n"&amp;FB$2&amp;"+"&amp;BV141&amp;FB$1)</f>
        <v/>
      </c>
      <c r="FC141" s="66" t="str">
        <f t="shared" ref="FC141" si="2268">IF(BW141="","","|n"&amp;FC$2&amp;"+"&amp;BW141&amp;FC$1)</f>
        <v/>
      </c>
      <c r="FD141" s="66" t="str">
        <f t="shared" ref="FD141" si="2269">IF(BX141="","","|n"&amp;FD$2&amp;"+"&amp;BX141&amp;FD$1)</f>
        <v/>
      </c>
      <c r="FE141" s="66" t="str">
        <f t="shared" ref="FE141" si="2270">IF(BY141="","","|n"&amp;FE$2&amp;"+"&amp;BY141&amp;FE$1)</f>
        <v/>
      </c>
      <c r="FF141" s="66" t="str">
        <f t="shared" ref="FF141" si="2271">IF(BZ141="","","|n"&amp;FF$2&amp;"+"&amp;BZ141&amp;FF$1)</f>
        <v/>
      </c>
      <c r="FG141" s="66" t="str">
        <f t="shared" ref="FG141" si="2272">IF(CA141="","","|n"&amp;FG$2&amp;"+"&amp;CA141&amp;FG$1)</f>
        <v/>
      </c>
      <c r="FH141" s="66" t="str">
        <f t="shared" ref="FH141" si="2273">IF(CB141="","","|n"&amp;FH$2&amp;"+"&amp;CB141&amp;FH$1)</f>
        <v/>
      </c>
      <c r="FI141" s="66" t="str">
        <f t="shared" ref="FI141" si="2274">IF(CC141="","","|n"&amp;FI$2&amp;"+"&amp;CC141&amp;FI$1)</f>
        <v/>
      </c>
      <c r="FJ141" s="66" t="str">
        <f t="shared" ref="FJ141" si="2275">IF(CD141="","","|n"&amp;FJ$2&amp;"+"&amp;CD141&amp;FJ$1)</f>
        <v/>
      </c>
      <c r="FK141" s="66" t="str">
        <f t="shared" ref="FK141" si="2276">IF(CE141="","","|n"&amp;FK$2&amp;"+"&amp;CE141&amp;FK$1)</f>
        <v/>
      </c>
      <c r="FL141" s="66" t="str">
        <f t="shared" ref="FL141" si="2277">IF(CF141="","","|n"&amp;FL$2&amp;"+"&amp;CF141&amp;FL$1)</f>
        <v/>
      </c>
      <c r="FM141" s="66" t="str">
        <f t="shared" ref="FM141" si="2278">IF(CG141="","","|n"&amp;FM$2&amp;"+"&amp;CG141&amp;FM$1)</f>
        <v/>
      </c>
      <c r="FN141" s="66" t="str">
        <f t="shared" ref="FN141" si="2279">IF(CH141="","","|n"&amp;FN$2&amp;"+"&amp;CH141&amp;FN$1)</f>
        <v/>
      </c>
      <c r="FO141" s="66" t="str">
        <f t="shared" ref="FO141" si="2280">IF(CI141="","","|n"&amp;FO$2&amp;"+"&amp;CI141&amp;FO$1)</f>
        <v/>
      </c>
      <c r="FP141" s="66" t="str">
        <f t="shared" ref="FP141" si="2281">IF(CJ141="","","|n"&amp;FP$2&amp;"+"&amp;CJ141&amp;FP$1)</f>
        <v/>
      </c>
      <c r="FQ141" s="66" t="str">
        <f t="shared" ref="FQ141" si="2282">IF(CK141="","","|n"&amp;FQ$2&amp;"+"&amp;CK141&amp;FQ$1)</f>
        <v/>
      </c>
      <c r="FR141" s="66" t="str">
        <f t="shared" ref="FR141" si="2283">IF(CL141="","","|n"&amp;FR$2&amp;"+"&amp;CL141&amp;FR$1)</f>
        <v/>
      </c>
      <c r="FS141" s="66" t="str">
        <f t="shared" ref="FS141" si="2284">IF(CM141="","","|n"&amp;FS$2&amp;"+"&amp;CM141&amp;FS$1)</f>
        <v/>
      </c>
    </row>
    <row r="142" spans="1:175" ht="16.5">
      <c r="A142" s="9"/>
      <c r="B142" s="9" t="s">
        <v>549</v>
      </c>
      <c r="C142" s="20" t="s">
        <v>550</v>
      </c>
      <c r="T142" s="29" t="s">
        <v>551</v>
      </c>
      <c r="U142" s="77" t="s">
        <v>552</v>
      </c>
      <c r="CN142" s="36" t="str">
        <f t="shared" si="2064"/>
        <v>InitUnitState('IN19',,,,,,,,,,)</v>
      </c>
      <c r="CO142" s="36" t="str">
        <f t="shared" si="2065"/>
        <v>InitUnitNormal('IN19',,,,,,,,,,)</v>
      </c>
      <c r="CP142" s="36" t="str">
        <f t="shared" si="2066"/>
        <v>InitUnitMagic('IN19',,,,,,,,,,)</v>
      </c>
      <c r="CQ142" s="36" t="str">
        <f t="shared" si="2067"/>
        <v>InitUnitAdd('IN19',,,,,,,,,,)</v>
      </c>
      <c r="CR142" s="36" t="str">
        <f t="shared" si="2068"/>
        <v>InitEquipData('IN19',,"",,,,,'','','','','','',"ReplaceableTextures\\CommandButtons\\BTNIT13.blp")</v>
      </c>
      <c r="CU142" s="88" t="str">
        <f t="shared" ref="CU142:CU152" si="2285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19" t="str">
        <f t="shared" ref="CV142:CV152" si="2286">T142</f>
        <v>使用后获得|Cffffc926随机类型技能附魔石|r</v>
      </c>
      <c r="CW142" s="33"/>
      <c r="CX142" s="33"/>
      <c r="CY142" s="33"/>
      <c r="CZ142" s="33"/>
      <c r="DA142" s="33"/>
      <c r="DB142" s="66" t="str">
        <f t="shared" ref="DB142" si="2287">IF(V142="","","|n"&amp;DB$2&amp;"+"&amp;V142&amp;DB$1)</f>
        <v/>
      </c>
      <c r="DC142" s="66" t="str">
        <f t="shared" ref="DC142" si="2288">IF(W142="","","|n"&amp;DC$2&amp;"+"&amp;W142&amp;DC$1)</f>
        <v/>
      </c>
      <c r="DD142" s="66" t="str">
        <f t="shared" ref="DD142" si="2289">IF(X142="","","|n"&amp;DD$2&amp;"+"&amp;X142&amp;DD$1)</f>
        <v/>
      </c>
      <c r="DE142" s="66" t="str">
        <f t="shared" ref="DE142" si="2290">IF(Y142="","","|n"&amp;DE$2&amp;"+"&amp;Y142&amp;DE$1)</f>
        <v/>
      </c>
      <c r="DF142" s="66" t="str">
        <f t="shared" ref="DF142" si="2291">IF(Z142="","","|n"&amp;DF$2&amp;"+"&amp;Z142&amp;DF$1)</f>
        <v/>
      </c>
      <c r="DG142" s="66" t="str">
        <f t="shared" ref="DG142" si="2292">IF(AA142="","","|n"&amp;DG$2&amp;"+"&amp;AA142&amp;DG$1)</f>
        <v/>
      </c>
      <c r="DH142" s="66" t="str">
        <f t="shared" ref="DH142" si="2293">IF(AB142="","","|n"&amp;DH$2&amp;"+"&amp;AB142&amp;DH$1)</f>
        <v/>
      </c>
      <c r="DI142" s="66" t="str">
        <f t="shared" ref="DI142" si="2294">IF(AC142="","","|n"&amp;DI$2&amp;"+"&amp;AC142&amp;DI$1)</f>
        <v/>
      </c>
      <c r="DJ142" s="66" t="str">
        <f t="shared" ref="DJ142" si="2295">IF(AD142="","","|n"&amp;DJ$2&amp;"+"&amp;AD142&amp;DJ$1)</f>
        <v/>
      </c>
      <c r="DK142" s="66" t="str">
        <f t="shared" ref="DK142" si="2296">IF(AE142="","","|n"&amp;DK$2&amp;"+"&amp;AE142&amp;DK$1)</f>
        <v/>
      </c>
      <c r="DL142" s="66" t="str">
        <f t="shared" ref="DL142" si="2297">IF(AF142="","","|n"&amp;DL$2&amp;"+"&amp;AF142&amp;DL$1)</f>
        <v/>
      </c>
      <c r="DM142" s="66" t="str">
        <f t="shared" ref="DM142" si="2298">IF(AG142="","","|n"&amp;DM$2&amp;"+"&amp;AG142&amp;DM$1)</f>
        <v/>
      </c>
      <c r="DN142" s="66" t="str">
        <f t="shared" ref="DN142" si="2299">IF(AH142="","","|n"&amp;DN$2&amp;"+"&amp;AH142&amp;DN$1)</f>
        <v/>
      </c>
      <c r="DO142" s="66" t="str">
        <f t="shared" ref="DO142" si="2300">IF(AI142="","","|n"&amp;DO$2&amp;"+"&amp;AI142&amp;DO$1)</f>
        <v/>
      </c>
      <c r="DP142" s="66" t="str">
        <f t="shared" ref="DP142" si="2301">IF(AJ142="","","|n"&amp;DP$2&amp;"+"&amp;AJ142&amp;DP$1)</f>
        <v/>
      </c>
      <c r="DQ142" s="66" t="str">
        <f t="shared" ref="DQ142" si="2302">IF(AK142="","","|n"&amp;DQ$2&amp;"+"&amp;AK142&amp;DQ$1)</f>
        <v/>
      </c>
      <c r="DR142" s="66" t="str">
        <f t="shared" ref="DR142" si="2303">IF(AL142="","","|n"&amp;DR$2&amp;"+"&amp;AL142&amp;DR$1)</f>
        <v/>
      </c>
      <c r="DS142" s="66" t="str">
        <f t="shared" ref="DS142" si="2304">IF(AM142="","","|n"&amp;DS$2&amp;"+"&amp;AM142&amp;DS$1)</f>
        <v/>
      </c>
      <c r="DT142" s="66" t="str">
        <f t="shared" ref="DT142" si="2305">IF(AN142="","","|n"&amp;DT$2&amp;"+"&amp;AN142&amp;DT$1)</f>
        <v/>
      </c>
      <c r="DU142" s="66" t="str">
        <f t="shared" ref="DU142" si="2306">IF(AO142="","","|n"&amp;DU$2&amp;"+"&amp;AO142&amp;DU$1)</f>
        <v/>
      </c>
      <c r="DV142" s="66" t="str">
        <f t="shared" ref="DV142" si="2307">IF(AP142="","","|n"&amp;DV$2&amp;"+"&amp;AP142&amp;DV$1)</f>
        <v/>
      </c>
      <c r="DW142" s="66" t="str">
        <f t="shared" ref="DW142" si="2308">IF(AQ142="","","|n"&amp;DW$2&amp;"+"&amp;AQ142&amp;DW$1)</f>
        <v/>
      </c>
      <c r="DX142" s="66" t="str">
        <f t="shared" ref="DX142" si="2309">IF(AR142="","","|n"&amp;DX$2&amp;"+"&amp;AR142&amp;DX$1)</f>
        <v/>
      </c>
      <c r="DY142" s="66" t="str">
        <f t="shared" ref="DY142" si="2310">IF(AS142="","","|n"&amp;DY$2&amp;"+"&amp;AS142&amp;DY$1)</f>
        <v/>
      </c>
      <c r="DZ142" s="66" t="str">
        <f t="shared" ref="DZ142" si="2311">IF(AT142="","","|n"&amp;DZ$2&amp;"+"&amp;AT142&amp;DZ$1)</f>
        <v/>
      </c>
      <c r="EA142" s="66" t="str">
        <f t="shared" ref="EA142" si="2312">IF(AU142="","","|n"&amp;EA$2&amp;"+"&amp;AU142&amp;EA$1)</f>
        <v/>
      </c>
      <c r="EB142" s="66" t="str">
        <f t="shared" ref="EB142" si="2313">IF(AV142="","","|n"&amp;EB$2&amp;"+"&amp;AV142&amp;EB$1)</f>
        <v/>
      </c>
      <c r="EC142" s="66" t="str">
        <f t="shared" ref="EC142" si="2314">IF(AW142="","","|n"&amp;EC$2&amp;"+"&amp;AW142&amp;EC$1)</f>
        <v/>
      </c>
      <c r="ED142" s="66" t="str">
        <f t="shared" ref="ED142" si="2315">IF(AX142="","","|n"&amp;ED$2&amp;"+"&amp;AX142&amp;ED$1)</f>
        <v/>
      </c>
      <c r="EE142" s="66" t="str">
        <f t="shared" ref="EE142" si="2316">IF(AY142="","","|n"&amp;EE$2&amp;"+"&amp;AY142&amp;EE$1)</f>
        <v/>
      </c>
      <c r="EF142" s="66" t="str">
        <f t="shared" ref="EF142" si="2317">IF(AZ142="","","|n"&amp;EF$2&amp;"+"&amp;AZ142&amp;EF$1)</f>
        <v/>
      </c>
      <c r="EG142" s="66" t="str">
        <f t="shared" ref="EG142" si="2318">IF(BA142="","","|n"&amp;EG$2&amp;"+"&amp;BA142&amp;EG$1)</f>
        <v/>
      </c>
      <c r="EH142" s="66" t="str">
        <f t="shared" ref="EH142" si="2319">IF(BB142="","","|n"&amp;EH$2&amp;"+"&amp;BB142&amp;EH$1)</f>
        <v/>
      </c>
      <c r="EI142" s="66" t="str">
        <f t="shared" ref="EI142" si="2320">IF(BC142="","","|n"&amp;EI$2&amp;"+"&amp;BC142&amp;EI$1)</f>
        <v/>
      </c>
      <c r="EJ142" s="66" t="str">
        <f t="shared" ref="EJ142" si="2321">IF(BD142="","","|n"&amp;EJ$2&amp;"+"&amp;BD142&amp;EJ$1)</f>
        <v/>
      </c>
      <c r="EK142" s="66" t="str">
        <f t="shared" ref="EK142" si="2322">IF(BE142="","","|n"&amp;EK$2&amp;"+"&amp;BE142&amp;EK$1)</f>
        <v/>
      </c>
      <c r="EL142" s="66" t="str">
        <f t="shared" ref="EL142" si="2323">IF(BF142="","","|n"&amp;EL$2&amp;"+"&amp;BF142&amp;EL$1)</f>
        <v/>
      </c>
      <c r="EM142" s="66" t="str">
        <f t="shared" ref="EM142" si="2324">IF(BG142="","","|n"&amp;EM$2&amp;"+"&amp;BG142&amp;EM$1)</f>
        <v/>
      </c>
      <c r="EN142" s="66" t="str">
        <f t="shared" ref="EN142" si="2325">IF(BH142="","","|n"&amp;EN$2&amp;"+"&amp;BH142&amp;EN$1)</f>
        <v/>
      </c>
      <c r="EO142" s="66" t="str">
        <f t="shared" ref="EO142" si="2326">IF(BI142="","","|n"&amp;EO$2&amp;"+"&amp;BI142&amp;EO$1)</f>
        <v/>
      </c>
      <c r="EP142" s="66" t="str">
        <f t="shared" ref="EP142" si="2327">IF(BJ142="","","|n"&amp;EP$2&amp;"+"&amp;BJ142&amp;EP$1)</f>
        <v/>
      </c>
      <c r="EQ142" s="66" t="str">
        <f t="shared" ref="EQ142" si="2328">IF(BK142="","","|n"&amp;EQ$2&amp;"+"&amp;BK142&amp;EQ$1)</f>
        <v/>
      </c>
      <c r="ER142" s="66" t="str">
        <f t="shared" ref="ER142" si="2329">IF(BL142="","","|n"&amp;ER$2&amp;"+"&amp;BL142&amp;ER$1)</f>
        <v/>
      </c>
      <c r="ES142" s="66" t="str">
        <f t="shared" ref="ES142" si="2330">IF(BM142="","","|n"&amp;ES$2&amp;"+"&amp;BM142&amp;ES$1)</f>
        <v/>
      </c>
      <c r="ET142" s="66" t="str">
        <f t="shared" ref="ET142" si="2331">IF(BN142="","","|n"&amp;ET$2&amp;"+"&amp;BN142&amp;ET$1)</f>
        <v/>
      </c>
      <c r="EU142" s="66" t="str">
        <f t="shared" ref="EU142" si="2332">IF(BO142="","","|n"&amp;EU$2&amp;"+"&amp;BO142&amp;EU$1)</f>
        <v/>
      </c>
      <c r="EV142" s="66" t="str">
        <f t="shared" ref="EV142" si="2333">IF(BP142="","","|n"&amp;EV$2&amp;"+"&amp;BP142&amp;EV$1)</f>
        <v/>
      </c>
      <c r="EW142" s="66" t="str">
        <f t="shared" ref="EW142" si="2334">IF(BQ142="","","|n"&amp;EW$2&amp;"+"&amp;BQ142&amp;EW$1)</f>
        <v/>
      </c>
      <c r="EX142" s="66" t="str">
        <f t="shared" ref="EX142" si="2335">IF(BR142="","","|n"&amp;EX$2&amp;"+"&amp;BR142&amp;EX$1)</f>
        <v/>
      </c>
      <c r="EY142" s="66" t="str">
        <f t="shared" ref="EY142" si="2336">IF(BS142="","","|n"&amp;EY$2&amp;"+"&amp;BS142&amp;EY$1)</f>
        <v/>
      </c>
      <c r="EZ142" s="66" t="str">
        <f t="shared" ref="EZ142" si="2337">IF(BT142="","","|n"&amp;EZ$2&amp;"+"&amp;BT142&amp;EZ$1)</f>
        <v/>
      </c>
      <c r="FA142" s="66" t="str">
        <f t="shared" ref="FA142" si="2338">IF(BU142="","","|n"&amp;FA$2&amp;"+"&amp;BU142&amp;FA$1)</f>
        <v/>
      </c>
      <c r="FB142" s="66" t="str">
        <f t="shared" ref="FB142" si="2339">IF(BV142="","","|n"&amp;FB$2&amp;"+"&amp;BV142&amp;FB$1)</f>
        <v/>
      </c>
      <c r="FC142" s="66" t="str">
        <f t="shared" ref="FC142" si="2340">IF(BW142="","","|n"&amp;FC$2&amp;"+"&amp;BW142&amp;FC$1)</f>
        <v/>
      </c>
      <c r="FD142" s="66" t="str">
        <f t="shared" ref="FD142" si="2341">IF(BX142="","","|n"&amp;FD$2&amp;"+"&amp;BX142&amp;FD$1)</f>
        <v/>
      </c>
      <c r="FE142" s="66" t="str">
        <f t="shared" ref="FE142" si="2342">IF(BY142="","","|n"&amp;FE$2&amp;"+"&amp;BY142&amp;FE$1)</f>
        <v/>
      </c>
      <c r="FF142" s="66" t="str">
        <f t="shared" ref="FF142" si="2343">IF(BZ142="","","|n"&amp;FF$2&amp;"+"&amp;BZ142&amp;FF$1)</f>
        <v/>
      </c>
      <c r="FG142" s="66" t="str">
        <f t="shared" ref="FG142" si="2344">IF(CA142="","","|n"&amp;FG$2&amp;"+"&amp;CA142&amp;FG$1)</f>
        <v/>
      </c>
      <c r="FH142" s="66" t="str">
        <f t="shared" ref="FH142" si="2345">IF(CB142="","","|n"&amp;FH$2&amp;"+"&amp;CB142&amp;FH$1)</f>
        <v/>
      </c>
      <c r="FI142" s="66" t="str">
        <f t="shared" ref="FI142" si="2346">IF(CC142="","","|n"&amp;FI$2&amp;"+"&amp;CC142&amp;FI$1)</f>
        <v/>
      </c>
      <c r="FJ142" s="66" t="str">
        <f t="shared" ref="FJ142" si="2347">IF(CD142="","","|n"&amp;FJ$2&amp;"+"&amp;CD142&amp;FJ$1)</f>
        <v/>
      </c>
      <c r="FK142" s="66" t="str">
        <f t="shared" ref="FK142" si="2348">IF(CE142="","","|n"&amp;FK$2&amp;"+"&amp;CE142&amp;FK$1)</f>
        <v/>
      </c>
      <c r="FL142" s="66" t="str">
        <f t="shared" ref="FL142" si="2349">IF(CF142="","","|n"&amp;FL$2&amp;"+"&amp;CF142&amp;FL$1)</f>
        <v/>
      </c>
      <c r="FM142" s="66" t="str">
        <f t="shared" ref="FM142" si="2350">IF(CG142="","","|n"&amp;FM$2&amp;"+"&amp;CG142&amp;FM$1)</f>
        <v/>
      </c>
      <c r="FN142" s="66" t="str">
        <f t="shared" ref="FN142" si="2351">IF(CH142="","","|n"&amp;FN$2&amp;"+"&amp;CH142&amp;FN$1)</f>
        <v/>
      </c>
      <c r="FO142" s="66" t="str">
        <f t="shared" ref="FO142" si="2352">IF(CI142="","","|n"&amp;FO$2&amp;"+"&amp;CI142&amp;FO$1)</f>
        <v/>
      </c>
      <c r="FP142" s="66" t="str">
        <f t="shared" ref="FP142" si="2353">IF(CJ142="","","|n"&amp;FP$2&amp;"+"&amp;CJ142&amp;FP$1)</f>
        <v/>
      </c>
      <c r="FQ142" s="66" t="str">
        <f t="shared" ref="FQ142" si="2354">IF(CK142="","","|n"&amp;FQ$2&amp;"+"&amp;CK142&amp;FQ$1)</f>
        <v/>
      </c>
      <c r="FR142" s="66" t="str">
        <f t="shared" ref="FR142" si="2355">IF(CL142="","","|n"&amp;FR$2&amp;"+"&amp;CL142&amp;FR$1)</f>
        <v/>
      </c>
      <c r="FS142" s="66" t="str">
        <f t="shared" ref="FS142" si="2356">IF(CM142="","","|n"&amp;FS$2&amp;"+"&amp;CM142&amp;FS$1)</f>
        <v/>
      </c>
    </row>
    <row r="143" spans="1:175" s="29" customFormat="1" ht="16.5">
      <c r="A143" s="9"/>
      <c r="B143" s="17" t="s">
        <v>553</v>
      </c>
      <c r="C143" s="21" t="s">
        <v>554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555</v>
      </c>
      <c r="U143" s="77" t="str">
        <f t="shared" ref="U143:U158" si="2357">"ReplaceableTextures\\CommandButtons\\BTN"&amp;B143&amp;".blp"</f>
        <v>ReplaceableTextures\\CommandButtons\\BTNIN20.blp</v>
      </c>
      <c r="V143" s="104"/>
      <c r="W143" s="105"/>
      <c r="X143" s="105"/>
      <c r="Y143" s="105"/>
      <c r="Z143" s="105"/>
      <c r="AA143" s="105"/>
      <c r="AB143" s="105"/>
      <c r="AC143" s="105"/>
      <c r="AD143" s="105"/>
      <c r="AE143" s="105"/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9"/>
      <c r="AS143" s="109"/>
      <c r="AT143" s="105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/>
      <c r="BS143" s="105"/>
      <c r="BT143" s="105"/>
      <c r="BU143" s="105"/>
      <c r="BV143" s="105"/>
      <c r="BW143" s="105"/>
      <c r="BX143" s="105"/>
      <c r="BY143" s="105"/>
      <c r="BZ143" s="105"/>
      <c r="CA143" s="105"/>
      <c r="CB143" s="105"/>
      <c r="CC143" s="105"/>
      <c r="CD143" s="105"/>
      <c r="CE143" s="105"/>
      <c r="CF143" s="105"/>
      <c r="CG143" s="105"/>
      <c r="CH143" s="105"/>
      <c r="CI143" s="105"/>
      <c r="CJ143" s="105"/>
      <c r="CK143" s="105"/>
      <c r="CL143" s="105"/>
      <c r="CM143" s="105"/>
      <c r="CN143" s="110" t="str">
        <f t="shared" si="2064"/>
        <v>InitUnitState('IN20',,,,,,,,,,)</v>
      </c>
      <c r="CO143" s="110" t="str">
        <f t="shared" si="2065"/>
        <v>InitUnitNormal('IN20',,,,,,,,,,)</v>
      </c>
      <c r="CP143" s="110" t="str">
        <f t="shared" si="2066"/>
        <v>InitUnitMagic('IN20',,,,,,,,,,)</v>
      </c>
      <c r="CQ143" s="110" t="str">
        <f t="shared" si="2067"/>
        <v>InitUnitAdd('IN20',,,,,,,,,,)</v>
      </c>
      <c r="CR143" s="110" t="str">
        <f t="shared" si="2068"/>
        <v>InitEquipData('IN20',,"",,,,,'','','','','','',"ReplaceableTextures\\CommandButtons\\BTNIT14.blp")</v>
      </c>
      <c r="CS143" s="110"/>
      <c r="CT143" s="110"/>
      <c r="CU143" s="88" t="str">
        <f t="shared" si="2285"/>
        <v>|n</v>
      </c>
      <c r="CV143" s="29" t="str">
        <f t="shared" si="2286"/>
        <v>|CffFFD24D30|r秒内杀敌金币|Cffffd24d+10|r</v>
      </c>
      <c r="CW143" s="33"/>
      <c r="CX143" s="33"/>
      <c r="CY143" s="33"/>
      <c r="CZ143" s="33"/>
      <c r="DA143" s="33"/>
      <c r="DB143" s="111" t="str">
        <f t="shared" ref="DB143:FM143" si="2358">IF(V143="","","|n"&amp;DB$2&amp;"+"&amp;V143&amp;DB$1)</f>
        <v/>
      </c>
      <c r="DC143" s="111" t="str">
        <f t="shared" si="2358"/>
        <v/>
      </c>
      <c r="DD143" s="111" t="str">
        <f t="shared" si="2358"/>
        <v/>
      </c>
      <c r="DE143" s="111" t="str">
        <f t="shared" si="2358"/>
        <v/>
      </c>
      <c r="DF143" s="111" t="str">
        <f t="shared" si="2358"/>
        <v/>
      </c>
      <c r="DG143" s="111" t="str">
        <f t="shared" si="2358"/>
        <v/>
      </c>
      <c r="DH143" s="111" t="str">
        <f t="shared" si="2358"/>
        <v/>
      </c>
      <c r="DI143" s="111" t="str">
        <f t="shared" si="2358"/>
        <v/>
      </c>
      <c r="DJ143" s="111" t="str">
        <f t="shared" si="2358"/>
        <v/>
      </c>
      <c r="DK143" s="111" t="str">
        <f t="shared" si="2358"/>
        <v/>
      </c>
      <c r="DL143" s="111" t="str">
        <f t="shared" si="2358"/>
        <v/>
      </c>
      <c r="DM143" s="111" t="str">
        <f t="shared" si="2358"/>
        <v/>
      </c>
      <c r="DN143" s="111" t="str">
        <f t="shared" si="2358"/>
        <v/>
      </c>
      <c r="DO143" s="111" t="str">
        <f t="shared" si="2358"/>
        <v/>
      </c>
      <c r="DP143" s="111" t="str">
        <f t="shared" si="2358"/>
        <v/>
      </c>
      <c r="DQ143" s="111" t="str">
        <f t="shared" si="2358"/>
        <v/>
      </c>
      <c r="DR143" s="111" t="str">
        <f t="shared" si="2358"/>
        <v/>
      </c>
      <c r="DS143" s="111" t="str">
        <f t="shared" si="2358"/>
        <v/>
      </c>
      <c r="DT143" s="111" t="str">
        <f t="shared" si="2358"/>
        <v/>
      </c>
      <c r="DU143" s="111" t="str">
        <f t="shared" si="2358"/>
        <v/>
      </c>
      <c r="DV143" s="111" t="str">
        <f t="shared" si="2358"/>
        <v/>
      </c>
      <c r="DW143" s="111" t="str">
        <f t="shared" si="2358"/>
        <v/>
      </c>
      <c r="DX143" s="111" t="str">
        <f t="shared" si="2358"/>
        <v/>
      </c>
      <c r="DY143" s="111" t="str">
        <f t="shared" si="2358"/>
        <v/>
      </c>
      <c r="DZ143" s="111" t="str">
        <f t="shared" si="2358"/>
        <v/>
      </c>
      <c r="EA143" s="111" t="str">
        <f t="shared" si="2358"/>
        <v/>
      </c>
      <c r="EB143" s="111" t="str">
        <f t="shared" si="2358"/>
        <v/>
      </c>
      <c r="EC143" s="111" t="str">
        <f t="shared" si="2358"/>
        <v/>
      </c>
      <c r="ED143" s="111" t="str">
        <f t="shared" si="2358"/>
        <v/>
      </c>
      <c r="EE143" s="111" t="str">
        <f t="shared" si="2358"/>
        <v/>
      </c>
      <c r="EF143" s="111" t="str">
        <f t="shared" si="2358"/>
        <v/>
      </c>
      <c r="EG143" s="111" t="str">
        <f t="shared" si="2358"/>
        <v/>
      </c>
      <c r="EH143" s="111" t="str">
        <f t="shared" si="2358"/>
        <v/>
      </c>
      <c r="EI143" s="111" t="str">
        <f t="shared" si="2358"/>
        <v/>
      </c>
      <c r="EJ143" s="111" t="str">
        <f t="shared" si="2358"/>
        <v/>
      </c>
      <c r="EK143" s="111" t="str">
        <f t="shared" si="2358"/>
        <v/>
      </c>
      <c r="EL143" s="111" t="str">
        <f t="shared" si="2358"/>
        <v/>
      </c>
      <c r="EM143" s="111" t="str">
        <f t="shared" si="2358"/>
        <v/>
      </c>
      <c r="EN143" s="111" t="str">
        <f t="shared" si="2358"/>
        <v/>
      </c>
      <c r="EO143" s="111" t="str">
        <f t="shared" si="2358"/>
        <v/>
      </c>
      <c r="EP143" s="111" t="str">
        <f t="shared" si="2358"/>
        <v/>
      </c>
      <c r="EQ143" s="111" t="str">
        <f t="shared" si="2358"/>
        <v/>
      </c>
      <c r="ER143" s="111" t="str">
        <f t="shared" si="2358"/>
        <v/>
      </c>
      <c r="ES143" s="111" t="str">
        <f t="shared" si="2358"/>
        <v/>
      </c>
      <c r="ET143" s="111" t="str">
        <f t="shared" si="2358"/>
        <v/>
      </c>
      <c r="EU143" s="111" t="str">
        <f t="shared" si="2358"/>
        <v/>
      </c>
      <c r="EV143" s="111" t="str">
        <f t="shared" si="2358"/>
        <v/>
      </c>
      <c r="EW143" s="111" t="str">
        <f t="shared" si="2358"/>
        <v/>
      </c>
      <c r="EX143" s="111" t="str">
        <f t="shared" si="2358"/>
        <v/>
      </c>
      <c r="EY143" s="111" t="str">
        <f t="shared" si="2358"/>
        <v/>
      </c>
      <c r="EZ143" s="111" t="str">
        <f t="shared" si="2358"/>
        <v/>
      </c>
      <c r="FA143" s="111" t="str">
        <f t="shared" si="2358"/>
        <v/>
      </c>
      <c r="FB143" s="111" t="str">
        <f t="shared" si="2358"/>
        <v/>
      </c>
      <c r="FC143" s="111" t="str">
        <f t="shared" si="2358"/>
        <v/>
      </c>
      <c r="FD143" s="111" t="str">
        <f t="shared" si="2358"/>
        <v/>
      </c>
      <c r="FE143" s="111" t="str">
        <f t="shared" si="2358"/>
        <v/>
      </c>
      <c r="FF143" s="111" t="str">
        <f t="shared" si="2358"/>
        <v/>
      </c>
      <c r="FG143" s="111" t="str">
        <f t="shared" si="2358"/>
        <v/>
      </c>
      <c r="FH143" s="111" t="str">
        <f t="shared" si="2358"/>
        <v/>
      </c>
      <c r="FI143" s="111" t="str">
        <f t="shared" si="2358"/>
        <v/>
      </c>
      <c r="FJ143" s="111" t="str">
        <f t="shared" si="2358"/>
        <v/>
      </c>
      <c r="FK143" s="111" t="str">
        <f t="shared" si="2358"/>
        <v/>
      </c>
      <c r="FL143" s="111" t="str">
        <f t="shared" si="2358"/>
        <v/>
      </c>
      <c r="FM143" s="111" t="str">
        <f t="shared" si="2358"/>
        <v/>
      </c>
      <c r="FN143" s="111" t="str">
        <f t="shared" ref="FN143:FS143" si="2359">IF(CH143="","","|n"&amp;FN$2&amp;"+"&amp;CH143&amp;FN$1)</f>
        <v/>
      </c>
      <c r="FO143" s="111" t="str">
        <f t="shared" si="2359"/>
        <v/>
      </c>
      <c r="FP143" s="111" t="str">
        <f t="shared" si="2359"/>
        <v/>
      </c>
      <c r="FQ143" s="111" t="str">
        <f t="shared" si="2359"/>
        <v/>
      </c>
      <c r="FR143" s="111" t="str">
        <f t="shared" si="2359"/>
        <v/>
      </c>
      <c r="FS143" s="111" t="str">
        <f t="shared" si="2359"/>
        <v/>
      </c>
    </row>
    <row r="144" spans="1:175" s="29" customFormat="1" ht="16.5">
      <c r="A144" s="9"/>
      <c r="B144" s="17" t="s">
        <v>556</v>
      </c>
      <c r="C144" s="22" t="s">
        <v>557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558</v>
      </c>
      <c r="U144" s="77" t="str">
        <f t="shared" si="2357"/>
        <v>ReplaceableTextures\\CommandButtons\\BTNIN21.blp</v>
      </c>
      <c r="V144" s="104"/>
      <c r="W144" s="105"/>
      <c r="X144" s="105"/>
      <c r="Y144" s="105"/>
      <c r="Z144" s="105"/>
      <c r="AA144" s="105"/>
      <c r="AB144" s="105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9"/>
      <c r="AS144" s="109"/>
      <c r="AT144" s="105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105"/>
      <c r="BY144" s="105"/>
      <c r="BZ144" s="105"/>
      <c r="CA144" s="105"/>
      <c r="CB144" s="105"/>
      <c r="CC144" s="105"/>
      <c r="CD144" s="105"/>
      <c r="CE144" s="105"/>
      <c r="CF144" s="105"/>
      <c r="CG144" s="105"/>
      <c r="CH144" s="105"/>
      <c r="CI144" s="105"/>
      <c r="CJ144" s="105"/>
      <c r="CK144" s="105"/>
      <c r="CL144" s="105"/>
      <c r="CM144" s="105"/>
      <c r="CN144" s="110" t="str">
        <f t="shared" si="2064"/>
        <v>InitUnitState('IN21',,,,,,,,,,)</v>
      </c>
      <c r="CO144" s="110" t="str">
        <f t="shared" si="2065"/>
        <v>InitUnitNormal('IN21',,,,,,,,,,)</v>
      </c>
      <c r="CP144" s="110" t="str">
        <f t="shared" si="2066"/>
        <v>InitUnitMagic('IN21',,,,,,,,,,)</v>
      </c>
      <c r="CQ144" s="110" t="str">
        <f t="shared" si="2067"/>
        <v>InitUnitAdd('IN21',,,,,,,,,,)</v>
      </c>
      <c r="CR144" s="110" t="str">
        <f t="shared" si="2068"/>
        <v>InitEquipData('IN21',,"",,,,,'','','','','','',"ReplaceableTextures\\CommandButtons\\BTNIZ0A.blp")</v>
      </c>
      <c r="CS144" s="110"/>
      <c r="CT144" s="110"/>
      <c r="CU144" s="88" t="str">
        <f t="shared" si="2285"/>
        <v>|n</v>
      </c>
      <c r="CV144" s="29" t="str">
        <f t="shared" si="2286"/>
        <v>全体队友|Cffffd24d10|r秒内提高|Cffffd24d30%|r生命恢复，|Cffffd24d物理及法术伤害提高50%|r。|n|Cff00ff7f效果结束时，所有队友当前生命值降低至20%|r|r</v>
      </c>
      <c r="CW144" s="33"/>
      <c r="CX144" s="33"/>
      <c r="CY144" s="33"/>
      <c r="CZ144" s="33"/>
      <c r="DA144" s="33"/>
      <c r="DB144" s="111" t="str">
        <f t="shared" ref="DB144:FM144" si="2360">IF(V144="","","|n"&amp;DB$2&amp;"+"&amp;V144&amp;DB$1)</f>
        <v/>
      </c>
      <c r="DC144" s="111" t="str">
        <f t="shared" si="2360"/>
        <v/>
      </c>
      <c r="DD144" s="111" t="str">
        <f t="shared" si="2360"/>
        <v/>
      </c>
      <c r="DE144" s="111" t="str">
        <f t="shared" si="2360"/>
        <v/>
      </c>
      <c r="DF144" s="111" t="str">
        <f t="shared" si="2360"/>
        <v/>
      </c>
      <c r="DG144" s="111" t="str">
        <f t="shared" si="2360"/>
        <v/>
      </c>
      <c r="DH144" s="111" t="str">
        <f t="shared" si="2360"/>
        <v/>
      </c>
      <c r="DI144" s="111" t="str">
        <f t="shared" si="2360"/>
        <v/>
      </c>
      <c r="DJ144" s="111" t="str">
        <f t="shared" si="2360"/>
        <v/>
      </c>
      <c r="DK144" s="111" t="str">
        <f t="shared" si="2360"/>
        <v/>
      </c>
      <c r="DL144" s="111" t="str">
        <f t="shared" si="2360"/>
        <v/>
      </c>
      <c r="DM144" s="111" t="str">
        <f t="shared" si="2360"/>
        <v/>
      </c>
      <c r="DN144" s="111" t="str">
        <f t="shared" si="2360"/>
        <v/>
      </c>
      <c r="DO144" s="111" t="str">
        <f t="shared" si="2360"/>
        <v/>
      </c>
      <c r="DP144" s="111" t="str">
        <f t="shared" si="2360"/>
        <v/>
      </c>
      <c r="DQ144" s="111" t="str">
        <f t="shared" si="2360"/>
        <v/>
      </c>
      <c r="DR144" s="111" t="str">
        <f t="shared" si="2360"/>
        <v/>
      </c>
      <c r="DS144" s="111" t="str">
        <f t="shared" si="2360"/>
        <v/>
      </c>
      <c r="DT144" s="111" t="str">
        <f t="shared" si="2360"/>
        <v/>
      </c>
      <c r="DU144" s="111" t="str">
        <f t="shared" si="2360"/>
        <v/>
      </c>
      <c r="DV144" s="111" t="str">
        <f t="shared" si="2360"/>
        <v/>
      </c>
      <c r="DW144" s="111" t="str">
        <f t="shared" si="2360"/>
        <v/>
      </c>
      <c r="DX144" s="111" t="str">
        <f t="shared" si="2360"/>
        <v/>
      </c>
      <c r="DY144" s="111" t="str">
        <f t="shared" si="2360"/>
        <v/>
      </c>
      <c r="DZ144" s="111" t="str">
        <f t="shared" si="2360"/>
        <v/>
      </c>
      <c r="EA144" s="111" t="str">
        <f t="shared" si="2360"/>
        <v/>
      </c>
      <c r="EB144" s="111" t="str">
        <f t="shared" si="2360"/>
        <v/>
      </c>
      <c r="EC144" s="111" t="str">
        <f t="shared" si="2360"/>
        <v/>
      </c>
      <c r="ED144" s="111" t="str">
        <f t="shared" si="2360"/>
        <v/>
      </c>
      <c r="EE144" s="111" t="str">
        <f t="shared" si="2360"/>
        <v/>
      </c>
      <c r="EF144" s="111" t="str">
        <f t="shared" si="2360"/>
        <v/>
      </c>
      <c r="EG144" s="111" t="str">
        <f t="shared" si="2360"/>
        <v/>
      </c>
      <c r="EH144" s="111" t="str">
        <f t="shared" si="2360"/>
        <v/>
      </c>
      <c r="EI144" s="111" t="str">
        <f t="shared" si="2360"/>
        <v/>
      </c>
      <c r="EJ144" s="111" t="str">
        <f t="shared" si="2360"/>
        <v/>
      </c>
      <c r="EK144" s="111" t="str">
        <f t="shared" si="2360"/>
        <v/>
      </c>
      <c r="EL144" s="111" t="str">
        <f t="shared" si="2360"/>
        <v/>
      </c>
      <c r="EM144" s="111" t="str">
        <f t="shared" si="2360"/>
        <v/>
      </c>
      <c r="EN144" s="111" t="str">
        <f t="shared" si="2360"/>
        <v/>
      </c>
      <c r="EO144" s="111" t="str">
        <f t="shared" si="2360"/>
        <v/>
      </c>
      <c r="EP144" s="111" t="str">
        <f t="shared" si="2360"/>
        <v/>
      </c>
      <c r="EQ144" s="111" t="str">
        <f t="shared" si="2360"/>
        <v/>
      </c>
      <c r="ER144" s="111" t="str">
        <f t="shared" si="2360"/>
        <v/>
      </c>
      <c r="ES144" s="111" t="str">
        <f t="shared" si="2360"/>
        <v/>
      </c>
      <c r="ET144" s="111" t="str">
        <f t="shared" si="2360"/>
        <v/>
      </c>
      <c r="EU144" s="111" t="str">
        <f t="shared" si="2360"/>
        <v/>
      </c>
      <c r="EV144" s="111" t="str">
        <f t="shared" si="2360"/>
        <v/>
      </c>
      <c r="EW144" s="111" t="str">
        <f t="shared" si="2360"/>
        <v/>
      </c>
      <c r="EX144" s="111" t="str">
        <f t="shared" si="2360"/>
        <v/>
      </c>
      <c r="EY144" s="111" t="str">
        <f t="shared" si="2360"/>
        <v/>
      </c>
      <c r="EZ144" s="111" t="str">
        <f t="shared" si="2360"/>
        <v/>
      </c>
      <c r="FA144" s="111" t="str">
        <f t="shared" si="2360"/>
        <v/>
      </c>
      <c r="FB144" s="111" t="str">
        <f t="shared" si="2360"/>
        <v/>
      </c>
      <c r="FC144" s="111" t="str">
        <f t="shared" si="2360"/>
        <v/>
      </c>
      <c r="FD144" s="111" t="str">
        <f t="shared" si="2360"/>
        <v/>
      </c>
      <c r="FE144" s="111" t="str">
        <f t="shared" si="2360"/>
        <v/>
      </c>
      <c r="FF144" s="111" t="str">
        <f t="shared" si="2360"/>
        <v/>
      </c>
      <c r="FG144" s="111" t="str">
        <f t="shared" si="2360"/>
        <v/>
      </c>
      <c r="FH144" s="111" t="str">
        <f t="shared" si="2360"/>
        <v/>
      </c>
      <c r="FI144" s="111" t="str">
        <f t="shared" si="2360"/>
        <v/>
      </c>
      <c r="FJ144" s="111" t="str">
        <f t="shared" si="2360"/>
        <v/>
      </c>
      <c r="FK144" s="111" t="str">
        <f t="shared" si="2360"/>
        <v/>
      </c>
      <c r="FL144" s="111" t="str">
        <f t="shared" si="2360"/>
        <v/>
      </c>
      <c r="FM144" s="111" t="str">
        <f t="shared" si="2360"/>
        <v/>
      </c>
      <c r="FN144" s="111" t="str">
        <f t="shared" ref="FN144:FS144" si="2361">IF(CH144="","","|n"&amp;FN$2&amp;"+"&amp;CH144&amp;FN$1)</f>
        <v/>
      </c>
      <c r="FO144" s="111" t="str">
        <f t="shared" si="2361"/>
        <v/>
      </c>
      <c r="FP144" s="111" t="str">
        <f t="shared" si="2361"/>
        <v/>
      </c>
      <c r="FQ144" s="111" t="str">
        <f t="shared" si="2361"/>
        <v/>
      </c>
      <c r="FR144" s="111" t="str">
        <f t="shared" si="2361"/>
        <v/>
      </c>
      <c r="FS144" s="111" t="str">
        <f t="shared" si="2361"/>
        <v/>
      </c>
    </row>
    <row r="145" spans="1:175" s="29" customFormat="1" ht="16.5">
      <c r="A145" s="9"/>
      <c r="B145" s="9" t="s">
        <v>559</v>
      </c>
      <c r="C145" s="23" t="s">
        <v>560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561</v>
      </c>
      <c r="U145" s="77" t="str">
        <f t="shared" si="2357"/>
        <v>ReplaceableTextures\\CommandButtons\\BTNIN22.blp</v>
      </c>
      <c r="V145" s="104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9"/>
      <c r="AS145" s="109"/>
      <c r="AT145" s="105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105"/>
      <c r="BY145" s="105"/>
      <c r="BZ145" s="105"/>
      <c r="CA145" s="105"/>
      <c r="CB145" s="105"/>
      <c r="CC145" s="105"/>
      <c r="CD145" s="105"/>
      <c r="CE145" s="105"/>
      <c r="CF145" s="105"/>
      <c r="CG145" s="105"/>
      <c r="CH145" s="105"/>
      <c r="CI145" s="105"/>
      <c r="CJ145" s="105"/>
      <c r="CK145" s="105"/>
      <c r="CL145" s="105"/>
      <c r="CM145" s="105"/>
      <c r="CN145" s="110" t="str">
        <f t="shared" si="2064"/>
        <v>InitUnitState('IN22',,,,,,,,,,)</v>
      </c>
      <c r="CO145" s="110" t="str">
        <f t="shared" si="2065"/>
        <v>InitUnitNormal('IN22',,,,,,,,,,)</v>
      </c>
      <c r="CP145" s="110" t="str">
        <f t="shared" si="2066"/>
        <v>InitUnitMagic('IN22',,,,,,,,,,)</v>
      </c>
      <c r="CQ145" s="110" t="str">
        <f t="shared" si="2067"/>
        <v>InitUnitAdd('IN22',,,,,,,,,,)</v>
      </c>
      <c r="CR145" s="110" t="str">
        <f t="shared" ref="CR145:CR148" si="2362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185&amp;CR$1&amp;")"</f>
        <v>InitEquipData('IN22',,"",,,,,'','','','','','',"ReplaceableTextures\\CommandButtons\\BTNIZ01.blp")</v>
      </c>
      <c r="CS145" s="110"/>
      <c r="CT145" s="110"/>
      <c r="CU145" s="88" t="str">
        <f t="shared" si="2285"/>
        <v>|n</v>
      </c>
      <c r="CV145" s="29" t="str">
        <f t="shared" si="2286"/>
        <v>使用后|Cffffd24d5|r分钟内|Cffffd24d不使用任何主动技能/药水|r，获得|Cffffd24d1|r个|Cffff0000附魔宝箱|r</v>
      </c>
      <c r="CW145" s="33"/>
      <c r="CX145" s="33"/>
      <c r="CY145" s="33"/>
      <c r="CZ145" s="33"/>
      <c r="DA145" s="33"/>
      <c r="DB145" s="111" t="str">
        <f t="shared" ref="DB145:FM145" si="2363">IF(V145="","","|n"&amp;DB$2&amp;"+"&amp;V145&amp;DB$1)</f>
        <v/>
      </c>
      <c r="DC145" s="111" t="str">
        <f t="shared" si="2363"/>
        <v/>
      </c>
      <c r="DD145" s="111" t="str">
        <f t="shared" si="2363"/>
        <v/>
      </c>
      <c r="DE145" s="111" t="str">
        <f t="shared" si="2363"/>
        <v/>
      </c>
      <c r="DF145" s="111" t="str">
        <f t="shared" si="2363"/>
        <v/>
      </c>
      <c r="DG145" s="111" t="str">
        <f t="shared" si="2363"/>
        <v/>
      </c>
      <c r="DH145" s="111" t="str">
        <f t="shared" si="2363"/>
        <v/>
      </c>
      <c r="DI145" s="111" t="str">
        <f t="shared" si="2363"/>
        <v/>
      </c>
      <c r="DJ145" s="111" t="str">
        <f t="shared" si="2363"/>
        <v/>
      </c>
      <c r="DK145" s="111" t="str">
        <f t="shared" si="2363"/>
        <v/>
      </c>
      <c r="DL145" s="111" t="str">
        <f t="shared" si="2363"/>
        <v/>
      </c>
      <c r="DM145" s="111" t="str">
        <f t="shared" si="2363"/>
        <v/>
      </c>
      <c r="DN145" s="111" t="str">
        <f t="shared" si="2363"/>
        <v/>
      </c>
      <c r="DO145" s="111" t="str">
        <f t="shared" si="2363"/>
        <v/>
      </c>
      <c r="DP145" s="111" t="str">
        <f t="shared" si="2363"/>
        <v/>
      </c>
      <c r="DQ145" s="111" t="str">
        <f t="shared" si="2363"/>
        <v/>
      </c>
      <c r="DR145" s="111" t="str">
        <f t="shared" si="2363"/>
        <v/>
      </c>
      <c r="DS145" s="111" t="str">
        <f t="shared" si="2363"/>
        <v/>
      </c>
      <c r="DT145" s="111" t="str">
        <f t="shared" si="2363"/>
        <v/>
      </c>
      <c r="DU145" s="111" t="str">
        <f t="shared" si="2363"/>
        <v/>
      </c>
      <c r="DV145" s="111" t="str">
        <f t="shared" si="2363"/>
        <v/>
      </c>
      <c r="DW145" s="111" t="str">
        <f t="shared" si="2363"/>
        <v/>
      </c>
      <c r="DX145" s="111" t="str">
        <f t="shared" si="2363"/>
        <v/>
      </c>
      <c r="DY145" s="111" t="str">
        <f t="shared" si="2363"/>
        <v/>
      </c>
      <c r="DZ145" s="111" t="str">
        <f t="shared" si="2363"/>
        <v/>
      </c>
      <c r="EA145" s="111" t="str">
        <f t="shared" si="2363"/>
        <v/>
      </c>
      <c r="EB145" s="111" t="str">
        <f t="shared" si="2363"/>
        <v/>
      </c>
      <c r="EC145" s="111" t="str">
        <f t="shared" si="2363"/>
        <v/>
      </c>
      <c r="ED145" s="111" t="str">
        <f t="shared" si="2363"/>
        <v/>
      </c>
      <c r="EE145" s="111" t="str">
        <f t="shared" si="2363"/>
        <v/>
      </c>
      <c r="EF145" s="111" t="str">
        <f t="shared" si="2363"/>
        <v/>
      </c>
      <c r="EG145" s="111" t="str">
        <f t="shared" si="2363"/>
        <v/>
      </c>
      <c r="EH145" s="111" t="str">
        <f t="shared" si="2363"/>
        <v/>
      </c>
      <c r="EI145" s="111" t="str">
        <f t="shared" si="2363"/>
        <v/>
      </c>
      <c r="EJ145" s="111" t="str">
        <f t="shared" si="2363"/>
        <v/>
      </c>
      <c r="EK145" s="111" t="str">
        <f t="shared" si="2363"/>
        <v/>
      </c>
      <c r="EL145" s="111" t="str">
        <f t="shared" si="2363"/>
        <v/>
      </c>
      <c r="EM145" s="111" t="str">
        <f t="shared" si="2363"/>
        <v/>
      </c>
      <c r="EN145" s="111" t="str">
        <f t="shared" si="2363"/>
        <v/>
      </c>
      <c r="EO145" s="111" t="str">
        <f t="shared" si="2363"/>
        <v/>
      </c>
      <c r="EP145" s="111" t="str">
        <f t="shared" si="2363"/>
        <v/>
      </c>
      <c r="EQ145" s="111" t="str">
        <f t="shared" si="2363"/>
        <v/>
      </c>
      <c r="ER145" s="111" t="str">
        <f t="shared" si="2363"/>
        <v/>
      </c>
      <c r="ES145" s="111" t="str">
        <f t="shared" si="2363"/>
        <v/>
      </c>
      <c r="ET145" s="111" t="str">
        <f t="shared" si="2363"/>
        <v/>
      </c>
      <c r="EU145" s="111" t="str">
        <f t="shared" si="2363"/>
        <v/>
      </c>
      <c r="EV145" s="111" t="str">
        <f t="shared" si="2363"/>
        <v/>
      </c>
      <c r="EW145" s="111" t="str">
        <f t="shared" si="2363"/>
        <v/>
      </c>
      <c r="EX145" s="111" t="str">
        <f t="shared" si="2363"/>
        <v/>
      </c>
      <c r="EY145" s="111" t="str">
        <f t="shared" si="2363"/>
        <v/>
      </c>
      <c r="EZ145" s="111" t="str">
        <f t="shared" si="2363"/>
        <v/>
      </c>
      <c r="FA145" s="111" t="str">
        <f t="shared" si="2363"/>
        <v/>
      </c>
      <c r="FB145" s="111" t="str">
        <f t="shared" si="2363"/>
        <v/>
      </c>
      <c r="FC145" s="111" t="str">
        <f t="shared" si="2363"/>
        <v/>
      </c>
      <c r="FD145" s="111" t="str">
        <f t="shared" si="2363"/>
        <v/>
      </c>
      <c r="FE145" s="111" t="str">
        <f t="shared" si="2363"/>
        <v/>
      </c>
      <c r="FF145" s="111" t="str">
        <f t="shared" si="2363"/>
        <v/>
      </c>
      <c r="FG145" s="111" t="str">
        <f t="shared" si="2363"/>
        <v/>
      </c>
      <c r="FH145" s="111" t="str">
        <f t="shared" si="2363"/>
        <v/>
      </c>
      <c r="FI145" s="111" t="str">
        <f t="shared" si="2363"/>
        <v/>
      </c>
      <c r="FJ145" s="111" t="str">
        <f t="shared" si="2363"/>
        <v/>
      </c>
      <c r="FK145" s="111" t="str">
        <f t="shared" si="2363"/>
        <v/>
      </c>
      <c r="FL145" s="111" t="str">
        <f t="shared" si="2363"/>
        <v/>
      </c>
      <c r="FM145" s="111" t="str">
        <f t="shared" si="2363"/>
        <v/>
      </c>
      <c r="FN145" s="111" t="str">
        <f t="shared" ref="FN145:FS145" si="2364">IF(CH145="","","|n"&amp;FN$2&amp;"+"&amp;CH145&amp;FN$1)</f>
        <v/>
      </c>
      <c r="FO145" s="111" t="str">
        <f t="shared" si="2364"/>
        <v/>
      </c>
      <c r="FP145" s="111" t="str">
        <f t="shared" si="2364"/>
        <v/>
      </c>
      <c r="FQ145" s="111" t="str">
        <f t="shared" si="2364"/>
        <v/>
      </c>
      <c r="FR145" s="111" t="str">
        <f t="shared" si="2364"/>
        <v/>
      </c>
      <c r="FS145" s="111" t="str">
        <f t="shared" si="2364"/>
        <v/>
      </c>
    </row>
    <row r="146" spans="1:175" s="29" customFormat="1" ht="16.5">
      <c r="A146" s="9"/>
      <c r="B146" s="17" t="s">
        <v>562</v>
      </c>
      <c r="C146" s="21" t="s">
        <v>563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564</v>
      </c>
      <c r="U146" s="77" t="str">
        <f t="shared" si="2357"/>
        <v>ReplaceableTextures\\CommandButtons\\BTNIN23.blp</v>
      </c>
      <c r="V146" s="104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9"/>
      <c r="AS146" s="109"/>
      <c r="AT146" s="105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/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105"/>
      <c r="BY146" s="105"/>
      <c r="BZ146" s="105"/>
      <c r="CA146" s="105"/>
      <c r="CB146" s="105"/>
      <c r="CC146" s="105"/>
      <c r="CD146" s="105"/>
      <c r="CE146" s="105"/>
      <c r="CF146" s="105"/>
      <c r="CG146" s="105"/>
      <c r="CH146" s="105"/>
      <c r="CI146" s="105"/>
      <c r="CJ146" s="105"/>
      <c r="CK146" s="105"/>
      <c r="CL146" s="105"/>
      <c r="CM146" s="105"/>
      <c r="CN146" s="110" t="str">
        <f t="shared" si="2064"/>
        <v>InitUnitState('IN23',,,,,,,,,,)</v>
      </c>
      <c r="CO146" s="110" t="str">
        <f t="shared" si="2065"/>
        <v>InitUnitNormal('IN23',,,,,,,,,,)</v>
      </c>
      <c r="CP146" s="110" t="str">
        <f t="shared" si="2066"/>
        <v>InitUnitMagic('IN23',,,,,,,,,,)</v>
      </c>
      <c r="CQ146" s="110" t="str">
        <f t="shared" si="2067"/>
        <v>InitUnitAdd('IN23',,,,,,,,,,)</v>
      </c>
      <c r="CR146" s="110" t="str">
        <f t="shared" si="2362"/>
        <v>InitEquipData('IN23',,"",,,,,'','','','','','',"ReplaceableTextures\\CommandButtons\\BTN001.blp")</v>
      </c>
      <c r="CS146" s="110"/>
      <c r="CT146" s="110"/>
      <c r="CU146" s="88" t="str">
        <f t="shared" si="2285"/>
        <v>|n</v>
      </c>
      <c r="CV146" s="29" t="str">
        <f t="shared" si="2286"/>
        <v>使用后|Cffffd24d5|r分钟内|Cffffd24d不进行任何挑战|r，获得|Cffffd24d1|r个|Cffff0000附魔宝箱|r</v>
      </c>
      <c r="CW146" s="33"/>
      <c r="CX146" s="33"/>
      <c r="CY146" s="33"/>
      <c r="CZ146" s="33"/>
      <c r="DA146" s="33"/>
      <c r="DB146" s="111" t="str">
        <f t="shared" ref="DB146:FM146" si="2365">IF(V146="","","|n"&amp;DB$2&amp;"+"&amp;V146&amp;DB$1)</f>
        <v/>
      </c>
      <c r="DC146" s="111" t="str">
        <f t="shared" si="2365"/>
        <v/>
      </c>
      <c r="DD146" s="111" t="str">
        <f t="shared" si="2365"/>
        <v/>
      </c>
      <c r="DE146" s="111" t="str">
        <f t="shared" si="2365"/>
        <v/>
      </c>
      <c r="DF146" s="111" t="str">
        <f t="shared" si="2365"/>
        <v/>
      </c>
      <c r="DG146" s="111" t="str">
        <f t="shared" si="2365"/>
        <v/>
      </c>
      <c r="DH146" s="111" t="str">
        <f t="shared" si="2365"/>
        <v/>
      </c>
      <c r="DI146" s="111" t="str">
        <f t="shared" si="2365"/>
        <v/>
      </c>
      <c r="DJ146" s="111" t="str">
        <f t="shared" si="2365"/>
        <v/>
      </c>
      <c r="DK146" s="111" t="str">
        <f t="shared" si="2365"/>
        <v/>
      </c>
      <c r="DL146" s="111" t="str">
        <f t="shared" si="2365"/>
        <v/>
      </c>
      <c r="DM146" s="111" t="str">
        <f t="shared" si="2365"/>
        <v/>
      </c>
      <c r="DN146" s="111" t="str">
        <f t="shared" si="2365"/>
        <v/>
      </c>
      <c r="DO146" s="111" t="str">
        <f t="shared" si="2365"/>
        <v/>
      </c>
      <c r="DP146" s="111" t="str">
        <f t="shared" si="2365"/>
        <v/>
      </c>
      <c r="DQ146" s="111" t="str">
        <f t="shared" si="2365"/>
        <v/>
      </c>
      <c r="DR146" s="111" t="str">
        <f t="shared" si="2365"/>
        <v/>
      </c>
      <c r="DS146" s="111" t="str">
        <f t="shared" si="2365"/>
        <v/>
      </c>
      <c r="DT146" s="111" t="str">
        <f t="shared" si="2365"/>
        <v/>
      </c>
      <c r="DU146" s="111" t="str">
        <f t="shared" si="2365"/>
        <v/>
      </c>
      <c r="DV146" s="111" t="str">
        <f t="shared" si="2365"/>
        <v/>
      </c>
      <c r="DW146" s="111" t="str">
        <f t="shared" si="2365"/>
        <v/>
      </c>
      <c r="DX146" s="111" t="str">
        <f t="shared" si="2365"/>
        <v/>
      </c>
      <c r="DY146" s="111" t="str">
        <f t="shared" si="2365"/>
        <v/>
      </c>
      <c r="DZ146" s="111" t="str">
        <f t="shared" si="2365"/>
        <v/>
      </c>
      <c r="EA146" s="111" t="str">
        <f t="shared" si="2365"/>
        <v/>
      </c>
      <c r="EB146" s="111" t="str">
        <f t="shared" si="2365"/>
        <v/>
      </c>
      <c r="EC146" s="111" t="str">
        <f t="shared" si="2365"/>
        <v/>
      </c>
      <c r="ED146" s="111" t="str">
        <f t="shared" si="2365"/>
        <v/>
      </c>
      <c r="EE146" s="111" t="str">
        <f t="shared" si="2365"/>
        <v/>
      </c>
      <c r="EF146" s="111" t="str">
        <f t="shared" si="2365"/>
        <v/>
      </c>
      <c r="EG146" s="111" t="str">
        <f t="shared" si="2365"/>
        <v/>
      </c>
      <c r="EH146" s="111" t="str">
        <f t="shared" si="2365"/>
        <v/>
      </c>
      <c r="EI146" s="111" t="str">
        <f t="shared" si="2365"/>
        <v/>
      </c>
      <c r="EJ146" s="111" t="str">
        <f t="shared" si="2365"/>
        <v/>
      </c>
      <c r="EK146" s="111" t="str">
        <f t="shared" si="2365"/>
        <v/>
      </c>
      <c r="EL146" s="111" t="str">
        <f t="shared" si="2365"/>
        <v/>
      </c>
      <c r="EM146" s="111" t="str">
        <f t="shared" si="2365"/>
        <v/>
      </c>
      <c r="EN146" s="111" t="str">
        <f t="shared" si="2365"/>
        <v/>
      </c>
      <c r="EO146" s="111" t="str">
        <f t="shared" si="2365"/>
        <v/>
      </c>
      <c r="EP146" s="111" t="str">
        <f t="shared" si="2365"/>
        <v/>
      </c>
      <c r="EQ146" s="111" t="str">
        <f t="shared" si="2365"/>
        <v/>
      </c>
      <c r="ER146" s="111" t="str">
        <f t="shared" si="2365"/>
        <v/>
      </c>
      <c r="ES146" s="111" t="str">
        <f t="shared" si="2365"/>
        <v/>
      </c>
      <c r="ET146" s="111" t="str">
        <f t="shared" si="2365"/>
        <v/>
      </c>
      <c r="EU146" s="111" t="str">
        <f t="shared" si="2365"/>
        <v/>
      </c>
      <c r="EV146" s="111" t="str">
        <f t="shared" si="2365"/>
        <v/>
      </c>
      <c r="EW146" s="111" t="str">
        <f t="shared" si="2365"/>
        <v/>
      </c>
      <c r="EX146" s="111" t="str">
        <f t="shared" si="2365"/>
        <v/>
      </c>
      <c r="EY146" s="111" t="str">
        <f t="shared" si="2365"/>
        <v/>
      </c>
      <c r="EZ146" s="111" t="str">
        <f t="shared" si="2365"/>
        <v/>
      </c>
      <c r="FA146" s="111" t="str">
        <f t="shared" si="2365"/>
        <v/>
      </c>
      <c r="FB146" s="111" t="str">
        <f t="shared" si="2365"/>
        <v/>
      </c>
      <c r="FC146" s="111" t="str">
        <f t="shared" si="2365"/>
        <v/>
      </c>
      <c r="FD146" s="111" t="str">
        <f t="shared" si="2365"/>
        <v/>
      </c>
      <c r="FE146" s="111" t="str">
        <f t="shared" si="2365"/>
        <v/>
      </c>
      <c r="FF146" s="111" t="str">
        <f t="shared" si="2365"/>
        <v/>
      </c>
      <c r="FG146" s="111" t="str">
        <f t="shared" si="2365"/>
        <v/>
      </c>
      <c r="FH146" s="111" t="str">
        <f t="shared" si="2365"/>
        <v/>
      </c>
      <c r="FI146" s="111" t="str">
        <f t="shared" si="2365"/>
        <v/>
      </c>
      <c r="FJ146" s="111" t="str">
        <f t="shared" si="2365"/>
        <v/>
      </c>
      <c r="FK146" s="111" t="str">
        <f t="shared" si="2365"/>
        <v/>
      </c>
      <c r="FL146" s="111" t="str">
        <f t="shared" si="2365"/>
        <v/>
      </c>
      <c r="FM146" s="111" t="str">
        <f t="shared" si="2365"/>
        <v/>
      </c>
      <c r="FN146" s="111" t="str">
        <f t="shared" ref="FN146:FS146" si="2366">IF(CH146="","","|n"&amp;FN$2&amp;"+"&amp;CH146&amp;FN$1)</f>
        <v/>
      </c>
      <c r="FO146" s="111" t="str">
        <f t="shared" si="2366"/>
        <v/>
      </c>
      <c r="FP146" s="111" t="str">
        <f t="shared" si="2366"/>
        <v/>
      </c>
      <c r="FQ146" s="111" t="str">
        <f t="shared" si="2366"/>
        <v/>
      </c>
      <c r="FR146" s="111" t="str">
        <f t="shared" si="2366"/>
        <v/>
      </c>
      <c r="FS146" s="111" t="str">
        <f t="shared" si="2366"/>
        <v/>
      </c>
    </row>
    <row r="147" spans="1:175" s="29" customFormat="1" ht="16.5">
      <c r="A147" s="9"/>
      <c r="B147" s="17" t="s">
        <v>565</v>
      </c>
      <c r="C147" s="21" t="s">
        <v>566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567</v>
      </c>
      <c r="U147" s="77" t="str">
        <f t="shared" si="2357"/>
        <v>ReplaceableTextures\\CommandButtons\\BTNIN24.blp</v>
      </c>
      <c r="V147" s="104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9"/>
      <c r="AS147" s="109"/>
      <c r="AT147" s="105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105"/>
      <c r="BY147" s="105"/>
      <c r="BZ147" s="105"/>
      <c r="CA147" s="105"/>
      <c r="CB147" s="105"/>
      <c r="CC147" s="105"/>
      <c r="CD147" s="105"/>
      <c r="CE147" s="105"/>
      <c r="CF147" s="105"/>
      <c r="CG147" s="105"/>
      <c r="CH147" s="105"/>
      <c r="CI147" s="105"/>
      <c r="CJ147" s="105"/>
      <c r="CK147" s="105"/>
      <c r="CL147" s="105"/>
      <c r="CM147" s="105"/>
      <c r="CN147" s="110" t="str">
        <f t="shared" si="2064"/>
        <v>InitUnitState('IN24',,,,,,,,,,)</v>
      </c>
      <c r="CO147" s="110" t="str">
        <f t="shared" si="2065"/>
        <v>InitUnitNormal('IN24',,,,,,,,,,)</v>
      </c>
      <c r="CP147" s="110" t="str">
        <f t="shared" si="2066"/>
        <v>InitUnitMagic('IN24',,,,,,,,,,)</v>
      </c>
      <c r="CQ147" s="110" t="str">
        <f t="shared" si="2067"/>
        <v>InitUnitAdd('IN24',,,,,,,,,,)</v>
      </c>
      <c r="CR147" s="110" t="str">
        <f t="shared" si="2362"/>
        <v>InitEquipData('IN24',,"",,,,,'','','','','','',"ReplaceableTextures\\CommandButtons\\BTN001.blp")</v>
      </c>
      <c r="CS147" s="110"/>
      <c r="CT147" s="110"/>
      <c r="CU147" s="88" t="str">
        <f t="shared" si="2285"/>
        <v>|n</v>
      </c>
      <c r="CV147" s="29" t="str">
        <f t="shared" si="2286"/>
        <v>使用后|Cffffd24d5|r分钟内|Cffffd24d不使用轻功|r，获得|Cffffd24d1|r个|Cffff0000附魔宝箱|r</v>
      </c>
      <c r="CW147" s="33"/>
      <c r="CX147" s="33"/>
      <c r="CY147" s="33"/>
      <c r="CZ147" s="33"/>
      <c r="DA147" s="33"/>
      <c r="DB147" s="111" t="str">
        <f t="shared" ref="DB147:FM147" si="2367">IF(V147="","","|n"&amp;DB$2&amp;"+"&amp;V147&amp;DB$1)</f>
        <v/>
      </c>
      <c r="DC147" s="111" t="str">
        <f t="shared" si="2367"/>
        <v/>
      </c>
      <c r="DD147" s="111" t="str">
        <f t="shared" si="2367"/>
        <v/>
      </c>
      <c r="DE147" s="111" t="str">
        <f t="shared" si="2367"/>
        <v/>
      </c>
      <c r="DF147" s="111" t="str">
        <f t="shared" si="2367"/>
        <v/>
      </c>
      <c r="DG147" s="111" t="str">
        <f t="shared" si="2367"/>
        <v/>
      </c>
      <c r="DH147" s="111" t="str">
        <f t="shared" si="2367"/>
        <v/>
      </c>
      <c r="DI147" s="111" t="str">
        <f t="shared" si="2367"/>
        <v/>
      </c>
      <c r="DJ147" s="111" t="str">
        <f t="shared" si="2367"/>
        <v/>
      </c>
      <c r="DK147" s="111" t="str">
        <f t="shared" si="2367"/>
        <v/>
      </c>
      <c r="DL147" s="111" t="str">
        <f t="shared" si="2367"/>
        <v/>
      </c>
      <c r="DM147" s="111" t="str">
        <f t="shared" si="2367"/>
        <v/>
      </c>
      <c r="DN147" s="111" t="str">
        <f t="shared" si="2367"/>
        <v/>
      </c>
      <c r="DO147" s="111" t="str">
        <f t="shared" si="2367"/>
        <v/>
      </c>
      <c r="DP147" s="111" t="str">
        <f t="shared" si="2367"/>
        <v/>
      </c>
      <c r="DQ147" s="111" t="str">
        <f t="shared" si="2367"/>
        <v/>
      </c>
      <c r="DR147" s="111" t="str">
        <f t="shared" si="2367"/>
        <v/>
      </c>
      <c r="DS147" s="111" t="str">
        <f t="shared" si="2367"/>
        <v/>
      </c>
      <c r="DT147" s="111" t="str">
        <f t="shared" si="2367"/>
        <v/>
      </c>
      <c r="DU147" s="111" t="str">
        <f t="shared" si="2367"/>
        <v/>
      </c>
      <c r="DV147" s="111" t="str">
        <f t="shared" si="2367"/>
        <v/>
      </c>
      <c r="DW147" s="111" t="str">
        <f t="shared" si="2367"/>
        <v/>
      </c>
      <c r="DX147" s="111" t="str">
        <f t="shared" si="2367"/>
        <v/>
      </c>
      <c r="DY147" s="111" t="str">
        <f t="shared" si="2367"/>
        <v/>
      </c>
      <c r="DZ147" s="111" t="str">
        <f t="shared" si="2367"/>
        <v/>
      </c>
      <c r="EA147" s="111" t="str">
        <f t="shared" si="2367"/>
        <v/>
      </c>
      <c r="EB147" s="111" t="str">
        <f t="shared" si="2367"/>
        <v/>
      </c>
      <c r="EC147" s="111" t="str">
        <f t="shared" si="2367"/>
        <v/>
      </c>
      <c r="ED147" s="111" t="str">
        <f t="shared" si="2367"/>
        <v/>
      </c>
      <c r="EE147" s="111" t="str">
        <f t="shared" si="2367"/>
        <v/>
      </c>
      <c r="EF147" s="111" t="str">
        <f t="shared" si="2367"/>
        <v/>
      </c>
      <c r="EG147" s="111" t="str">
        <f t="shared" si="2367"/>
        <v/>
      </c>
      <c r="EH147" s="111" t="str">
        <f t="shared" si="2367"/>
        <v/>
      </c>
      <c r="EI147" s="111" t="str">
        <f t="shared" si="2367"/>
        <v/>
      </c>
      <c r="EJ147" s="111" t="str">
        <f t="shared" si="2367"/>
        <v/>
      </c>
      <c r="EK147" s="111" t="str">
        <f t="shared" si="2367"/>
        <v/>
      </c>
      <c r="EL147" s="111" t="str">
        <f t="shared" si="2367"/>
        <v/>
      </c>
      <c r="EM147" s="111" t="str">
        <f t="shared" si="2367"/>
        <v/>
      </c>
      <c r="EN147" s="111" t="str">
        <f t="shared" si="2367"/>
        <v/>
      </c>
      <c r="EO147" s="111" t="str">
        <f t="shared" si="2367"/>
        <v/>
      </c>
      <c r="EP147" s="111" t="str">
        <f t="shared" si="2367"/>
        <v/>
      </c>
      <c r="EQ147" s="111" t="str">
        <f t="shared" si="2367"/>
        <v/>
      </c>
      <c r="ER147" s="111" t="str">
        <f t="shared" si="2367"/>
        <v/>
      </c>
      <c r="ES147" s="111" t="str">
        <f t="shared" si="2367"/>
        <v/>
      </c>
      <c r="ET147" s="111" t="str">
        <f t="shared" si="2367"/>
        <v/>
      </c>
      <c r="EU147" s="111" t="str">
        <f t="shared" si="2367"/>
        <v/>
      </c>
      <c r="EV147" s="111" t="str">
        <f t="shared" si="2367"/>
        <v/>
      </c>
      <c r="EW147" s="111" t="str">
        <f t="shared" si="2367"/>
        <v/>
      </c>
      <c r="EX147" s="111" t="str">
        <f t="shared" si="2367"/>
        <v/>
      </c>
      <c r="EY147" s="111" t="str">
        <f t="shared" si="2367"/>
        <v/>
      </c>
      <c r="EZ147" s="111" t="str">
        <f t="shared" si="2367"/>
        <v/>
      </c>
      <c r="FA147" s="111" t="str">
        <f t="shared" si="2367"/>
        <v/>
      </c>
      <c r="FB147" s="111" t="str">
        <f t="shared" si="2367"/>
        <v/>
      </c>
      <c r="FC147" s="111" t="str">
        <f t="shared" si="2367"/>
        <v/>
      </c>
      <c r="FD147" s="111" t="str">
        <f t="shared" si="2367"/>
        <v/>
      </c>
      <c r="FE147" s="111" t="str">
        <f t="shared" si="2367"/>
        <v/>
      </c>
      <c r="FF147" s="111" t="str">
        <f t="shared" si="2367"/>
        <v/>
      </c>
      <c r="FG147" s="111" t="str">
        <f t="shared" si="2367"/>
        <v/>
      </c>
      <c r="FH147" s="111" t="str">
        <f t="shared" si="2367"/>
        <v/>
      </c>
      <c r="FI147" s="111" t="str">
        <f t="shared" si="2367"/>
        <v/>
      </c>
      <c r="FJ147" s="111" t="str">
        <f t="shared" si="2367"/>
        <v/>
      </c>
      <c r="FK147" s="111" t="str">
        <f t="shared" si="2367"/>
        <v/>
      </c>
      <c r="FL147" s="111" t="str">
        <f t="shared" si="2367"/>
        <v/>
      </c>
      <c r="FM147" s="111" t="str">
        <f t="shared" si="2367"/>
        <v/>
      </c>
      <c r="FN147" s="111" t="str">
        <f t="shared" ref="FN147:FS147" si="2368">IF(CH147="","","|n"&amp;FN$2&amp;"+"&amp;CH147&amp;FN$1)</f>
        <v/>
      </c>
      <c r="FO147" s="111" t="str">
        <f t="shared" si="2368"/>
        <v/>
      </c>
      <c r="FP147" s="111" t="str">
        <f t="shared" si="2368"/>
        <v/>
      </c>
      <c r="FQ147" s="111" t="str">
        <f t="shared" si="2368"/>
        <v/>
      </c>
      <c r="FR147" s="111" t="str">
        <f t="shared" si="2368"/>
        <v/>
      </c>
      <c r="FS147" s="111" t="str">
        <f t="shared" si="2368"/>
        <v/>
      </c>
    </row>
    <row r="148" spans="1:175" s="29" customFormat="1" ht="16.5">
      <c r="A148" s="9"/>
      <c r="B148" s="24" t="s">
        <v>568</v>
      </c>
      <c r="C148" s="23" t="s">
        <v>569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570</v>
      </c>
      <c r="U148" s="77" t="s">
        <v>571</v>
      </c>
      <c r="V148" s="104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9"/>
      <c r="AS148" s="109"/>
      <c r="AT148" s="105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105"/>
      <c r="BY148" s="105"/>
      <c r="BZ148" s="105"/>
      <c r="CA148" s="105"/>
      <c r="CB148" s="105"/>
      <c r="CC148" s="105"/>
      <c r="CD148" s="105"/>
      <c r="CE148" s="105"/>
      <c r="CF148" s="105"/>
      <c r="CG148" s="105"/>
      <c r="CH148" s="105"/>
      <c r="CI148" s="105"/>
      <c r="CJ148" s="105"/>
      <c r="CK148" s="105"/>
      <c r="CL148" s="105"/>
      <c r="CM148" s="105"/>
      <c r="CN148" s="110" t="str">
        <f t="shared" si="2064"/>
        <v>InitUnitState('IN25',,,,,,,,,,)</v>
      </c>
      <c r="CO148" s="110" t="str">
        <f t="shared" si="2065"/>
        <v>InitUnitNormal('IN25',,,,,,,,,,)</v>
      </c>
      <c r="CP148" s="110" t="str">
        <f t="shared" si="2066"/>
        <v>InitUnitMagic('IN25',,,,,,,,,,)</v>
      </c>
      <c r="CQ148" s="110" t="str">
        <f t="shared" si="2067"/>
        <v>InitUnitAdd('IN25',,,,,,,,,,)</v>
      </c>
      <c r="CR148" s="110" t="str">
        <f t="shared" si="2362"/>
        <v>InitEquipData('IN25',,"",,,,,'','','','','','',"ReplaceableTextures\\CommandButtons\\BTN001.blp")</v>
      </c>
      <c r="CS148" s="110"/>
      <c r="CT148" s="110"/>
      <c r="CU148" s="88" t="str">
        <f t="shared" si="2285"/>
        <v>|n</v>
      </c>
      <c r="CV148" s="29" t="str">
        <f t="shared" si="2286"/>
        <v>打开后有几率获得以下奖励：|n【随机品质】中级道果|n|Cff00ff7f【随机品质】高级道果|r</v>
      </c>
      <c r="CW148" s="33"/>
      <c r="CX148" s="33"/>
      <c r="CY148" s="33"/>
      <c r="CZ148" s="33"/>
      <c r="DA148" s="33"/>
      <c r="DB148" s="111" t="str">
        <f t="shared" ref="DB148:FM148" si="2369">IF(V148="","","|n"&amp;DB$2&amp;"+"&amp;V148&amp;DB$1)</f>
        <v/>
      </c>
      <c r="DC148" s="111" t="str">
        <f t="shared" si="2369"/>
        <v/>
      </c>
      <c r="DD148" s="111" t="str">
        <f t="shared" si="2369"/>
        <v/>
      </c>
      <c r="DE148" s="111" t="str">
        <f t="shared" si="2369"/>
        <v/>
      </c>
      <c r="DF148" s="111" t="str">
        <f t="shared" si="2369"/>
        <v/>
      </c>
      <c r="DG148" s="111" t="str">
        <f t="shared" si="2369"/>
        <v/>
      </c>
      <c r="DH148" s="111" t="str">
        <f t="shared" si="2369"/>
        <v/>
      </c>
      <c r="DI148" s="111" t="str">
        <f t="shared" si="2369"/>
        <v/>
      </c>
      <c r="DJ148" s="111" t="str">
        <f t="shared" si="2369"/>
        <v/>
      </c>
      <c r="DK148" s="111" t="str">
        <f t="shared" si="2369"/>
        <v/>
      </c>
      <c r="DL148" s="111" t="str">
        <f t="shared" si="2369"/>
        <v/>
      </c>
      <c r="DM148" s="111" t="str">
        <f t="shared" si="2369"/>
        <v/>
      </c>
      <c r="DN148" s="111" t="str">
        <f t="shared" si="2369"/>
        <v/>
      </c>
      <c r="DO148" s="111" t="str">
        <f t="shared" si="2369"/>
        <v/>
      </c>
      <c r="DP148" s="111" t="str">
        <f t="shared" si="2369"/>
        <v/>
      </c>
      <c r="DQ148" s="111" t="str">
        <f t="shared" si="2369"/>
        <v/>
      </c>
      <c r="DR148" s="111" t="str">
        <f t="shared" si="2369"/>
        <v/>
      </c>
      <c r="DS148" s="111" t="str">
        <f t="shared" si="2369"/>
        <v/>
      </c>
      <c r="DT148" s="111" t="str">
        <f t="shared" si="2369"/>
        <v/>
      </c>
      <c r="DU148" s="111" t="str">
        <f t="shared" si="2369"/>
        <v/>
      </c>
      <c r="DV148" s="111" t="str">
        <f t="shared" si="2369"/>
        <v/>
      </c>
      <c r="DW148" s="111" t="str">
        <f t="shared" si="2369"/>
        <v/>
      </c>
      <c r="DX148" s="111" t="str">
        <f t="shared" si="2369"/>
        <v/>
      </c>
      <c r="DY148" s="111" t="str">
        <f t="shared" si="2369"/>
        <v/>
      </c>
      <c r="DZ148" s="111" t="str">
        <f t="shared" si="2369"/>
        <v/>
      </c>
      <c r="EA148" s="111" t="str">
        <f t="shared" si="2369"/>
        <v/>
      </c>
      <c r="EB148" s="111" t="str">
        <f t="shared" si="2369"/>
        <v/>
      </c>
      <c r="EC148" s="111" t="str">
        <f t="shared" si="2369"/>
        <v/>
      </c>
      <c r="ED148" s="111" t="str">
        <f t="shared" si="2369"/>
        <v/>
      </c>
      <c r="EE148" s="111" t="str">
        <f t="shared" si="2369"/>
        <v/>
      </c>
      <c r="EF148" s="111" t="str">
        <f t="shared" si="2369"/>
        <v/>
      </c>
      <c r="EG148" s="111" t="str">
        <f t="shared" si="2369"/>
        <v/>
      </c>
      <c r="EH148" s="111" t="str">
        <f t="shared" si="2369"/>
        <v/>
      </c>
      <c r="EI148" s="111" t="str">
        <f t="shared" si="2369"/>
        <v/>
      </c>
      <c r="EJ148" s="111" t="str">
        <f t="shared" si="2369"/>
        <v/>
      </c>
      <c r="EK148" s="111" t="str">
        <f t="shared" si="2369"/>
        <v/>
      </c>
      <c r="EL148" s="111" t="str">
        <f t="shared" si="2369"/>
        <v/>
      </c>
      <c r="EM148" s="111" t="str">
        <f t="shared" si="2369"/>
        <v/>
      </c>
      <c r="EN148" s="111" t="str">
        <f t="shared" si="2369"/>
        <v/>
      </c>
      <c r="EO148" s="111" t="str">
        <f t="shared" si="2369"/>
        <v/>
      </c>
      <c r="EP148" s="111" t="str">
        <f t="shared" si="2369"/>
        <v/>
      </c>
      <c r="EQ148" s="111" t="str">
        <f t="shared" si="2369"/>
        <v/>
      </c>
      <c r="ER148" s="111" t="str">
        <f t="shared" si="2369"/>
        <v/>
      </c>
      <c r="ES148" s="111" t="str">
        <f t="shared" si="2369"/>
        <v/>
      </c>
      <c r="ET148" s="111" t="str">
        <f t="shared" si="2369"/>
        <v/>
      </c>
      <c r="EU148" s="111" t="str">
        <f t="shared" si="2369"/>
        <v/>
      </c>
      <c r="EV148" s="111" t="str">
        <f t="shared" si="2369"/>
        <v/>
      </c>
      <c r="EW148" s="111" t="str">
        <f t="shared" si="2369"/>
        <v/>
      </c>
      <c r="EX148" s="111" t="str">
        <f t="shared" si="2369"/>
        <v/>
      </c>
      <c r="EY148" s="111" t="str">
        <f t="shared" si="2369"/>
        <v/>
      </c>
      <c r="EZ148" s="111" t="str">
        <f t="shared" si="2369"/>
        <v/>
      </c>
      <c r="FA148" s="111" t="str">
        <f t="shared" si="2369"/>
        <v/>
      </c>
      <c r="FB148" s="111" t="str">
        <f t="shared" si="2369"/>
        <v/>
      </c>
      <c r="FC148" s="111" t="str">
        <f t="shared" si="2369"/>
        <v/>
      </c>
      <c r="FD148" s="111" t="str">
        <f t="shared" si="2369"/>
        <v/>
      </c>
      <c r="FE148" s="111" t="str">
        <f t="shared" si="2369"/>
        <v/>
      </c>
      <c r="FF148" s="111" t="str">
        <f t="shared" si="2369"/>
        <v/>
      </c>
      <c r="FG148" s="111" t="str">
        <f t="shared" si="2369"/>
        <v/>
      </c>
      <c r="FH148" s="111" t="str">
        <f t="shared" si="2369"/>
        <v/>
      </c>
      <c r="FI148" s="111" t="str">
        <f t="shared" si="2369"/>
        <v/>
      </c>
      <c r="FJ148" s="111" t="str">
        <f t="shared" si="2369"/>
        <v/>
      </c>
      <c r="FK148" s="111" t="str">
        <f t="shared" si="2369"/>
        <v/>
      </c>
      <c r="FL148" s="111" t="str">
        <f t="shared" si="2369"/>
        <v/>
      </c>
      <c r="FM148" s="111" t="str">
        <f t="shared" si="2369"/>
        <v/>
      </c>
      <c r="FN148" s="111" t="str">
        <f t="shared" ref="FN148:FS148" si="2370">IF(CH148="","","|n"&amp;FN$2&amp;"+"&amp;CH148&amp;FN$1)</f>
        <v/>
      </c>
      <c r="FO148" s="111" t="str">
        <f t="shared" si="2370"/>
        <v/>
      </c>
      <c r="FP148" s="111" t="str">
        <f t="shared" si="2370"/>
        <v/>
      </c>
      <c r="FQ148" s="111" t="str">
        <f t="shared" si="2370"/>
        <v/>
      </c>
      <c r="FR148" s="111" t="str">
        <f t="shared" si="2370"/>
        <v/>
      </c>
      <c r="FS148" s="111" t="str">
        <f t="shared" si="2370"/>
        <v/>
      </c>
    </row>
    <row r="149" spans="1:175" s="29" customFormat="1" ht="16.5">
      <c r="A149" s="9"/>
      <c r="B149" s="24" t="s">
        <v>572</v>
      </c>
      <c r="C149" s="23" t="s">
        <v>573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9" t="s">
        <v>574</v>
      </c>
      <c r="U149" s="77" t="s">
        <v>575</v>
      </c>
      <c r="V149" s="104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9"/>
      <c r="AS149" s="109"/>
      <c r="AT149" s="105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105"/>
      <c r="BY149" s="105"/>
      <c r="BZ149" s="105"/>
      <c r="CA149" s="105"/>
      <c r="CB149" s="105"/>
      <c r="CC149" s="105"/>
      <c r="CD149" s="105"/>
      <c r="CE149" s="105"/>
      <c r="CF149" s="105"/>
      <c r="CG149" s="105"/>
      <c r="CH149" s="105"/>
      <c r="CI149" s="105"/>
      <c r="CJ149" s="105"/>
      <c r="CK149" s="105"/>
      <c r="CL149" s="105"/>
      <c r="CM149" s="105"/>
      <c r="CN149" s="110" t="str">
        <f t="shared" si="2064"/>
        <v>InitUnitState('IN26',,,,,,,,,,)</v>
      </c>
      <c r="CO149" s="110" t="str">
        <f t="shared" si="2065"/>
        <v>InitUnitNormal('IN26',,,,,,,,,,)</v>
      </c>
      <c r="CP149" s="110" t="str">
        <f t="shared" si="2066"/>
        <v>InitUnitMagic('IN26',,,,,,,,,,)</v>
      </c>
      <c r="CQ149" s="110" t="str">
        <f t="shared" si="2067"/>
        <v>InitUnitAdd('IN26',,,,,,,,,,)</v>
      </c>
      <c r="CR149" s="110" t="str">
        <f t="shared" ref="CR149:CR155" si="2371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192&amp;CR$1&amp;")"</f>
        <v>InitEquipData('IN26',,"",,,,,'','','','','','',"ReplaceableTextures\\CommandButtons\\BTNIN01.blp")</v>
      </c>
      <c r="CS149" s="110"/>
      <c r="CT149" s="110"/>
      <c r="CU149" s="88" t="str">
        <f t="shared" si="2285"/>
        <v>|n</v>
      </c>
      <c r="CV149" s="29" t="str">
        <f t="shared" si="2286"/>
        <v>打开后有几率获得以下奖励：|n|Cff00ff7f【随机品质】黄级道果|r|n|Cff00bfff【随机品质】玄级道果|n【随机品质】地级道果|r</v>
      </c>
      <c r="CW149" s="33"/>
      <c r="CX149" s="33"/>
      <c r="CY149" s="33"/>
      <c r="CZ149" s="33"/>
      <c r="DA149" s="33"/>
      <c r="DB149" s="111" t="str">
        <f t="shared" ref="DB149:FM149" si="2372">IF(V149="","","|n"&amp;DB$2&amp;"+"&amp;V149&amp;DB$1)</f>
        <v/>
      </c>
      <c r="DC149" s="111" t="str">
        <f t="shared" si="2372"/>
        <v/>
      </c>
      <c r="DD149" s="111" t="str">
        <f t="shared" si="2372"/>
        <v/>
      </c>
      <c r="DE149" s="111" t="str">
        <f t="shared" si="2372"/>
        <v/>
      </c>
      <c r="DF149" s="111" t="str">
        <f t="shared" si="2372"/>
        <v/>
      </c>
      <c r="DG149" s="111" t="str">
        <f t="shared" si="2372"/>
        <v/>
      </c>
      <c r="DH149" s="111" t="str">
        <f t="shared" si="2372"/>
        <v/>
      </c>
      <c r="DI149" s="111" t="str">
        <f t="shared" si="2372"/>
        <v/>
      </c>
      <c r="DJ149" s="111" t="str">
        <f t="shared" si="2372"/>
        <v/>
      </c>
      <c r="DK149" s="111" t="str">
        <f t="shared" si="2372"/>
        <v/>
      </c>
      <c r="DL149" s="111" t="str">
        <f t="shared" si="2372"/>
        <v/>
      </c>
      <c r="DM149" s="111" t="str">
        <f t="shared" si="2372"/>
        <v/>
      </c>
      <c r="DN149" s="111" t="str">
        <f t="shared" si="2372"/>
        <v/>
      </c>
      <c r="DO149" s="111" t="str">
        <f t="shared" si="2372"/>
        <v/>
      </c>
      <c r="DP149" s="111" t="str">
        <f t="shared" si="2372"/>
        <v/>
      </c>
      <c r="DQ149" s="111" t="str">
        <f t="shared" si="2372"/>
        <v/>
      </c>
      <c r="DR149" s="111" t="str">
        <f t="shared" si="2372"/>
        <v/>
      </c>
      <c r="DS149" s="111" t="str">
        <f t="shared" si="2372"/>
        <v/>
      </c>
      <c r="DT149" s="111" t="str">
        <f t="shared" si="2372"/>
        <v/>
      </c>
      <c r="DU149" s="111" t="str">
        <f t="shared" si="2372"/>
        <v/>
      </c>
      <c r="DV149" s="111" t="str">
        <f t="shared" si="2372"/>
        <v/>
      </c>
      <c r="DW149" s="111" t="str">
        <f t="shared" si="2372"/>
        <v/>
      </c>
      <c r="DX149" s="111" t="str">
        <f t="shared" si="2372"/>
        <v/>
      </c>
      <c r="DY149" s="111" t="str">
        <f t="shared" si="2372"/>
        <v/>
      </c>
      <c r="DZ149" s="111" t="str">
        <f t="shared" si="2372"/>
        <v/>
      </c>
      <c r="EA149" s="111" t="str">
        <f t="shared" si="2372"/>
        <v/>
      </c>
      <c r="EB149" s="111" t="str">
        <f t="shared" si="2372"/>
        <v/>
      </c>
      <c r="EC149" s="111" t="str">
        <f t="shared" si="2372"/>
        <v/>
      </c>
      <c r="ED149" s="111" t="str">
        <f t="shared" si="2372"/>
        <v/>
      </c>
      <c r="EE149" s="111" t="str">
        <f t="shared" si="2372"/>
        <v/>
      </c>
      <c r="EF149" s="111" t="str">
        <f t="shared" si="2372"/>
        <v/>
      </c>
      <c r="EG149" s="111" t="str">
        <f t="shared" si="2372"/>
        <v/>
      </c>
      <c r="EH149" s="111" t="str">
        <f t="shared" si="2372"/>
        <v/>
      </c>
      <c r="EI149" s="111" t="str">
        <f t="shared" si="2372"/>
        <v/>
      </c>
      <c r="EJ149" s="111" t="str">
        <f t="shared" si="2372"/>
        <v/>
      </c>
      <c r="EK149" s="111" t="str">
        <f t="shared" si="2372"/>
        <v/>
      </c>
      <c r="EL149" s="111" t="str">
        <f t="shared" si="2372"/>
        <v/>
      </c>
      <c r="EM149" s="111" t="str">
        <f t="shared" si="2372"/>
        <v/>
      </c>
      <c r="EN149" s="111" t="str">
        <f t="shared" si="2372"/>
        <v/>
      </c>
      <c r="EO149" s="111" t="str">
        <f t="shared" si="2372"/>
        <v/>
      </c>
      <c r="EP149" s="111" t="str">
        <f t="shared" si="2372"/>
        <v/>
      </c>
      <c r="EQ149" s="111" t="str">
        <f t="shared" si="2372"/>
        <v/>
      </c>
      <c r="ER149" s="111" t="str">
        <f t="shared" si="2372"/>
        <v/>
      </c>
      <c r="ES149" s="111" t="str">
        <f t="shared" si="2372"/>
        <v/>
      </c>
      <c r="ET149" s="111" t="str">
        <f t="shared" si="2372"/>
        <v/>
      </c>
      <c r="EU149" s="111" t="str">
        <f t="shared" si="2372"/>
        <v/>
      </c>
      <c r="EV149" s="111" t="str">
        <f t="shared" si="2372"/>
        <v/>
      </c>
      <c r="EW149" s="111" t="str">
        <f t="shared" si="2372"/>
        <v/>
      </c>
      <c r="EX149" s="111" t="str">
        <f t="shared" si="2372"/>
        <v/>
      </c>
      <c r="EY149" s="111" t="str">
        <f t="shared" si="2372"/>
        <v/>
      </c>
      <c r="EZ149" s="111" t="str">
        <f t="shared" si="2372"/>
        <v/>
      </c>
      <c r="FA149" s="111" t="str">
        <f t="shared" si="2372"/>
        <v/>
      </c>
      <c r="FB149" s="111" t="str">
        <f t="shared" si="2372"/>
        <v/>
      </c>
      <c r="FC149" s="111" t="str">
        <f t="shared" si="2372"/>
        <v/>
      </c>
      <c r="FD149" s="111" t="str">
        <f t="shared" si="2372"/>
        <v/>
      </c>
      <c r="FE149" s="111" t="str">
        <f t="shared" si="2372"/>
        <v/>
      </c>
      <c r="FF149" s="111" t="str">
        <f t="shared" si="2372"/>
        <v/>
      </c>
      <c r="FG149" s="111" t="str">
        <f t="shared" si="2372"/>
        <v/>
      </c>
      <c r="FH149" s="111" t="str">
        <f t="shared" si="2372"/>
        <v/>
      </c>
      <c r="FI149" s="111" t="str">
        <f t="shared" si="2372"/>
        <v/>
      </c>
      <c r="FJ149" s="111" t="str">
        <f t="shared" si="2372"/>
        <v/>
      </c>
      <c r="FK149" s="111" t="str">
        <f t="shared" si="2372"/>
        <v/>
      </c>
      <c r="FL149" s="111" t="str">
        <f t="shared" si="2372"/>
        <v/>
      </c>
      <c r="FM149" s="111" t="str">
        <f t="shared" si="2372"/>
        <v/>
      </c>
      <c r="FN149" s="111" t="str">
        <f t="shared" ref="FN149:FS149" si="2373">IF(CH149="","","|n"&amp;FN$2&amp;"+"&amp;CH149&amp;FN$1)</f>
        <v/>
      </c>
      <c r="FO149" s="111" t="str">
        <f t="shared" si="2373"/>
        <v/>
      </c>
      <c r="FP149" s="111" t="str">
        <f t="shared" si="2373"/>
        <v/>
      </c>
      <c r="FQ149" s="111" t="str">
        <f t="shared" si="2373"/>
        <v/>
      </c>
      <c r="FR149" s="111" t="str">
        <f t="shared" si="2373"/>
        <v/>
      </c>
      <c r="FS149" s="111" t="str">
        <f t="shared" si="2373"/>
        <v/>
      </c>
    </row>
    <row r="150" spans="1:175" s="29" customFormat="1" ht="16.5">
      <c r="A150" s="9"/>
      <c r="B150" s="24" t="s">
        <v>576</v>
      </c>
      <c r="C150" s="23" t="s">
        <v>577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9" t="s">
        <v>578</v>
      </c>
      <c r="U150" s="77" t="s">
        <v>579</v>
      </c>
      <c r="V150" s="104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9"/>
      <c r="AS150" s="109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/>
      <c r="BP150" s="105"/>
      <c r="BQ150" s="105"/>
      <c r="BR150" s="105"/>
      <c r="BS150" s="105"/>
      <c r="BT150" s="105"/>
      <c r="BU150" s="105"/>
      <c r="BV150" s="105"/>
      <c r="BW150" s="105"/>
      <c r="BX150" s="105"/>
      <c r="BY150" s="105"/>
      <c r="BZ150" s="105"/>
      <c r="CA150" s="105"/>
      <c r="CB150" s="105"/>
      <c r="CC150" s="105"/>
      <c r="CD150" s="105"/>
      <c r="CE150" s="105"/>
      <c r="CF150" s="105"/>
      <c r="CG150" s="105"/>
      <c r="CH150" s="105"/>
      <c r="CI150" s="105"/>
      <c r="CJ150" s="105"/>
      <c r="CK150" s="105"/>
      <c r="CL150" s="105"/>
      <c r="CM150" s="105"/>
      <c r="CN150" s="110" t="str">
        <f t="shared" si="2064"/>
        <v>InitUnitState('IN27',,,,,,,,,,)</v>
      </c>
      <c r="CO150" s="110" t="str">
        <f t="shared" si="2065"/>
        <v>InitUnitNormal('IN27',,,,,,,,,,)</v>
      </c>
      <c r="CP150" s="110" t="str">
        <f t="shared" si="2066"/>
        <v>InitUnitMagic('IN27',,,,,,,,,,)</v>
      </c>
      <c r="CQ150" s="110" t="str">
        <f t="shared" si="2067"/>
        <v>InitUnitAdd('IN27',,,,,,,,,,)</v>
      </c>
      <c r="CR150" s="110" t="str">
        <f t="shared" si="2371"/>
        <v>InitEquipData('IN27',,"",,,,,'','','','','','',"ReplaceableTextures\\CommandButtons\\BTNIN02.blp")</v>
      </c>
      <c r="CS150" s="110"/>
      <c r="CT150" s="110"/>
      <c r="CU150" s="88" t="str">
        <f t="shared" si="2285"/>
        <v>|n</v>
      </c>
      <c r="CV150" s="29" t="str">
        <f t="shared" si="2286"/>
        <v>打开后有几率获得以下奖励：|n|Cffffd24d【随机品质】天级道果|n【随机品质】仙品道果|n|r|Cffff0000【随机品质】至圣道果|n【随机品质】混沌道果|r</v>
      </c>
      <c r="CW150" s="33"/>
      <c r="CX150" s="33"/>
      <c r="CY150" s="33"/>
      <c r="CZ150" s="33"/>
      <c r="DA150" s="33"/>
      <c r="DB150" s="111" t="str">
        <f t="shared" ref="DB150:FM150" si="2374">IF(V150="","","|n"&amp;DB$2&amp;"+"&amp;V150&amp;DB$1)</f>
        <v/>
      </c>
      <c r="DC150" s="111" t="str">
        <f t="shared" si="2374"/>
        <v/>
      </c>
      <c r="DD150" s="111" t="str">
        <f t="shared" si="2374"/>
        <v/>
      </c>
      <c r="DE150" s="111" t="str">
        <f t="shared" si="2374"/>
        <v/>
      </c>
      <c r="DF150" s="111" t="str">
        <f t="shared" si="2374"/>
        <v/>
      </c>
      <c r="DG150" s="111" t="str">
        <f t="shared" si="2374"/>
        <v/>
      </c>
      <c r="DH150" s="111" t="str">
        <f t="shared" si="2374"/>
        <v/>
      </c>
      <c r="DI150" s="111" t="str">
        <f t="shared" si="2374"/>
        <v/>
      </c>
      <c r="DJ150" s="111" t="str">
        <f t="shared" si="2374"/>
        <v/>
      </c>
      <c r="DK150" s="111" t="str">
        <f t="shared" si="2374"/>
        <v/>
      </c>
      <c r="DL150" s="111" t="str">
        <f t="shared" si="2374"/>
        <v/>
      </c>
      <c r="DM150" s="111" t="str">
        <f t="shared" si="2374"/>
        <v/>
      </c>
      <c r="DN150" s="111" t="str">
        <f t="shared" si="2374"/>
        <v/>
      </c>
      <c r="DO150" s="111" t="str">
        <f t="shared" si="2374"/>
        <v/>
      </c>
      <c r="DP150" s="111" t="str">
        <f t="shared" si="2374"/>
        <v/>
      </c>
      <c r="DQ150" s="111" t="str">
        <f t="shared" si="2374"/>
        <v/>
      </c>
      <c r="DR150" s="111" t="str">
        <f t="shared" si="2374"/>
        <v/>
      </c>
      <c r="DS150" s="111" t="str">
        <f t="shared" si="2374"/>
        <v/>
      </c>
      <c r="DT150" s="111" t="str">
        <f t="shared" si="2374"/>
        <v/>
      </c>
      <c r="DU150" s="111" t="str">
        <f t="shared" si="2374"/>
        <v/>
      </c>
      <c r="DV150" s="111" t="str">
        <f t="shared" si="2374"/>
        <v/>
      </c>
      <c r="DW150" s="111" t="str">
        <f t="shared" si="2374"/>
        <v/>
      </c>
      <c r="DX150" s="111" t="str">
        <f t="shared" si="2374"/>
        <v/>
      </c>
      <c r="DY150" s="111" t="str">
        <f t="shared" si="2374"/>
        <v/>
      </c>
      <c r="DZ150" s="111" t="str">
        <f t="shared" si="2374"/>
        <v/>
      </c>
      <c r="EA150" s="111" t="str">
        <f t="shared" si="2374"/>
        <v/>
      </c>
      <c r="EB150" s="111" t="str">
        <f t="shared" si="2374"/>
        <v/>
      </c>
      <c r="EC150" s="111" t="str">
        <f t="shared" si="2374"/>
        <v/>
      </c>
      <c r="ED150" s="111" t="str">
        <f t="shared" si="2374"/>
        <v/>
      </c>
      <c r="EE150" s="111" t="str">
        <f t="shared" si="2374"/>
        <v/>
      </c>
      <c r="EF150" s="111" t="str">
        <f t="shared" si="2374"/>
        <v/>
      </c>
      <c r="EG150" s="111" t="str">
        <f t="shared" si="2374"/>
        <v/>
      </c>
      <c r="EH150" s="111" t="str">
        <f t="shared" si="2374"/>
        <v/>
      </c>
      <c r="EI150" s="111" t="str">
        <f t="shared" si="2374"/>
        <v/>
      </c>
      <c r="EJ150" s="111" t="str">
        <f t="shared" si="2374"/>
        <v/>
      </c>
      <c r="EK150" s="111" t="str">
        <f t="shared" si="2374"/>
        <v/>
      </c>
      <c r="EL150" s="111" t="str">
        <f t="shared" si="2374"/>
        <v/>
      </c>
      <c r="EM150" s="111" t="str">
        <f t="shared" si="2374"/>
        <v/>
      </c>
      <c r="EN150" s="111" t="str">
        <f t="shared" si="2374"/>
        <v/>
      </c>
      <c r="EO150" s="111" t="str">
        <f t="shared" si="2374"/>
        <v/>
      </c>
      <c r="EP150" s="111" t="str">
        <f t="shared" si="2374"/>
        <v/>
      </c>
      <c r="EQ150" s="111" t="str">
        <f t="shared" si="2374"/>
        <v/>
      </c>
      <c r="ER150" s="111" t="str">
        <f t="shared" si="2374"/>
        <v/>
      </c>
      <c r="ES150" s="111" t="str">
        <f t="shared" si="2374"/>
        <v/>
      </c>
      <c r="ET150" s="111" t="str">
        <f t="shared" si="2374"/>
        <v/>
      </c>
      <c r="EU150" s="111" t="str">
        <f t="shared" si="2374"/>
        <v/>
      </c>
      <c r="EV150" s="111" t="str">
        <f t="shared" si="2374"/>
        <v/>
      </c>
      <c r="EW150" s="111" t="str">
        <f t="shared" si="2374"/>
        <v/>
      </c>
      <c r="EX150" s="111" t="str">
        <f t="shared" si="2374"/>
        <v/>
      </c>
      <c r="EY150" s="111" t="str">
        <f t="shared" si="2374"/>
        <v/>
      </c>
      <c r="EZ150" s="111" t="str">
        <f t="shared" si="2374"/>
        <v/>
      </c>
      <c r="FA150" s="111" t="str">
        <f t="shared" si="2374"/>
        <v/>
      </c>
      <c r="FB150" s="111" t="str">
        <f t="shared" si="2374"/>
        <v/>
      </c>
      <c r="FC150" s="111" t="str">
        <f t="shared" si="2374"/>
        <v/>
      </c>
      <c r="FD150" s="111" t="str">
        <f t="shared" si="2374"/>
        <v/>
      </c>
      <c r="FE150" s="111" t="str">
        <f t="shared" si="2374"/>
        <v/>
      </c>
      <c r="FF150" s="111" t="str">
        <f t="shared" si="2374"/>
        <v/>
      </c>
      <c r="FG150" s="111" t="str">
        <f t="shared" si="2374"/>
        <v/>
      </c>
      <c r="FH150" s="111" t="str">
        <f t="shared" si="2374"/>
        <v/>
      </c>
      <c r="FI150" s="111" t="str">
        <f t="shared" si="2374"/>
        <v/>
      </c>
      <c r="FJ150" s="111" t="str">
        <f t="shared" si="2374"/>
        <v/>
      </c>
      <c r="FK150" s="111" t="str">
        <f t="shared" si="2374"/>
        <v/>
      </c>
      <c r="FL150" s="111" t="str">
        <f t="shared" si="2374"/>
        <v/>
      </c>
      <c r="FM150" s="111" t="str">
        <f t="shared" si="2374"/>
        <v/>
      </c>
      <c r="FN150" s="111" t="str">
        <f t="shared" ref="FN150:FS150" si="2375">IF(CH150="","","|n"&amp;FN$2&amp;"+"&amp;CH150&amp;FN$1)</f>
        <v/>
      </c>
      <c r="FO150" s="111" t="str">
        <f t="shared" si="2375"/>
        <v/>
      </c>
      <c r="FP150" s="111" t="str">
        <f t="shared" si="2375"/>
        <v/>
      </c>
      <c r="FQ150" s="111" t="str">
        <f t="shared" si="2375"/>
        <v/>
      </c>
      <c r="FR150" s="111" t="str">
        <f t="shared" si="2375"/>
        <v/>
      </c>
      <c r="FS150" s="111" t="str">
        <f t="shared" si="2375"/>
        <v/>
      </c>
    </row>
    <row r="151" spans="1:175" s="29" customFormat="1" ht="16.5">
      <c r="A151" s="9"/>
      <c r="B151" s="24" t="s">
        <v>580</v>
      </c>
      <c r="C151" s="20" t="s">
        <v>581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582</v>
      </c>
      <c r="U151" s="77" t="s">
        <v>583</v>
      </c>
      <c r="V151" s="104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9"/>
      <c r="AS151" s="109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105"/>
      <c r="BY151" s="105"/>
      <c r="BZ151" s="105"/>
      <c r="CA151" s="105"/>
      <c r="CB151" s="105"/>
      <c r="CC151" s="105"/>
      <c r="CD151" s="105"/>
      <c r="CE151" s="105"/>
      <c r="CF151" s="105"/>
      <c r="CG151" s="105"/>
      <c r="CH151" s="105"/>
      <c r="CI151" s="105"/>
      <c r="CJ151" s="105"/>
      <c r="CK151" s="105"/>
      <c r="CL151" s="105"/>
      <c r="CM151" s="105"/>
      <c r="CN151" s="110" t="str">
        <f t="shared" si="2064"/>
        <v>InitUnitState('IN28',,,,,,,,,,)</v>
      </c>
      <c r="CO151" s="110" t="str">
        <f t="shared" si="2065"/>
        <v>InitUnitNormal('IN28',,,,,,,,,,)</v>
      </c>
      <c r="CP151" s="110" t="str">
        <f t="shared" si="2066"/>
        <v>InitUnitMagic('IN28',,,,,,,,,,)</v>
      </c>
      <c r="CQ151" s="110" t="str">
        <f t="shared" si="2067"/>
        <v>InitUnitAdd('IN28',,,,,,,,,,)</v>
      </c>
      <c r="CR151" s="110" t="str">
        <f t="shared" si="2371"/>
        <v>InitEquipData('IN28',,"",,,,,'','','','','','',"ReplaceableTextures\\CommandButtons\\BTNIN03.blp")</v>
      </c>
      <c r="CS151" s="110"/>
      <c r="CT151" s="110"/>
      <c r="CU151" s="88" t="str">
        <f t="shared" si="2285"/>
        <v>|n</v>
      </c>
      <c r="CV151" s="29" t="str">
        <f t="shared" si="2286"/>
        <v>使用后获得|Cffffc926随机类型技能升阶石|r</v>
      </c>
      <c r="CW151" s="33"/>
      <c r="CX151" s="33"/>
      <c r="CY151" s="33"/>
      <c r="CZ151" s="33"/>
      <c r="DA151" s="33"/>
      <c r="DB151" s="111" t="str">
        <f t="shared" ref="DB151:FM151" si="2376">IF(V151="","","|n"&amp;DB$2&amp;"+"&amp;V151&amp;DB$1)</f>
        <v/>
      </c>
      <c r="DC151" s="111" t="str">
        <f t="shared" si="2376"/>
        <v/>
      </c>
      <c r="DD151" s="111" t="str">
        <f t="shared" si="2376"/>
        <v/>
      </c>
      <c r="DE151" s="111" t="str">
        <f t="shared" si="2376"/>
        <v/>
      </c>
      <c r="DF151" s="111" t="str">
        <f t="shared" si="2376"/>
        <v/>
      </c>
      <c r="DG151" s="111" t="str">
        <f t="shared" si="2376"/>
        <v/>
      </c>
      <c r="DH151" s="111" t="str">
        <f t="shared" si="2376"/>
        <v/>
      </c>
      <c r="DI151" s="111" t="str">
        <f t="shared" si="2376"/>
        <v/>
      </c>
      <c r="DJ151" s="111" t="str">
        <f t="shared" si="2376"/>
        <v/>
      </c>
      <c r="DK151" s="111" t="str">
        <f t="shared" si="2376"/>
        <v/>
      </c>
      <c r="DL151" s="111" t="str">
        <f t="shared" si="2376"/>
        <v/>
      </c>
      <c r="DM151" s="111" t="str">
        <f t="shared" si="2376"/>
        <v/>
      </c>
      <c r="DN151" s="111" t="str">
        <f t="shared" si="2376"/>
        <v/>
      </c>
      <c r="DO151" s="111" t="str">
        <f t="shared" si="2376"/>
        <v/>
      </c>
      <c r="DP151" s="111" t="str">
        <f t="shared" si="2376"/>
        <v/>
      </c>
      <c r="DQ151" s="111" t="str">
        <f t="shared" si="2376"/>
        <v/>
      </c>
      <c r="DR151" s="111" t="str">
        <f t="shared" si="2376"/>
        <v/>
      </c>
      <c r="DS151" s="111" t="str">
        <f t="shared" si="2376"/>
        <v/>
      </c>
      <c r="DT151" s="111" t="str">
        <f t="shared" si="2376"/>
        <v/>
      </c>
      <c r="DU151" s="111" t="str">
        <f t="shared" si="2376"/>
        <v/>
      </c>
      <c r="DV151" s="111" t="str">
        <f t="shared" si="2376"/>
        <v/>
      </c>
      <c r="DW151" s="111" t="str">
        <f t="shared" si="2376"/>
        <v/>
      </c>
      <c r="DX151" s="111" t="str">
        <f t="shared" si="2376"/>
        <v/>
      </c>
      <c r="DY151" s="111" t="str">
        <f t="shared" si="2376"/>
        <v/>
      </c>
      <c r="DZ151" s="111" t="str">
        <f t="shared" si="2376"/>
        <v/>
      </c>
      <c r="EA151" s="111" t="str">
        <f t="shared" si="2376"/>
        <v/>
      </c>
      <c r="EB151" s="111" t="str">
        <f t="shared" si="2376"/>
        <v/>
      </c>
      <c r="EC151" s="111" t="str">
        <f t="shared" si="2376"/>
        <v/>
      </c>
      <c r="ED151" s="111" t="str">
        <f t="shared" si="2376"/>
        <v/>
      </c>
      <c r="EE151" s="111" t="str">
        <f t="shared" si="2376"/>
        <v/>
      </c>
      <c r="EF151" s="111" t="str">
        <f t="shared" si="2376"/>
        <v/>
      </c>
      <c r="EG151" s="111" t="str">
        <f t="shared" si="2376"/>
        <v/>
      </c>
      <c r="EH151" s="111" t="str">
        <f t="shared" si="2376"/>
        <v/>
      </c>
      <c r="EI151" s="111" t="str">
        <f t="shared" si="2376"/>
        <v/>
      </c>
      <c r="EJ151" s="111" t="str">
        <f t="shared" si="2376"/>
        <v/>
      </c>
      <c r="EK151" s="111" t="str">
        <f t="shared" si="2376"/>
        <v/>
      </c>
      <c r="EL151" s="111" t="str">
        <f t="shared" si="2376"/>
        <v/>
      </c>
      <c r="EM151" s="111" t="str">
        <f t="shared" si="2376"/>
        <v/>
      </c>
      <c r="EN151" s="111" t="str">
        <f t="shared" si="2376"/>
        <v/>
      </c>
      <c r="EO151" s="111" t="str">
        <f t="shared" si="2376"/>
        <v/>
      </c>
      <c r="EP151" s="111" t="str">
        <f t="shared" si="2376"/>
        <v/>
      </c>
      <c r="EQ151" s="111" t="str">
        <f t="shared" si="2376"/>
        <v/>
      </c>
      <c r="ER151" s="111" t="str">
        <f t="shared" si="2376"/>
        <v/>
      </c>
      <c r="ES151" s="111" t="str">
        <f t="shared" si="2376"/>
        <v/>
      </c>
      <c r="ET151" s="111" t="str">
        <f t="shared" si="2376"/>
        <v/>
      </c>
      <c r="EU151" s="111" t="str">
        <f t="shared" si="2376"/>
        <v/>
      </c>
      <c r="EV151" s="111" t="str">
        <f t="shared" si="2376"/>
        <v/>
      </c>
      <c r="EW151" s="111" t="str">
        <f t="shared" si="2376"/>
        <v/>
      </c>
      <c r="EX151" s="111" t="str">
        <f t="shared" si="2376"/>
        <v/>
      </c>
      <c r="EY151" s="111" t="str">
        <f t="shared" si="2376"/>
        <v/>
      </c>
      <c r="EZ151" s="111" t="str">
        <f t="shared" si="2376"/>
        <v/>
      </c>
      <c r="FA151" s="111" t="str">
        <f t="shared" si="2376"/>
        <v/>
      </c>
      <c r="FB151" s="111" t="str">
        <f t="shared" si="2376"/>
        <v/>
      </c>
      <c r="FC151" s="111" t="str">
        <f t="shared" si="2376"/>
        <v/>
      </c>
      <c r="FD151" s="111" t="str">
        <f t="shared" si="2376"/>
        <v/>
      </c>
      <c r="FE151" s="111" t="str">
        <f t="shared" si="2376"/>
        <v/>
      </c>
      <c r="FF151" s="111" t="str">
        <f t="shared" si="2376"/>
        <v/>
      </c>
      <c r="FG151" s="111" t="str">
        <f t="shared" si="2376"/>
        <v/>
      </c>
      <c r="FH151" s="111" t="str">
        <f t="shared" si="2376"/>
        <v/>
      </c>
      <c r="FI151" s="111" t="str">
        <f t="shared" si="2376"/>
        <v/>
      </c>
      <c r="FJ151" s="111" t="str">
        <f t="shared" si="2376"/>
        <v/>
      </c>
      <c r="FK151" s="111" t="str">
        <f t="shared" si="2376"/>
        <v/>
      </c>
      <c r="FL151" s="111" t="str">
        <f t="shared" si="2376"/>
        <v/>
      </c>
      <c r="FM151" s="111" t="str">
        <f t="shared" si="2376"/>
        <v/>
      </c>
      <c r="FN151" s="111" t="str">
        <f t="shared" ref="FN151:FS151" si="2377">IF(CH151="","","|n"&amp;FN$2&amp;"+"&amp;CH151&amp;FN$1)</f>
        <v/>
      </c>
      <c r="FO151" s="111" t="str">
        <f t="shared" si="2377"/>
        <v/>
      </c>
      <c r="FP151" s="111" t="str">
        <f t="shared" si="2377"/>
        <v/>
      </c>
      <c r="FQ151" s="111" t="str">
        <f t="shared" si="2377"/>
        <v/>
      </c>
      <c r="FR151" s="111" t="str">
        <f t="shared" si="2377"/>
        <v/>
      </c>
      <c r="FS151" s="111" t="str">
        <f t="shared" si="2377"/>
        <v/>
      </c>
    </row>
    <row r="152" spans="1:175" s="29" customFormat="1" ht="16.5">
      <c r="A152" s="9"/>
      <c r="B152" s="24" t="s">
        <v>584</v>
      </c>
      <c r="C152" s="20" t="s">
        <v>585</v>
      </c>
      <c r="D152" s="12"/>
      <c r="E152" s="12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92"/>
      <c r="Q152" s="92"/>
      <c r="R152" s="92"/>
      <c r="S152" s="92"/>
      <c r="T152" s="29" t="s">
        <v>551</v>
      </c>
      <c r="U152" s="77" t="s">
        <v>586</v>
      </c>
      <c r="V152" s="104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9"/>
      <c r="AS152" s="109"/>
      <c r="AT152" s="105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105"/>
      <c r="BY152" s="105"/>
      <c r="BZ152" s="105"/>
      <c r="CA152" s="105"/>
      <c r="CB152" s="105"/>
      <c r="CC152" s="105"/>
      <c r="CD152" s="105"/>
      <c r="CE152" s="105"/>
      <c r="CF152" s="105"/>
      <c r="CG152" s="105"/>
      <c r="CH152" s="105"/>
      <c r="CI152" s="105"/>
      <c r="CJ152" s="105"/>
      <c r="CK152" s="105"/>
      <c r="CL152" s="105"/>
      <c r="CM152" s="105"/>
      <c r="CN152" s="110" t="str">
        <f t="shared" si="2064"/>
        <v>InitUnitState('IN29',,,,,,,,,,)</v>
      </c>
      <c r="CO152" s="110" t="str">
        <f t="shared" si="2065"/>
        <v>InitUnitNormal('IN29',,,,,,,,,,)</v>
      </c>
      <c r="CP152" s="110" t="str">
        <f t="shared" si="2066"/>
        <v>InitUnitMagic('IN29',,,,,,,,,,)</v>
      </c>
      <c r="CQ152" s="110" t="str">
        <f t="shared" si="2067"/>
        <v>InitUnitAdd('IN29',,,,,,,,,,)</v>
      </c>
      <c r="CR152" s="110" t="str">
        <f t="shared" si="2371"/>
        <v>InitEquipData('IN29',,"",,,,,'','','','','','',"ReplaceableTextures\\CommandButtons\\BTN009.blp")</v>
      </c>
      <c r="CS152" s="110"/>
      <c r="CT152" s="110"/>
      <c r="CU152" s="88" t="str">
        <f t="shared" si="2285"/>
        <v>|n</v>
      </c>
      <c r="CV152" s="29" t="str">
        <f t="shared" si="2286"/>
        <v>使用后获得|Cffffc926随机类型技能附魔石|r</v>
      </c>
      <c r="CW152" s="33"/>
      <c r="CX152" s="33"/>
      <c r="CY152" s="33"/>
      <c r="CZ152" s="33"/>
      <c r="DA152" s="33"/>
      <c r="DB152" s="111" t="str">
        <f t="shared" ref="DB152:FM153" si="2378">IF(V152="","","|n"&amp;DB$2&amp;"+"&amp;V152&amp;DB$1)</f>
        <v/>
      </c>
      <c r="DC152" s="111" t="str">
        <f t="shared" si="2378"/>
        <v/>
      </c>
      <c r="DD152" s="111" t="str">
        <f t="shared" si="2378"/>
        <v/>
      </c>
      <c r="DE152" s="111" t="str">
        <f t="shared" si="2378"/>
        <v/>
      </c>
      <c r="DF152" s="111" t="str">
        <f t="shared" si="2378"/>
        <v/>
      </c>
      <c r="DG152" s="111" t="str">
        <f t="shared" si="2378"/>
        <v/>
      </c>
      <c r="DH152" s="111" t="str">
        <f t="shared" si="2378"/>
        <v/>
      </c>
      <c r="DI152" s="111" t="str">
        <f t="shared" si="2378"/>
        <v/>
      </c>
      <c r="DJ152" s="111" t="str">
        <f t="shared" si="2378"/>
        <v/>
      </c>
      <c r="DK152" s="111" t="str">
        <f t="shared" si="2378"/>
        <v/>
      </c>
      <c r="DL152" s="111" t="str">
        <f t="shared" si="2378"/>
        <v/>
      </c>
      <c r="DM152" s="111" t="str">
        <f t="shared" si="2378"/>
        <v/>
      </c>
      <c r="DN152" s="111" t="str">
        <f t="shared" si="2378"/>
        <v/>
      </c>
      <c r="DO152" s="111" t="str">
        <f t="shared" si="2378"/>
        <v/>
      </c>
      <c r="DP152" s="111" t="str">
        <f t="shared" si="2378"/>
        <v/>
      </c>
      <c r="DQ152" s="111" t="str">
        <f t="shared" si="2378"/>
        <v/>
      </c>
      <c r="DR152" s="111" t="str">
        <f t="shared" si="2378"/>
        <v/>
      </c>
      <c r="DS152" s="111" t="str">
        <f t="shared" si="2378"/>
        <v/>
      </c>
      <c r="DT152" s="111" t="str">
        <f t="shared" si="2378"/>
        <v/>
      </c>
      <c r="DU152" s="111" t="str">
        <f t="shared" si="2378"/>
        <v/>
      </c>
      <c r="DV152" s="111" t="str">
        <f t="shared" si="2378"/>
        <v/>
      </c>
      <c r="DW152" s="111" t="str">
        <f t="shared" si="2378"/>
        <v/>
      </c>
      <c r="DX152" s="111" t="str">
        <f t="shared" si="2378"/>
        <v/>
      </c>
      <c r="DY152" s="111" t="str">
        <f t="shared" si="2378"/>
        <v/>
      </c>
      <c r="DZ152" s="111" t="str">
        <f t="shared" si="2378"/>
        <v/>
      </c>
      <c r="EA152" s="111" t="str">
        <f t="shared" si="2378"/>
        <v/>
      </c>
      <c r="EB152" s="111" t="str">
        <f t="shared" si="2378"/>
        <v/>
      </c>
      <c r="EC152" s="111" t="str">
        <f t="shared" si="2378"/>
        <v/>
      </c>
      <c r="ED152" s="111" t="str">
        <f t="shared" si="2378"/>
        <v/>
      </c>
      <c r="EE152" s="111" t="str">
        <f t="shared" si="2378"/>
        <v/>
      </c>
      <c r="EF152" s="111" t="str">
        <f t="shared" si="2378"/>
        <v/>
      </c>
      <c r="EG152" s="111" t="str">
        <f t="shared" si="2378"/>
        <v/>
      </c>
      <c r="EH152" s="111" t="str">
        <f t="shared" si="2378"/>
        <v/>
      </c>
      <c r="EI152" s="111" t="str">
        <f t="shared" si="2378"/>
        <v/>
      </c>
      <c r="EJ152" s="111" t="str">
        <f t="shared" si="2378"/>
        <v/>
      </c>
      <c r="EK152" s="111" t="str">
        <f t="shared" si="2378"/>
        <v/>
      </c>
      <c r="EL152" s="111" t="str">
        <f t="shared" si="2378"/>
        <v/>
      </c>
      <c r="EM152" s="111" t="str">
        <f t="shared" si="2378"/>
        <v/>
      </c>
      <c r="EN152" s="111" t="str">
        <f t="shared" si="2378"/>
        <v/>
      </c>
      <c r="EO152" s="111" t="str">
        <f t="shared" si="2378"/>
        <v/>
      </c>
      <c r="EP152" s="111" t="str">
        <f t="shared" si="2378"/>
        <v/>
      </c>
      <c r="EQ152" s="111" t="str">
        <f t="shared" si="2378"/>
        <v/>
      </c>
      <c r="ER152" s="111" t="str">
        <f t="shared" si="2378"/>
        <v/>
      </c>
      <c r="ES152" s="111" t="str">
        <f t="shared" si="2378"/>
        <v/>
      </c>
      <c r="ET152" s="111" t="str">
        <f t="shared" si="2378"/>
        <v/>
      </c>
      <c r="EU152" s="111" t="str">
        <f t="shared" si="2378"/>
        <v/>
      </c>
      <c r="EV152" s="111" t="str">
        <f t="shared" si="2378"/>
        <v/>
      </c>
      <c r="EW152" s="111" t="str">
        <f t="shared" si="2378"/>
        <v/>
      </c>
      <c r="EX152" s="111" t="str">
        <f t="shared" si="2378"/>
        <v/>
      </c>
      <c r="EY152" s="111" t="str">
        <f t="shared" si="2378"/>
        <v/>
      </c>
      <c r="EZ152" s="111" t="str">
        <f t="shared" si="2378"/>
        <v/>
      </c>
      <c r="FA152" s="111" t="str">
        <f t="shared" si="2378"/>
        <v/>
      </c>
      <c r="FB152" s="111" t="str">
        <f t="shared" si="2378"/>
        <v/>
      </c>
      <c r="FC152" s="111" t="str">
        <f t="shared" si="2378"/>
        <v/>
      </c>
      <c r="FD152" s="111" t="str">
        <f t="shared" si="2378"/>
        <v/>
      </c>
      <c r="FE152" s="111" t="str">
        <f t="shared" si="2378"/>
        <v/>
      </c>
      <c r="FF152" s="111" t="str">
        <f t="shared" si="2378"/>
        <v/>
      </c>
      <c r="FG152" s="111" t="str">
        <f t="shared" si="2378"/>
        <v/>
      </c>
      <c r="FH152" s="111" t="str">
        <f t="shared" si="2378"/>
        <v/>
      </c>
      <c r="FI152" s="111" t="str">
        <f t="shared" si="2378"/>
        <v/>
      </c>
      <c r="FJ152" s="111" t="str">
        <f t="shared" si="2378"/>
        <v/>
      </c>
      <c r="FK152" s="111" t="str">
        <f t="shared" si="2378"/>
        <v/>
      </c>
      <c r="FL152" s="111" t="str">
        <f t="shared" si="2378"/>
        <v/>
      </c>
      <c r="FM152" s="111" t="str">
        <f t="shared" si="2378"/>
        <v/>
      </c>
      <c r="FN152" s="111" t="str">
        <f t="shared" ref="FN152:FS153" si="2379">IF(CH152="","","|n"&amp;FN$2&amp;"+"&amp;CH152&amp;FN$1)</f>
        <v/>
      </c>
      <c r="FO152" s="111" t="str">
        <f t="shared" si="2379"/>
        <v/>
      </c>
      <c r="FP152" s="111" t="str">
        <f t="shared" si="2379"/>
        <v/>
      </c>
      <c r="FQ152" s="111" t="str">
        <f t="shared" si="2379"/>
        <v/>
      </c>
      <c r="FR152" s="111" t="str">
        <f t="shared" si="2379"/>
        <v/>
      </c>
      <c r="FS152" s="111" t="str">
        <f t="shared" si="2379"/>
        <v/>
      </c>
    </row>
    <row r="153" spans="1:175" s="29" customFormat="1" ht="16.5">
      <c r="A153" s="9"/>
      <c r="B153" s="24" t="s">
        <v>587</v>
      </c>
      <c r="C153" s="20" t="s">
        <v>588</v>
      </c>
      <c r="D153" s="12"/>
      <c r="E153" s="12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92"/>
      <c r="Q153" s="92"/>
      <c r="R153" s="92"/>
      <c r="S153" s="92"/>
      <c r="T153" s="20" t="s">
        <v>589</v>
      </c>
      <c r="U153" s="77" t="s">
        <v>590</v>
      </c>
      <c r="V153" s="104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9"/>
      <c r="AS153" s="109"/>
      <c r="AT153" s="105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105"/>
      <c r="BY153" s="105"/>
      <c r="BZ153" s="105"/>
      <c r="CA153" s="105"/>
      <c r="CB153" s="105"/>
      <c r="CC153" s="105"/>
      <c r="CD153" s="105"/>
      <c r="CE153" s="105"/>
      <c r="CF153" s="105"/>
      <c r="CG153" s="105"/>
      <c r="CH153" s="105"/>
      <c r="CI153" s="105"/>
      <c r="CJ153" s="105"/>
      <c r="CK153" s="105"/>
      <c r="CL153" s="105"/>
      <c r="CM153" s="105"/>
      <c r="CN153" s="110" t="str">
        <f t="shared" ref="CN153:CN155" si="2380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110" t="str">
        <f t="shared" ref="CO153:CO155" si="2381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110" t="str">
        <f t="shared" ref="CP153:CP155" si="2382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110" t="str">
        <f t="shared" ref="CQ153:CQ155" si="2383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110" t="str">
        <f t="shared" si="2371"/>
        <v>InitEquipData('IN30',,"",,,,,'','','','','','',"ReplaceableTextures\\CommandButtons\\BTN010.blp")</v>
      </c>
      <c r="CS153" s="110"/>
      <c r="CT153" s="110"/>
      <c r="CU153" s="88" t="str">
        <f t="shared" ref="CU153:CU155" si="238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29" t="str">
        <f t="shared" ref="CV153:CV155" si="2385">T153</f>
        <v>开启后获得|Cff00bfff随机奖励|r。</v>
      </c>
      <c r="CW153" s="33"/>
      <c r="CX153" s="33"/>
      <c r="CY153" s="33"/>
      <c r="CZ153" s="33"/>
      <c r="DA153" s="33"/>
      <c r="DB153" s="111" t="str">
        <f t="shared" si="2378"/>
        <v/>
      </c>
      <c r="DC153" s="111" t="str">
        <f t="shared" si="2378"/>
        <v/>
      </c>
      <c r="DD153" s="111" t="str">
        <f t="shared" si="2378"/>
        <v/>
      </c>
      <c r="DE153" s="111" t="str">
        <f t="shared" si="2378"/>
        <v/>
      </c>
      <c r="DF153" s="111" t="str">
        <f t="shared" si="2378"/>
        <v/>
      </c>
      <c r="DG153" s="111" t="str">
        <f t="shared" si="2378"/>
        <v/>
      </c>
      <c r="DH153" s="111" t="str">
        <f t="shared" si="2378"/>
        <v/>
      </c>
      <c r="DI153" s="111" t="str">
        <f t="shared" si="2378"/>
        <v/>
      </c>
      <c r="DJ153" s="111" t="str">
        <f t="shared" si="2378"/>
        <v/>
      </c>
      <c r="DK153" s="111" t="str">
        <f t="shared" si="2378"/>
        <v/>
      </c>
      <c r="DL153" s="111" t="str">
        <f t="shared" si="2378"/>
        <v/>
      </c>
      <c r="DM153" s="111" t="str">
        <f t="shared" si="2378"/>
        <v/>
      </c>
      <c r="DN153" s="111" t="str">
        <f t="shared" si="2378"/>
        <v/>
      </c>
      <c r="DO153" s="111" t="str">
        <f t="shared" si="2378"/>
        <v/>
      </c>
      <c r="DP153" s="111" t="str">
        <f t="shared" si="2378"/>
        <v/>
      </c>
      <c r="DQ153" s="111" t="str">
        <f t="shared" si="2378"/>
        <v/>
      </c>
      <c r="DR153" s="111" t="str">
        <f t="shared" si="2378"/>
        <v/>
      </c>
      <c r="DS153" s="111" t="str">
        <f t="shared" si="2378"/>
        <v/>
      </c>
      <c r="DT153" s="111" t="str">
        <f t="shared" si="2378"/>
        <v/>
      </c>
      <c r="DU153" s="111" t="str">
        <f t="shared" si="2378"/>
        <v/>
      </c>
      <c r="DV153" s="111" t="str">
        <f t="shared" si="2378"/>
        <v/>
      </c>
      <c r="DW153" s="111" t="str">
        <f t="shared" si="2378"/>
        <v/>
      </c>
      <c r="DX153" s="111" t="str">
        <f t="shared" si="2378"/>
        <v/>
      </c>
      <c r="DY153" s="111" t="str">
        <f t="shared" si="2378"/>
        <v/>
      </c>
      <c r="DZ153" s="111" t="str">
        <f t="shared" si="2378"/>
        <v/>
      </c>
      <c r="EA153" s="111" t="str">
        <f t="shared" si="2378"/>
        <v/>
      </c>
      <c r="EB153" s="111" t="str">
        <f t="shared" si="2378"/>
        <v/>
      </c>
      <c r="EC153" s="111" t="str">
        <f t="shared" si="2378"/>
        <v/>
      </c>
      <c r="ED153" s="111" t="str">
        <f t="shared" si="2378"/>
        <v/>
      </c>
      <c r="EE153" s="111" t="str">
        <f t="shared" si="2378"/>
        <v/>
      </c>
      <c r="EF153" s="111" t="str">
        <f t="shared" si="2378"/>
        <v/>
      </c>
      <c r="EG153" s="111" t="str">
        <f t="shared" si="2378"/>
        <v/>
      </c>
      <c r="EH153" s="111" t="str">
        <f t="shared" si="2378"/>
        <v/>
      </c>
      <c r="EI153" s="111" t="str">
        <f t="shared" si="2378"/>
        <v/>
      </c>
      <c r="EJ153" s="111" t="str">
        <f t="shared" si="2378"/>
        <v/>
      </c>
      <c r="EK153" s="111" t="str">
        <f t="shared" si="2378"/>
        <v/>
      </c>
      <c r="EL153" s="111" t="str">
        <f t="shared" si="2378"/>
        <v/>
      </c>
      <c r="EM153" s="111" t="str">
        <f t="shared" si="2378"/>
        <v/>
      </c>
      <c r="EN153" s="111" t="str">
        <f t="shared" si="2378"/>
        <v/>
      </c>
      <c r="EO153" s="111" t="str">
        <f t="shared" si="2378"/>
        <v/>
      </c>
      <c r="EP153" s="111" t="str">
        <f t="shared" si="2378"/>
        <v/>
      </c>
      <c r="EQ153" s="111" t="str">
        <f t="shared" si="2378"/>
        <v/>
      </c>
      <c r="ER153" s="111" t="str">
        <f t="shared" si="2378"/>
        <v/>
      </c>
      <c r="ES153" s="111" t="str">
        <f t="shared" si="2378"/>
        <v/>
      </c>
      <c r="ET153" s="111" t="str">
        <f t="shared" si="2378"/>
        <v/>
      </c>
      <c r="EU153" s="111" t="str">
        <f t="shared" si="2378"/>
        <v/>
      </c>
      <c r="EV153" s="111" t="str">
        <f t="shared" si="2378"/>
        <v/>
      </c>
      <c r="EW153" s="111" t="str">
        <f t="shared" si="2378"/>
        <v/>
      </c>
      <c r="EX153" s="111" t="str">
        <f t="shared" si="2378"/>
        <v/>
      </c>
      <c r="EY153" s="111" t="str">
        <f t="shared" si="2378"/>
        <v/>
      </c>
      <c r="EZ153" s="111" t="str">
        <f t="shared" si="2378"/>
        <v/>
      </c>
      <c r="FA153" s="111" t="str">
        <f t="shared" si="2378"/>
        <v/>
      </c>
      <c r="FB153" s="111" t="str">
        <f t="shared" si="2378"/>
        <v/>
      </c>
      <c r="FC153" s="111" t="str">
        <f t="shared" si="2378"/>
        <v/>
      </c>
      <c r="FD153" s="111" t="str">
        <f t="shared" si="2378"/>
        <v/>
      </c>
      <c r="FE153" s="111" t="str">
        <f t="shared" si="2378"/>
        <v/>
      </c>
      <c r="FF153" s="111" t="str">
        <f t="shared" si="2378"/>
        <v/>
      </c>
      <c r="FG153" s="111" t="str">
        <f t="shared" si="2378"/>
        <v/>
      </c>
      <c r="FH153" s="111" t="str">
        <f t="shared" si="2378"/>
        <v/>
      </c>
      <c r="FI153" s="111" t="str">
        <f t="shared" si="2378"/>
        <v/>
      </c>
      <c r="FJ153" s="111" t="str">
        <f t="shared" si="2378"/>
        <v/>
      </c>
      <c r="FK153" s="111" t="str">
        <f t="shared" si="2378"/>
        <v/>
      </c>
      <c r="FL153" s="111" t="str">
        <f t="shared" si="2378"/>
        <v/>
      </c>
      <c r="FM153" s="111" t="str">
        <f t="shared" si="2378"/>
        <v/>
      </c>
      <c r="FN153" s="111" t="str">
        <f t="shared" si="2379"/>
        <v/>
      </c>
      <c r="FO153" s="111" t="str">
        <f t="shared" si="2379"/>
        <v/>
      </c>
      <c r="FP153" s="111" t="str">
        <f t="shared" si="2379"/>
        <v/>
      </c>
      <c r="FQ153" s="111" t="str">
        <f t="shared" si="2379"/>
        <v/>
      </c>
      <c r="FR153" s="111" t="str">
        <f t="shared" si="2379"/>
        <v/>
      </c>
      <c r="FS153" s="111" t="str">
        <f t="shared" si="2379"/>
        <v/>
      </c>
    </row>
    <row r="154" spans="1:175" s="29" customFormat="1" ht="16.5">
      <c r="A154" s="9"/>
      <c r="B154" s="24" t="s">
        <v>591</v>
      </c>
      <c r="C154" s="20" t="s">
        <v>592</v>
      </c>
      <c r="D154" s="12"/>
      <c r="E154" s="12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92"/>
      <c r="Q154" s="92"/>
      <c r="R154" s="92"/>
      <c r="S154" s="92"/>
      <c r="T154" s="20" t="s">
        <v>593</v>
      </c>
      <c r="U154" s="77" t="s">
        <v>594</v>
      </c>
      <c r="V154" s="104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9"/>
      <c r="AS154" s="109"/>
      <c r="AT154" s="105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105"/>
      <c r="BY154" s="105"/>
      <c r="BZ154" s="105"/>
      <c r="CA154" s="105"/>
      <c r="CB154" s="105"/>
      <c r="CC154" s="105"/>
      <c r="CD154" s="105"/>
      <c r="CE154" s="105"/>
      <c r="CF154" s="105"/>
      <c r="CG154" s="105"/>
      <c r="CH154" s="105"/>
      <c r="CI154" s="105"/>
      <c r="CJ154" s="105"/>
      <c r="CK154" s="105"/>
      <c r="CL154" s="105"/>
      <c r="CM154" s="105"/>
      <c r="CN154" s="110" t="str">
        <f t="shared" si="2380"/>
        <v>InitUnitState('IN31',,,,,,,,,,)</v>
      </c>
      <c r="CO154" s="110" t="str">
        <f t="shared" si="2381"/>
        <v>InitUnitNormal('IN31',,,,,,,,,,)</v>
      </c>
      <c r="CP154" s="110" t="str">
        <f t="shared" si="2382"/>
        <v>InitUnitMagic('IN31',,,,,,,,,,)</v>
      </c>
      <c r="CQ154" s="110" t="str">
        <f t="shared" si="2383"/>
        <v>InitUnitAdd('IN31',,,,,,,,,,)</v>
      </c>
      <c r="CR154" s="110" t="str">
        <f t="shared" si="2371"/>
        <v>InitEquipData('IN31',,"",,,,,'','','','','','',"ReplaceableTextures\\CommandButtons\\BTN011.blp")</v>
      </c>
      <c r="CS154" s="110"/>
      <c r="CT154" s="110"/>
      <c r="CU154" s="88" t="str">
        <f t="shared" si="2384"/>
        <v>|n</v>
      </c>
      <c r="CV154" s="29" t="str">
        <f t="shared" si="2385"/>
        <v>开启后获得|Cffffd24d随机奖励|r。</v>
      </c>
      <c r="CW154" s="33"/>
      <c r="CX154" s="33"/>
      <c r="CY154" s="33"/>
      <c r="CZ154" s="33"/>
      <c r="DA154" s="33"/>
      <c r="DB154" s="111" t="str">
        <f t="shared" ref="DB154:DB155" si="2386">IF(V154="","","|n"&amp;DB$2&amp;"+"&amp;V154&amp;DB$1)</f>
        <v/>
      </c>
      <c r="DC154" s="111" t="str">
        <f t="shared" ref="DC154:DC155" si="2387">IF(W154="","","|n"&amp;DC$2&amp;"+"&amp;W154&amp;DC$1)</f>
        <v/>
      </c>
      <c r="DD154" s="111" t="str">
        <f t="shared" ref="DD154:DD155" si="2388">IF(X154="","","|n"&amp;DD$2&amp;"+"&amp;X154&amp;DD$1)</f>
        <v/>
      </c>
      <c r="DE154" s="111" t="str">
        <f t="shared" ref="DE154:DE155" si="2389">IF(Y154="","","|n"&amp;DE$2&amp;"+"&amp;Y154&amp;DE$1)</f>
        <v/>
      </c>
      <c r="DF154" s="111" t="str">
        <f t="shared" ref="DF154:DF155" si="2390">IF(Z154="","","|n"&amp;DF$2&amp;"+"&amp;Z154&amp;DF$1)</f>
        <v/>
      </c>
      <c r="DG154" s="111" t="str">
        <f t="shared" ref="DG154:DG155" si="2391">IF(AA154="","","|n"&amp;DG$2&amp;"+"&amp;AA154&amp;DG$1)</f>
        <v/>
      </c>
      <c r="DH154" s="111" t="str">
        <f t="shared" ref="DH154:DH155" si="2392">IF(AB154="","","|n"&amp;DH$2&amp;"+"&amp;AB154&amp;DH$1)</f>
        <v/>
      </c>
      <c r="DI154" s="111" t="str">
        <f t="shared" ref="DI154:DI155" si="2393">IF(AC154="","","|n"&amp;DI$2&amp;"+"&amp;AC154&amp;DI$1)</f>
        <v/>
      </c>
      <c r="DJ154" s="111" t="str">
        <f t="shared" ref="DJ154:DJ155" si="2394">IF(AD154="","","|n"&amp;DJ$2&amp;"+"&amp;AD154&amp;DJ$1)</f>
        <v/>
      </c>
      <c r="DK154" s="111" t="str">
        <f t="shared" ref="DK154:DK155" si="2395">IF(AE154="","","|n"&amp;DK$2&amp;"+"&amp;AE154&amp;DK$1)</f>
        <v/>
      </c>
      <c r="DL154" s="111" t="str">
        <f t="shared" ref="DL154:DL155" si="2396">IF(AF154="","","|n"&amp;DL$2&amp;"+"&amp;AF154&amp;DL$1)</f>
        <v/>
      </c>
      <c r="DM154" s="111" t="str">
        <f t="shared" ref="DM154:DM155" si="2397">IF(AG154="","","|n"&amp;DM$2&amp;"+"&amp;AG154&amp;DM$1)</f>
        <v/>
      </c>
      <c r="DN154" s="111" t="str">
        <f t="shared" ref="DN154:DN155" si="2398">IF(AH154="","","|n"&amp;DN$2&amp;"+"&amp;AH154&amp;DN$1)</f>
        <v/>
      </c>
      <c r="DO154" s="111" t="str">
        <f t="shared" ref="DO154:DO155" si="2399">IF(AI154="","","|n"&amp;DO$2&amp;"+"&amp;AI154&amp;DO$1)</f>
        <v/>
      </c>
      <c r="DP154" s="111" t="str">
        <f t="shared" ref="DP154:DP155" si="2400">IF(AJ154="","","|n"&amp;DP$2&amp;"+"&amp;AJ154&amp;DP$1)</f>
        <v/>
      </c>
      <c r="DQ154" s="111" t="str">
        <f t="shared" ref="DQ154:DQ155" si="2401">IF(AK154="","","|n"&amp;DQ$2&amp;"+"&amp;AK154&amp;DQ$1)</f>
        <v/>
      </c>
      <c r="DR154" s="111" t="str">
        <f t="shared" ref="DR154:DR155" si="2402">IF(AL154="","","|n"&amp;DR$2&amp;"+"&amp;AL154&amp;DR$1)</f>
        <v/>
      </c>
      <c r="DS154" s="111" t="str">
        <f t="shared" ref="DS154:DS155" si="2403">IF(AM154="","","|n"&amp;DS$2&amp;"+"&amp;AM154&amp;DS$1)</f>
        <v/>
      </c>
      <c r="DT154" s="111" t="str">
        <f t="shared" ref="DT154:DT155" si="2404">IF(AN154="","","|n"&amp;DT$2&amp;"+"&amp;AN154&amp;DT$1)</f>
        <v/>
      </c>
      <c r="DU154" s="111" t="str">
        <f t="shared" ref="DU154:DU155" si="2405">IF(AO154="","","|n"&amp;DU$2&amp;"+"&amp;AO154&amp;DU$1)</f>
        <v/>
      </c>
      <c r="DV154" s="111" t="str">
        <f t="shared" ref="DV154:DV155" si="2406">IF(AP154="","","|n"&amp;DV$2&amp;"+"&amp;AP154&amp;DV$1)</f>
        <v/>
      </c>
      <c r="DW154" s="111" t="str">
        <f t="shared" ref="DW154:DW155" si="2407">IF(AQ154="","","|n"&amp;DW$2&amp;"+"&amp;AQ154&amp;DW$1)</f>
        <v/>
      </c>
      <c r="DX154" s="111" t="str">
        <f t="shared" ref="DX154:DX155" si="2408">IF(AR154="","","|n"&amp;DX$2&amp;"+"&amp;AR154&amp;DX$1)</f>
        <v/>
      </c>
      <c r="DY154" s="111" t="str">
        <f t="shared" ref="DY154:DY155" si="2409">IF(AS154="","","|n"&amp;DY$2&amp;"+"&amp;AS154&amp;DY$1)</f>
        <v/>
      </c>
      <c r="DZ154" s="111" t="str">
        <f t="shared" ref="DZ154:DZ155" si="2410">IF(AT154="","","|n"&amp;DZ$2&amp;"+"&amp;AT154&amp;DZ$1)</f>
        <v/>
      </c>
      <c r="EA154" s="111" t="str">
        <f t="shared" ref="EA154:EA155" si="2411">IF(AU154="","","|n"&amp;EA$2&amp;"+"&amp;AU154&amp;EA$1)</f>
        <v/>
      </c>
      <c r="EB154" s="111" t="str">
        <f t="shared" ref="EB154:EB155" si="2412">IF(AV154="","","|n"&amp;EB$2&amp;"+"&amp;AV154&amp;EB$1)</f>
        <v/>
      </c>
      <c r="EC154" s="111" t="str">
        <f t="shared" ref="EC154:EC155" si="2413">IF(AW154="","","|n"&amp;EC$2&amp;"+"&amp;AW154&amp;EC$1)</f>
        <v/>
      </c>
      <c r="ED154" s="111" t="str">
        <f t="shared" ref="ED154:ED155" si="2414">IF(AX154="","","|n"&amp;ED$2&amp;"+"&amp;AX154&amp;ED$1)</f>
        <v/>
      </c>
      <c r="EE154" s="111" t="str">
        <f t="shared" ref="EE154:EE155" si="2415">IF(AY154="","","|n"&amp;EE$2&amp;"+"&amp;AY154&amp;EE$1)</f>
        <v/>
      </c>
      <c r="EF154" s="111" t="str">
        <f t="shared" ref="EF154:EF155" si="2416">IF(AZ154="","","|n"&amp;EF$2&amp;"+"&amp;AZ154&amp;EF$1)</f>
        <v/>
      </c>
      <c r="EG154" s="111" t="str">
        <f t="shared" ref="EG154:EG155" si="2417">IF(BA154="","","|n"&amp;EG$2&amp;"+"&amp;BA154&amp;EG$1)</f>
        <v/>
      </c>
      <c r="EH154" s="111" t="str">
        <f t="shared" ref="EH154:EH155" si="2418">IF(BB154="","","|n"&amp;EH$2&amp;"+"&amp;BB154&amp;EH$1)</f>
        <v/>
      </c>
      <c r="EI154" s="111" t="str">
        <f t="shared" ref="EI154:EI155" si="2419">IF(BC154="","","|n"&amp;EI$2&amp;"+"&amp;BC154&amp;EI$1)</f>
        <v/>
      </c>
      <c r="EJ154" s="111" t="str">
        <f t="shared" ref="EJ154:EJ155" si="2420">IF(BD154="","","|n"&amp;EJ$2&amp;"+"&amp;BD154&amp;EJ$1)</f>
        <v/>
      </c>
      <c r="EK154" s="111" t="str">
        <f t="shared" ref="EK154:EK155" si="2421">IF(BE154="","","|n"&amp;EK$2&amp;"+"&amp;BE154&amp;EK$1)</f>
        <v/>
      </c>
      <c r="EL154" s="111" t="str">
        <f t="shared" ref="EL154:EL155" si="2422">IF(BF154="","","|n"&amp;EL$2&amp;"+"&amp;BF154&amp;EL$1)</f>
        <v/>
      </c>
      <c r="EM154" s="111" t="str">
        <f t="shared" ref="EM154:EM155" si="2423">IF(BG154="","","|n"&amp;EM$2&amp;"+"&amp;BG154&amp;EM$1)</f>
        <v/>
      </c>
      <c r="EN154" s="111" t="str">
        <f t="shared" ref="EN154:EN155" si="2424">IF(BH154="","","|n"&amp;EN$2&amp;"+"&amp;BH154&amp;EN$1)</f>
        <v/>
      </c>
      <c r="EO154" s="111" t="str">
        <f t="shared" ref="EO154:EO155" si="2425">IF(BI154="","","|n"&amp;EO$2&amp;"+"&amp;BI154&amp;EO$1)</f>
        <v/>
      </c>
      <c r="EP154" s="111" t="str">
        <f t="shared" ref="EP154:EP155" si="2426">IF(BJ154="","","|n"&amp;EP$2&amp;"+"&amp;BJ154&amp;EP$1)</f>
        <v/>
      </c>
      <c r="EQ154" s="111" t="str">
        <f t="shared" ref="EQ154:EQ155" si="2427">IF(BK154="","","|n"&amp;EQ$2&amp;"+"&amp;BK154&amp;EQ$1)</f>
        <v/>
      </c>
      <c r="ER154" s="111" t="str">
        <f t="shared" ref="ER154:ER155" si="2428">IF(BL154="","","|n"&amp;ER$2&amp;"+"&amp;BL154&amp;ER$1)</f>
        <v/>
      </c>
      <c r="ES154" s="111" t="str">
        <f t="shared" ref="ES154:ES155" si="2429">IF(BM154="","","|n"&amp;ES$2&amp;"+"&amp;BM154&amp;ES$1)</f>
        <v/>
      </c>
      <c r="ET154" s="111" t="str">
        <f t="shared" ref="ET154:ET155" si="2430">IF(BN154="","","|n"&amp;ET$2&amp;"+"&amp;BN154&amp;ET$1)</f>
        <v/>
      </c>
      <c r="EU154" s="111" t="str">
        <f t="shared" ref="EU154:EU155" si="2431">IF(BO154="","","|n"&amp;EU$2&amp;"+"&amp;BO154&amp;EU$1)</f>
        <v/>
      </c>
      <c r="EV154" s="111" t="str">
        <f t="shared" ref="EV154:EV155" si="2432">IF(BP154="","","|n"&amp;EV$2&amp;"+"&amp;BP154&amp;EV$1)</f>
        <v/>
      </c>
      <c r="EW154" s="111" t="str">
        <f t="shared" ref="EW154:EW155" si="2433">IF(BQ154="","","|n"&amp;EW$2&amp;"+"&amp;BQ154&amp;EW$1)</f>
        <v/>
      </c>
      <c r="EX154" s="111" t="str">
        <f t="shared" ref="EX154:EX155" si="2434">IF(BR154="","","|n"&amp;EX$2&amp;"+"&amp;BR154&amp;EX$1)</f>
        <v/>
      </c>
      <c r="EY154" s="111" t="str">
        <f t="shared" ref="EY154:EY155" si="2435">IF(BS154="","","|n"&amp;EY$2&amp;"+"&amp;BS154&amp;EY$1)</f>
        <v/>
      </c>
      <c r="EZ154" s="111" t="str">
        <f t="shared" ref="EZ154:EZ155" si="2436">IF(BT154="","","|n"&amp;EZ$2&amp;"+"&amp;BT154&amp;EZ$1)</f>
        <v/>
      </c>
      <c r="FA154" s="111" t="str">
        <f t="shared" ref="FA154:FA155" si="2437">IF(BU154="","","|n"&amp;FA$2&amp;"+"&amp;BU154&amp;FA$1)</f>
        <v/>
      </c>
      <c r="FB154" s="111" t="str">
        <f t="shared" ref="FB154:FB155" si="2438">IF(BV154="","","|n"&amp;FB$2&amp;"+"&amp;BV154&amp;FB$1)</f>
        <v/>
      </c>
      <c r="FC154" s="111" t="str">
        <f t="shared" ref="FC154:FC155" si="2439">IF(BW154="","","|n"&amp;FC$2&amp;"+"&amp;BW154&amp;FC$1)</f>
        <v/>
      </c>
      <c r="FD154" s="111" t="str">
        <f t="shared" ref="FD154:FD155" si="2440">IF(BX154="","","|n"&amp;FD$2&amp;"+"&amp;BX154&amp;FD$1)</f>
        <v/>
      </c>
      <c r="FE154" s="111" t="str">
        <f t="shared" ref="FE154:FE155" si="2441">IF(BY154="","","|n"&amp;FE$2&amp;"+"&amp;BY154&amp;FE$1)</f>
        <v/>
      </c>
      <c r="FF154" s="111" t="str">
        <f t="shared" ref="FF154:FF155" si="2442">IF(BZ154="","","|n"&amp;FF$2&amp;"+"&amp;BZ154&amp;FF$1)</f>
        <v/>
      </c>
      <c r="FG154" s="111" t="str">
        <f t="shared" ref="FG154:FG155" si="2443">IF(CA154="","","|n"&amp;FG$2&amp;"+"&amp;CA154&amp;FG$1)</f>
        <v/>
      </c>
      <c r="FH154" s="111" t="str">
        <f t="shared" ref="FH154:FH155" si="2444">IF(CB154="","","|n"&amp;FH$2&amp;"+"&amp;CB154&amp;FH$1)</f>
        <v/>
      </c>
      <c r="FI154" s="111" t="str">
        <f t="shared" ref="FI154:FI155" si="2445">IF(CC154="","","|n"&amp;FI$2&amp;"+"&amp;CC154&amp;FI$1)</f>
        <v/>
      </c>
      <c r="FJ154" s="111" t="str">
        <f t="shared" ref="FJ154:FJ155" si="2446">IF(CD154="","","|n"&amp;FJ$2&amp;"+"&amp;CD154&amp;FJ$1)</f>
        <v/>
      </c>
      <c r="FK154" s="111" t="str">
        <f t="shared" ref="FK154:FK155" si="2447">IF(CE154="","","|n"&amp;FK$2&amp;"+"&amp;CE154&amp;FK$1)</f>
        <v/>
      </c>
      <c r="FL154" s="111" t="str">
        <f t="shared" ref="FL154:FL155" si="2448">IF(CF154="","","|n"&amp;FL$2&amp;"+"&amp;CF154&amp;FL$1)</f>
        <v/>
      </c>
      <c r="FM154" s="111" t="str">
        <f t="shared" ref="FM154:FM155" si="2449">IF(CG154="","","|n"&amp;FM$2&amp;"+"&amp;CG154&amp;FM$1)</f>
        <v/>
      </c>
      <c r="FN154" s="111" t="str">
        <f t="shared" ref="FN154:FN155" si="2450">IF(CH154="","","|n"&amp;FN$2&amp;"+"&amp;CH154&amp;FN$1)</f>
        <v/>
      </c>
      <c r="FO154" s="111" t="str">
        <f t="shared" ref="FO154:FO155" si="2451">IF(CI154="","","|n"&amp;FO$2&amp;"+"&amp;CI154&amp;FO$1)</f>
        <v/>
      </c>
      <c r="FP154" s="111" t="str">
        <f t="shared" ref="FP154:FP155" si="2452">IF(CJ154="","","|n"&amp;FP$2&amp;"+"&amp;CJ154&amp;FP$1)</f>
        <v/>
      </c>
      <c r="FQ154" s="111" t="str">
        <f t="shared" ref="FQ154:FQ155" si="2453">IF(CK154="","","|n"&amp;FQ$2&amp;"+"&amp;CK154&amp;FQ$1)</f>
        <v/>
      </c>
      <c r="FR154" s="111" t="str">
        <f t="shared" ref="FR154:FR155" si="2454">IF(CL154="","","|n"&amp;FR$2&amp;"+"&amp;CL154&amp;FR$1)</f>
        <v/>
      </c>
      <c r="FS154" s="111" t="str">
        <f t="shared" ref="FS154:FS155" si="2455">IF(CM154="","","|n"&amp;FS$2&amp;"+"&amp;CM154&amp;FS$1)</f>
        <v/>
      </c>
    </row>
    <row r="155" spans="1:175" s="29" customFormat="1" ht="16.5">
      <c r="A155" s="9"/>
      <c r="B155" s="24" t="s">
        <v>595</v>
      </c>
      <c r="C155" s="20" t="s">
        <v>581</v>
      </c>
      <c r="D155" s="12"/>
      <c r="E155" s="12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92"/>
      <c r="Q155" s="92"/>
      <c r="R155" s="92"/>
      <c r="S155" s="92"/>
      <c r="T155" s="29" t="s">
        <v>582</v>
      </c>
      <c r="U155" s="77" t="s">
        <v>583</v>
      </c>
      <c r="V155" s="104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9"/>
      <c r="AS155" s="109"/>
      <c r="AT155" s="105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105"/>
      <c r="BY155" s="105"/>
      <c r="BZ155" s="105"/>
      <c r="CA155" s="105"/>
      <c r="CB155" s="105"/>
      <c r="CC155" s="105"/>
      <c r="CD155" s="105"/>
      <c r="CE155" s="105"/>
      <c r="CF155" s="105"/>
      <c r="CG155" s="105"/>
      <c r="CH155" s="105"/>
      <c r="CI155" s="105"/>
      <c r="CJ155" s="105"/>
      <c r="CK155" s="105"/>
      <c r="CL155" s="105"/>
      <c r="CM155" s="105"/>
      <c r="CN155" s="110" t="str">
        <f t="shared" si="2380"/>
        <v>InitUnitState('IN32',,,,,,,,,,)</v>
      </c>
      <c r="CO155" s="110" t="str">
        <f t="shared" si="2381"/>
        <v>InitUnitNormal('IN32',,,,,,,,,,)</v>
      </c>
      <c r="CP155" s="110" t="str">
        <f t="shared" si="2382"/>
        <v>InitUnitMagic('IN32',,,,,,,,,,)</v>
      </c>
      <c r="CQ155" s="110" t="str">
        <f t="shared" si="2383"/>
        <v>InitUnitAdd('IN32',,,,,,,,,,)</v>
      </c>
      <c r="CR155" s="110" t="str">
        <f t="shared" si="2371"/>
        <v>InitEquipData('IN32',,"",,,,,'','','','','','',"ReplaceableTextures\\CommandButtons\\BTNIS11.blp")</v>
      </c>
      <c r="CS155" s="110"/>
      <c r="CT155" s="110"/>
      <c r="CU155" s="88" t="str">
        <f t="shared" si="2384"/>
        <v>|n</v>
      </c>
      <c r="CV155" s="29" t="str">
        <f t="shared" si="2385"/>
        <v>使用后获得|Cffffc926随机类型技能升阶石|r</v>
      </c>
      <c r="CW155" s="33"/>
      <c r="CX155" s="33"/>
      <c r="CY155" s="33"/>
      <c r="CZ155" s="33"/>
      <c r="DA155" s="33"/>
      <c r="DB155" s="111" t="str">
        <f t="shared" si="2386"/>
        <v/>
      </c>
      <c r="DC155" s="111" t="str">
        <f t="shared" si="2387"/>
        <v/>
      </c>
      <c r="DD155" s="111" t="str">
        <f t="shared" si="2388"/>
        <v/>
      </c>
      <c r="DE155" s="111" t="str">
        <f t="shared" si="2389"/>
        <v/>
      </c>
      <c r="DF155" s="111" t="str">
        <f t="shared" si="2390"/>
        <v/>
      </c>
      <c r="DG155" s="111" t="str">
        <f t="shared" si="2391"/>
        <v/>
      </c>
      <c r="DH155" s="111" t="str">
        <f t="shared" si="2392"/>
        <v/>
      </c>
      <c r="DI155" s="111" t="str">
        <f t="shared" si="2393"/>
        <v/>
      </c>
      <c r="DJ155" s="111" t="str">
        <f t="shared" si="2394"/>
        <v/>
      </c>
      <c r="DK155" s="111" t="str">
        <f t="shared" si="2395"/>
        <v/>
      </c>
      <c r="DL155" s="111" t="str">
        <f t="shared" si="2396"/>
        <v/>
      </c>
      <c r="DM155" s="111" t="str">
        <f t="shared" si="2397"/>
        <v/>
      </c>
      <c r="DN155" s="111" t="str">
        <f t="shared" si="2398"/>
        <v/>
      </c>
      <c r="DO155" s="111" t="str">
        <f t="shared" si="2399"/>
        <v/>
      </c>
      <c r="DP155" s="111" t="str">
        <f t="shared" si="2400"/>
        <v/>
      </c>
      <c r="DQ155" s="111" t="str">
        <f t="shared" si="2401"/>
        <v/>
      </c>
      <c r="DR155" s="111" t="str">
        <f t="shared" si="2402"/>
        <v/>
      </c>
      <c r="DS155" s="111" t="str">
        <f t="shared" si="2403"/>
        <v/>
      </c>
      <c r="DT155" s="111" t="str">
        <f t="shared" si="2404"/>
        <v/>
      </c>
      <c r="DU155" s="111" t="str">
        <f t="shared" si="2405"/>
        <v/>
      </c>
      <c r="DV155" s="111" t="str">
        <f t="shared" si="2406"/>
        <v/>
      </c>
      <c r="DW155" s="111" t="str">
        <f t="shared" si="2407"/>
        <v/>
      </c>
      <c r="DX155" s="111" t="str">
        <f t="shared" si="2408"/>
        <v/>
      </c>
      <c r="DY155" s="111" t="str">
        <f t="shared" si="2409"/>
        <v/>
      </c>
      <c r="DZ155" s="111" t="str">
        <f t="shared" si="2410"/>
        <v/>
      </c>
      <c r="EA155" s="111" t="str">
        <f t="shared" si="2411"/>
        <v/>
      </c>
      <c r="EB155" s="111" t="str">
        <f t="shared" si="2412"/>
        <v/>
      </c>
      <c r="EC155" s="111" t="str">
        <f t="shared" si="2413"/>
        <v/>
      </c>
      <c r="ED155" s="111" t="str">
        <f t="shared" si="2414"/>
        <v/>
      </c>
      <c r="EE155" s="111" t="str">
        <f t="shared" si="2415"/>
        <v/>
      </c>
      <c r="EF155" s="111" t="str">
        <f t="shared" si="2416"/>
        <v/>
      </c>
      <c r="EG155" s="111" t="str">
        <f t="shared" si="2417"/>
        <v/>
      </c>
      <c r="EH155" s="111" t="str">
        <f t="shared" si="2418"/>
        <v/>
      </c>
      <c r="EI155" s="111" t="str">
        <f t="shared" si="2419"/>
        <v/>
      </c>
      <c r="EJ155" s="111" t="str">
        <f t="shared" si="2420"/>
        <v/>
      </c>
      <c r="EK155" s="111" t="str">
        <f t="shared" si="2421"/>
        <v/>
      </c>
      <c r="EL155" s="111" t="str">
        <f t="shared" si="2422"/>
        <v/>
      </c>
      <c r="EM155" s="111" t="str">
        <f t="shared" si="2423"/>
        <v/>
      </c>
      <c r="EN155" s="111" t="str">
        <f t="shared" si="2424"/>
        <v/>
      </c>
      <c r="EO155" s="111" t="str">
        <f t="shared" si="2425"/>
        <v/>
      </c>
      <c r="EP155" s="111" t="str">
        <f t="shared" si="2426"/>
        <v/>
      </c>
      <c r="EQ155" s="111" t="str">
        <f t="shared" si="2427"/>
        <v/>
      </c>
      <c r="ER155" s="111" t="str">
        <f t="shared" si="2428"/>
        <v/>
      </c>
      <c r="ES155" s="111" t="str">
        <f t="shared" si="2429"/>
        <v/>
      </c>
      <c r="ET155" s="111" t="str">
        <f t="shared" si="2430"/>
        <v/>
      </c>
      <c r="EU155" s="111" t="str">
        <f t="shared" si="2431"/>
        <v/>
      </c>
      <c r="EV155" s="111" t="str">
        <f t="shared" si="2432"/>
        <v/>
      </c>
      <c r="EW155" s="111" t="str">
        <f t="shared" si="2433"/>
        <v/>
      </c>
      <c r="EX155" s="111" t="str">
        <f t="shared" si="2434"/>
        <v/>
      </c>
      <c r="EY155" s="111" t="str">
        <f t="shared" si="2435"/>
        <v/>
      </c>
      <c r="EZ155" s="111" t="str">
        <f t="shared" si="2436"/>
        <v/>
      </c>
      <c r="FA155" s="111" t="str">
        <f t="shared" si="2437"/>
        <v/>
      </c>
      <c r="FB155" s="111" t="str">
        <f t="shared" si="2438"/>
        <v/>
      </c>
      <c r="FC155" s="111" t="str">
        <f t="shared" si="2439"/>
        <v/>
      </c>
      <c r="FD155" s="111" t="str">
        <f t="shared" si="2440"/>
        <v/>
      </c>
      <c r="FE155" s="111" t="str">
        <f t="shared" si="2441"/>
        <v/>
      </c>
      <c r="FF155" s="111" t="str">
        <f t="shared" si="2442"/>
        <v/>
      </c>
      <c r="FG155" s="111" t="str">
        <f t="shared" si="2443"/>
        <v/>
      </c>
      <c r="FH155" s="111" t="str">
        <f t="shared" si="2444"/>
        <v/>
      </c>
      <c r="FI155" s="111" t="str">
        <f t="shared" si="2445"/>
        <v/>
      </c>
      <c r="FJ155" s="111" t="str">
        <f t="shared" si="2446"/>
        <v/>
      </c>
      <c r="FK155" s="111" t="str">
        <f t="shared" si="2447"/>
        <v/>
      </c>
      <c r="FL155" s="111" t="str">
        <f t="shared" si="2448"/>
        <v/>
      </c>
      <c r="FM155" s="111" t="str">
        <f t="shared" si="2449"/>
        <v/>
      </c>
      <c r="FN155" s="111" t="str">
        <f t="shared" si="2450"/>
        <v/>
      </c>
      <c r="FO155" s="111" t="str">
        <f t="shared" si="2451"/>
        <v/>
      </c>
      <c r="FP155" s="111" t="str">
        <f t="shared" si="2452"/>
        <v/>
      </c>
      <c r="FQ155" s="111" t="str">
        <f t="shared" si="2453"/>
        <v/>
      </c>
      <c r="FR155" s="111" t="str">
        <f t="shared" si="2454"/>
        <v/>
      </c>
      <c r="FS155" s="111" t="str">
        <f t="shared" si="2455"/>
        <v/>
      </c>
    </row>
    <row r="156" spans="1:175" ht="16.5">
      <c r="A156" s="9"/>
      <c r="B156" s="9" t="s">
        <v>596</v>
      </c>
      <c r="C156" s="9" t="s">
        <v>597</v>
      </c>
      <c r="T156" s="106" t="s">
        <v>598</v>
      </c>
      <c r="U156" s="77" t="str">
        <f t="shared" si="2357"/>
        <v>ReplaceableTextures\\CommandButtons\\BTNIP01.blp</v>
      </c>
      <c r="CN156" s="36" t="str">
        <f t="shared" ref="CN156:CN164" si="2456">"InitUnitState('"&amp;B156&amp;"',"&amp;V156&amp;","&amp;W156&amp;","&amp;X156&amp;","&amp;Y156&amp;","&amp;Z156&amp;","&amp;AA156&amp;","&amp;AB156&amp;","&amp;AC156&amp;","&amp;AD156&amp;","&amp;AE156&amp;")"</f>
        <v>InitUnitState('IP01',,,,,,,,,,)</v>
      </c>
      <c r="CO156" s="36" t="str">
        <f t="shared" ref="CO156:CO164" si="2457">"InitUnitNormal('"&amp;B156&amp;"',"&amp;AF156&amp;","&amp;AG156&amp;","&amp;AH156&amp;","&amp;AI156&amp;","&amp;AJ156&amp;","&amp;AK156&amp;","&amp;AL156&amp;","&amp;AM156&amp;","&amp;AN156&amp;","&amp;AO156&amp;")"</f>
        <v>InitUnitNormal('IP01',,,,,,,,,,)</v>
      </c>
      <c r="CP156" s="36" t="str">
        <f t="shared" ref="CP156:CP164" si="2458">"InitUnitMagic('"&amp;B156&amp;"',"&amp;AP156&amp;","&amp;AQ156&amp;","&amp;AR156&amp;","&amp;AS156&amp;","&amp;AT156&amp;","&amp;AU156&amp;","&amp;AV156&amp;","&amp;AW156&amp;","&amp;BI156&amp;","&amp;BJ156&amp;")"</f>
        <v>InitUnitMagic('IP01',,,,,,,,,,)</v>
      </c>
      <c r="CQ156" s="36" t="str">
        <f t="shared" ref="CQ156:CQ164" si="2459">"InitUnitAdd('"&amp;B156&amp;"',"&amp;BK156&amp;","&amp;BL156&amp;","&amp;BM156&amp;","&amp;BN156&amp;","&amp;BO156&amp;","&amp;BP156&amp;","&amp;BQ156&amp;","&amp;BR156&amp;","&amp;BS156&amp;","&amp;BT156&amp;")"</f>
        <v>InitUnitAdd('IP01',,,,,,,,,,)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157&amp;CR$1&amp;")"</f>
        <v>InitEquipData('IP01',,"",,,,,'','','','','','',"ReplaceableTextures\\CommandButtons\\BTNIP02.blp")</v>
      </c>
      <c r="CU156" s="88" t="str">
        <f t="shared" ref="CU156" si="246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19" t="str">
        <f t="shared" ref="CV156" si="2461">T156</f>
        <v>每次|Cffffd24d完成|r时渊副本将消耗|Cffffd24d1|r个|Cffffd24d时渊入场券|r</v>
      </c>
      <c r="CW156" s="33"/>
      <c r="CX156" s="33"/>
      <c r="CY156" s="33"/>
      <c r="CZ156" s="33"/>
      <c r="DA156" s="33"/>
      <c r="DB156" s="66" t="str">
        <f t="shared" ref="DB156" si="2462">IF(V156="","","|n"&amp;DB$2&amp;"+"&amp;V156&amp;DB$1)</f>
        <v/>
      </c>
      <c r="DC156" s="66" t="str">
        <f t="shared" ref="DC156" si="2463">IF(W156="","","|n"&amp;DC$2&amp;"+"&amp;W156&amp;DC$1)</f>
        <v/>
      </c>
      <c r="DD156" s="66" t="str">
        <f t="shared" ref="DD156" si="2464">IF(X156="","","|n"&amp;DD$2&amp;"+"&amp;X156&amp;DD$1)</f>
        <v/>
      </c>
      <c r="DE156" s="66" t="str">
        <f t="shared" ref="DE156" si="2465">IF(Y156="","","|n"&amp;DE$2&amp;"+"&amp;Y156&amp;DE$1)</f>
        <v/>
      </c>
      <c r="DF156" s="66" t="str">
        <f t="shared" ref="DF156" si="2466">IF(Z156="","","|n"&amp;DF$2&amp;"+"&amp;Z156&amp;DF$1)</f>
        <v/>
      </c>
      <c r="DG156" s="66" t="str">
        <f t="shared" ref="DG156" si="2467">IF(AA156="","","|n"&amp;DG$2&amp;"+"&amp;AA156&amp;DG$1)</f>
        <v/>
      </c>
      <c r="DH156" s="66" t="str">
        <f t="shared" ref="DH156" si="2468">IF(AB156="","","|n"&amp;DH$2&amp;"+"&amp;AB156&amp;DH$1)</f>
        <v/>
      </c>
      <c r="DI156" s="66" t="str">
        <f t="shared" ref="DI156" si="2469">IF(AC156="","","|n"&amp;DI$2&amp;"+"&amp;AC156&amp;DI$1)</f>
        <v/>
      </c>
      <c r="DJ156" s="66" t="str">
        <f t="shared" ref="DJ156" si="2470">IF(AD156="","","|n"&amp;DJ$2&amp;"+"&amp;AD156&amp;DJ$1)</f>
        <v/>
      </c>
      <c r="DK156" s="66" t="str">
        <f t="shared" ref="DK156" si="2471">IF(AE156="","","|n"&amp;DK$2&amp;"+"&amp;AE156&amp;DK$1)</f>
        <v/>
      </c>
      <c r="DL156" s="66" t="str">
        <f t="shared" ref="DL156" si="2472">IF(AF156="","","|n"&amp;DL$2&amp;"+"&amp;AF156&amp;DL$1)</f>
        <v/>
      </c>
      <c r="DM156" s="66" t="str">
        <f t="shared" ref="DM156" si="2473">IF(AG156="","","|n"&amp;DM$2&amp;"+"&amp;AG156&amp;DM$1)</f>
        <v/>
      </c>
      <c r="DN156" s="66" t="str">
        <f t="shared" ref="DN156" si="2474">IF(AH156="","","|n"&amp;DN$2&amp;"+"&amp;AH156&amp;DN$1)</f>
        <v/>
      </c>
      <c r="DO156" s="66" t="str">
        <f t="shared" ref="DO156" si="2475">IF(AI156="","","|n"&amp;DO$2&amp;"+"&amp;AI156&amp;DO$1)</f>
        <v/>
      </c>
      <c r="DP156" s="66" t="str">
        <f t="shared" ref="DP156" si="2476">IF(AJ156="","","|n"&amp;DP$2&amp;"+"&amp;AJ156&amp;DP$1)</f>
        <v/>
      </c>
      <c r="DQ156" s="66" t="str">
        <f t="shared" ref="DQ156" si="2477">IF(AK156="","","|n"&amp;DQ$2&amp;"+"&amp;AK156&amp;DQ$1)</f>
        <v/>
      </c>
      <c r="DR156" s="66" t="str">
        <f t="shared" ref="DR156" si="2478">IF(AL156="","","|n"&amp;DR$2&amp;"+"&amp;AL156&amp;DR$1)</f>
        <v/>
      </c>
      <c r="DS156" s="66" t="str">
        <f t="shared" ref="DS156" si="2479">IF(AM156="","","|n"&amp;DS$2&amp;"+"&amp;AM156&amp;DS$1)</f>
        <v/>
      </c>
      <c r="DT156" s="66" t="str">
        <f t="shared" ref="DT156" si="2480">IF(AN156="","","|n"&amp;DT$2&amp;"+"&amp;AN156&amp;DT$1)</f>
        <v/>
      </c>
      <c r="DU156" s="66" t="str">
        <f t="shared" ref="DU156" si="2481">IF(AO156="","","|n"&amp;DU$2&amp;"+"&amp;AO156&amp;DU$1)</f>
        <v/>
      </c>
      <c r="DV156" s="66" t="str">
        <f t="shared" ref="DV156" si="2482">IF(AP156="","","|n"&amp;DV$2&amp;"+"&amp;AP156&amp;DV$1)</f>
        <v/>
      </c>
      <c r="DW156" s="66" t="str">
        <f t="shared" ref="DW156" si="2483">IF(AQ156="","","|n"&amp;DW$2&amp;"+"&amp;AQ156&amp;DW$1)</f>
        <v/>
      </c>
      <c r="DX156" s="66" t="str">
        <f t="shared" ref="DX156" si="2484">IF(AR156="","","|n"&amp;DX$2&amp;"+"&amp;AR156&amp;DX$1)</f>
        <v/>
      </c>
      <c r="DY156" s="66" t="str">
        <f t="shared" ref="DY156" si="2485">IF(AS156="","","|n"&amp;DY$2&amp;"+"&amp;AS156&amp;DY$1)</f>
        <v/>
      </c>
      <c r="DZ156" s="66" t="str">
        <f t="shared" ref="DZ156" si="2486">IF(AT156="","","|n"&amp;DZ$2&amp;"+"&amp;AT156&amp;DZ$1)</f>
        <v/>
      </c>
      <c r="EA156" s="66" t="str">
        <f t="shared" ref="EA156" si="2487">IF(AU156="","","|n"&amp;EA$2&amp;"+"&amp;AU156&amp;EA$1)</f>
        <v/>
      </c>
      <c r="EB156" s="66" t="str">
        <f t="shared" ref="EB156" si="2488">IF(AV156="","","|n"&amp;EB$2&amp;"+"&amp;AV156&amp;EB$1)</f>
        <v/>
      </c>
      <c r="EC156" s="66" t="str">
        <f t="shared" ref="EC156" si="2489">IF(AW156="","","|n"&amp;EC$2&amp;"+"&amp;AW156&amp;EC$1)</f>
        <v/>
      </c>
      <c r="ED156" s="66" t="str">
        <f t="shared" ref="ED156" si="2490">IF(AX156="","","|n"&amp;ED$2&amp;"+"&amp;AX156&amp;ED$1)</f>
        <v/>
      </c>
      <c r="EE156" s="66" t="str">
        <f t="shared" ref="EE156" si="2491">IF(AY156="","","|n"&amp;EE$2&amp;"+"&amp;AY156&amp;EE$1)</f>
        <v/>
      </c>
      <c r="EF156" s="66" t="str">
        <f t="shared" ref="EF156" si="2492">IF(AZ156="","","|n"&amp;EF$2&amp;"+"&amp;AZ156&amp;EF$1)</f>
        <v/>
      </c>
      <c r="EG156" s="66" t="str">
        <f t="shared" ref="EG156" si="2493">IF(BA156="","","|n"&amp;EG$2&amp;"+"&amp;BA156&amp;EG$1)</f>
        <v/>
      </c>
      <c r="EH156" s="66" t="str">
        <f t="shared" ref="EH156" si="2494">IF(BB156="","","|n"&amp;EH$2&amp;"+"&amp;BB156&amp;EH$1)</f>
        <v/>
      </c>
      <c r="EI156" s="66" t="str">
        <f t="shared" ref="EI156" si="2495">IF(BC156="","","|n"&amp;EI$2&amp;"+"&amp;BC156&amp;EI$1)</f>
        <v/>
      </c>
      <c r="EJ156" s="66" t="str">
        <f t="shared" ref="EJ156" si="2496">IF(BD156="","","|n"&amp;EJ$2&amp;"+"&amp;BD156&amp;EJ$1)</f>
        <v/>
      </c>
      <c r="EK156" s="66" t="str">
        <f t="shared" ref="EK156" si="2497">IF(BE156="","","|n"&amp;EK$2&amp;"+"&amp;BE156&amp;EK$1)</f>
        <v/>
      </c>
      <c r="EL156" s="66" t="str">
        <f t="shared" ref="EL156" si="2498">IF(BF156="","","|n"&amp;EL$2&amp;"+"&amp;BF156&amp;EL$1)</f>
        <v/>
      </c>
      <c r="EM156" s="66" t="str">
        <f t="shared" ref="EM156" si="2499">IF(BG156="","","|n"&amp;EM$2&amp;"+"&amp;BG156&amp;EM$1)</f>
        <v/>
      </c>
      <c r="EN156" s="66" t="str">
        <f t="shared" ref="EN156" si="2500">IF(BH156="","","|n"&amp;EN$2&amp;"+"&amp;BH156&amp;EN$1)</f>
        <v/>
      </c>
      <c r="EO156" s="66" t="str">
        <f t="shared" ref="EO156" si="2501">IF(BI156="","","|n"&amp;EO$2&amp;"+"&amp;BI156&amp;EO$1)</f>
        <v/>
      </c>
      <c r="EP156" s="66" t="str">
        <f t="shared" ref="EP156" si="2502">IF(BJ156="","","|n"&amp;EP$2&amp;"+"&amp;BJ156&amp;EP$1)</f>
        <v/>
      </c>
      <c r="EQ156" s="66" t="str">
        <f t="shared" ref="EQ156" si="2503">IF(BK156="","","|n"&amp;EQ$2&amp;"+"&amp;BK156&amp;EQ$1)</f>
        <v/>
      </c>
      <c r="ER156" s="66" t="str">
        <f t="shared" ref="ER156" si="2504">IF(BL156="","","|n"&amp;ER$2&amp;"+"&amp;BL156&amp;ER$1)</f>
        <v/>
      </c>
      <c r="ES156" s="66" t="str">
        <f t="shared" ref="ES156" si="2505">IF(BM156="","","|n"&amp;ES$2&amp;"+"&amp;BM156&amp;ES$1)</f>
        <v/>
      </c>
      <c r="ET156" s="66" t="str">
        <f t="shared" ref="ET156" si="2506">IF(BN156="","","|n"&amp;ET$2&amp;"+"&amp;BN156&amp;ET$1)</f>
        <v/>
      </c>
      <c r="EU156" s="66" t="str">
        <f t="shared" ref="EU156" si="2507">IF(BO156="","","|n"&amp;EU$2&amp;"+"&amp;BO156&amp;EU$1)</f>
        <v/>
      </c>
      <c r="EV156" s="66" t="str">
        <f t="shared" ref="EV156" si="2508">IF(BP156="","","|n"&amp;EV$2&amp;"+"&amp;BP156&amp;EV$1)</f>
        <v/>
      </c>
      <c r="EW156" s="66" t="str">
        <f t="shared" ref="EW156" si="2509">IF(BQ156="","","|n"&amp;EW$2&amp;"+"&amp;BQ156&amp;EW$1)</f>
        <v/>
      </c>
      <c r="EX156" s="66" t="str">
        <f t="shared" ref="EX156" si="2510">IF(BR156="","","|n"&amp;EX$2&amp;"+"&amp;BR156&amp;EX$1)</f>
        <v/>
      </c>
      <c r="EY156" s="66" t="str">
        <f t="shared" ref="EY156" si="2511">IF(BS156="","","|n"&amp;EY$2&amp;"+"&amp;BS156&amp;EY$1)</f>
        <v/>
      </c>
      <c r="EZ156" s="66" t="str">
        <f t="shared" ref="EZ156" si="2512">IF(BT156="","","|n"&amp;EZ$2&amp;"+"&amp;BT156&amp;EZ$1)</f>
        <v/>
      </c>
      <c r="FA156" s="66" t="str">
        <f t="shared" ref="FA156" si="2513">IF(BU156="","","|n"&amp;FA$2&amp;"+"&amp;BU156&amp;FA$1)</f>
        <v/>
      </c>
      <c r="FB156" s="66" t="str">
        <f t="shared" ref="FB156" si="2514">IF(BV156="","","|n"&amp;FB$2&amp;"+"&amp;BV156&amp;FB$1)</f>
        <v/>
      </c>
      <c r="FC156" s="66" t="str">
        <f t="shared" ref="FC156" si="2515">IF(BW156="","","|n"&amp;FC$2&amp;"+"&amp;BW156&amp;FC$1)</f>
        <v/>
      </c>
      <c r="FD156" s="66" t="str">
        <f t="shared" ref="FD156" si="2516">IF(BX156="","","|n"&amp;FD$2&amp;"+"&amp;BX156&amp;FD$1)</f>
        <v/>
      </c>
      <c r="FE156" s="66" t="str">
        <f t="shared" ref="FE156" si="2517">IF(BY156="","","|n"&amp;FE$2&amp;"+"&amp;BY156&amp;FE$1)</f>
        <v/>
      </c>
      <c r="FF156" s="66" t="str">
        <f t="shared" ref="FF156" si="2518">IF(BZ156="","","|n"&amp;FF$2&amp;"+"&amp;BZ156&amp;FF$1)</f>
        <v/>
      </c>
      <c r="FG156" s="66" t="str">
        <f t="shared" ref="FG156" si="2519">IF(CA156="","","|n"&amp;FG$2&amp;"+"&amp;CA156&amp;FG$1)</f>
        <v/>
      </c>
      <c r="FH156" s="66" t="str">
        <f t="shared" ref="FH156" si="2520">IF(CB156="","","|n"&amp;FH$2&amp;"+"&amp;CB156&amp;FH$1)</f>
        <v/>
      </c>
      <c r="FI156" s="66" t="str">
        <f t="shared" ref="FI156" si="2521">IF(CC156="","","|n"&amp;FI$2&amp;"+"&amp;CC156&amp;FI$1)</f>
        <v/>
      </c>
      <c r="FJ156" s="66" t="str">
        <f t="shared" ref="FJ156" si="2522">IF(CD156="","","|n"&amp;FJ$2&amp;"+"&amp;CD156&amp;FJ$1)</f>
        <v/>
      </c>
      <c r="FK156" s="66" t="str">
        <f t="shared" ref="FK156" si="2523">IF(CE156="","","|n"&amp;FK$2&amp;"+"&amp;CE156&amp;FK$1)</f>
        <v/>
      </c>
      <c r="FL156" s="66" t="str">
        <f t="shared" ref="FL156" si="2524">IF(CF156="","","|n"&amp;FL$2&amp;"+"&amp;CF156&amp;FL$1)</f>
        <v/>
      </c>
      <c r="FM156" s="66" t="str">
        <f t="shared" ref="FM156" si="2525">IF(CG156="","","|n"&amp;FM$2&amp;"+"&amp;CG156&amp;FM$1)</f>
        <v/>
      </c>
      <c r="FN156" s="66" t="str">
        <f t="shared" ref="FN156" si="2526">IF(CH156="","","|n"&amp;FN$2&amp;"+"&amp;CH156&amp;FN$1)</f>
        <v/>
      </c>
      <c r="FO156" s="66" t="str">
        <f t="shared" ref="FO156" si="2527">IF(CI156="","","|n"&amp;FO$2&amp;"+"&amp;CI156&amp;FO$1)</f>
        <v/>
      </c>
      <c r="FP156" s="66" t="str">
        <f t="shared" ref="FP156" si="2528">IF(CJ156="","","|n"&amp;FP$2&amp;"+"&amp;CJ156&amp;FP$1)</f>
        <v/>
      </c>
      <c r="FQ156" s="66" t="str">
        <f t="shared" ref="FQ156" si="2529">IF(CK156="","","|n"&amp;FQ$2&amp;"+"&amp;CK156&amp;FQ$1)</f>
        <v/>
      </c>
      <c r="FR156" s="66" t="str">
        <f t="shared" ref="FR156" si="2530">IF(CL156="","","|n"&amp;FR$2&amp;"+"&amp;CL156&amp;FR$1)</f>
        <v/>
      </c>
      <c r="FS156" s="66" t="str">
        <f t="shared" ref="FS156" si="2531">IF(CM156="","","|n"&amp;FS$2&amp;"+"&amp;CM156&amp;FS$1)</f>
        <v/>
      </c>
    </row>
    <row r="157" spans="1:175" ht="16.5">
      <c r="A157" s="15"/>
      <c r="B157" s="9" t="s">
        <v>599</v>
      </c>
      <c r="C157" s="15" t="s">
        <v>600</v>
      </c>
      <c r="T157" s="16" t="s">
        <v>601</v>
      </c>
      <c r="U157" s="77" t="str">
        <f t="shared" si="2357"/>
        <v>ReplaceableTextures\\CommandButtons\\BTNIP02.blp</v>
      </c>
      <c r="CN157" s="36" t="str">
        <f t="shared" si="2456"/>
        <v>InitUnitState('IP02',,,,,,,,,,)</v>
      </c>
      <c r="CO157" s="36" t="str">
        <f t="shared" si="2457"/>
        <v>InitUnitNormal('IP02',,,,,,,,,,)</v>
      </c>
      <c r="CP157" s="36" t="str">
        <f t="shared" si="2458"/>
        <v>InitUnitMagic('IP02',,,,,,,,,,)</v>
      </c>
      <c r="CQ157" s="36" t="str">
        <f t="shared" si="2459"/>
        <v>InitUnitAdd('IP02',,,,,,,,,,)</v>
      </c>
      <c r="CR157" s="36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InitEquipData('IP02',,"",,,,,'','','','','','',"ReplaceableTextures\\CommandButtons\\BTNIP03.blp")</v>
      </c>
      <c r="CU157" s="88" t="str">
        <f t="shared" ref="CU157:CU158" si="2532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19" t="str">
        <f t="shared" ref="CV157:CV158" si="2533">T157</f>
        <v>点击|Cffffc926选中指定法宝|r后，再点击|Cffffc926重铸|r，可|Cffffc926重置|r指定法宝，|Cffffc926品质不变|r。|n|n|Cff00ff7f每次重铸消耗1个补天石|r</v>
      </c>
      <c r="CW157" s="33"/>
      <c r="CX157" s="33"/>
      <c r="CY157" s="33"/>
      <c r="CZ157" s="33"/>
      <c r="DA157" s="33"/>
      <c r="DB157" s="66" t="str">
        <f t="shared" ref="DB157:DB158" si="2534">IF(V157="","","|n"&amp;DB$2&amp;"+"&amp;V157&amp;DB$1)</f>
        <v/>
      </c>
      <c r="DC157" s="66" t="str">
        <f t="shared" ref="DC157:DC158" si="2535">IF(W157="","","|n"&amp;DC$2&amp;"+"&amp;W157&amp;DC$1)</f>
        <v/>
      </c>
      <c r="DD157" s="66" t="str">
        <f t="shared" ref="DD157:DD158" si="2536">IF(X157="","","|n"&amp;DD$2&amp;"+"&amp;X157&amp;DD$1)</f>
        <v/>
      </c>
      <c r="DE157" s="66" t="str">
        <f t="shared" ref="DE157:DE158" si="2537">IF(Y157="","","|n"&amp;DE$2&amp;"+"&amp;Y157&amp;DE$1)</f>
        <v/>
      </c>
      <c r="DF157" s="66" t="str">
        <f t="shared" ref="DF157:DF158" si="2538">IF(Z157="","","|n"&amp;DF$2&amp;"+"&amp;Z157&amp;DF$1)</f>
        <v/>
      </c>
      <c r="DG157" s="66" t="str">
        <f t="shared" ref="DG157:DG158" si="2539">IF(AA157="","","|n"&amp;DG$2&amp;"+"&amp;AA157&amp;DG$1)</f>
        <v/>
      </c>
      <c r="DH157" s="66" t="str">
        <f t="shared" ref="DH157:DH158" si="2540">IF(AB157="","","|n"&amp;DH$2&amp;"+"&amp;AB157&amp;DH$1)</f>
        <v/>
      </c>
      <c r="DI157" s="66" t="str">
        <f t="shared" ref="DI157:DI158" si="2541">IF(AC157="","","|n"&amp;DI$2&amp;"+"&amp;AC157&amp;DI$1)</f>
        <v/>
      </c>
      <c r="DJ157" s="66" t="str">
        <f t="shared" ref="DJ157:DJ158" si="2542">IF(AD157="","","|n"&amp;DJ$2&amp;"+"&amp;AD157&amp;DJ$1)</f>
        <v/>
      </c>
      <c r="DK157" s="66" t="str">
        <f t="shared" ref="DK157:DK158" si="2543">IF(AE157="","","|n"&amp;DK$2&amp;"+"&amp;AE157&amp;DK$1)</f>
        <v/>
      </c>
      <c r="DL157" s="66" t="str">
        <f t="shared" ref="DL157:DL158" si="2544">IF(AF157="","","|n"&amp;DL$2&amp;"+"&amp;AF157&amp;DL$1)</f>
        <v/>
      </c>
      <c r="DM157" s="66" t="str">
        <f t="shared" ref="DM157:DM158" si="2545">IF(AG157="","","|n"&amp;DM$2&amp;"+"&amp;AG157&amp;DM$1)</f>
        <v/>
      </c>
      <c r="DN157" s="66" t="str">
        <f t="shared" ref="DN157:DN158" si="2546">IF(AH157="","","|n"&amp;DN$2&amp;"+"&amp;AH157&amp;DN$1)</f>
        <v/>
      </c>
      <c r="DO157" s="66" t="str">
        <f t="shared" ref="DO157:DO158" si="2547">IF(AI157="","","|n"&amp;DO$2&amp;"+"&amp;AI157&amp;DO$1)</f>
        <v/>
      </c>
      <c r="DP157" s="66" t="str">
        <f t="shared" ref="DP157:DP158" si="2548">IF(AJ157="","","|n"&amp;DP$2&amp;"+"&amp;AJ157&amp;DP$1)</f>
        <v/>
      </c>
      <c r="DQ157" s="66" t="str">
        <f t="shared" ref="DQ157:DQ158" si="2549">IF(AK157="","","|n"&amp;DQ$2&amp;"+"&amp;AK157&amp;DQ$1)</f>
        <v/>
      </c>
      <c r="DR157" s="66" t="str">
        <f t="shared" ref="DR157:DR158" si="2550">IF(AL157="","","|n"&amp;DR$2&amp;"+"&amp;AL157&amp;DR$1)</f>
        <v/>
      </c>
      <c r="DS157" s="66" t="str">
        <f t="shared" ref="DS157:DS158" si="2551">IF(AM157="","","|n"&amp;DS$2&amp;"+"&amp;AM157&amp;DS$1)</f>
        <v/>
      </c>
      <c r="DT157" s="66" t="str">
        <f t="shared" ref="DT157:DT158" si="2552">IF(AN157="","","|n"&amp;DT$2&amp;"+"&amp;AN157&amp;DT$1)</f>
        <v/>
      </c>
      <c r="DU157" s="66" t="str">
        <f t="shared" ref="DU157:DU158" si="2553">IF(AO157="","","|n"&amp;DU$2&amp;"+"&amp;AO157&amp;DU$1)</f>
        <v/>
      </c>
      <c r="DV157" s="66" t="str">
        <f t="shared" ref="DV157:DV158" si="2554">IF(AP157="","","|n"&amp;DV$2&amp;"+"&amp;AP157&amp;DV$1)</f>
        <v/>
      </c>
      <c r="DW157" s="66" t="str">
        <f t="shared" ref="DW157:DW158" si="2555">IF(AQ157="","","|n"&amp;DW$2&amp;"+"&amp;AQ157&amp;DW$1)</f>
        <v/>
      </c>
      <c r="DX157" s="66" t="str">
        <f t="shared" ref="DX157:DX158" si="2556">IF(AR157="","","|n"&amp;DX$2&amp;"+"&amp;AR157&amp;DX$1)</f>
        <v/>
      </c>
      <c r="DY157" s="66" t="str">
        <f t="shared" ref="DY157:DY158" si="2557">IF(AS157="","","|n"&amp;DY$2&amp;"+"&amp;AS157&amp;DY$1)</f>
        <v/>
      </c>
      <c r="DZ157" s="66" t="str">
        <f t="shared" ref="DZ157:DZ158" si="2558">IF(AT157="","","|n"&amp;DZ$2&amp;"+"&amp;AT157&amp;DZ$1)</f>
        <v/>
      </c>
      <c r="EA157" s="66" t="str">
        <f t="shared" ref="EA157:EA158" si="2559">IF(AU157="","","|n"&amp;EA$2&amp;"+"&amp;AU157&amp;EA$1)</f>
        <v/>
      </c>
      <c r="EB157" s="66" t="str">
        <f t="shared" ref="EB157:EB158" si="2560">IF(AV157="","","|n"&amp;EB$2&amp;"+"&amp;AV157&amp;EB$1)</f>
        <v/>
      </c>
      <c r="EC157" s="66" t="str">
        <f t="shared" ref="EC157:EC158" si="2561">IF(AW157="","","|n"&amp;EC$2&amp;"+"&amp;AW157&amp;EC$1)</f>
        <v/>
      </c>
      <c r="ED157" s="66" t="str">
        <f t="shared" ref="ED157:ED158" si="2562">IF(AX157="","","|n"&amp;ED$2&amp;"+"&amp;AX157&amp;ED$1)</f>
        <v/>
      </c>
      <c r="EE157" s="66" t="str">
        <f t="shared" ref="EE157:EE158" si="2563">IF(AY157="","","|n"&amp;EE$2&amp;"+"&amp;AY157&amp;EE$1)</f>
        <v/>
      </c>
      <c r="EF157" s="66" t="str">
        <f t="shared" ref="EF157:EF158" si="2564">IF(AZ157="","","|n"&amp;EF$2&amp;"+"&amp;AZ157&amp;EF$1)</f>
        <v/>
      </c>
      <c r="EG157" s="66" t="str">
        <f t="shared" ref="EG157:EG158" si="2565">IF(BA157="","","|n"&amp;EG$2&amp;"+"&amp;BA157&amp;EG$1)</f>
        <v/>
      </c>
      <c r="EH157" s="66" t="str">
        <f t="shared" ref="EH157:EH158" si="2566">IF(BB157="","","|n"&amp;EH$2&amp;"+"&amp;BB157&amp;EH$1)</f>
        <v/>
      </c>
      <c r="EI157" s="66" t="str">
        <f t="shared" ref="EI157:EI158" si="2567">IF(BC157="","","|n"&amp;EI$2&amp;"+"&amp;BC157&amp;EI$1)</f>
        <v/>
      </c>
      <c r="EJ157" s="66" t="str">
        <f t="shared" ref="EJ157:EJ158" si="2568">IF(BD157="","","|n"&amp;EJ$2&amp;"+"&amp;BD157&amp;EJ$1)</f>
        <v/>
      </c>
      <c r="EK157" s="66" t="str">
        <f t="shared" ref="EK157:EK158" si="2569">IF(BE157="","","|n"&amp;EK$2&amp;"+"&amp;BE157&amp;EK$1)</f>
        <v/>
      </c>
      <c r="EL157" s="66" t="str">
        <f t="shared" ref="EL157:EL158" si="2570">IF(BF157="","","|n"&amp;EL$2&amp;"+"&amp;BF157&amp;EL$1)</f>
        <v/>
      </c>
      <c r="EM157" s="66" t="str">
        <f t="shared" ref="EM157:EM158" si="2571">IF(BG157="","","|n"&amp;EM$2&amp;"+"&amp;BG157&amp;EM$1)</f>
        <v/>
      </c>
      <c r="EN157" s="66" t="str">
        <f t="shared" ref="EN157:EN158" si="2572">IF(BH157="","","|n"&amp;EN$2&amp;"+"&amp;BH157&amp;EN$1)</f>
        <v/>
      </c>
      <c r="EO157" s="66" t="str">
        <f t="shared" ref="EO157:EO158" si="2573">IF(BI157="","","|n"&amp;EO$2&amp;"+"&amp;BI157&amp;EO$1)</f>
        <v/>
      </c>
      <c r="EP157" s="66" t="str">
        <f t="shared" ref="EP157:EP158" si="2574">IF(BJ157="","","|n"&amp;EP$2&amp;"+"&amp;BJ157&amp;EP$1)</f>
        <v/>
      </c>
      <c r="EQ157" s="66" t="str">
        <f t="shared" ref="EQ157:EQ158" si="2575">IF(BK157="","","|n"&amp;EQ$2&amp;"+"&amp;BK157&amp;EQ$1)</f>
        <v/>
      </c>
      <c r="ER157" s="66" t="str">
        <f t="shared" ref="ER157:ER158" si="2576">IF(BL157="","","|n"&amp;ER$2&amp;"+"&amp;BL157&amp;ER$1)</f>
        <v/>
      </c>
      <c r="ES157" s="66" t="str">
        <f t="shared" ref="ES157:ES158" si="2577">IF(BM157="","","|n"&amp;ES$2&amp;"+"&amp;BM157&amp;ES$1)</f>
        <v/>
      </c>
      <c r="ET157" s="66" t="str">
        <f t="shared" ref="ET157:ET158" si="2578">IF(BN157="","","|n"&amp;ET$2&amp;"+"&amp;BN157&amp;ET$1)</f>
        <v/>
      </c>
      <c r="EU157" s="66" t="str">
        <f t="shared" ref="EU157:EU158" si="2579">IF(BO157="","","|n"&amp;EU$2&amp;"+"&amp;BO157&amp;EU$1)</f>
        <v/>
      </c>
      <c r="EV157" s="66" t="str">
        <f t="shared" ref="EV157:EV158" si="2580">IF(BP157="","","|n"&amp;EV$2&amp;"+"&amp;BP157&amp;EV$1)</f>
        <v/>
      </c>
      <c r="EW157" s="66" t="str">
        <f t="shared" ref="EW157:EW158" si="2581">IF(BQ157="","","|n"&amp;EW$2&amp;"+"&amp;BQ157&amp;EW$1)</f>
        <v/>
      </c>
      <c r="EX157" s="66" t="str">
        <f t="shared" ref="EX157:EX158" si="2582">IF(BR157="","","|n"&amp;EX$2&amp;"+"&amp;BR157&amp;EX$1)</f>
        <v/>
      </c>
      <c r="EY157" s="66" t="str">
        <f t="shared" ref="EY157:EY158" si="2583">IF(BS157="","","|n"&amp;EY$2&amp;"+"&amp;BS157&amp;EY$1)</f>
        <v/>
      </c>
      <c r="EZ157" s="66" t="str">
        <f t="shared" ref="EZ157:EZ158" si="2584">IF(BT157="","","|n"&amp;EZ$2&amp;"+"&amp;BT157&amp;EZ$1)</f>
        <v/>
      </c>
      <c r="FA157" s="66" t="str">
        <f t="shared" ref="FA157:FA158" si="2585">IF(BU157="","","|n"&amp;FA$2&amp;"+"&amp;BU157&amp;FA$1)</f>
        <v/>
      </c>
      <c r="FB157" s="66" t="str">
        <f t="shared" ref="FB157:FB158" si="2586">IF(BV157="","","|n"&amp;FB$2&amp;"+"&amp;BV157&amp;FB$1)</f>
        <v/>
      </c>
      <c r="FC157" s="66" t="str">
        <f t="shared" ref="FC157:FC158" si="2587">IF(BW157="","","|n"&amp;FC$2&amp;"+"&amp;BW157&amp;FC$1)</f>
        <v/>
      </c>
      <c r="FD157" s="66" t="str">
        <f t="shared" ref="FD157:FD158" si="2588">IF(BX157="","","|n"&amp;FD$2&amp;"+"&amp;BX157&amp;FD$1)</f>
        <v/>
      </c>
      <c r="FE157" s="66" t="str">
        <f t="shared" ref="FE157:FE158" si="2589">IF(BY157="","","|n"&amp;FE$2&amp;"+"&amp;BY157&amp;FE$1)</f>
        <v/>
      </c>
      <c r="FF157" s="66" t="str">
        <f t="shared" ref="FF157:FF158" si="2590">IF(BZ157="","","|n"&amp;FF$2&amp;"+"&amp;BZ157&amp;FF$1)</f>
        <v/>
      </c>
      <c r="FG157" s="66" t="str">
        <f t="shared" ref="FG157:FG158" si="2591">IF(CA157="","","|n"&amp;FG$2&amp;"+"&amp;CA157&amp;FG$1)</f>
        <v/>
      </c>
      <c r="FH157" s="66" t="str">
        <f t="shared" ref="FH157:FH158" si="2592">IF(CB157="","","|n"&amp;FH$2&amp;"+"&amp;CB157&amp;FH$1)</f>
        <v/>
      </c>
      <c r="FI157" s="66" t="str">
        <f t="shared" ref="FI157:FI158" si="2593">IF(CC157="","","|n"&amp;FI$2&amp;"+"&amp;CC157&amp;FI$1)</f>
        <v/>
      </c>
      <c r="FJ157" s="66" t="str">
        <f t="shared" ref="FJ157:FJ158" si="2594">IF(CD157="","","|n"&amp;FJ$2&amp;"+"&amp;CD157&amp;FJ$1)</f>
        <v/>
      </c>
      <c r="FK157" s="66" t="str">
        <f t="shared" ref="FK157:FK158" si="2595">IF(CE157="","","|n"&amp;FK$2&amp;"+"&amp;CE157&amp;FK$1)</f>
        <v/>
      </c>
      <c r="FL157" s="66" t="str">
        <f t="shared" ref="FL157:FL158" si="2596">IF(CF157="","","|n"&amp;FL$2&amp;"+"&amp;CF157&amp;FL$1)</f>
        <v/>
      </c>
      <c r="FM157" s="66" t="str">
        <f t="shared" ref="FM157:FM158" si="2597">IF(CG157="","","|n"&amp;FM$2&amp;"+"&amp;CG157&amp;FM$1)</f>
        <v/>
      </c>
      <c r="FN157" s="66" t="str">
        <f t="shared" ref="FN157:FN158" si="2598">IF(CH157="","","|n"&amp;FN$2&amp;"+"&amp;CH157&amp;FN$1)</f>
        <v/>
      </c>
      <c r="FO157" s="66" t="str">
        <f t="shared" ref="FO157:FO158" si="2599">IF(CI157="","","|n"&amp;FO$2&amp;"+"&amp;CI157&amp;FO$1)</f>
        <v/>
      </c>
      <c r="FP157" s="66" t="str">
        <f t="shared" ref="FP157:FP158" si="2600">IF(CJ157="","","|n"&amp;FP$2&amp;"+"&amp;CJ157&amp;FP$1)</f>
        <v/>
      </c>
      <c r="FQ157" s="66" t="str">
        <f t="shared" ref="FQ157:FQ158" si="2601">IF(CK157="","","|n"&amp;FQ$2&amp;"+"&amp;CK157&amp;FQ$1)</f>
        <v/>
      </c>
      <c r="FR157" s="66" t="str">
        <f t="shared" ref="FR157:FR158" si="2602">IF(CL157="","","|n"&amp;FR$2&amp;"+"&amp;CL157&amp;FR$1)</f>
        <v/>
      </c>
      <c r="FS157" s="66" t="str">
        <f t="shared" ref="FS157:FS158" si="2603">IF(CM157="","","|n"&amp;FS$2&amp;"+"&amp;CM157&amp;FS$1)</f>
        <v/>
      </c>
    </row>
    <row r="158" spans="1:175" ht="16.5">
      <c r="A158" s="15"/>
      <c r="B158" s="9" t="s">
        <v>602</v>
      </c>
      <c r="C158" s="15" t="s">
        <v>603</v>
      </c>
      <c r="T158" s="16" t="s">
        <v>604</v>
      </c>
      <c r="U158" s="77" t="str">
        <f t="shared" si="2357"/>
        <v>ReplaceableTextures\\CommandButtons\\BTNIP03.blp</v>
      </c>
      <c r="CN158" s="36" t="str">
        <f t="shared" si="2456"/>
        <v>InitUnitState('IP03',,,,,,,,,,)</v>
      </c>
      <c r="CO158" s="36" t="str">
        <f t="shared" si="2457"/>
        <v>InitUnitNormal('IP03',,,,,,,,,,)</v>
      </c>
      <c r="CP158" s="36" t="str">
        <f t="shared" si="2458"/>
        <v>InitUnitMagic('IP03',,,,,,,,,,)</v>
      </c>
      <c r="CQ158" s="36" t="str">
        <f t="shared" si="2459"/>
        <v>InitUnitAdd('IP03',,,,,,,,,,)</v>
      </c>
      <c r="CR158" s="36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InitEquipData('IP03',,"",,,,,'','','','','','',"ReplaceableTextures\\CommandButtons\\BTNIT01.blp")</v>
      </c>
      <c r="CU158" s="88" t="str">
        <f t="shared" si="2532"/>
        <v>|n</v>
      </c>
      <c r="CV158" s="19" t="str">
        <f t="shared" si="2533"/>
        <v>点击|Cffffc926选中指定法宝|r后，再点击|Cffffc926锻造|r，可|Cffffc926重置|r指定法宝，|Cffffc926品质提升一级|r。|n|n|Cff00ff7f每次重铸消耗1个鸿蒙结晶|r</v>
      </c>
      <c r="CW158" s="33"/>
      <c r="CX158" s="33"/>
      <c r="CY158" s="33"/>
      <c r="CZ158" s="33"/>
      <c r="DA158" s="33"/>
      <c r="DB158" s="66" t="str">
        <f t="shared" si="2534"/>
        <v/>
      </c>
      <c r="DC158" s="66" t="str">
        <f t="shared" si="2535"/>
        <v/>
      </c>
      <c r="DD158" s="66" t="str">
        <f t="shared" si="2536"/>
        <v/>
      </c>
      <c r="DE158" s="66" t="str">
        <f t="shared" si="2537"/>
        <v/>
      </c>
      <c r="DF158" s="66" t="str">
        <f t="shared" si="2538"/>
        <v/>
      </c>
      <c r="DG158" s="66" t="str">
        <f t="shared" si="2539"/>
        <v/>
      </c>
      <c r="DH158" s="66" t="str">
        <f t="shared" si="2540"/>
        <v/>
      </c>
      <c r="DI158" s="66" t="str">
        <f t="shared" si="2541"/>
        <v/>
      </c>
      <c r="DJ158" s="66" t="str">
        <f t="shared" si="2542"/>
        <v/>
      </c>
      <c r="DK158" s="66" t="str">
        <f t="shared" si="2543"/>
        <v/>
      </c>
      <c r="DL158" s="66" t="str">
        <f t="shared" si="2544"/>
        <v/>
      </c>
      <c r="DM158" s="66" t="str">
        <f t="shared" si="2545"/>
        <v/>
      </c>
      <c r="DN158" s="66" t="str">
        <f t="shared" si="2546"/>
        <v/>
      </c>
      <c r="DO158" s="66" t="str">
        <f t="shared" si="2547"/>
        <v/>
      </c>
      <c r="DP158" s="66" t="str">
        <f t="shared" si="2548"/>
        <v/>
      </c>
      <c r="DQ158" s="66" t="str">
        <f t="shared" si="2549"/>
        <v/>
      </c>
      <c r="DR158" s="66" t="str">
        <f t="shared" si="2550"/>
        <v/>
      </c>
      <c r="DS158" s="66" t="str">
        <f t="shared" si="2551"/>
        <v/>
      </c>
      <c r="DT158" s="66" t="str">
        <f t="shared" si="2552"/>
        <v/>
      </c>
      <c r="DU158" s="66" t="str">
        <f t="shared" si="2553"/>
        <v/>
      </c>
      <c r="DV158" s="66" t="str">
        <f t="shared" si="2554"/>
        <v/>
      </c>
      <c r="DW158" s="66" t="str">
        <f t="shared" si="2555"/>
        <v/>
      </c>
      <c r="DX158" s="66" t="str">
        <f t="shared" si="2556"/>
        <v/>
      </c>
      <c r="DY158" s="66" t="str">
        <f t="shared" si="2557"/>
        <v/>
      </c>
      <c r="DZ158" s="66" t="str">
        <f t="shared" si="2558"/>
        <v/>
      </c>
      <c r="EA158" s="66" t="str">
        <f t="shared" si="2559"/>
        <v/>
      </c>
      <c r="EB158" s="66" t="str">
        <f t="shared" si="2560"/>
        <v/>
      </c>
      <c r="EC158" s="66" t="str">
        <f t="shared" si="2561"/>
        <v/>
      </c>
      <c r="ED158" s="66" t="str">
        <f t="shared" si="2562"/>
        <v/>
      </c>
      <c r="EE158" s="66" t="str">
        <f t="shared" si="2563"/>
        <v/>
      </c>
      <c r="EF158" s="66" t="str">
        <f t="shared" si="2564"/>
        <v/>
      </c>
      <c r="EG158" s="66" t="str">
        <f t="shared" si="2565"/>
        <v/>
      </c>
      <c r="EH158" s="66" t="str">
        <f t="shared" si="2566"/>
        <v/>
      </c>
      <c r="EI158" s="66" t="str">
        <f t="shared" si="2567"/>
        <v/>
      </c>
      <c r="EJ158" s="66" t="str">
        <f t="shared" si="2568"/>
        <v/>
      </c>
      <c r="EK158" s="66" t="str">
        <f t="shared" si="2569"/>
        <v/>
      </c>
      <c r="EL158" s="66" t="str">
        <f t="shared" si="2570"/>
        <v/>
      </c>
      <c r="EM158" s="66" t="str">
        <f t="shared" si="2571"/>
        <v/>
      </c>
      <c r="EN158" s="66" t="str">
        <f t="shared" si="2572"/>
        <v/>
      </c>
      <c r="EO158" s="66" t="str">
        <f t="shared" si="2573"/>
        <v/>
      </c>
      <c r="EP158" s="66" t="str">
        <f t="shared" si="2574"/>
        <v/>
      </c>
      <c r="EQ158" s="66" t="str">
        <f t="shared" si="2575"/>
        <v/>
      </c>
      <c r="ER158" s="66" t="str">
        <f t="shared" si="2576"/>
        <v/>
      </c>
      <c r="ES158" s="66" t="str">
        <f t="shared" si="2577"/>
        <v/>
      </c>
      <c r="ET158" s="66" t="str">
        <f t="shared" si="2578"/>
        <v/>
      </c>
      <c r="EU158" s="66" t="str">
        <f t="shared" si="2579"/>
        <v/>
      </c>
      <c r="EV158" s="66" t="str">
        <f t="shared" si="2580"/>
        <v/>
      </c>
      <c r="EW158" s="66" t="str">
        <f t="shared" si="2581"/>
        <v/>
      </c>
      <c r="EX158" s="66" t="str">
        <f t="shared" si="2582"/>
        <v/>
      </c>
      <c r="EY158" s="66" t="str">
        <f t="shared" si="2583"/>
        <v/>
      </c>
      <c r="EZ158" s="66" t="str">
        <f t="shared" si="2584"/>
        <v/>
      </c>
      <c r="FA158" s="66" t="str">
        <f t="shared" si="2585"/>
        <v/>
      </c>
      <c r="FB158" s="66" t="str">
        <f t="shared" si="2586"/>
        <v/>
      </c>
      <c r="FC158" s="66" t="str">
        <f t="shared" si="2587"/>
        <v/>
      </c>
      <c r="FD158" s="66" t="str">
        <f t="shared" si="2588"/>
        <v/>
      </c>
      <c r="FE158" s="66" t="str">
        <f t="shared" si="2589"/>
        <v/>
      </c>
      <c r="FF158" s="66" t="str">
        <f t="shared" si="2590"/>
        <v/>
      </c>
      <c r="FG158" s="66" t="str">
        <f t="shared" si="2591"/>
        <v/>
      </c>
      <c r="FH158" s="66" t="str">
        <f t="shared" si="2592"/>
        <v/>
      </c>
      <c r="FI158" s="66" t="str">
        <f t="shared" si="2593"/>
        <v/>
      </c>
      <c r="FJ158" s="66" t="str">
        <f t="shared" si="2594"/>
        <v/>
      </c>
      <c r="FK158" s="66" t="str">
        <f t="shared" si="2595"/>
        <v/>
      </c>
      <c r="FL158" s="66" t="str">
        <f t="shared" si="2596"/>
        <v/>
      </c>
      <c r="FM158" s="66" t="str">
        <f t="shared" si="2597"/>
        <v/>
      </c>
      <c r="FN158" s="66" t="str">
        <f t="shared" si="2598"/>
        <v/>
      </c>
      <c r="FO158" s="66" t="str">
        <f t="shared" si="2599"/>
        <v/>
      </c>
      <c r="FP158" s="66" t="str">
        <f t="shared" si="2600"/>
        <v/>
      </c>
      <c r="FQ158" s="66" t="str">
        <f t="shared" si="2601"/>
        <v/>
      </c>
      <c r="FR158" s="66" t="str">
        <f t="shared" si="2602"/>
        <v/>
      </c>
      <c r="FS158" s="66" t="str">
        <f t="shared" si="2603"/>
        <v/>
      </c>
    </row>
    <row r="159" spans="1:175" ht="16.5">
      <c r="A159" s="15"/>
      <c r="B159" s="9" t="s">
        <v>605</v>
      </c>
      <c r="C159" s="15" t="s">
        <v>606</v>
      </c>
      <c r="T159" s="16" t="s">
        <v>607</v>
      </c>
      <c r="U159" s="77" t="s">
        <v>608</v>
      </c>
      <c r="CN159" s="36" t="str">
        <f t="shared" si="2456"/>
        <v>InitUnitState('IP04',,,,,,,,,,)</v>
      </c>
      <c r="CO159" s="36" t="str">
        <f t="shared" si="2457"/>
        <v>InitUnitNormal('IP04',,,,,,,,,,)</v>
      </c>
      <c r="CP159" s="36" t="str">
        <f t="shared" si="2458"/>
        <v>InitUnitMagic('IP04',,,,,,,,,,)</v>
      </c>
      <c r="CQ159" s="36" t="str">
        <f t="shared" si="2459"/>
        <v>InitUnitAdd('IP04',,,,,,,,,,)</v>
      </c>
      <c r="CR159" s="36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InitEquipData('IP04',,"",,,,,'','','','','','',"ReplaceableTextures\\CommandButtons\\BTNIP05.blp")</v>
      </c>
      <c r="CU159" s="88" t="str">
        <f t="shared" ref="CU159:CU164" si="2604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19" t="str">
        <f t="shared" ref="CV159:CV164" si="2605">T159</f>
        <v>使用后|Cffffd24d重置|r当前|Cffff0000神兽神通【R】|r|Cfff0f0f0。|r</v>
      </c>
      <c r="CW159" s="33"/>
      <c r="CX159" s="33"/>
      <c r="CY159" s="33"/>
      <c r="CZ159" s="33"/>
      <c r="DA159" s="33"/>
      <c r="DB159" s="66" t="str">
        <f t="shared" ref="DB159:DB160" si="2606">IF(V159="","","|n"&amp;DB$2&amp;"+"&amp;V159&amp;DB$1)</f>
        <v/>
      </c>
      <c r="DC159" s="66" t="str">
        <f t="shared" ref="DC159:DC160" si="2607">IF(W159="","","|n"&amp;DC$2&amp;"+"&amp;W159&amp;DC$1)</f>
        <v/>
      </c>
      <c r="DD159" s="66" t="str">
        <f t="shared" ref="DD159:DD160" si="2608">IF(X159="","","|n"&amp;DD$2&amp;"+"&amp;X159&amp;DD$1)</f>
        <v/>
      </c>
      <c r="DE159" s="66" t="str">
        <f t="shared" ref="DE159:DE160" si="2609">IF(Y159="","","|n"&amp;DE$2&amp;"+"&amp;Y159&amp;DE$1)</f>
        <v/>
      </c>
      <c r="DF159" s="66" t="str">
        <f t="shared" ref="DF159:DF160" si="2610">IF(Z159="","","|n"&amp;DF$2&amp;"+"&amp;Z159&amp;DF$1)</f>
        <v/>
      </c>
      <c r="DG159" s="66" t="str">
        <f t="shared" ref="DG159:DG160" si="2611">IF(AA159="","","|n"&amp;DG$2&amp;"+"&amp;AA159&amp;DG$1)</f>
        <v/>
      </c>
      <c r="DH159" s="66" t="str">
        <f t="shared" ref="DH159:DH160" si="2612">IF(AB159="","","|n"&amp;DH$2&amp;"+"&amp;AB159&amp;DH$1)</f>
        <v/>
      </c>
      <c r="DI159" s="66" t="str">
        <f t="shared" ref="DI159:DI160" si="2613">IF(AC159="","","|n"&amp;DI$2&amp;"+"&amp;AC159&amp;DI$1)</f>
        <v/>
      </c>
      <c r="DJ159" s="66" t="str">
        <f t="shared" ref="DJ159:DJ160" si="2614">IF(AD159="","","|n"&amp;DJ$2&amp;"+"&amp;AD159&amp;DJ$1)</f>
        <v/>
      </c>
      <c r="DK159" s="66" t="str">
        <f t="shared" ref="DK159:DK160" si="2615">IF(AE159="","","|n"&amp;DK$2&amp;"+"&amp;AE159&amp;DK$1)</f>
        <v/>
      </c>
      <c r="DL159" s="66" t="str">
        <f t="shared" ref="DL159:DL160" si="2616">IF(AF159="","","|n"&amp;DL$2&amp;"+"&amp;AF159&amp;DL$1)</f>
        <v/>
      </c>
      <c r="DM159" s="66" t="str">
        <f t="shared" ref="DM159:DM160" si="2617">IF(AG159="","","|n"&amp;DM$2&amp;"+"&amp;AG159&amp;DM$1)</f>
        <v/>
      </c>
      <c r="DN159" s="66" t="str">
        <f t="shared" ref="DN159:DN160" si="2618">IF(AH159="","","|n"&amp;DN$2&amp;"+"&amp;AH159&amp;DN$1)</f>
        <v/>
      </c>
      <c r="DO159" s="66" t="str">
        <f t="shared" ref="DO159:DO160" si="2619">IF(AI159="","","|n"&amp;DO$2&amp;"+"&amp;AI159&amp;DO$1)</f>
        <v/>
      </c>
      <c r="DP159" s="66" t="str">
        <f t="shared" ref="DP159:DP160" si="2620">IF(AJ159="","","|n"&amp;DP$2&amp;"+"&amp;AJ159&amp;DP$1)</f>
        <v/>
      </c>
      <c r="DQ159" s="66" t="str">
        <f t="shared" ref="DQ159:DQ160" si="2621">IF(AK159="","","|n"&amp;DQ$2&amp;"+"&amp;AK159&amp;DQ$1)</f>
        <v/>
      </c>
      <c r="DR159" s="66" t="str">
        <f t="shared" ref="DR159:DR160" si="2622">IF(AL159="","","|n"&amp;DR$2&amp;"+"&amp;AL159&amp;DR$1)</f>
        <v/>
      </c>
      <c r="DS159" s="66" t="str">
        <f t="shared" ref="DS159:DS160" si="2623">IF(AM159="","","|n"&amp;DS$2&amp;"+"&amp;AM159&amp;DS$1)</f>
        <v/>
      </c>
      <c r="DT159" s="66" t="str">
        <f t="shared" ref="DT159:DT160" si="2624">IF(AN159="","","|n"&amp;DT$2&amp;"+"&amp;AN159&amp;DT$1)</f>
        <v/>
      </c>
      <c r="DU159" s="66" t="str">
        <f t="shared" ref="DU159:DU160" si="2625">IF(AO159="","","|n"&amp;DU$2&amp;"+"&amp;AO159&amp;DU$1)</f>
        <v/>
      </c>
      <c r="DV159" s="66" t="str">
        <f t="shared" ref="DV159:DV160" si="2626">IF(AP159="","","|n"&amp;DV$2&amp;"+"&amp;AP159&amp;DV$1)</f>
        <v/>
      </c>
      <c r="DW159" s="66" t="str">
        <f t="shared" ref="DW159:DW160" si="2627">IF(AQ159="","","|n"&amp;DW$2&amp;"+"&amp;AQ159&amp;DW$1)</f>
        <v/>
      </c>
      <c r="DX159" s="66" t="str">
        <f t="shared" ref="DX159:DX160" si="2628">IF(AR159="","","|n"&amp;DX$2&amp;"+"&amp;AR159&amp;DX$1)</f>
        <v/>
      </c>
      <c r="DY159" s="66" t="str">
        <f t="shared" ref="DY159:DY160" si="2629">IF(AS159="","","|n"&amp;DY$2&amp;"+"&amp;AS159&amp;DY$1)</f>
        <v/>
      </c>
      <c r="DZ159" s="66" t="str">
        <f t="shared" ref="DZ159:DZ160" si="2630">IF(AT159="","","|n"&amp;DZ$2&amp;"+"&amp;AT159&amp;DZ$1)</f>
        <v/>
      </c>
      <c r="EA159" s="66" t="str">
        <f t="shared" ref="EA159:EA160" si="2631">IF(AU159="","","|n"&amp;EA$2&amp;"+"&amp;AU159&amp;EA$1)</f>
        <v/>
      </c>
      <c r="EB159" s="66" t="str">
        <f t="shared" ref="EB159:EB160" si="2632">IF(AV159="","","|n"&amp;EB$2&amp;"+"&amp;AV159&amp;EB$1)</f>
        <v/>
      </c>
      <c r="EC159" s="66" t="str">
        <f t="shared" ref="EC159:EC160" si="2633">IF(AW159="","","|n"&amp;EC$2&amp;"+"&amp;AW159&amp;EC$1)</f>
        <v/>
      </c>
      <c r="ED159" s="66" t="str">
        <f t="shared" ref="ED159:ED160" si="2634">IF(AX159="","","|n"&amp;ED$2&amp;"+"&amp;AX159&amp;ED$1)</f>
        <v/>
      </c>
      <c r="EE159" s="66" t="str">
        <f t="shared" ref="EE159:EE160" si="2635">IF(AY159="","","|n"&amp;EE$2&amp;"+"&amp;AY159&amp;EE$1)</f>
        <v/>
      </c>
      <c r="EF159" s="66" t="str">
        <f t="shared" ref="EF159:EF160" si="2636">IF(AZ159="","","|n"&amp;EF$2&amp;"+"&amp;AZ159&amp;EF$1)</f>
        <v/>
      </c>
      <c r="EG159" s="66" t="str">
        <f t="shared" ref="EG159:EG160" si="2637">IF(BA159="","","|n"&amp;EG$2&amp;"+"&amp;BA159&amp;EG$1)</f>
        <v/>
      </c>
      <c r="EH159" s="66" t="str">
        <f t="shared" ref="EH159:EH160" si="2638">IF(BB159="","","|n"&amp;EH$2&amp;"+"&amp;BB159&amp;EH$1)</f>
        <v/>
      </c>
      <c r="EI159" s="66" t="str">
        <f t="shared" ref="EI159:EI160" si="2639">IF(BC159="","","|n"&amp;EI$2&amp;"+"&amp;BC159&amp;EI$1)</f>
        <v/>
      </c>
      <c r="EJ159" s="66" t="str">
        <f t="shared" ref="EJ159:EJ160" si="2640">IF(BD159="","","|n"&amp;EJ$2&amp;"+"&amp;BD159&amp;EJ$1)</f>
        <v/>
      </c>
      <c r="EK159" s="66" t="str">
        <f t="shared" ref="EK159:EK160" si="2641">IF(BE159="","","|n"&amp;EK$2&amp;"+"&amp;BE159&amp;EK$1)</f>
        <v/>
      </c>
      <c r="EL159" s="66" t="str">
        <f t="shared" ref="EL159:EL160" si="2642">IF(BF159="","","|n"&amp;EL$2&amp;"+"&amp;BF159&amp;EL$1)</f>
        <v/>
      </c>
      <c r="EM159" s="66" t="str">
        <f t="shared" ref="EM159:EM160" si="2643">IF(BG159="","","|n"&amp;EM$2&amp;"+"&amp;BG159&amp;EM$1)</f>
        <v/>
      </c>
      <c r="EN159" s="66" t="str">
        <f t="shared" ref="EN159:EN160" si="2644">IF(BH159="","","|n"&amp;EN$2&amp;"+"&amp;BH159&amp;EN$1)</f>
        <v/>
      </c>
      <c r="EO159" s="66" t="str">
        <f t="shared" ref="EO159:EO160" si="2645">IF(BI159="","","|n"&amp;EO$2&amp;"+"&amp;BI159&amp;EO$1)</f>
        <v/>
      </c>
      <c r="EP159" s="66" t="str">
        <f t="shared" ref="EP159:EP160" si="2646">IF(BJ159="","","|n"&amp;EP$2&amp;"+"&amp;BJ159&amp;EP$1)</f>
        <v/>
      </c>
      <c r="EQ159" s="66" t="str">
        <f t="shared" ref="EQ159:EQ160" si="2647">IF(BK159="","","|n"&amp;EQ$2&amp;"+"&amp;BK159&amp;EQ$1)</f>
        <v/>
      </c>
      <c r="ER159" s="66" t="str">
        <f t="shared" ref="ER159:ER160" si="2648">IF(BL159="","","|n"&amp;ER$2&amp;"+"&amp;BL159&amp;ER$1)</f>
        <v/>
      </c>
      <c r="ES159" s="66" t="str">
        <f t="shared" ref="ES159:ES160" si="2649">IF(BM159="","","|n"&amp;ES$2&amp;"+"&amp;BM159&amp;ES$1)</f>
        <v/>
      </c>
      <c r="ET159" s="66" t="str">
        <f t="shared" ref="ET159:ET160" si="2650">IF(BN159="","","|n"&amp;ET$2&amp;"+"&amp;BN159&amp;ET$1)</f>
        <v/>
      </c>
      <c r="EU159" s="66" t="str">
        <f t="shared" ref="EU159:EU160" si="2651">IF(BO159="","","|n"&amp;EU$2&amp;"+"&amp;BO159&amp;EU$1)</f>
        <v/>
      </c>
      <c r="EV159" s="66" t="str">
        <f t="shared" ref="EV159:EV160" si="2652">IF(BP159="","","|n"&amp;EV$2&amp;"+"&amp;BP159&amp;EV$1)</f>
        <v/>
      </c>
      <c r="EW159" s="66" t="str">
        <f t="shared" ref="EW159:EW160" si="2653">IF(BQ159="","","|n"&amp;EW$2&amp;"+"&amp;BQ159&amp;EW$1)</f>
        <v/>
      </c>
      <c r="EX159" s="66" t="str">
        <f t="shared" ref="EX159:EX160" si="2654">IF(BR159="","","|n"&amp;EX$2&amp;"+"&amp;BR159&amp;EX$1)</f>
        <v/>
      </c>
      <c r="EY159" s="66" t="str">
        <f t="shared" ref="EY159:EY160" si="2655">IF(BS159="","","|n"&amp;EY$2&amp;"+"&amp;BS159&amp;EY$1)</f>
        <v/>
      </c>
      <c r="EZ159" s="66" t="str">
        <f t="shared" ref="EZ159:EZ160" si="2656">IF(BT159="","","|n"&amp;EZ$2&amp;"+"&amp;BT159&amp;EZ$1)</f>
        <v/>
      </c>
      <c r="FA159" s="66" t="str">
        <f t="shared" ref="FA159:FA160" si="2657">IF(BU159="","","|n"&amp;FA$2&amp;"+"&amp;BU159&amp;FA$1)</f>
        <v/>
      </c>
      <c r="FB159" s="66" t="str">
        <f t="shared" ref="FB159:FB160" si="2658">IF(BV159="","","|n"&amp;FB$2&amp;"+"&amp;BV159&amp;FB$1)</f>
        <v/>
      </c>
      <c r="FC159" s="66" t="str">
        <f t="shared" ref="FC159:FC160" si="2659">IF(BW159="","","|n"&amp;FC$2&amp;"+"&amp;BW159&amp;FC$1)</f>
        <v/>
      </c>
      <c r="FD159" s="66" t="str">
        <f t="shared" ref="FD159:FD160" si="2660">IF(BX159="","","|n"&amp;FD$2&amp;"+"&amp;BX159&amp;FD$1)</f>
        <v/>
      </c>
      <c r="FE159" s="66" t="str">
        <f t="shared" ref="FE159:FE160" si="2661">IF(BY159="","","|n"&amp;FE$2&amp;"+"&amp;BY159&amp;FE$1)</f>
        <v/>
      </c>
      <c r="FF159" s="66" t="str">
        <f t="shared" ref="FF159:FF160" si="2662">IF(BZ159="","","|n"&amp;FF$2&amp;"+"&amp;BZ159&amp;FF$1)</f>
        <v/>
      </c>
      <c r="FG159" s="66" t="str">
        <f t="shared" ref="FG159:FG160" si="2663">IF(CA159="","","|n"&amp;FG$2&amp;"+"&amp;CA159&amp;FG$1)</f>
        <v/>
      </c>
      <c r="FH159" s="66" t="str">
        <f t="shared" ref="FH159:FH160" si="2664">IF(CB159="","","|n"&amp;FH$2&amp;"+"&amp;CB159&amp;FH$1)</f>
        <v/>
      </c>
      <c r="FI159" s="66" t="str">
        <f t="shared" ref="FI159:FI160" si="2665">IF(CC159="","","|n"&amp;FI$2&amp;"+"&amp;CC159&amp;FI$1)</f>
        <v/>
      </c>
      <c r="FJ159" s="66" t="str">
        <f t="shared" ref="FJ159:FJ160" si="2666">IF(CD159="","","|n"&amp;FJ$2&amp;"+"&amp;CD159&amp;FJ$1)</f>
        <v/>
      </c>
      <c r="FK159" s="66" t="str">
        <f t="shared" ref="FK159:FK160" si="2667">IF(CE159="","","|n"&amp;FK$2&amp;"+"&amp;CE159&amp;FK$1)</f>
        <v/>
      </c>
      <c r="FL159" s="66" t="str">
        <f t="shared" ref="FL159:FL160" si="2668">IF(CF159="","","|n"&amp;FL$2&amp;"+"&amp;CF159&amp;FL$1)</f>
        <v/>
      </c>
      <c r="FM159" s="66" t="str">
        <f t="shared" ref="FM159:FM160" si="2669">IF(CG159="","","|n"&amp;FM$2&amp;"+"&amp;CG159&amp;FM$1)</f>
        <v/>
      </c>
      <c r="FN159" s="66" t="str">
        <f t="shared" ref="FN159:FN160" si="2670">IF(CH159="","","|n"&amp;FN$2&amp;"+"&amp;CH159&amp;FN$1)</f>
        <v/>
      </c>
      <c r="FO159" s="66" t="str">
        <f t="shared" ref="FO159:FO160" si="2671">IF(CI159="","","|n"&amp;FO$2&amp;"+"&amp;CI159&amp;FO$1)</f>
        <v/>
      </c>
      <c r="FP159" s="66" t="str">
        <f t="shared" ref="FP159:FP160" si="2672">IF(CJ159="","","|n"&amp;FP$2&amp;"+"&amp;CJ159&amp;FP$1)</f>
        <v/>
      </c>
      <c r="FQ159" s="66" t="str">
        <f t="shared" ref="FQ159:FQ160" si="2673">IF(CK159="","","|n"&amp;FQ$2&amp;"+"&amp;CK159&amp;FQ$1)</f>
        <v/>
      </c>
      <c r="FR159" s="66" t="str">
        <f t="shared" ref="FR159:FR160" si="2674">IF(CL159="","","|n"&amp;FR$2&amp;"+"&amp;CL159&amp;FR$1)</f>
        <v/>
      </c>
      <c r="FS159" s="66" t="str">
        <f t="shared" ref="FS159:FS160" si="2675">IF(CM159="","","|n"&amp;FS$2&amp;"+"&amp;CM159&amp;FS$1)</f>
        <v/>
      </c>
    </row>
    <row r="160" spans="1:175" ht="16.5">
      <c r="A160" s="15"/>
      <c r="B160" s="9" t="s">
        <v>609</v>
      </c>
      <c r="C160" s="15" t="s">
        <v>610</v>
      </c>
      <c r="T160" s="16" t="s">
        <v>611</v>
      </c>
      <c r="U160" s="77" t="str">
        <f t="shared" ref="U160:U162" si="2676">"ReplaceableTextures\\CommandButtons\\BTN"&amp;B160&amp;".blp"</f>
        <v>ReplaceableTextures\\CommandButtons\\BTNIP05.blp</v>
      </c>
      <c r="CN160" s="36" t="str">
        <f t="shared" si="2456"/>
        <v>InitUnitState('IP05',,,,,,,,,,)</v>
      </c>
      <c r="CO160" s="36" t="str">
        <f t="shared" si="2457"/>
        <v>InitUnitNormal('IP05',,,,,,,,,,)</v>
      </c>
      <c r="CP160" s="36" t="str">
        <f t="shared" si="2458"/>
        <v>InitUnitMagic('IP05',,,,,,,,,,)</v>
      </c>
      <c r="CQ160" s="36" t="str">
        <f t="shared" si="2459"/>
        <v>InitUnitAdd('IP05',,,,,,,,,,)</v>
      </c>
      <c r="CR160" s="36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InitEquipData('IP05',,"",,,,,'','','','','','',"ReplaceableTextures\\CommandButtons\\BTNIT03.blp")</v>
      </c>
      <c r="CU160" s="88" t="str">
        <f t="shared" si="2604"/>
        <v>|n</v>
      </c>
      <c r="CV160" s="19" t="str">
        <f t="shared" si="2605"/>
        <v>开启|Cffffd24d结界|r，前往虚空终止|Cffff0000封神圣战|r。</v>
      </c>
      <c r="CW160" s="33"/>
      <c r="CX160" s="33"/>
      <c r="CY160" s="33"/>
      <c r="CZ160" s="33"/>
      <c r="DA160" s="33"/>
      <c r="DB160" s="66" t="str">
        <f t="shared" si="2606"/>
        <v/>
      </c>
      <c r="DC160" s="66" t="str">
        <f t="shared" si="2607"/>
        <v/>
      </c>
      <c r="DD160" s="66" t="str">
        <f t="shared" si="2608"/>
        <v/>
      </c>
      <c r="DE160" s="66" t="str">
        <f t="shared" si="2609"/>
        <v/>
      </c>
      <c r="DF160" s="66" t="str">
        <f t="shared" si="2610"/>
        <v/>
      </c>
      <c r="DG160" s="66" t="str">
        <f t="shared" si="2611"/>
        <v/>
      </c>
      <c r="DH160" s="66" t="str">
        <f t="shared" si="2612"/>
        <v/>
      </c>
      <c r="DI160" s="66" t="str">
        <f t="shared" si="2613"/>
        <v/>
      </c>
      <c r="DJ160" s="66" t="str">
        <f t="shared" si="2614"/>
        <v/>
      </c>
      <c r="DK160" s="66" t="str">
        <f t="shared" si="2615"/>
        <v/>
      </c>
      <c r="DL160" s="66" t="str">
        <f t="shared" si="2616"/>
        <v/>
      </c>
      <c r="DM160" s="66" t="str">
        <f t="shared" si="2617"/>
        <v/>
      </c>
      <c r="DN160" s="66" t="str">
        <f t="shared" si="2618"/>
        <v/>
      </c>
      <c r="DO160" s="66" t="str">
        <f t="shared" si="2619"/>
        <v/>
      </c>
      <c r="DP160" s="66" t="str">
        <f t="shared" si="2620"/>
        <v/>
      </c>
      <c r="DQ160" s="66" t="str">
        <f t="shared" si="2621"/>
        <v/>
      </c>
      <c r="DR160" s="66" t="str">
        <f t="shared" si="2622"/>
        <v/>
      </c>
      <c r="DS160" s="66" t="str">
        <f t="shared" si="2623"/>
        <v/>
      </c>
      <c r="DT160" s="66" t="str">
        <f t="shared" si="2624"/>
        <v/>
      </c>
      <c r="DU160" s="66" t="str">
        <f t="shared" si="2625"/>
        <v/>
      </c>
      <c r="DV160" s="66" t="str">
        <f t="shared" si="2626"/>
        <v/>
      </c>
      <c r="DW160" s="66" t="str">
        <f t="shared" si="2627"/>
        <v/>
      </c>
      <c r="DX160" s="66" t="str">
        <f t="shared" si="2628"/>
        <v/>
      </c>
      <c r="DY160" s="66" t="str">
        <f t="shared" si="2629"/>
        <v/>
      </c>
      <c r="DZ160" s="66" t="str">
        <f t="shared" si="2630"/>
        <v/>
      </c>
      <c r="EA160" s="66" t="str">
        <f t="shared" si="2631"/>
        <v/>
      </c>
      <c r="EB160" s="66" t="str">
        <f t="shared" si="2632"/>
        <v/>
      </c>
      <c r="EC160" s="66" t="str">
        <f t="shared" si="2633"/>
        <v/>
      </c>
      <c r="ED160" s="66" t="str">
        <f t="shared" si="2634"/>
        <v/>
      </c>
      <c r="EE160" s="66" t="str">
        <f t="shared" si="2635"/>
        <v/>
      </c>
      <c r="EF160" s="66" t="str">
        <f t="shared" si="2636"/>
        <v/>
      </c>
      <c r="EG160" s="66" t="str">
        <f t="shared" si="2637"/>
        <v/>
      </c>
      <c r="EH160" s="66" t="str">
        <f t="shared" si="2638"/>
        <v/>
      </c>
      <c r="EI160" s="66" t="str">
        <f t="shared" si="2639"/>
        <v/>
      </c>
      <c r="EJ160" s="66" t="str">
        <f t="shared" si="2640"/>
        <v/>
      </c>
      <c r="EK160" s="66" t="str">
        <f t="shared" si="2641"/>
        <v/>
      </c>
      <c r="EL160" s="66" t="str">
        <f t="shared" si="2642"/>
        <v/>
      </c>
      <c r="EM160" s="66" t="str">
        <f t="shared" si="2643"/>
        <v/>
      </c>
      <c r="EN160" s="66" t="str">
        <f t="shared" si="2644"/>
        <v/>
      </c>
      <c r="EO160" s="66" t="str">
        <f t="shared" si="2645"/>
        <v/>
      </c>
      <c r="EP160" s="66" t="str">
        <f t="shared" si="2646"/>
        <v/>
      </c>
      <c r="EQ160" s="66" t="str">
        <f t="shared" si="2647"/>
        <v/>
      </c>
      <c r="ER160" s="66" t="str">
        <f t="shared" si="2648"/>
        <v/>
      </c>
      <c r="ES160" s="66" t="str">
        <f t="shared" si="2649"/>
        <v/>
      </c>
      <c r="ET160" s="66" t="str">
        <f t="shared" si="2650"/>
        <v/>
      </c>
      <c r="EU160" s="66" t="str">
        <f t="shared" si="2651"/>
        <v/>
      </c>
      <c r="EV160" s="66" t="str">
        <f t="shared" si="2652"/>
        <v/>
      </c>
      <c r="EW160" s="66" t="str">
        <f t="shared" si="2653"/>
        <v/>
      </c>
      <c r="EX160" s="66" t="str">
        <f t="shared" si="2654"/>
        <v/>
      </c>
      <c r="EY160" s="66" t="str">
        <f t="shared" si="2655"/>
        <v/>
      </c>
      <c r="EZ160" s="66" t="str">
        <f t="shared" si="2656"/>
        <v/>
      </c>
      <c r="FA160" s="66" t="str">
        <f t="shared" si="2657"/>
        <v/>
      </c>
      <c r="FB160" s="66" t="str">
        <f t="shared" si="2658"/>
        <v/>
      </c>
      <c r="FC160" s="66" t="str">
        <f t="shared" si="2659"/>
        <v/>
      </c>
      <c r="FD160" s="66" t="str">
        <f t="shared" si="2660"/>
        <v/>
      </c>
      <c r="FE160" s="66" t="str">
        <f t="shared" si="2661"/>
        <v/>
      </c>
      <c r="FF160" s="66" t="str">
        <f t="shared" si="2662"/>
        <v/>
      </c>
      <c r="FG160" s="66" t="str">
        <f t="shared" si="2663"/>
        <v/>
      </c>
      <c r="FH160" s="66" t="str">
        <f t="shared" si="2664"/>
        <v/>
      </c>
      <c r="FI160" s="66" t="str">
        <f t="shared" si="2665"/>
        <v/>
      </c>
      <c r="FJ160" s="66" t="str">
        <f t="shared" si="2666"/>
        <v/>
      </c>
      <c r="FK160" s="66" t="str">
        <f t="shared" si="2667"/>
        <v/>
      </c>
      <c r="FL160" s="66" t="str">
        <f t="shared" si="2668"/>
        <v/>
      </c>
      <c r="FM160" s="66" t="str">
        <f t="shared" si="2669"/>
        <v/>
      </c>
      <c r="FN160" s="66" t="str">
        <f t="shared" si="2670"/>
        <v/>
      </c>
      <c r="FO160" s="66" t="str">
        <f t="shared" si="2671"/>
        <v/>
      </c>
      <c r="FP160" s="66" t="str">
        <f t="shared" si="2672"/>
        <v/>
      </c>
      <c r="FQ160" s="66" t="str">
        <f t="shared" si="2673"/>
        <v/>
      </c>
      <c r="FR160" s="66" t="str">
        <f t="shared" si="2674"/>
        <v/>
      </c>
      <c r="FS160" s="66" t="str">
        <f t="shared" si="2675"/>
        <v/>
      </c>
    </row>
    <row r="161" spans="1:175" s="29" customFormat="1" ht="16.5">
      <c r="A161" s="15"/>
      <c r="B161" s="9" t="s">
        <v>612</v>
      </c>
      <c r="C161" s="25" t="s">
        <v>613</v>
      </c>
      <c r="D161" s="12"/>
      <c r="E161" s="12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92"/>
      <c r="Q161" s="92"/>
      <c r="R161" s="92"/>
      <c r="S161" s="92"/>
      <c r="T161" s="16" t="s">
        <v>614</v>
      </c>
      <c r="U161" s="77" t="s">
        <v>615</v>
      </c>
      <c r="V161" s="104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9"/>
      <c r="AS161" s="109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105"/>
      <c r="BY161" s="105"/>
      <c r="BZ161" s="105"/>
      <c r="CA161" s="105"/>
      <c r="CB161" s="105"/>
      <c r="CC161" s="105"/>
      <c r="CD161" s="105"/>
      <c r="CE161" s="105"/>
      <c r="CF161" s="105"/>
      <c r="CG161" s="105"/>
      <c r="CH161" s="105"/>
      <c r="CI161" s="105"/>
      <c r="CJ161" s="105"/>
      <c r="CK161" s="105"/>
      <c r="CL161" s="105"/>
      <c r="CM161" s="105"/>
      <c r="CN161" s="110" t="str">
        <f t="shared" si="2456"/>
        <v>InitUnitState('IP06',,,,,,,,,,)</v>
      </c>
      <c r="CO161" s="110" t="str">
        <f t="shared" si="2457"/>
        <v>InitUnitNormal('IP06',,,,,,,,,,)</v>
      </c>
      <c r="CP161" s="110" t="str">
        <f t="shared" si="2458"/>
        <v>InitUnitMagic('IP06',,,,,,,,,,)</v>
      </c>
      <c r="CQ161" s="110" t="str">
        <f t="shared" si="2459"/>
        <v>InitUnitAdd('IP06',,,,,,,,,,)</v>
      </c>
      <c r="CR161" s="11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InitEquipData('IP06',,"",,,,,'','','','','','',"ReplaceableTextures\\CommandButtons\\BTNIT04.blp")</v>
      </c>
      <c r="CS161" s="110"/>
      <c r="CT161" s="110"/>
      <c r="CU161" s="88" t="str">
        <f t="shared" si="2604"/>
        <v>|n</v>
      </c>
      <c r="CV161" s="29" t="str">
        <f t="shared" si="2605"/>
        <v>使用后增加|Cffffd24d100点|r境界经验。</v>
      </c>
      <c r="CW161" s="33"/>
      <c r="CX161" s="33"/>
      <c r="CY161" s="33"/>
      <c r="CZ161" s="33"/>
      <c r="DA161" s="33"/>
      <c r="DB161" s="111" t="str">
        <f t="shared" ref="DB161:FM161" si="2677">IF(V161="","","|n"&amp;DB$2&amp;"+"&amp;V161&amp;DB$1)</f>
        <v/>
      </c>
      <c r="DC161" s="111" t="str">
        <f t="shared" si="2677"/>
        <v/>
      </c>
      <c r="DD161" s="111" t="str">
        <f t="shared" si="2677"/>
        <v/>
      </c>
      <c r="DE161" s="111" t="str">
        <f t="shared" si="2677"/>
        <v/>
      </c>
      <c r="DF161" s="111" t="str">
        <f t="shared" si="2677"/>
        <v/>
      </c>
      <c r="DG161" s="111" t="str">
        <f t="shared" si="2677"/>
        <v/>
      </c>
      <c r="DH161" s="111" t="str">
        <f t="shared" si="2677"/>
        <v/>
      </c>
      <c r="DI161" s="111" t="str">
        <f t="shared" si="2677"/>
        <v/>
      </c>
      <c r="DJ161" s="111" t="str">
        <f t="shared" si="2677"/>
        <v/>
      </c>
      <c r="DK161" s="111" t="str">
        <f t="shared" si="2677"/>
        <v/>
      </c>
      <c r="DL161" s="111" t="str">
        <f t="shared" si="2677"/>
        <v/>
      </c>
      <c r="DM161" s="111" t="str">
        <f t="shared" si="2677"/>
        <v/>
      </c>
      <c r="DN161" s="111" t="str">
        <f t="shared" si="2677"/>
        <v/>
      </c>
      <c r="DO161" s="111" t="str">
        <f t="shared" si="2677"/>
        <v/>
      </c>
      <c r="DP161" s="111" t="str">
        <f t="shared" si="2677"/>
        <v/>
      </c>
      <c r="DQ161" s="111" t="str">
        <f t="shared" si="2677"/>
        <v/>
      </c>
      <c r="DR161" s="111" t="str">
        <f t="shared" si="2677"/>
        <v/>
      </c>
      <c r="DS161" s="111" t="str">
        <f t="shared" si="2677"/>
        <v/>
      </c>
      <c r="DT161" s="111" t="str">
        <f t="shared" si="2677"/>
        <v/>
      </c>
      <c r="DU161" s="111" t="str">
        <f t="shared" si="2677"/>
        <v/>
      </c>
      <c r="DV161" s="111" t="str">
        <f t="shared" si="2677"/>
        <v/>
      </c>
      <c r="DW161" s="111" t="str">
        <f t="shared" si="2677"/>
        <v/>
      </c>
      <c r="DX161" s="111" t="str">
        <f t="shared" si="2677"/>
        <v/>
      </c>
      <c r="DY161" s="111" t="str">
        <f t="shared" si="2677"/>
        <v/>
      </c>
      <c r="DZ161" s="111" t="str">
        <f t="shared" si="2677"/>
        <v/>
      </c>
      <c r="EA161" s="111" t="str">
        <f t="shared" si="2677"/>
        <v/>
      </c>
      <c r="EB161" s="111" t="str">
        <f t="shared" si="2677"/>
        <v/>
      </c>
      <c r="EC161" s="111" t="str">
        <f t="shared" si="2677"/>
        <v/>
      </c>
      <c r="ED161" s="111" t="str">
        <f t="shared" si="2677"/>
        <v/>
      </c>
      <c r="EE161" s="111" t="str">
        <f t="shared" si="2677"/>
        <v/>
      </c>
      <c r="EF161" s="111" t="str">
        <f t="shared" si="2677"/>
        <v/>
      </c>
      <c r="EG161" s="111" t="str">
        <f t="shared" si="2677"/>
        <v/>
      </c>
      <c r="EH161" s="111" t="str">
        <f t="shared" si="2677"/>
        <v/>
      </c>
      <c r="EI161" s="111" t="str">
        <f t="shared" si="2677"/>
        <v/>
      </c>
      <c r="EJ161" s="111" t="str">
        <f t="shared" si="2677"/>
        <v/>
      </c>
      <c r="EK161" s="111" t="str">
        <f t="shared" si="2677"/>
        <v/>
      </c>
      <c r="EL161" s="111" t="str">
        <f t="shared" si="2677"/>
        <v/>
      </c>
      <c r="EM161" s="111" t="str">
        <f t="shared" si="2677"/>
        <v/>
      </c>
      <c r="EN161" s="111" t="str">
        <f t="shared" si="2677"/>
        <v/>
      </c>
      <c r="EO161" s="111" t="str">
        <f t="shared" si="2677"/>
        <v/>
      </c>
      <c r="EP161" s="111" t="str">
        <f t="shared" si="2677"/>
        <v/>
      </c>
      <c r="EQ161" s="111" t="str">
        <f t="shared" si="2677"/>
        <v/>
      </c>
      <c r="ER161" s="111" t="str">
        <f t="shared" si="2677"/>
        <v/>
      </c>
      <c r="ES161" s="111" t="str">
        <f t="shared" si="2677"/>
        <v/>
      </c>
      <c r="ET161" s="111" t="str">
        <f t="shared" si="2677"/>
        <v/>
      </c>
      <c r="EU161" s="111" t="str">
        <f t="shared" si="2677"/>
        <v/>
      </c>
      <c r="EV161" s="111" t="str">
        <f t="shared" si="2677"/>
        <v/>
      </c>
      <c r="EW161" s="111" t="str">
        <f t="shared" si="2677"/>
        <v/>
      </c>
      <c r="EX161" s="111" t="str">
        <f t="shared" si="2677"/>
        <v/>
      </c>
      <c r="EY161" s="111" t="str">
        <f t="shared" si="2677"/>
        <v/>
      </c>
      <c r="EZ161" s="111" t="str">
        <f t="shared" si="2677"/>
        <v/>
      </c>
      <c r="FA161" s="111" t="str">
        <f t="shared" si="2677"/>
        <v/>
      </c>
      <c r="FB161" s="111" t="str">
        <f t="shared" si="2677"/>
        <v/>
      </c>
      <c r="FC161" s="111" t="str">
        <f t="shared" si="2677"/>
        <v/>
      </c>
      <c r="FD161" s="111" t="str">
        <f t="shared" si="2677"/>
        <v/>
      </c>
      <c r="FE161" s="111" t="str">
        <f t="shared" si="2677"/>
        <v/>
      </c>
      <c r="FF161" s="111" t="str">
        <f t="shared" si="2677"/>
        <v/>
      </c>
      <c r="FG161" s="111" t="str">
        <f t="shared" si="2677"/>
        <v/>
      </c>
      <c r="FH161" s="111" t="str">
        <f t="shared" si="2677"/>
        <v/>
      </c>
      <c r="FI161" s="111" t="str">
        <f t="shared" si="2677"/>
        <v/>
      </c>
      <c r="FJ161" s="111" t="str">
        <f t="shared" si="2677"/>
        <v/>
      </c>
      <c r="FK161" s="111" t="str">
        <f t="shared" si="2677"/>
        <v/>
      </c>
      <c r="FL161" s="111" t="str">
        <f t="shared" si="2677"/>
        <v/>
      </c>
      <c r="FM161" s="111" t="str">
        <f t="shared" si="2677"/>
        <v/>
      </c>
      <c r="FN161" s="111" t="str">
        <f t="shared" ref="FN161:FS161" si="2678">IF(CH161="","","|n"&amp;FN$2&amp;"+"&amp;CH161&amp;FN$1)</f>
        <v/>
      </c>
      <c r="FO161" s="111" t="str">
        <f t="shared" si="2678"/>
        <v/>
      </c>
      <c r="FP161" s="111" t="str">
        <f t="shared" si="2678"/>
        <v/>
      </c>
      <c r="FQ161" s="111" t="str">
        <f t="shared" si="2678"/>
        <v/>
      </c>
      <c r="FR161" s="111" t="str">
        <f t="shared" si="2678"/>
        <v/>
      </c>
      <c r="FS161" s="111" t="str">
        <f t="shared" si="2678"/>
        <v/>
      </c>
    </row>
    <row r="162" spans="1:175" s="29" customFormat="1" ht="16.5">
      <c r="A162" s="15"/>
      <c r="B162" s="9" t="s">
        <v>616</v>
      </c>
      <c r="C162" s="25" t="s">
        <v>617</v>
      </c>
      <c r="D162" s="12"/>
      <c r="E162" s="12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92"/>
      <c r="Q162" s="92"/>
      <c r="R162" s="92"/>
      <c r="S162" s="92"/>
      <c r="T162" s="16" t="s">
        <v>618</v>
      </c>
      <c r="U162" s="77" t="str">
        <f t="shared" si="2676"/>
        <v>ReplaceableTextures\\CommandButtons\\BTNIP07.blp</v>
      </c>
      <c r="V162" s="104"/>
      <c r="W162" s="105"/>
      <c r="X162" s="105"/>
      <c r="Y162" s="105"/>
      <c r="Z162" s="105"/>
      <c r="AA162" s="105"/>
      <c r="AB162" s="105"/>
      <c r="AC162" s="105"/>
      <c r="AD162" s="105"/>
      <c r="AE162" s="105"/>
      <c r="AF162" s="105"/>
      <c r="AG162" s="105"/>
      <c r="AH162" s="105"/>
      <c r="AI162" s="105"/>
      <c r="AJ162" s="105"/>
      <c r="AK162" s="105"/>
      <c r="AL162" s="105"/>
      <c r="AM162" s="105"/>
      <c r="AN162" s="105"/>
      <c r="AO162" s="105"/>
      <c r="AP162" s="105"/>
      <c r="AQ162" s="105"/>
      <c r="AR162" s="109"/>
      <c r="AS162" s="109"/>
      <c r="AT162" s="105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105"/>
      <c r="BY162" s="105"/>
      <c r="BZ162" s="105"/>
      <c r="CA162" s="105"/>
      <c r="CB162" s="105"/>
      <c r="CC162" s="105"/>
      <c r="CD162" s="105"/>
      <c r="CE162" s="105"/>
      <c r="CF162" s="105"/>
      <c r="CG162" s="105"/>
      <c r="CH162" s="105"/>
      <c r="CI162" s="105"/>
      <c r="CJ162" s="105"/>
      <c r="CK162" s="105"/>
      <c r="CL162" s="105"/>
      <c r="CM162" s="105"/>
      <c r="CN162" s="110" t="str">
        <f t="shared" si="2456"/>
        <v>InitUnitState('IP07',,,,,,,,,,)</v>
      </c>
      <c r="CO162" s="110" t="str">
        <f t="shared" si="2457"/>
        <v>InitUnitNormal('IP07',,,,,,,,,,)</v>
      </c>
      <c r="CP162" s="110" t="str">
        <f t="shared" si="2458"/>
        <v>InitUnitMagic('IP07',,,,,,,,,,)</v>
      </c>
      <c r="CQ162" s="110" t="str">
        <f t="shared" si="2459"/>
        <v>InitUnitAdd('IP07',,,,,,,,,,)</v>
      </c>
      <c r="CR162" s="1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InitEquipData('IP07',,"",,,,,'','','','','','',"ReplaceableTextures\\CommandButtons\\BTNIT05.blp")</v>
      </c>
      <c r="CS162" s="110"/>
      <c r="CT162" s="110"/>
      <c r="CU162" s="88" t="str">
        <f t="shared" si="2604"/>
        <v>|n</v>
      </c>
      <c r="CV162" s="29" t="str">
        <f t="shared" si="2605"/>
        <v>可抵扣|Cffffd24d1|r次抽奖消耗</v>
      </c>
      <c r="CW162" s="33"/>
      <c r="CX162" s="33"/>
      <c r="CY162" s="33"/>
      <c r="CZ162" s="33"/>
      <c r="DA162" s="33"/>
      <c r="DB162" s="111" t="str">
        <f t="shared" ref="DB162:FM162" si="2679">IF(V162="","","|n"&amp;DB$2&amp;"+"&amp;V162&amp;DB$1)</f>
        <v/>
      </c>
      <c r="DC162" s="111" t="str">
        <f t="shared" si="2679"/>
        <v/>
      </c>
      <c r="DD162" s="111" t="str">
        <f t="shared" si="2679"/>
        <v/>
      </c>
      <c r="DE162" s="111" t="str">
        <f t="shared" si="2679"/>
        <v/>
      </c>
      <c r="DF162" s="111" t="str">
        <f t="shared" si="2679"/>
        <v/>
      </c>
      <c r="DG162" s="111" t="str">
        <f t="shared" si="2679"/>
        <v/>
      </c>
      <c r="DH162" s="111" t="str">
        <f t="shared" si="2679"/>
        <v/>
      </c>
      <c r="DI162" s="111" t="str">
        <f t="shared" si="2679"/>
        <v/>
      </c>
      <c r="DJ162" s="111" t="str">
        <f t="shared" si="2679"/>
        <v/>
      </c>
      <c r="DK162" s="111" t="str">
        <f t="shared" si="2679"/>
        <v/>
      </c>
      <c r="DL162" s="111" t="str">
        <f t="shared" si="2679"/>
        <v/>
      </c>
      <c r="DM162" s="111" t="str">
        <f t="shared" si="2679"/>
        <v/>
      </c>
      <c r="DN162" s="111" t="str">
        <f t="shared" si="2679"/>
        <v/>
      </c>
      <c r="DO162" s="111" t="str">
        <f t="shared" si="2679"/>
        <v/>
      </c>
      <c r="DP162" s="111" t="str">
        <f t="shared" si="2679"/>
        <v/>
      </c>
      <c r="DQ162" s="111" t="str">
        <f t="shared" si="2679"/>
        <v/>
      </c>
      <c r="DR162" s="111" t="str">
        <f t="shared" si="2679"/>
        <v/>
      </c>
      <c r="DS162" s="111" t="str">
        <f t="shared" si="2679"/>
        <v/>
      </c>
      <c r="DT162" s="111" t="str">
        <f t="shared" si="2679"/>
        <v/>
      </c>
      <c r="DU162" s="111" t="str">
        <f t="shared" si="2679"/>
        <v/>
      </c>
      <c r="DV162" s="111" t="str">
        <f t="shared" si="2679"/>
        <v/>
      </c>
      <c r="DW162" s="111" t="str">
        <f t="shared" si="2679"/>
        <v/>
      </c>
      <c r="DX162" s="111" t="str">
        <f t="shared" si="2679"/>
        <v/>
      </c>
      <c r="DY162" s="111" t="str">
        <f t="shared" si="2679"/>
        <v/>
      </c>
      <c r="DZ162" s="111" t="str">
        <f t="shared" si="2679"/>
        <v/>
      </c>
      <c r="EA162" s="111" t="str">
        <f t="shared" si="2679"/>
        <v/>
      </c>
      <c r="EB162" s="111" t="str">
        <f t="shared" si="2679"/>
        <v/>
      </c>
      <c r="EC162" s="111" t="str">
        <f t="shared" si="2679"/>
        <v/>
      </c>
      <c r="ED162" s="111" t="str">
        <f t="shared" si="2679"/>
        <v/>
      </c>
      <c r="EE162" s="111" t="str">
        <f t="shared" si="2679"/>
        <v/>
      </c>
      <c r="EF162" s="111" t="str">
        <f t="shared" si="2679"/>
        <v/>
      </c>
      <c r="EG162" s="111" t="str">
        <f t="shared" si="2679"/>
        <v/>
      </c>
      <c r="EH162" s="111" t="str">
        <f t="shared" si="2679"/>
        <v/>
      </c>
      <c r="EI162" s="111" t="str">
        <f t="shared" si="2679"/>
        <v/>
      </c>
      <c r="EJ162" s="111" t="str">
        <f t="shared" si="2679"/>
        <v/>
      </c>
      <c r="EK162" s="111" t="str">
        <f t="shared" si="2679"/>
        <v/>
      </c>
      <c r="EL162" s="111" t="str">
        <f t="shared" si="2679"/>
        <v/>
      </c>
      <c r="EM162" s="111" t="str">
        <f t="shared" si="2679"/>
        <v/>
      </c>
      <c r="EN162" s="111" t="str">
        <f t="shared" si="2679"/>
        <v/>
      </c>
      <c r="EO162" s="111" t="str">
        <f t="shared" si="2679"/>
        <v/>
      </c>
      <c r="EP162" s="111" t="str">
        <f t="shared" si="2679"/>
        <v/>
      </c>
      <c r="EQ162" s="111" t="str">
        <f t="shared" si="2679"/>
        <v/>
      </c>
      <c r="ER162" s="111" t="str">
        <f t="shared" si="2679"/>
        <v/>
      </c>
      <c r="ES162" s="111" t="str">
        <f t="shared" si="2679"/>
        <v/>
      </c>
      <c r="ET162" s="111" t="str">
        <f t="shared" si="2679"/>
        <v/>
      </c>
      <c r="EU162" s="111" t="str">
        <f t="shared" si="2679"/>
        <v/>
      </c>
      <c r="EV162" s="111" t="str">
        <f t="shared" si="2679"/>
        <v/>
      </c>
      <c r="EW162" s="111" t="str">
        <f t="shared" si="2679"/>
        <v/>
      </c>
      <c r="EX162" s="111" t="str">
        <f t="shared" si="2679"/>
        <v/>
      </c>
      <c r="EY162" s="111" t="str">
        <f t="shared" si="2679"/>
        <v/>
      </c>
      <c r="EZ162" s="111" t="str">
        <f t="shared" si="2679"/>
        <v/>
      </c>
      <c r="FA162" s="111" t="str">
        <f t="shared" si="2679"/>
        <v/>
      </c>
      <c r="FB162" s="111" t="str">
        <f t="shared" si="2679"/>
        <v/>
      </c>
      <c r="FC162" s="111" t="str">
        <f t="shared" si="2679"/>
        <v/>
      </c>
      <c r="FD162" s="111" t="str">
        <f t="shared" si="2679"/>
        <v/>
      </c>
      <c r="FE162" s="111" t="str">
        <f t="shared" si="2679"/>
        <v/>
      </c>
      <c r="FF162" s="111" t="str">
        <f t="shared" si="2679"/>
        <v/>
      </c>
      <c r="FG162" s="111" t="str">
        <f t="shared" si="2679"/>
        <v/>
      </c>
      <c r="FH162" s="111" t="str">
        <f t="shared" si="2679"/>
        <v/>
      </c>
      <c r="FI162" s="111" t="str">
        <f t="shared" si="2679"/>
        <v/>
      </c>
      <c r="FJ162" s="111" t="str">
        <f t="shared" si="2679"/>
        <v/>
      </c>
      <c r="FK162" s="111" t="str">
        <f t="shared" si="2679"/>
        <v/>
      </c>
      <c r="FL162" s="111" t="str">
        <f t="shared" si="2679"/>
        <v/>
      </c>
      <c r="FM162" s="111" t="str">
        <f t="shared" si="2679"/>
        <v/>
      </c>
      <c r="FN162" s="111" t="str">
        <f t="shared" ref="FN162:FS162" si="2680">IF(CH162="","","|n"&amp;FN$2&amp;"+"&amp;CH162&amp;FN$1)</f>
        <v/>
      </c>
      <c r="FO162" s="111" t="str">
        <f t="shared" si="2680"/>
        <v/>
      </c>
      <c r="FP162" s="111" t="str">
        <f t="shared" si="2680"/>
        <v/>
      </c>
      <c r="FQ162" s="111" t="str">
        <f t="shared" si="2680"/>
        <v/>
      </c>
      <c r="FR162" s="111" t="str">
        <f t="shared" si="2680"/>
        <v/>
      </c>
      <c r="FS162" s="111" t="str">
        <f t="shared" si="2680"/>
        <v/>
      </c>
    </row>
    <row r="163" spans="1:175" s="29" customFormat="1" ht="16.5">
      <c r="A163" s="15"/>
      <c r="B163" s="9" t="s">
        <v>619</v>
      </c>
      <c r="C163" s="25" t="s">
        <v>620</v>
      </c>
      <c r="D163" s="12"/>
      <c r="E163" s="12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92"/>
      <c r="Q163" s="92"/>
      <c r="R163" s="92"/>
      <c r="S163" s="92"/>
      <c r="T163" s="16" t="s">
        <v>621</v>
      </c>
      <c r="U163" s="77" t="s">
        <v>622</v>
      </c>
      <c r="V163" s="104"/>
      <c r="W163" s="105"/>
      <c r="X163" s="105"/>
      <c r="Y163" s="105"/>
      <c r="Z163" s="105"/>
      <c r="AA163" s="105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9"/>
      <c r="AS163" s="109"/>
      <c r="AT163" s="105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105"/>
      <c r="BY163" s="105"/>
      <c r="BZ163" s="105"/>
      <c r="CA163" s="105"/>
      <c r="CB163" s="105"/>
      <c r="CC163" s="105"/>
      <c r="CD163" s="105"/>
      <c r="CE163" s="105"/>
      <c r="CF163" s="105"/>
      <c r="CG163" s="105"/>
      <c r="CH163" s="105"/>
      <c r="CI163" s="105"/>
      <c r="CJ163" s="105"/>
      <c r="CK163" s="105"/>
      <c r="CL163" s="105"/>
      <c r="CM163" s="105"/>
      <c r="CN163" s="110" t="str">
        <f t="shared" si="2456"/>
        <v>InitUnitState('IP08',,,,,,,,,,)</v>
      </c>
      <c r="CO163" s="110" t="str">
        <f t="shared" si="2457"/>
        <v>InitUnitNormal('IP08',,,,,,,,,,)</v>
      </c>
      <c r="CP163" s="110" t="str">
        <f t="shared" si="2458"/>
        <v>InitUnitMagic('IP08',,,,,,,,,,)</v>
      </c>
      <c r="CQ163" s="110" t="str">
        <f t="shared" si="2459"/>
        <v>InitUnitAdd('IP08',,,,,,,,,,)</v>
      </c>
      <c r="CR163" s="1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InitEquipData('IP08',,"",,,,,'','','','','','',"ReplaceableTextures\\CommandButtons\\BTNIT06.blp")</v>
      </c>
      <c r="CS163" s="110"/>
      <c r="CT163" s="110"/>
      <c r="CU163" s="88" t="str">
        <f t="shared" si="2604"/>
        <v>|n</v>
      </c>
      <c r="CV163" s="29" t="str">
        <f t="shared" si="2605"/>
        <v>使用后增加|Cffffd24d300点|r境界经验。</v>
      </c>
      <c r="CW163" s="33"/>
      <c r="CX163" s="33"/>
      <c r="CY163" s="33"/>
      <c r="CZ163" s="33"/>
      <c r="DA163" s="33"/>
      <c r="DB163" s="111" t="str">
        <f t="shared" ref="DB163:FM163" si="2681">IF(V163="","","|n"&amp;DB$2&amp;"+"&amp;V163&amp;DB$1)</f>
        <v/>
      </c>
      <c r="DC163" s="111" t="str">
        <f t="shared" si="2681"/>
        <v/>
      </c>
      <c r="DD163" s="111" t="str">
        <f t="shared" si="2681"/>
        <v/>
      </c>
      <c r="DE163" s="111" t="str">
        <f t="shared" si="2681"/>
        <v/>
      </c>
      <c r="DF163" s="111" t="str">
        <f t="shared" si="2681"/>
        <v/>
      </c>
      <c r="DG163" s="111" t="str">
        <f t="shared" si="2681"/>
        <v/>
      </c>
      <c r="DH163" s="111" t="str">
        <f t="shared" si="2681"/>
        <v/>
      </c>
      <c r="DI163" s="111" t="str">
        <f t="shared" si="2681"/>
        <v/>
      </c>
      <c r="DJ163" s="111" t="str">
        <f t="shared" si="2681"/>
        <v/>
      </c>
      <c r="DK163" s="111" t="str">
        <f t="shared" si="2681"/>
        <v/>
      </c>
      <c r="DL163" s="111" t="str">
        <f t="shared" si="2681"/>
        <v/>
      </c>
      <c r="DM163" s="111" t="str">
        <f t="shared" si="2681"/>
        <v/>
      </c>
      <c r="DN163" s="111" t="str">
        <f t="shared" si="2681"/>
        <v/>
      </c>
      <c r="DO163" s="111" t="str">
        <f t="shared" si="2681"/>
        <v/>
      </c>
      <c r="DP163" s="111" t="str">
        <f t="shared" si="2681"/>
        <v/>
      </c>
      <c r="DQ163" s="111" t="str">
        <f t="shared" si="2681"/>
        <v/>
      </c>
      <c r="DR163" s="111" t="str">
        <f t="shared" si="2681"/>
        <v/>
      </c>
      <c r="DS163" s="111" t="str">
        <f t="shared" si="2681"/>
        <v/>
      </c>
      <c r="DT163" s="111" t="str">
        <f t="shared" si="2681"/>
        <v/>
      </c>
      <c r="DU163" s="111" t="str">
        <f t="shared" si="2681"/>
        <v/>
      </c>
      <c r="DV163" s="111" t="str">
        <f t="shared" si="2681"/>
        <v/>
      </c>
      <c r="DW163" s="111" t="str">
        <f t="shared" si="2681"/>
        <v/>
      </c>
      <c r="DX163" s="111" t="str">
        <f t="shared" si="2681"/>
        <v/>
      </c>
      <c r="DY163" s="111" t="str">
        <f t="shared" si="2681"/>
        <v/>
      </c>
      <c r="DZ163" s="111" t="str">
        <f t="shared" si="2681"/>
        <v/>
      </c>
      <c r="EA163" s="111" t="str">
        <f t="shared" si="2681"/>
        <v/>
      </c>
      <c r="EB163" s="111" t="str">
        <f t="shared" si="2681"/>
        <v/>
      </c>
      <c r="EC163" s="111" t="str">
        <f t="shared" si="2681"/>
        <v/>
      </c>
      <c r="ED163" s="111" t="str">
        <f t="shared" si="2681"/>
        <v/>
      </c>
      <c r="EE163" s="111" t="str">
        <f t="shared" si="2681"/>
        <v/>
      </c>
      <c r="EF163" s="111" t="str">
        <f t="shared" si="2681"/>
        <v/>
      </c>
      <c r="EG163" s="111" t="str">
        <f t="shared" si="2681"/>
        <v/>
      </c>
      <c r="EH163" s="111" t="str">
        <f t="shared" si="2681"/>
        <v/>
      </c>
      <c r="EI163" s="111" t="str">
        <f t="shared" si="2681"/>
        <v/>
      </c>
      <c r="EJ163" s="111" t="str">
        <f t="shared" si="2681"/>
        <v/>
      </c>
      <c r="EK163" s="111" t="str">
        <f t="shared" si="2681"/>
        <v/>
      </c>
      <c r="EL163" s="111" t="str">
        <f t="shared" si="2681"/>
        <v/>
      </c>
      <c r="EM163" s="111" t="str">
        <f t="shared" si="2681"/>
        <v/>
      </c>
      <c r="EN163" s="111" t="str">
        <f t="shared" si="2681"/>
        <v/>
      </c>
      <c r="EO163" s="111" t="str">
        <f t="shared" si="2681"/>
        <v/>
      </c>
      <c r="EP163" s="111" t="str">
        <f t="shared" si="2681"/>
        <v/>
      </c>
      <c r="EQ163" s="111" t="str">
        <f t="shared" si="2681"/>
        <v/>
      </c>
      <c r="ER163" s="111" t="str">
        <f t="shared" si="2681"/>
        <v/>
      </c>
      <c r="ES163" s="111" t="str">
        <f t="shared" si="2681"/>
        <v/>
      </c>
      <c r="ET163" s="111" t="str">
        <f t="shared" si="2681"/>
        <v/>
      </c>
      <c r="EU163" s="111" t="str">
        <f t="shared" si="2681"/>
        <v/>
      </c>
      <c r="EV163" s="111" t="str">
        <f t="shared" si="2681"/>
        <v/>
      </c>
      <c r="EW163" s="111" t="str">
        <f t="shared" si="2681"/>
        <v/>
      </c>
      <c r="EX163" s="111" t="str">
        <f t="shared" si="2681"/>
        <v/>
      </c>
      <c r="EY163" s="111" t="str">
        <f t="shared" si="2681"/>
        <v/>
      </c>
      <c r="EZ163" s="111" t="str">
        <f t="shared" si="2681"/>
        <v/>
      </c>
      <c r="FA163" s="111" t="str">
        <f t="shared" si="2681"/>
        <v/>
      </c>
      <c r="FB163" s="111" t="str">
        <f t="shared" si="2681"/>
        <v/>
      </c>
      <c r="FC163" s="111" t="str">
        <f t="shared" si="2681"/>
        <v/>
      </c>
      <c r="FD163" s="111" t="str">
        <f t="shared" si="2681"/>
        <v/>
      </c>
      <c r="FE163" s="111" t="str">
        <f t="shared" si="2681"/>
        <v/>
      </c>
      <c r="FF163" s="111" t="str">
        <f t="shared" si="2681"/>
        <v/>
      </c>
      <c r="FG163" s="111" t="str">
        <f t="shared" si="2681"/>
        <v/>
      </c>
      <c r="FH163" s="111" t="str">
        <f t="shared" si="2681"/>
        <v/>
      </c>
      <c r="FI163" s="111" t="str">
        <f t="shared" si="2681"/>
        <v/>
      </c>
      <c r="FJ163" s="111" t="str">
        <f t="shared" si="2681"/>
        <v/>
      </c>
      <c r="FK163" s="111" t="str">
        <f t="shared" si="2681"/>
        <v/>
      </c>
      <c r="FL163" s="111" t="str">
        <f t="shared" si="2681"/>
        <v/>
      </c>
      <c r="FM163" s="111" t="str">
        <f t="shared" si="2681"/>
        <v/>
      </c>
      <c r="FN163" s="111" t="str">
        <f t="shared" ref="FN163:FS163" si="2682">IF(CH163="","","|n"&amp;FN$2&amp;"+"&amp;CH163&amp;FN$1)</f>
        <v/>
      </c>
      <c r="FO163" s="111" t="str">
        <f t="shared" si="2682"/>
        <v/>
      </c>
      <c r="FP163" s="111" t="str">
        <f t="shared" si="2682"/>
        <v/>
      </c>
      <c r="FQ163" s="111" t="str">
        <f t="shared" si="2682"/>
        <v/>
      </c>
      <c r="FR163" s="111" t="str">
        <f t="shared" si="2682"/>
        <v/>
      </c>
      <c r="FS163" s="111" t="str">
        <f t="shared" si="2682"/>
        <v/>
      </c>
    </row>
    <row r="164" spans="1:175" s="29" customFormat="1" ht="16.5">
      <c r="A164" s="15"/>
      <c r="B164" s="9" t="s">
        <v>623</v>
      </c>
      <c r="C164" s="25" t="s">
        <v>624</v>
      </c>
      <c r="D164" s="12"/>
      <c r="E164" s="12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92"/>
      <c r="Q164" s="92"/>
      <c r="R164" s="92"/>
      <c r="S164" s="92"/>
      <c r="T164" s="16" t="s">
        <v>625</v>
      </c>
      <c r="U164" s="77" t="s">
        <v>626</v>
      </c>
      <c r="V164" s="104"/>
      <c r="W164" s="105"/>
      <c r="X164" s="105"/>
      <c r="Y164" s="105"/>
      <c r="Z164" s="105"/>
      <c r="AA164" s="105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9"/>
      <c r="AS164" s="109"/>
      <c r="AT164" s="105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105"/>
      <c r="BY164" s="105"/>
      <c r="BZ164" s="105"/>
      <c r="CA164" s="105"/>
      <c r="CB164" s="105"/>
      <c r="CC164" s="105"/>
      <c r="CD164" s="105"/>
      <c r="CE164" s="105"/>
      <c r="CF164" s="105"/>
      <c r="CG164" s="105"/>
      <c r="CH164" s="105"/>
      <c r="CI164" s="105"/>
      <c r="CJ164" s="105"/>
      <c r="CK164" s="105"/>
      <c r="CL164" s="105"/>
      <c r="CM164" s="105"/>
      <c r="CN164" s="110" t="str">
        <f t="shared" si="2456"/>
        <v>InitUnitState('IP09',,,,,,,,,,)</v>
      </c>
      <c r="CO164" s="110" t="str">
        <f t="shared" si="2457"/>
        <v>InitUnitNormal('IP09',,,,,,,,,,)</v>
      </c>
      <c r="CP164" s="110" t="str">
        <f t="shared" si="2458"/>
        <v>InitUnitMagic('IP09',,,,,,,,,,)</v>
      </c>
      <c r="CQ164" s="110" t="str">
        <f t="shared" si="2459"/>
        <v>InitUnitAdd('IP09',,,,,,,,,,)</v>
      </c>
      <c r="CR164" s="1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InitEquipData('IP09',,"",,,,,'','','','','','',"ReplaceableTextures\\CommandButtons\\BTNIT07.blp")</v>
      </c>
      <c r="CS164" s="110"/>
      <c r="CT164" s="110"/>
      <c r="CU164" s="88" t="str">
        <f t="shared" si="2604"/>
        <v>|n</v>
      </c>
      <c r="CV164" s="29" t="str">
        <f t="shared" si="2605"/>
        <v>使用后增加|Cffffd24d500点|r境界经验。</v>
      </c>
      <c r="CW164" s="33"/>
      <c r="CX164" s="33"/>
      <c r="CY164" s="33"/>
      <c r="CZ164" s="33"/>
      <c r="DA164" s="33"/>
      <c r="DB164" s="111" t="str">
        <f t="shared" ref="DB164:FM164" si="2683">IF(V164="","","|n"&amp;DB$2&amp;"+"&amp;V164&amp;DB$1)</f>
        <v/>
      </c>
      <c r="DC164" s="111" t="str">
        <f t="shared" si="2683"/>
        <v/>
      </c>
      <c r="DD164" s="111" t="str">
        <f t="shared" si="2683"/>
        <v/>
      </c>
      <c r="DE164" s="111" t="str">
        <f t="shared" si="2683"/>
        <v/>
      </c>
      <c r="DF164" s="111" t="str">
        <f t="shared" si="2683"/>
        <v/>
      </c>
      <c r="DG164" s="111" t="str">
        <f t="shared" si="2683"/>
        <v/>
      </c>
      <c r="DH164" s="111" t="str">
        <f t="shared" si="2683"/>
        <v/>
      </c>
      <c r="DI164" s="111" t="str">
        <f t="shared" si="2683"/>
        <v/>
      </c>
      <c r="DJ164" s="111" t="str">
        <f t="shared" si="2683"/>
        <v/>
      </c>
      <c r="DK164" s="111" t="str">
        <f t="shared" si="2683"/>
        <v/>
      </c>
      <c r="DL164" s="111" t="str">
        <f t="shared" si="2683"/>
        <v/>
      </c>
      <c r="DM164" s="111" t="str">
        <f t="shared" si="2683"/>
        <v/>
      </c>
      <c r="DN164" s="111" t="str">
        <f t="shared" si="2683"/>
        <v/>
      </c>
      <c r="DO164" s="111" t="str">
        <f t="shared" si="2683"/>
        <v/>
      </c>
      <c r="DP164" s="111" t="str">
        <f t="shared" si="2683"/>
        <v/>
      </c>
      <c r="DQ164" s="111" t="str">
        <f t="shared" si="2683"/>
        <v/>
      </c>
      <c r="DR164" s="111" t="str">
        <f t="shared" si="2683"/>
        <v/>
      </c>
      <c r="DS164" s="111" t="str">
        <f t="shared" si="2683"/>
        <v/>
      </c>
      <c r="DT164" s="111" t="str">
        <f t="shared" si="2683"/>
        <v/>
      </c>
      <c r="DU164" s="111" t="str">
        <f t="shared" si="2683"/>
        <v/>
      </c>
      <c r="DV164" s="111" t="str">
        <f t="shared" si="2683"/>
        <v/>
      </c>
      <c r="DW164" s="111" t="str">
        <f t="shared" si="2683"/>
        <v/>
      </c>
      <c r="DX164" s="111" t="str">
        <f t="shared" si="2683"/>
        <v/>
      </c>
      <c r="DY164" s="111" t="str">
        <f t="shared" si="2683"/>
        <v/>
      </c>
      <c r="DZ164" s="111" t="str">
        <f t="shared" si="2683"/>
        <v/>
      </c>
      <c r="EA164" s="111" t="str">
        <f t="shared" si="2683"/>
        <v/>
      </c>
      <c r="EB164" s="111" t="str">
        <f t="shared" si="2683"/>
        <v/>
      </c>
      <c r="EC164" s="111" t="str">
        <f t="shared" si="2683"/>
        <v/>
      </c>
      <c r="ED164" s="111" t="str">
        <f t="shared" si="2683"/>
        <v/>
      </c>
      <c r="EE164" s="111" t="str">
        <f t="shared" si="2683"/>
        <v/>
      </c>
      <c r="EF164" s="111" t="str">
        <f t="shared" si="2683"/>
        <v/>
      </c>
      <c r="EG164" s="111" t="str">
        <f t="shared" si="2683"/>
        <v/>
      </c>
      <c r="EH164" s="111" t="str">
        <f t="shared" si="2683"/>
        <v/>
      </c>
      <c r="EI164" s="111" t="str">
        <f t="shared" si="2683"/>
        <v/>
      </c>
      <c r="EJ164" s="111" t="str">
        <f t="shared" si="2683"/>
        <v/>
      </c>
      <c r="EK164" s="111" t="str">
        <f t="shared" si="2683"/>
        <v/>
      </c>
      <c r="EL164" s="111" t="str">
        <f t="shared" si="2683"/>
        <v/>
      </c>
      <c r="EM164" s="111" t="str">
        <f t="shared" si="2683"/>
        <v/>
      </c>
      <c r="EN164" s="111" t="str">
        <f t="shared" si="2683"/>
        <v/>
      </c>
      <c r="EO164" s="111" t="str">
        <f t="shared" si="2683"/>
        <v/>
      </c>
      <c r="EP164" s="111" t="str">
        <f t="shared" si="2683"/>
        <v/>
      </c>
      <c r="EQ164" s="111" t="str">
        <f t="shared" si="2683"/>
        <v/>
      </c>
      <c r="ER164" s="111" t="str">
        <f t="shared" si="2683"/>
        <v/>
      </c>
      <c r="ES164" s="111" t="str">
        <f t="shared" si="2683"/>
        <v/>
      </c>
      <c r="ET164" s="111" t="str">
        <f t="shared" si="2683"/>
        <v/>
      </c>
      <c r="EU164" s="111" t="str">
        <f t="shared" si="2683"/>
        <v/>
      </c>
      <c r="EV164" s="111" t="str">
        <f t="shared" si="2683"/>
        <v/>
      </c>
      <c r="EW164" s="111" t="str">
        <f t="shared" si="2683"/>
        <v/>
      </c>
      <c r="EX164" s="111" t="str">
        <f t="shared" si="2683"/>
        <v/>
      </c>
      <c r="EY164" s="111" t="str">
        <f t="shared" si="2683"/>
        <v/>
      </c>
      <c r="EZ164" s="111" t="str">
        <f t="shared" si="2683"/>
        <v/>
      </c>
      <c r="FA164" s="111" t="str">
        <f t="shared" si="2683"/>
        <v/>
      </c>
      <c r="FB164" s="111" t="str">
        <f t="shared" si="2683"/>
        <v/>
      </c>
      <c r="FC164" s="111" t="str">
        <f t="shared" si="2683"/>
        <v/>
      </c>
      <c r="FD164" s="111" t="str">
        <f t="shared" si="2683"/>
        <v/>
      </c>
      <c r="FE164" s="111" t="str">
        <f t="shared" si="2683"/>
        <v/>
      </c>
      <c r="FF164" s="111" t="str">
        <f t="shared" si="2683"/>
        <v/>
      </c>
      <c r="FG164" s="111" t="str">
        <f t="shared" si="2683"/>
        <v/>
      </c>
      <c r="FH164" s="111" t="str">
        <f t="shared" si="2683"/>
        <v/>
      </c>
      <c r="FI164" s="111" t="str">
        <f t="shared" si="2683"/>
        <v/>
      </c>
      <c r="FJ164" s="111" t="str">
        <f t="shared" si="2683"/>
        <v/>
      </c>
      <c r="FK164" s="111" t="str">
        <f t="shared" si="2683"/>
        <v/>
      </c>
      <c r="FL164" s="111" t="str">
        <f t="shared" si="2683"/>
        <v/>
      </c>
      <c r="FM164" s="111" t="str">
        <f t="shared" si="2683"/>
        <v/>
      </c>
      <c r="FN164" s="111" t="str">
        <f t="shared" ref="FN164:FS164" si="2684">IF(CH164="","","|n"&amp;FN$2&amp;"+"&amp;CH164&amp;FN$1)</f>
        <v/>
      </c>
      <c r="FO164" s="111" t="str">
        <f t="shared" si="2684"/>
        <v/>
      </c>
      <c r="FP164" s="111" t="str">
        <f t="shared" si="2684"/>
        <v/>
      </c>
      <c r="FQ164" s="111" t="str">
        <f t="shared" si="2684"/>
        <v/>
      </c>
      <c r="FR164" s="111" t="str">
        <f t="shared" si="2684"/>
        <v/>
      </c>
      <c r="FS164" s="111" t="str">
        <f t="shared" si="2684"/>
        <v/>
      </c>
    </row>
    <row r="165" spans="1:175" ht="71.25">
      <c r="A165" s="15"/>
      <c r="B165" s="9" t="s">
        <v>627</v>
      </c>
      <c r="C165" s="15" t="s">
        <v>628</v>
      </c>
      <c r="R165" s="60">
        <v>-8086</v>
      </c>
      <c r="S165" s="60">
        <v>-3245</v>
      </c>
      <c r="T165" s="107" t="str">
        <f>"渡过该劫后可结成|CffCCCCCC低级道果|r。|n|n|CffCCCCCC低级道果：|r"&amp;CU78</f>
        <v>渡过该劫后可结成|CffCCCCCC低级道果|r。|n|n|CffCCCCCC低级道果：|r|n攻击+5000|n业力+4000|n生命值+100000|n生命回复+2000|n物理伤害+12%|n法术伤害+10%|n杀敌攻击+8|n杀敌业力+1|n杀敌生命+30|n</v>
      </c>
      <c r="U165" s="77" t="str">
        <f t="shared" ref="U165:U179" si="2685">"ReplaceableTextures\\CommandButtons\\BTN"&amp;B165&amp;".blp"</f>
        <v>ReplaceableTextures\\CommandButtons\\BTNIT01.blp</v>
      </c>
      <c r="CN165" s="36" t="str">
        <f t="shared" ref="CN165:CN178" si="2686">"InitUnitState('"&amp;B165&amp;"',"&amp;V165&amp;","&amp;W165&amp;","&amp;X165&amp;","&amp;Y165&amp;","&amp;Z165&amp;","&amp;AA165&amp;","&amp;AB165&amp;","&amp;AC165&amp;","&amp;AD165&amp;","&amp;AE165&amp;")"</f>
        <v>InitUnitState('IT01',,,,,,,,,,)</v>
      </c>
      <c r="CO165" s="36" t="str">
        <f t="shared" ref="CO165:CO178" si="2687">"InitUnitNormal('"&amp;B165&amp;"',"&amp;AF165&amp;","&amp;AG165&amp;","&amp;AH165&amp;","&amp;AI165&amp;","&amp;AJ165&amp;","&amp;AK165&amp;","&amp;AL165&amp;","&amp;AM165&amp;","&amp;AN165&amp;","&amp;AO165&amp;")"</f>
        <v>InitUnitNormal('IT01',,,,,,,,,,)</v>
      </c>
      <c r="CP165" s="36" t="str">
        <f t="shared" ref="CP165:CP178" si="2688">"InitUnitMagic('"&amp;B165&amp;"',"&amp;AP165&amp;","&amp;AQ165&amp;","&amp;AR165&amp;","&amp;AS165&amp;","&amp;AT165&amp;","&amp;AU165&amp;","&amp;AV165&amp;","&amp;AW165&amp;","&amp;BI165&amp;","&amp;BJ165&amp;")"</f>
        <v>InitUnitMagic('IT01',,,,,,,,,,)</v>
      </c>
      <c r="CQ165" s="36" t="str">
        <f t="shared" ref="CQ165:CQ178" si="2689">"InitUnitAdd('"&amp;B165&amp;"',"&amp;BK165&amp;","&amp;BL165&amp;","&amp;BM165&amp;","&amp;BN165&amp;","&amp;BO165&amp;","&amp;BP165&amp;","&amp;BQ165&amp;","&amp;BR165&amp;","&amp;BS165&amp;","&amp;BT165&amp;")"</f>
        <v>InitUnitAdd('IT01',,,,,,,,,,)</v>
      </c>
      <c r="CR165" s="36" t="str">
        <f t="shared" ref="CR165:CR173" si="2690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InitEquipData('IT01',,"",,,,,'','','','','','',"ReplaceableTextures\\CommandButtons\\BTNIT02.blp")</v>
      </c>
      <c r="CU165" s="88" t="str">
        <f t="shared" ref="CU165" si="269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19" t="str">
        <f t="shared" ref="CV165:CV166" si="2692">T165</f>
        <v>渡过该劫后可结成|CffCCCCCC低级道果|r。|n|n|CffCCCCCC低级道果：|r|n攻击+5000|n业力+4000|n生命值+100000|n生命回复+2000|n物理伤害+12%|n法术伤害+10%|n杀敌攻击+8|n杀敌业力+1|n杀敌生命+30|n</v>
      </c>
      <c r="CW165" s="33"/>
      <c r="CX165" s="33"/>
      <c r="CY165" s="33"/>
      <c r="CZ165" s="33"/>
      <c r="DA165" s="33"/>
      <c r="DB165" s="66" t="str">
        <f t="shared" ref="DB165" si="2693">IF(V165="","","|n"&amp;DB$2&amp;"+"&amp;V165&amp;DB$1)</f>
        <v/>
      </c>
      <c r="DC165" s="66" t="str">
        <f t="shared" ref="DC165" si="2694">IF(W165="","","|n"&amp;DC$2&amp;"+"&amp;W165&amp;DC$1)</f>
        <v/>
      </c>
      <c r="DD165" s="66" t="str">
        <f t="shared" ref="DD165" si="2695">IF(X165="","","|n"&amp;DD$2&amp;"+"&amp;X165&amp;DD$1)</f>
        <v/>
      </c>
      <c r="DE165" s="66" t="str">
        <f t="shared" ref="DE165" si="2696">IF(Y165="","","|n"&amp;DE$2&amp;"+"&amp;Y165&amp;DE$1)</f>
        <v/>
      </c>
      <c r="DF165" s="66" t="str">
        <f t="shared" ref="DF165" si="2697">IF(Z165="","","|n"&amp;DF$2&amp;"+"&amp;Z165&amp;DF$1)</f>
        <v/>
      </c>
      <c r="DG165" s="66" t="str">
        <f t="shared" ref="DG165" si="2698">IF(AA165="","","|n"&amp;DG$2&amp;"+"&amp;AA165&amp;DG$1)</f>
        <v/>
      </c>
      <c r="DH165" s="66" t="str">
        <f t="shared" ref="DH165" si="2699">IF(AB165="","","|n"&amp;DH$2&amp;"+"&amp;AB165&amp;DH$1)</f>
        <v/>
      </c>
      <c r="DI165" s="66" t="str">
        <f t="shared" ref="DI165" si="2700">IF(AC165="","","|n"&amp;DI$2&amp;"+"&amp;AC165&amp;DI$1)</f>
        <v/>
      </c>
      <c r="DJ165" s="66" t="str">
        <f t="shared" ref="DJ165" si="2701">IF(AD165="","","|n"&amp;DJ$2&amp;"+"&amp;AD165&amp;DJ$1)</f>
        <v/>
      </c>
      <c r="DK165" s="66" t="str">
        <f t="shared" ref="DK165" si="2702">IF(AE165="","","|n"&amp;DK$2&amp;"+"&amp;AE165&amp;DK$1)</f>
        <v/>
      </c>
      <c r="DL165" s="66" t="str">
        <f t="shared" ref="DL165" si="2703">IF(AF165="","","|n"&amp;DL$2&amp;"+"&amp;AF165&amp;DL$1)</f>
        <v/>
      </c>
      <c r="DM165" s="66" t="str">
        <f t="shared" ref="DM165" si="2704">IF(AG165="","","|n"&amp;DM$2&amp;"+"&amp;AG165&amp;DM$1)</f>
        <v/>
      </c>
      <c r="DN165" s="66" t="str">
        <f t="shared" ref="DN165" si="2705">IF(AH165="","","|n"&amp;DN$2&amp;"+"&amp;AH165&amp;DN$1)</f>
        <v/>
      </c>
      <c r="DO165" s="66" t="str">
        <f t="shared" ref="DO165" si="2706">IF(AI165="","","|n"&amp;DO$2&amp;"+"&amp;AI165&amp;DO$1)</f>
        <v/>
      </c>
      <c r="DP165" s="66" t="str">
        <f t="shared" ref="DP165" si="2707">IF(AJ165="","","|n"&amp;DP$2&amp;"+"&amp;AJ165&amp;DP$1)</f>
        <v/>
      </c>
      <c r="DQ165" s="66" t="str">
        <f t="shared" ref="DQ165" si="2708">IF(AK165="","","|n"&amp;DQ$2&amp;"+"&amp;AK165&amp;DQ$1)</f>
        <v/>
      </c>
      <c r="DR165" s="66" t="str">
        <f t="shared" ref="DR165" si="2709">IF(AL165="","","|n"&amp;DR$2&amp;"+"&amp;AL165&amp;DR$1)</f>
        <v/>
      </c>
      <c r="DS165" s="66" t="str">
        <f t="shared" ref="DS165" si="2710">IF(AM165="","","|n"&amp;DS$2&amp;"+"&amp;AM165&amp;DS$1)</f>
        <v/>
      </c>
      <c r="DT165" s="66" t="str">
        <f t="shared" ref="DT165" si="2711">IF(AN165="","","|n"&amp;DT$2&amp;"+"&amp;AN165&amp;DT$1)</f>
        <v/>
      </c>
      <c r="DU165" s="66" t="str">
        <f t="shared" ref="DU165" si="2712">IF(AO165="","","|n"&amp;DU$2&amp;"+"&amp;AO165&amp;DU$1)</f>
        <v/>
      </c>
      <c r="DV165" s="66" t="str">
        <f t="shared" ref="DV165" si="2713">IF(AP165="","","|n"&amp;DV$2&amp;"+"&amp;AP165&amp;DV$1)</f>
        <v/>
      </c>
      <c r="DW165" s="66" t="str">
        <f t="shared" ref="DW165" si="2714">IF(AQ165="","","|n"&amp;DW$2&amp;"+"&amp;AQ165&amp;DW$1)</f>
        <v/>
      </c>
      <c r="DX165" s="66" t="str">
        <f t="shared" ref="DX165" si="2715">IF(AR165="","","|n"&amp;DX$2&amp;"+"&amp;AR165&amp;DX$1)</f>
        <v/>
      </c>
      <c r="DY165" s="66" t="str">
        <f t="shared" ref="DY165" si="2716">IF(AS165="","","|n"&amp;DY$2&amp;"+"&amp;AS165&amp;DY$1)</f>
        <v/>
      </c>
      <c r="DZ165" s="66" t="str">
        <f t="shared" ref="DZ165" si="2717">IF(AT165="","","|n"&amp;DZ$2&amp;"+"&amp;AT165&amp;DZ$1)</f>
        <v/>
      </c>
      <c r="EA165" s="66" t="str">
        <f t="shared" ref="EA165" si="2718">IF(AU165="","","|n"&amp;EA$2&amp;"+"&amp;AU165&amp;EA$1)</f>
        <v/>
      </c>
      <c r="EB165" s="66" t="str">
        <f t="shared" ref="EB165" si="2719">IF(AV165="","","|n"&amp;EB$2&amp;"+"&amp;AV165&amp;EB$1)</f>
        <v/>
      </c>
      <c r="EC165" s="66" t="str">
        <f t="shared" ref="EC165" si="2720">IF(AW165="","","|n"&amp;EC$2&amp;"+"&amp;AW165&amp;EC$1)</f>
        <v/>
      </c>
      <c r="ED165" s="66" t="str">
        <f t="shared" ref="ED165" si="2721">IF(AX165="","","|n"&amp;ED$2&amp;"+"&amp;AX165&amp;ED$1)</f>
        <v/>
      </c>
      <c r="EE165" s="66" t="str">
        <f t="shared" ref="EE165" si="2722">IF(AY165="","","|n"&amp;EE$2&amp;"+"&amp;AY165&amp;EE$1)</f>
        <v/>
      </c>
      <c r="EF165" s="66" t="str">
        <f t="shared" ref="EF165" si="2723">IF(AZ165="","","|n"&amp;EF$2&amp;"+"&amp;AZ165&amp;EF$1)</f>
        <v/>
      </c>
      <c r="EG165" s="66" t="str">
        <f t="shared" ref="EG165" si="2724">IF(BA165="","","|n"&amp;EG$2&amp;"+"&amp;BA165&amp;EG$1)</f>
        <v/>
      </c>
      <c r="EH165" s="66" t="str">
        <f t="shared" ref="EH165" si="2725">IF(BB165="","","|n"&amp;EH$2&amp;"+"&amp;BB165&amp;EH$1)</f>
        <v/>
      </c>
      <c r="EI165" s="66" t="str">
        <f t="shared" ref="EI165" si="2726">IF(BC165="","","|n"&amp;EI$2&amp;"+"&amp;BC165&amp;EI$1)</f>
        <v/>
      </c>
      <c r="EJ165" s="66" t="str">
        <f t="shared" ref="EJ165" si="2727">IF(BD165="","","|n"&amp;EJ$2&amp;"+"&amp;BD165&amp;EJ$1)</f>
        <v/>
      </c>
      <c r="EK165" s="66" t="str">
        <f t="shared" ref="EK165" si="2728">IF(BE165="","","|n"&amp;EK$2&amp;"+"&amp;BE165&amp;EK$1)</f>
        <v/>
      </c>
      <c r="EL165" s="66" t="str">
        <f t="shared" ref="EL165" si="2729">IF(BF165="","","|n"&amp;EL$2&amp;"+"&amp;BF165&amp;EL$1)</f>
        <v/>
      </c>
      <c r="EM165" s="66" t="str">
        <f t="shared" ref="EM165" si="2730">IF(BG165="","","|n"&amp;EM$2&amp;"+"&amp;BG165&amp;EM$1)</f>
        <v/>
      </c>
      <c r="EN165" s="66" t="str">
        <f t="shared" ref="EN165" si="2731">IF(BH165="","","|n"&amp;EN$2&amp;"+"&amp;BH165&amp;EN$1)</f>
        <v/>
      </c>
      <c r="EO165" s="66" t="str">
        <f t="shared" ref="EO165" si="2732">IF(BI165="","","|n"&amp;EO$2&amp;"+"&amp;BI165&amp;EO$1)</f>
        <v/>
      </c>
      <c r="EP165" s="66" t="str">
        <f t="shared" ref="EP165" si="2733">IF(BJ165="","","|n"&amp;EP$2&amp;"+"&amp;BJ165&amp;EP$1)</f>
        <v/>
      </c>
      <c r="EQ165" s="66" t="str">
        <f t="shared" ref="EQ165" si="2734">IF(BK165="","","|n"&amp;EQ$2&amp;"+"&amp;BK165&amp;EQ$1)</f>
        <v/>
      </c>
      <c r="ER165" s="66" t="str">
        <f t="shared" ref="ER165" si="2735">IF(BL165="","","|n"&amp;ER$2&amp;"+"&amp;BL165&amp;ER$1)</f>
        <v/>
      </c>
      <c r="ES165" s="66" t="str">
        <f t="shared" ref="ES165" si="2736">IF(BM165="","","|n"&amp;ES$2&amp;"+"&amp;BM165&amp;ES$1)</f>
        <v/>
      </c>
      <c r="ET165" s="66" t="str">
        <f t="shared" ref="ET165" si="2737">IF(BN165="","","|n"&amp;ET$2&amp;"+"&amp;BN165&amp;ET$1)</f>
        <v/>
      </c>
      <c r="EU165" s="66" t="str">
        <f t="shared" ref="EU165" si="2738">IF(BO165="","","|n"&amp;EU$2&amp;"+"&amp;BO165&amp;EU$1)</f>
        <v/>
      </c>
      <c r="EV165" s="66" t="str">
        <f t="shared" ref="EV165" si="2739">IF(BP165="","","|n"&amp;EV$2&amp;"+"&amp;BP165&amp;EV$1)</f>
        <v/>
      </c>
      <c r="EW165" s="66" t="str">
        <f t="shared" ref="EW165" si="2740">IF(BQ165="","","|n"&amp;EW$2&amp;"+"&amp;BQ165&amp;EW$1)</f>
        <v/>
      </c>
      <c r="EX165" s="66" t="str">
        <f t="shared" ref="EX165" si="2741">IF(BR165="","","|n"&amp;EX$2&amp;"+"&amp;BR165&amp;EX$1)</f>
        <v/>
      </c>
      <c r="EY165" s="66" t="str">
        <f t="shared" ref="EY165" si="2742">IF(BS165="","","|n"&amp;EY$2&amp;"+"&amp;BS165&amp;EY$1)</f>
        <v/>
      </c>
      <c r="EZ165" s="66" t="str">
        <f t="shared" ref="EZ165" si="2743">IF(BT165="","","|n"&amp;EZ$2&amp;"+"&amp;BT165&amp;EZ$1)</f>
        <v/>
      </c>
      <c r="FA165" s="66" t="str">
        <f t="shared" ref="FA165" si="2744">IF(BU165="","","|n"&amp;FA$2&amp;"+"&amp;BU165&amp;FA$1)</f>
        <v/>
      </c>
      <c r="FB165" s="66" t="str">
        <f t="shared" ref="FB165" si="2745">IF(BV165="","","|n"&amp;FB$2&amp;"+"&amp;BV165&amp;FB$1)</f>
        <v/>
      </c>
      <c r="FC165" s="66" t="str">
        <f t="shared" ref="FC165" si="2746">IF(BW165="","","|n"&amp;FC$2&amp;"+"&amp;BW165&amp;FC$1)</f>
        <v/>
      </c>
      <c r="FD165" s="66" t="str">
        <f t="shared" ref="FD165" si="2747">IF(BX165="","","|n"&amp;FD$2&amp;"+"&amp;BX165&amp;FD$1)</f>
        <v/>
      </c>
      <c r="FE165" s="66" t="str">
        <f t="shared" ref="FE165" si="2748">IF(BY165="","","|n"&amp;FE$2&amp;"+"&amp;BY165&amp;FE$1)</f>
        <v/>
      </c>
      <c r="FF165" s="66" t="str">
        <f t="shared" ref="FF165" si="2749">IF(BZ165="","","|n"&amp;FF$2&amp;"+"&amp;BZ165&amp;FF$1)</f>
        <v/>
      </c>
      <c r="FG165" s="66" t="str">
        <f t="shared" ref="FG165" si="2750">IF(CA165="","","|n"&amp;FG$2&amp;"+"&amp;CA165&amp;FG$1)</f>
        <v/>
      </c>
      <c r="FH165" s="66" t="str">
        <f t="shared" ref="FH165" si="2751">IF(CB165="","","|n"&amp;FH$2&amp;"+"&amp;CB165&amp;FH$1)</f>
        <v/>
      </c>
      <c r="FI165" s="66" t="str">
        <f t="shared" ref="FI165" si="2752">IF(CC165="","","|n"&amp;FI$2&amp;"+"&amp;CC165&amp;FI$1)</f>
        <v/>
      </c>
      <c r="FJ165" s="66" t="str">
        <f t="shared" ref="FJ165" si="2753">IF(CD165="","","|n"&amp;FJ$2&amp;"+"&amp;CD165&amp;FJ$1)</f>
        <v/>
      </c>
      <c r="FK165" s="66" t="str">
        <f t="shared" ref="FK165" si="2754">IF(CE165="","","|n"&amp;FK$2&amp;"+"&amp;CE165&amp;FK$1)</f>
        <v/>
      </c>
      <c r="FL165" s="66" t="str">
        <f t="shared" ref="FL165" si="2755">IF(CF165="","","|n"&amp;FL$2&amp;"+"&amp;CF165&amp;FL$1)</f>
        <v/>
      </c>
      <c r="FM165" s="66" t="str">
        <f t="shared" ref="FM165" si="2756">IF(CG165="","","|n"&amp;FM$2&amp;"+"&amp;CG165&amp;FM$1)</f>
        <v/>
      </c>
      <c r="FN165" s="66" t="str">
        <f t="shared" ref="FN165" si="2757">IF(CH165="","","|n"&amp;FN$2&amp;"+"&amp;CH165&amp;FN$1)</f>
        <v/>
      </c>
      <c r="FO165" s="66" t="str">
        <f t="shared" ref="FO165" si="2758">IF(CI165="","","|n"&amp;FO$2&amp;"+"&amp;CI165&amp;FO$1)</f>
        <v/>
      </c>
      <c r="FP165" s="66" t="str">
        <f t="shared" ref="FP165" si="2759">IF(CJ165="","","|n"&amp;FP$2&amp;"+"&amp;CJ165&amp;FP$1)</f>
        <v/>
      </c>
      <c r="FQ165" s="66" t="str">
        <f t="shared" ref="FQ165" si="2760">IF(CK165="","","|n"&amp;FQ$2&amp;"+"&amp;CK165&amp;FQ$1)</f>
        <v/>
      </c>
      <c r="FR165" s="66" t="str">
        <f t="shared" ref="FR165" si="2761">IF(CL165="","","|n"&amp;FR$2&amp;"+"&amp;CL165&amp;FR$1)</f>
        <v/>
      </c>
      <c r="FS165" s="66" t="str">
        <f t="shared" ref="FS165" si="2762">IF(CM165="","","|n"&amp;FS$2&amp;"+"&amp;CM165&amp;FS$1)</f>
        <v/>
      </c>
    </row>
    <row r="166" spans="1:175" ht="71.25">
      <c r="A166" s="15"/>
      <c r="B166" s="9" t="s">
        <v>629</v>
      </c>
      <c r="C166" s="15" t="s">
        <v>630</v>
      </c>
      <c r="R166" s="60">
        <v>-7991</v>
      </c>
      <c r="S166" s="60">
        <v>-2312</v>
      </c>
      <c r="T166" s="107" t="str">
        <f>"渡过该劫后可结成|CffCCCCCC中级道果|r。|n|n|CffCCCCCC中级道果：|r"&amp;CU79</f>
        <v>渡过该劫后可结成|CffCCCCCC中级道果|r。|n|n|CffCCCCCC中级道果：|r|n攻击+7500|n业力+6000|n生命值+150000|n生命回复+3000|n物理伤害+12%|n法术伤害+10%|n杀敌攻击+8|n杀敌业力+1|n杀敌生命+30|n</v>
      </c>
      <c r="U166" s="77" t="str">
        <f t="shared" si="2685"/>
        <v>ReplaceableTextures\\CommandButtons\\BTNIT02.blp</v>
      </c>
      <c r="CN166" s="36" t="str">
        <f t="shared" si="2686"/>
        <v>InitUnitState('IT02',,,,,,,,,,)</v>
      </c>
      <c r="CO166" s="36" t="str">
        <f t="shared" si="2687"/>
        <v>InitUnitNormal('IT02',,,,,,,,,,)</v>
      </c>
      <c r="CP166" s="36" t="str">
        <f t="shared" si="2688"/>
        <v>InitUnitMagic('IT02',,,,,,,,,,)</v>
      </c>
      <c r="CQ166" s="36" t="str">
        <f t="shared" si="2689"/>
        <v>InitUnitAdd('IT02',,,,,,,,,,)</v>
      </c>
      <c r="CR166" s="36" t="str">
        <f t="shared" si="2690"/>
        <v>InitEquipData('IT02',,"",,,,,'','','','','','',"ReplaceableTextures\\CommandButtons\\BTNIT03.blp")</v>
      </c>
      <c r="CU166" s="88" t="str">
        <f t="shared" ref="CU166:CU178" si="2763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19" t="str">
        <f t="shared" si="2692"/>
        <v>渡过该劫后可结成|CffCCCCCC中级道果|r。|n|n|CffCCCCCC中级道果：|r|n攻击+7500|n业力+6000|n生命值+150000|n生命回复+3000|n物理伤害+12%|n法术伤害+10%|n杀敌攻击+8|n杀敌业力+1|n杀敌生命+30|n</v>
      </c>
      <c r="CW166" s="33"/>
      <c r="CX166" s="33"/>
      <c r="CY166" s="33"/>
      <c r="CZ166" s="33"/>
      <c r="DA166" s="33"/>
      <c r="DB166" s="66" t="str">
        <f t="shared" ref="DB166:DB174" si="2764">IF(V166="","","|n"&amp;DB$2&amp;"+"&amp;V166&amp;DB$1)</f>
        <v/>
      </c>
      <c r="DC166" s="66" t="str">
        <f t="shared" ref="DC166:DC174" si="2765">IF(W166="","","|n"&amp;DC$2&amp;"+"&amp;W166&amp;DC$1)</f>
        <v/>
      </c>
      <c r="DD166" s="66" t="str">
        <f t="shared" ref="DD166:DD174" si="2766">IF(X166="","","|n"&amp;DD$2&amp;"+"&amp;X166&amp;DD$1)</f>
        <v/>
      </c>
      <c r="DE166" s="66" t="str">
        <f t="shared" ref="DE166:DE174" si="2767">IF(Y166="","","|n"&amp;DE$2&amp;"+"&amp;Y166&amp;DE$1)</f>
        <v/>
      </c>
      <c r="DF166" s="66" t="str">
        <f t="shared" ref="DF166:DF174" si="2768">IF(Z166="","","|n"&amp;DF$2&amp;"+"&amp;Z166&amp;DF$1)</f>
        <v/>
      </c>
      <c r="DG166" s="66" t="str">
        <f t="shared" ref="DG166:DG174" si="2769">IF(AA166="","","|n"&amp;DG$2&amp;"+"&amp;AA166&amp;DG$1)</f>
        <v/>
      </c>
      <c r="DH166" s="66" t="str">
        <f t="shared" ref="DH166:DH174" si="2770">IF(AB166="","","|n"&amp;DH$2&amp;"+"&amp;AB166&amp;DH$1)</f>
        <v/>
      </c>
      <c r="DI166" s="66" t="str">
        <f t="shared" ref="DI166:DI174" si="2771">IF(AC166="","","|n"&amp;DI$2&amp;"+"&amp;AC166&amp;DI$1)</f>
        <v/>
      </c>
      <c r="DJ166" s="66" t="str">
        <f t="shared" ref="DJ166:DJ174" si="2772">IF(AD166="","","|n"&amp;DJ$2&amp;"+"&amp;AD166&amp;DJ$1)</f>
        <v/>
      </c>
      <c r="DK166" s="66" t="str">
        <f t="shared" ref="DK166:DK174" si="2773">IF(AE166="","","|n"&amp;DK$2&amp;"+"&amp;AE166&amp;DK$1)</f>
        <v/>
      </c>
      <c r="DL166" s="66" t="str">
        <f t="shared" ref="DL166:DL174" si="2774">IF(AF166="","","|n"&amp;DL$2&amp;"+"&amp;AF166&amp;DL$1)</f>
        <v/>
      </c>
      <c r="DM166" s="66" t="str">
        <f t="shared" ref="DM166:DM174" si="2775">IF(AG166="","","|n"&amp;DM$2&amp;"+"&amp;AG166&amp;DM$1)</f>
        <v/>
      </c>
      <c r="DN166" s="66" t="str">
        <f t="shared" ref="DN166:DN174" si="2776">IF(AH166="","","|n"&amp;DN$2&amp;"+"&amp;AH166&amp;DN$1)</f>
        <v/>
      </c>
      <c r="DO166" s="66" t="str">
        <f t="shared" ref="DO166:DO174" si="2777">IF(AI166="","","|n"&amp;DO$2&amp;"+"&amp;AI166&amp;DO$1)</f>
        <v/>
      </c>
      <c r="DP166" s="66" t="str">
        <f t="shared" ref="DP166:DP174" si="2778">IF(AJ166="","","|n"&amp;DP$2&amp;"+"&amp;AJ166&amp;DP$1)</f>
        <v/>
      </c>
      <c r="DQ166" s="66" t="str">
        <f t="shared" ref="DQ166:DQ174" si="2779">IF(AK166="","","|n"&amp;DQ$2&amp;"+"&amp;AK166&amp;DQ$1)</f>
        <v/>
      </c>
      <c r="DR166" s="66" t="str">
        <f t="shared" ref="DR166:DR174" si="2780">IF(AL166="","","|n"&amp;DR$2&amp;"+"&amp;AL166&amp;DR$1)</f>
        <v/>
      </c>
      <c r="DS166" s="66" t="str">
        <f t="shared" ref="DS166:DS174" si="2781">IF(AM166="","","|n"&amp;DS$2&amp;"+"&amp;AM166&amp;DS$1)</f>
        <v/>
      </c>
      <c r="DT166" s="66" t="str">
        <f t="shared" ref="DT166:DT174" si="2782">IF(AN166="","","|n"&amp;DT$2&amp;"+"&amp;AN166&amp;DT$1)</f>
        <v/>
      </c>
      <c r="DU166" s="66" t="str">
        <f t="shared" ref="DU166:DU174" si="2783">IF(AO166="","","|n"&amp;DU$2&amp;"+"&amp;AO166&amp;DU$1)</f>
        <v/>
      </c>
      <c r="DV166" s="66" t="str">
        <f t="shared" ref="DV166:DV174" si="2784">IF(AP166="","","|n"&amp;DV$2&amp;"+"&amp;AP166&amp;DV$1)</f>
        <v/>
      </c>
      <c r="DW166" s="66" t="str">
        <f t="shared" ref="DW166:DW174" si="2785">IF(AQ166="","","|n"&amp;DW$2&amp;"+"&amp;AQ166&amp;DW$1)</f>
        <v/>
      </c>
      <c r="DX166" s="66" t="str">
        <f t="shared" ref="DX166:DX174" si="2786">IF(AR166="","","|n"&amp;DX$2&amp;"+"&amp;AR166&amp;DX$1)</f>
        <v/>
      </c>
      <c r="DY166" s="66" t="str">
        <f t="shared" ref="DY166:DY174" si="2787">IF(AS166="","","|n"&amp;DY$2&amp;"+"&amp;AS166&amp;DY$1)</f>
        <v/>
      </c>
      <c r="DZ166" s="66" t="str">
        <f t="shared" ref="DZ166:DZ174" si="2788">IF(AT166="","","|n"&amp;DZ$2&amp;"+"&amp;AT166&amp;DZ$1)</f>
        <v/>
      </c>
      <c r="EA166" s="66" t="str">
        <f t="shared" ref="EA166:EA174" si="2789">IF(AU166="","","|n"&amp;EA$2&amp;"+"&amp;AU166&amp;EA$1)</f>
        <v/>
      </c>
      <c r="EB166" s="66" t="str">
        <f t="shared" ref="EB166:EB174" si="2790">IF(AV166="","","|n"&amp;EB$2&amp;"+"&amp;AV166&amp;EB$1)</f>
        <v/>
      </c>
      <c r="EC166" s="66" t="str">
        <f t="shared" ref="EC166:EC174" si="2791">IF(AW166="","","|n"&amp;EC$2&amp;"+"&amp;AW166&amp;EC$1)</f>
        <v/>
      </c>
      <c r="ED166" s="66" t="str">
        <f t="shared" ref="ED166:ED174" si="2792">IF(AX166="","","|n"&amp;ED$2&amp;"+"&amp;AX166&amp;ED$1)</f>
        <v/>
      </c>
      <c r="EE166" s="66" t="str">
        <f t="shared" ref="EE166:EE174" si="2793">IF(AY166="","","|n"&amp;EE$2&amp;"+"&amp;AY166&amp;EE$1)</f>
        <v/>
      </c>
      <c r="EF166" s="66" t="str">
        <f t="shared" ref="EF166:EF174" si="2794">IF(AZ166="","","|n"&amp;EF$2&amp;"+"&amp;AZ166&amp;EF$1)</f>
        <v/>
      </c>
      <c r="EG166" s="66" t="str">
        <f t="shared" ref="EG166:EG174" si="2795">IF(BA166="","","|n"&amp;EG$2&amp;"+"&amp;BA166&amp;EG$1)</f>
        <v/>
      </c>
      <c r="EH166" s="66" t="str">
        <f t="shared" ref="EH166:EH174" si="2796">IF(BB166="","","|n"&amp;EH$2&amp;"+"&amp;BB166&amp;EH$1)</f>
        <v/>
      </c>
      <c r="EI166" s="66" t="str">
        <f t="shared" ref="EI166:EI174" si="2797">IF(BC166="","","|n"&amp;EI$2&amp;"+"&amp;BC166&amp;EI$1)</f>
        <v/>
      </c>
      <c r="EJ166" s="66" t="str">
        <f t="shared" ref="EJ166:EJ174" si="2798">IF(BD166="","","|n"&amp;EJ$2&amp;"+"&amp;BD166&amp;EJ$1)</f>
        <v/>
      </c>
      <c r="EK166" s="66" t="str">
        <f t="shared" ref="EK166:EK174" si="2799">IF(BE166="","","|n"&amp;EK$2&amp;"+"&amp;BE166&amp;EK$1)</f>
        <v/>
      </c>
      <c r="EL166" s="66" t="str">
        <f t="shared" ref="EL166:EL174" si="2800">IF(BF166="","","|n"&amp;EL$2&amp;"+"&amp;BF166&amp;EL$1)</f>
        <v/>
      </c>
      <c r="EM166" s="66" t="str">
        <f t="shared" ref="EM166:EM174" si="2801">IF(BG166="","","|n"&amp;EM$2&amp;"+"&amp;BG166&amp;EM$1)</f>
        <v/>
      </c>
      <c r="EN166" s="66" t="str">
        <f t="shared" ref="EN166:EN174" si="2802">IF(BH166="","","|n"&amp;EN$2&amp;"+"&amp;BH166&amp;EN$1)</f>
        <v/>
      </c>
      <c r="EO166" s="66" t="str">
        <f t="shared" ref="EO166:EO174" si="2803">IF(BI166="","","|n"&amp;EO$2&amp;"+"&amp;BI166&amp;EO$1)</f>
        <v/>
      </c>
      <c r="EP166" s="66" t="str">
        <f t="shared" ref="EP166:EP174" si="2804">IF(BJ166="","","|n"&amp;EP$2&amp;"+"&amp;BJ166&amp;EP$1)</f>
        <v/>
      </c>
      <c r="EQ166" s="66" t="str">
        <f t="shared" ref="EQ166:EQ174" si="2805">IF(BK166="","","|n"&amp;EQ$2&amp;"+"&amp;BK166&amp;EQ$1)</f>
        <v/>
      </c>
      <c r="ER166" s="66" t="str">
        <f t="shared" ref="ER166:ER174" si="2806">IF(BL166="","","|n"&amp;ER$2&amp;"+"&amp;BL166&amp;ER$1)</f>
        <v/>
      </c>
      <c r="ES166" s="66" t="str">
        <f t="shared" ref="ES166:ES174" si="2807">IF(BM166="","","|n"&amp;ES$2&amp;"+"&amp;BM166&amp;ES$1)</f>
        <v/>
      </c>
      <c r="ET166" s="66" t="str">
        <f t="shared" ref="ET166:ET174" si="2808">IF(BN166="","","|n"&amp;ET$2&amp;"+"&amp;BN166&amp;ET$1)</f>
        <v/>
      </c>
      <c r="EU166" s="66" t="str">
        <f t="shared" ref="EU166:EU174" si="2809">IF(BO166="","","|n"&amp;EU$2&amp;"+"&amp;BO166&amp;EU$1)</f>
        <v/>
      </c>
      <c r="EV166" s="66" t="str">
        <f t="shared" ref="EV166:EV174" si="2810">IF(BP166="","","|n"&amp;EV$2&amp;"+"&amp;BP166&amp;EV$1)</f>
        <v/>
      </c>
      <c r="EW166" s="66" t="str">
        <f t="shared" ref="EW166:EW174" si="2811">IF(BQ166="","","|n"&amp;EW$2&amp;"+"&amp;BQ166&amp;EW$1)</f>
        <v/>
      </c>
      <c r="EX166" s="66" t="str">
        <f t="shared" ref="EX166:EX174" si="2812">IF(BR166="","","|n"&amp;EX$2&amp;"+"&amp;BR166&amp;EX$1)</f>
        <v/>
      </c>
      <c r="EY166" s="66" t="str">
        <f t="shared" ref="EY166:EY174" si="2813">IF(BS166="","","|n"&amp;EY$2&amp;"+"&amp;BS166&amp;EY$1)</f>
        <v/>
      </c>
      <c r="EZ166" s="66" t="str">
        <f t="shared" ref="EZ166:EZ174" si="2814">IF(BT166="","","|n"&amp;EZ$2&amp;"+"&amp;BT166&amp;EZ$1)</f>
        <v/>
      </c>
      <c r="FA166" s="66" t="str">
        <f t="shared" ref="FA166:FA174" si="2815">IF(BU166="","","|n"&amp;FA$2&amp;"+"&amp;BU166&amp;FA$1)</f>
        <v/>
      </c>
      <c r="FB166" s="66" t="str">
        <f t="shared" ref="FB166:FB174" si="2816">IF(BV166="","","|n"&amp;FB$2&amp;"+"&amp;BV166&amp;FB$1)</f>
        <v/>
      </c>
      <c r="FC166" s="66" t="str">
        <f t="shared" ref="FC166:FC174" si="2817">IF(BW166="","","|n"&amp;FC$2&amp;"+"&amp;BW166&amp;FC$1)</f>
        <v/>
      </c>
      <c r="FD166" s="66" t="str">
        <f t="shared" ref="FD166:FD174" si="2818">IF(BX166="","","|n"&amp;FD$2&amp;"+"&amp;BX166&amp;FD$1)</f>
        <v/>
      </c>
      <c r="FE166" s="66" t="str">
        <f t="shared" ref="FE166:FE174" si="2819">IF(BY166="","","|n"&amp;FE$2&amp;"+"&amp;BY166&amp;FE$1)</f>
        <v/>
      </c>
      <c r="FF166" s="66" t="str">
        <f t="shared" ref="FF166:FF174" si="2820">IF(BZ166="","","|n"&amp;FF$2&amp;"+"&amp;BZ166&amp;FF$1)</f>
        <v/>
      </c>
      <c r="FG166" s="66" t="str">
        <f t="shared" ref="FG166:FG174" si="2821">IF(CA166="","","|n"&amp;FG$2&amp;"+"&amp;CA166&amp;FG$1)</f>
        <v/>
      </c>
      <c r="FH166" s="66" t="str">
        <f t="shared" ref="FH166:FH174" si="2822">IF(CB166="","","|n"&amp;FH$2&amp;"+"&amp;CB166&amp;FH$1)</f>
        <v/>
      </c>
      <c r="FI166" s="66" t="str">
        <f t="shared" ref="FI166:FI174" si="2823">IF(CC166="","","|n"&amp;FI$2&amp;"+"&amp;CC166&amp;FI$1)</f>
        <v/>
      </c>
      <c r="FJ166" s="66" t="str">
        <f t="shared" ref="FJ166:FJ174" si="2824">IF(CD166="","","|n"&amp;FJ$2&amp;"+"&amp;CD166&amp;FJ$1)</f>
        <v/>
      </c>
      <c r="FK166" s="66" t="str">
        <f t="shared" ref="FK166:FK174" si="2825">IF(CE166="","","|n"&amp;FK$2&amp;"+"&amp;CE166&amp;FK$1)</f>
        <v/>
      </c>
      <c r="FL166" s="66" t="str">
        <f t="shared" ref="FL166:FL174" si="2826">IF(CF166="","","|n"&amp;FL$2&amp;"+"&amp;CF166&amp;FL$1)</f>
        <v/>
      </c>
      <c r="FM166" s="66" t="str">
        <f t="shared" ref="FM166:FM174" si="2827">IF(CG166="","","|n"&amp;FM$2&amp;"+"&amp;CG166&amp;FM$1)</f>
        <v/>
      </c>
      <c r="FN166" s="66" t="str">
        <f t="shared" ref="FN166:FN174" si="2828">IF(CH166="","","|n"&amp;FN$2&amp;"+"&amp;CH166&amp;FN$1)</f>
        <v/>
      </c>
      <c r="FO166" s="66" t="str">
        <f t="shared" ref="FO166:FO174" si="2829">IF(CI166="","","|n"&amp;FO$2&amp;"+"&amp;CI166&amp;FO$1)</f>
        <v/>
      </c>
      <c r="FP166" s="66" t="str">
        <f t="shared" ref="FP166:FP174" si="2830">IF(CJ166="","","|n"&amp;FP$2&amp;"+"&amp;CJ166&amp;FP$1)</f>
        <v/>
      </c>
      <c r="FQ166" s="66" t="str">
        <f t="shared" ref="FQ166:FQ174" si="2831">IF(CK166="","","|n"&amp;FQ$2&amp;"+"&amp;CK166&amp;FQ$1)</f>
        <v/>
      </c>
      <c r="FR166" s="66" t="str">
        <f t="shared" ref="FR166:FR174" si="2832">IF(CL166="","","|n"&amp;FR$2&amp;"+"&amp;CL166&amp;FR$1)</f>
        <v/>
      </c>
      <c r="FS166" s="66" t="str">
        <f t="shared" ref="FS166:FS174" si="2833">IF(CM166="","","|n"&amp;FS$2&amp;"+"&amp;CM166&amp;FS$1)</f>
        <v/>
      </c>
    </row>
    <row r="167" spans="1:175" ht="16.5">
      <c r="A167" s="15"/>
      <c r="B167" s="9" t="s">
        <v>631</v>
      </c>
      <c r="C167" s="15" t="s">
        <v>632</v>
      </c>
      <c r="R167" s="60">
        <v>-8089</v>
      </c>
      <c r="S167" s="60">
        <v>-1230</v>
      </c>
      <c r="T167" s="25" t="str">
        <f>"渡过该劫后可结成|Cff00ff7f高级道果|r。|n|n|Cff00ff7f高级道果：|r"&amp;CU80</f>
        <v>渡过该劫后可结成|Cff00ff7f高级道果|r。|n|n|Cff00ff7f高级道果：|r|n攻击+12500|n业力+10000|n生命值+250000|n生命回复+5000|n物理伤害+12%|n法术伤害+10%|n杀敌攻击+8|n杀敌业力+1|n杀敌生命+30|n</v>
      </c>
      <c r="U167" s="77" t="str">
        <f t="shared" si="2685"/>
        <v>ReplaceableTextures\\CommandButtons\\BTNIT03.blp</v>
      </c>
      <c r="CN167" s="36" t="str">
        <f t="shared" si="2686"/>
        <v>InitUnitState('IT03',,,,,,,,,,)</v>
      </c>
      <c r="CO167" s="36" t="str">
        <f t="shared" si="2687"/>
        <v>InitUnitNormal('IT03',,,,,,,,,,)</v>
      </c>
      <c r="CP167" s="36" t="str">
        <f t="shared" si="2688"/>
        <v>InitUnitMagic('IT03',,,,,,,,,,)</v>
      </c>
      <c r="CQ167" s="36" t="str">
        <f t="shared" si="2689"/>
        <v>InitUnitAdd('IT03',,,,,,,,,,)</v>
      </c>
      <c r="CR167" s="36" t="str">
        <f t="shared" si="2690"/>
        <v>InitEquipData('IT03',,"",,,,,'','','','','','',"ReplaceableTextures\\CommandButtons\\BTNIT04.blp")</v>
      </c>
      <c r="CU167" s="88" t="str">
        <f t="shared" si="2763"/>
        <v>|n</v>
      </c>
      <c r="CV167" s="19" t="str">
        <f t="shared" ref="CV167:CV178" si="2834">T167</f>
        <v>渡过该劫后可结成|Cff00ff7f高级道果|r。|n|n|Cff00ff7f高级道果：|r|n攻击+12500|n业力+10000|n生命值+250000|n生命回复+5000|n物理伤害+12%|n法术伤害+10%|n杀敌攻击+8|n杀敌业力+1|n杀敌生命+30|n</v>
      </c>
      <c r="CW167" s="33"/>
      <c r="CX167" s="33"/>
      <c r="CY167" s="33"/>
      <c r="CZ167" s="33"/>
      <c r="DA167" s="33"/>
      <c r="DB167" s="66" t="str">
        <f t="shared" si="2764"/>
        <v/>
      </c>
      <c r="DC167" s="66" t="str">
        <f t="shared" si="2765"/>
        <v/>
      </c>
      <c r="DD167" s="66" t="str">
        <f t="shared" si="2766"/>
        <v/>
      </c>
      <c r="DE167" s="66" t="str">
        <f t="shared" si="2767"/>
        <v/>
      </c>
      <c r="DF167" s="66" t="str">
        <f t="shared" si="2768"/>
        <v/>
      </c>
      <c r="DG167" s="66" t="str">
        <f t="shared" si="2769"/>
        <v/>
      </c>
      <c r="DH167" s="66" t="str">
        <f t="shared" si="2770"/>
        <v/>
      </c>
      <c r="DI167" s="66" t="str">
        <f t="shared" si="2771"/>
        <v/>
      </c>
      <c r="DJ167" s="66" t="str">
        <f t="shared" si="2772"/>
        <v/>
      </c>
      <c r="DK167" s="66" t="str">
        <f t="shared" si="2773"/>
        <v/>
      </c>
      <c r="DL167" s="66" t="str">
        <f t="shared" si="2774"/>
        <v/>
      </c>
      <c r="DM167" s="66" t="str">
        <f t="shared" si="2775"/>
        <v/>
      </c>
      <c r="DN167" s="66" t="str">
        <f t="shared" si="2776"/>
        <v/>
      </c>
      <c r="DO167" s="66" t="str">
        <f t="shared" si="2777"/>
        <v/>
      </c>
      <c r="DP167" s="66" t="str">
        <f t="shared" si="2778"/>
        <v/>
      </c>
      <c r="DQ167" s="66" t="str">
        <f t="shared" si="2779"/>
        <v/>
      </c>
      <c r="DR167" s="66" t="str">
        <f t="shared" si="2780"/>
        <v/>
      </c>
      <c r="DS167" s="66" t="str">
        <f t="shared" si="2781"/>
        <v/>
      </c>
      <c r="DT167" s="66" t="str">
        <f t="shared" si="2782"/>
        <v/>
      </c>
      <c r="DU167" s="66" t="str">
        <f t="shared" si="2783"/>
        <v/>
      </c>
      <c r="DV167" s="66" t="str">
        <f t="shared" si="2784"/>
        <v/>
      </c>
      <c r="DW167" s="66" t="str">
        <f t="shared" si="2785"/>
        <v/>
      </c>
      <c r="DX167" s="66" t="str">
        <f t="shared" si="2786"/>
        <v/>
      </c>
      <c r="DY167" s="66" t="str">
        <f t="shared" si="2787"/>
        <v/>
      </c>
      <c r="DZ167" s="66" t="str">
        <f t="shared" si="2788"/>
        <v/>
      </c>
      <c r="EA167" s="66" t="str">
        <f t="shared" si="2789"/>
        <v/>
      </c>
      <c r="EB167" s="66" t="str">
        <f t="shared" si="2790"/>
        <v/>
      </c>
      <c r="EC167" s="66" t="str">
        <f t="shared" si="2791"/>
        <v/>
      </c>
      <c r="ED167" s="66" t="str">
        <f t="shared" si="2792"/>
        <v/>
      </c>
      <c r="EE167" s="66" t="str">
        <f t="shared" si="2793"/>
        <v/>
      </c>
      <c r="EF167" s="66" t="str">
        <f t="shared" si="2794"/>
        <v/>
      </c>
      <c r="EG167" s="66" t="str">
        <f t="shared" si="2795"/>
        <v/>
      </c>
      <c r="EH167" s="66" t="str">
        <f t="shared" si="2796"/>
        <v/>
      </c>
      <c r="EI167" s="66" t="str">
        <f t="shared" si="2797"/>
        <v/>
      </c>
      <c r="EJ167" s="66" t="str">
        <f t="shared" si="2798"/>
        <v/>
      </c>
      <c r="EK167" s="66" t="str">
        <f t="shared" si="2799"/>
        <v/>
      </c>
      <c r="EL167" s="66" t="str">
        <f t="shared" si="2800"/>
        <v/>
      </c>
      <c r="EM167" s="66" t="str">
        <f t="shared" si="2801"/>
        <v/>
      </c>
      <c r="EN167" s="66" t="str">
        <f t="shared" si="2802"/>
        <v/>
      </c>
      <c r="EO167" s="66" t="str">
        <f t="shared" si="2803"/>
        <v/>
      </c>
      <c r="EP167" s="66" t="str">
        <f t="shared" si="2804"/>
        <v/>
      </c>
      <c r="EQ167" s="66" t="str">
        <f t="shared" si="2805"/>
        <v/>
      </c>
      <c r="ER167" s="66" t="str">
        <f t="shared" si="2806"/>
        <v/>
      </c>
      <c r="ES167" s="66" t="str">
        <f t="shared" si="2807"/>
        <v/>
      </c>
      <c r="ET167" s="66" t="str">
        <f t="shared" si="2808"/>
        <v/>
      </c>
      <c r="EU167" s="66" t="str">
        <f t="shared" si="2809"/>
        <v/>
      </c>
      <c r="EV167" s="66" t="str">
        <f t="shared" si="2810"/>
        <v/>
      </c>
      <c r="EW167" s="66" t="str">
        <f t="shared" si="2811"/>
        <v/>
      </c>
      <c r="EX167" s="66" t="str">
        <f t="shared" si="2812"/>
        <v/>
      </c>
      <c r="EY167" s="66" t="str">
        <f t="shared" si="2813"/>
        <v/>
      </c>
      <c r="EZ167" s="66" t="str">
        <f t="shared" si="2814"/>
        <v/>
      </c>
      <c r="FA167" s="66" t="str">
        <f t="shared" si="2815"/>
        <v/>
      </c>
      <c r="FB167" s="66" t="str">
        <f t="shared" si="2816"/>
        <v/>
      </c>
      <c r="FC167" s="66" t="str">
        <f t="shared" si="2817"/>
        <v/>
      </c>
      <c r="FD167" s="66" t="str">
        <f t="shared" si="2818"/>
        <v/>
      </c>
      <c r="FE167" s="66" t="str">
        <f t="shared" si="2819"/>
        <v/>
      </c>
      <c r="FF167" s="66" t="str">
        <f t="shared" si="2820"/>
        <v/>
      </c>
      <c r="FG167" s="66" t="str">
        <f t="shared" si="2821"/>
        <v/>
      </c>
      <c r="FH167" s="66" t="str">
        <f t="shared" si="2822"/>
        <v/>
      </c>
      <c r="FI167" s="66" t="str">
        <f t="shared" si="2823"/>
        <v/>
      </c>
      <c r="FJ167" s="66" t="str">
        <f t="shared" si="2824"/>
        <v/>
      </c>
      <c r="FK167" s="66" t="str">
        <f t="shared" si="2825"/>
        <v/>
      </c>
      <c r="FL167" s="66" t="str">
        <f t="shared" si="2826"/>
        <v/>
      </c>
      <c r="FM167" s="66" t="str">
        <f t="shared" si="2827"/>
        <v/>
      </c>
      <c r="FN167" s="66" t="str">
        <f t="shared" si="2828"/>
        <v/>
      </c>
      <c r="FO167" s="66" t="str">
        <f t="shared" si="2829"/>
        <v/>
      </c>
      <c r="FP167" s="66" t="str">
        <f t="shared" si="2830"/>
        <v/>
      </c>
      <c r="FQ167" s="66" t="str">
        <f t="shared" si="2831"/>
        <v/>
      </c>
      <c r="FR167" s="66" t="str">
        <f t="shared" si="2832"/>
        <v/>
      </c>
      <c r="FS167" s="66" t="str">
        <f t="shared" si="2833"/>
        <v/>
      </c>
    </row>
    <row r="168" spans="1:175" ht="16.5">
      <c r="A168" s="15"/>
      <c r="B168" s="9" t="s">
        <v>633</v>
      </c>
      <c r="C168" s="15" t="s">
        <v>634</v>
      </c>
      <c r="R168" s="60">
        <v>-7794</v>
      </c>
      <c r="S168" s="60">
        <v>195</v>
      </c>
      <c r="T168" s="25" t="str">
        <f>"渡过该劫后可结成|Cff00ff7f黄级道果|r。|n|n|Cff00ff7f黄级道果：|r"&amp;CU81</f>
        <v>渡过该劫后可结成|Cff00ff7f黄级道果|r。|n|n|Cff00ff7f黄级道果：|r|n攻击+21250|n业力+17000|n生命值+425000|n生命回复+8500|n物理伤害+18%|n法术伤害+15%|n杀敌攻击+8|n杀敌业力+1|n杀敌生命+30|n</v>
      </c>
      <c r="U168" s="77" t="str">
        <f t="shared" si="2685"/>
        <v>ReplaceableTextures\\CommandButtons\\BTNIT04.blp</v>
      </c>
      <c r="CN168" s="36" t="str">
        <f t="shared" si="2686"/>
        <v>InitUnitState('IT04',,,,,,,,,,)</v>
      </c>
      <c r="CO168" s="36" t="str">
        <f t="shared" si="2687"/>
        <v>InitUnitNormal('IT04',,,,,,,,,,)</v>
      </c>
      <c r="CP168" s="36" t="str">
        <f t="shared" si="2688"/>
        <v>InitUnitMagic('IT04',,,,,,,,,,)</v>
      </c>
      <c r="CQ168" s="36" t="str">
        <f t="shared" si="2689"/>
        <v>InitUnitAdd('IT04',,,,,,,,,,)</v>
      </c>
      <c r="CR168" s="36" t="str">
        <f t="shared" si="2690"/>
        <v>InitEquipData('IT04',,"",,,,,'','','','','','',"ReplaceableTextures\\CommandButtons\\BTNIT05.blp")</v>
      </c>
      <c r="CU168" s="88" t="str">
        <f t="shared" si="2763"/>
        <v>|n</v>
      </c>
      <c r="CV168" s="19" t="str">
        <f t="shared" si="2834"/>
        <v>渡过该劫后可结成|Cff00ff7f黄级道果|r。|n|n|Cff00ff7f黄级道果：|r|n攻击+21250|n业力+17000|n生命值+425000|n生命回复+8500|n物理伤害+18%|n法术伤害+15%|n杀敌攻击+8|n杀敌业力+1|n杀敌生命+30|n</v>
      </c>
      <c r="CW168" s="33"/>
      <c r="CX168" s="33"/>
      <c r="CY168" s="33"/>
      <c r="CZ168" s="33"/>
      <c r="DA168" s="33"/>
      <c r="DB168" s="66" t="str">
        <f t="shared" si="2764"/>
        <v/>
      </c>
      <c r="DC168" s="66" t="str">
        <f t="shared" si="2765"/>
        <v/>
      </c>
      <c r="DD168" s="66" t="str">
        <f t="shared" si="2766"/>
        <v/>
      </c>
      <c r="DE168" s="66" t="str">
        <f t="shared" si="2767"/>
        <v/>
      </c>
      <c r="DF168" s="66" t="str">
        <f t="shared" si="2768"/>
        <v/>
      </c>
      <c r="DG168" s="66" t="str">
        <f t="shared" si="2769"/>
        <v/>
      </c>
      <c r="DH168" s="66" t="str">
        <f t="shared" si="2770"/>
        <v/>
      </c>
      <c r="DI168" s="66" t="str">
        <f t="shared" si="2771"/>
        <v/>
      </c>
      <c r="DJ168" s="66" t="str">
        <f t="shared" si="2772"/>
        <v/>
      </c>
      <c r="DK168" s="66" t="str">
        <f t="shared" si="2773"/>
        <v/>
      </c>
      <c r="DL168" s="66" t="str">
        <f t="shared" si="2774"/>
        <v/>
      </c>
      <c r="DM168" s="66" t="str">
        <f t="shared" si="2775"/>
        <v/>
      </c>
      <c r="DN168" s="66" t="str">
        <f t="shared" si="2776"/>
        <v/>
      </c>
      <c r="DO168" s="66" t="str">
        <f t="shared" si="2777"/>
        <v/>
      </c>
      <c r="DP168" s="66" t="str">
        <f t="shared" si="2778"/>
        <v/>
      </c>
      <c r="DQ168" s="66" t="str">
        <f t="shared" si="2779"/>
        <v/>
      </c>
      <c r="DR168" s="66" t="str">
        <f t="shared" si="2780"/>
        <v/>
      </c>
      <c r="DS168" s="66" t="str">
        <f t="shared" si="2781"/>
        <v/>
      </c>
      <c r="DT168" s="66" t="str">
        <f t="shared" si="2782"/>
        <v/>
      </c>
      <c r="DU168" s="66" t="str">
        <f t="shared" si="2783"/>
        <v/>
      </c>
      <c r="DV168" s="66" t="str">
        <f t="shared" si="2784"/>
        <v/>
      </c>
      <c r="DW168" s="66" t="str">
        <f t="shared" si="2785"/>
        <v/>
      </c>
      <c r="DX168" s="66" t="str">
        <f t="shared" si="2786"/>
        <v/>
      </c>
      <c r="DY168" s="66" t="str">
        <f t="shared" si="2787"/>
        <v/>
      </c>
      <c r="DZ168" s="66" t="str">
        <f t="shared" si="2788"/>
        <v/>
      </c>
      <c r="EA168" s="66" t="str">
        <f t="shared" si="2789"/>
        <v/>
      </c>
      <c r="EB168" s="66" t="str">
        <f t="shared" si="2790"/>
        <v/>
      </c>
      <c r="EC168" s="66" t="str">
        <f t="shared" si="2791"/>
        <v/>
      </c>
      <c r="ED168" s="66" t="str">
        <f t="shared" si="2792"/>
        <v/>
      </c>
      <c r="EE168" s="66" t="str">
        <f t="shared" si="2793"/>
        <v/>
      </c>
      <c r="EF168" s="66" t="str">
        <f t="shared" si="2794"/>
        <v/>
      </c>
      <c r="EG168" s="66" t="str">
        <f t="shared" si="2795"/>
        <v/>
      </c>
      <c r="EH168" s="66" t="str">
        <f t="shared" si="2796"/>
        <v/>
      </c>
      <c r="EI168" s="66" t="str">
        <f t="shared" si="2797"/>
        <v/>
      </c>
      <c r="EJ168" s="66" t="str">
        <f t="shared" si="2798"/>
        <v/>
      </c>
      <c r="EK168" s="66" t="str">
        <f t="shared" si="2799"/>
        <v/>
      </c>
      <c r="EL168" s="66" t="str">
        <f t="shared" si="2800"/>
        <v/>
      </c>
      <c r="EM168" s="66" t="str">
        <f t="shared" si="2801"/>
        <v/>
      </c>
      <c r="EN168" s="66" t="str">
        <f t="shared" si="2802"/>
        <v/>
      </c>
      <c r="EO168" s="66" t="str">
        <f t="shared" si="2803"/>
        <v/>
      </c>
      <c r="EP168" s="66" t="str">
        <f t="shared" si="2804"/>
        <v/>
      </c>
      <c r="EQ168" s="66" t="str">
        <f t="shared" si="2805"/>
        <v/>
      </c>
      <c r="ER168" s="66" t="str">
        <f t="shared" si="2806"/>
        <v/>
      </c>
      <c r="ES168" s="66" t="str">
        <f t="shared" si="2807"/>
        <v/>
      </c>
      <c r="ET168" s="66" t="str">
        <f t="shared" si="2808"/>
        <v/>
      </c>
      <c r="EU168" s="66" t="str">
        <f t="shared" si="2809"/>
        <v/>
      </c>
      <c r="EV168" s="66" t="str">
        <f t="shared" si="2810"/>
        <v/>
      </c>
      <c r="EW168" s="66" t="str">
        <f t="shared" si="2811"/>
        <v/>
      </c>
      <c r="EX168" s="66" t="str">
        <f t="shared" si="2812"/>
        <v/>
      </c>
      <c r="EY168" s="66" t="str">
        <f t="shared" si="2813"/>
        <v/>
      </c>
      <c r="EZ168" s="66" t="str">
        <f t="shared" si="2814"/>
        <v/>
      </c>
      <c r="FA168" s="66" t="str">
        <f t="shared" si="2815"/>
        <v/>
      </c>
      <c r="FB168" s="66" t="str">
        <f t="shared" si="2816"/>
        <v/>
      </c>
      <c r="FC168" s="66" t="str">
        <f t="shared" si="2817"/>
        <v/>
      </c>
      <c r="FD168" s="66" t="str">
        <f t="shared" si="2818"/>
        <v/>
      </c>
      <c r="FE168" s="66" t="str">
        <f t="shared" si="2819"/>
        <v/>
      </c>
      <c r="FF168" s="66" t="str">
        <f t="shared" si="2820"/>
        <v/>
      </c>
      <c r="FG168" s="66" t="str">
        <f t="shared" si="2821"/>
        <v/>
      </c>
      <c r="FH168" s="66" t="str">
        <f t="shared" si="2822"/>
        <v/>
      </c>
      <c r="FI168" s="66" t="str">
        <f t="shared" si="2823"/>
        <v/>
      </c>
      <c r="FJ168" s="66" t="str">
        <f t="shared" si="2824"/>
        <v/>
      </c>
      <c r="FK168" s="66" t="str">
        <f t="shared" si="2825"/>
        <v/>
      </c>
      <c r="FL168" s="66" t="str">
        <f t="shared" si="2826"/>
        <v/>
      </c>
      <c r="FM168" s="66" t="str">
        <f t="shared" si="2827"/>
        <v/>
      </c>
      <c r="FN168" s="66" t="str">
        <f t="shared" si="2828"/>
        <v/>
      </c>
      <c r="FO168" s="66" t="str">
        <f t="shared" si="2829"/>
        <v/>
      </c>
      <c r="FP168" s="66" t="str">
        <f t="shared" si="2830"/>
        <v/>
      </c>
      <c r="FQ168" s="66" t="str">
        <f t="shared" si="2831"/>
        <v/>
      </c>
      <c r="FR168" s="66" t="str">
        <f t="shared" si="2832"/>
        <v/>
      </c>
      <c r="FS168" s="66" t="str">
        <f t="shared" si="2833"/>
        <v/>
      </c>
    </row>
    <row r="169" spans="1:175" ht="16.5">
      <c r="A169" s="15"/>
      <c r="B169" s="9" t="s">
        <v>635</v>
      </c>
      <c r="C169" s="15" t="s">
        <v>636</v>
      </c>
      <c r="R169" s="60">
        <v>-8110</v>
      </c>
      <c r="S169" s="60">
        <v>1810</v>
      </c>
      <c r="T169" s="25" t="str">
        <f>"渡过该劫后可结成|Cff00bfff玄级道果|r。|n|n|Cff00bfff玄级道果：|r"&amp;CU82</f>
        <v>渡过该劫后可结成|Cff00bfff玄级道果|r。|n|n|Cff00bfff玄级道果：|r|n攻击+33750|n业力+27000|n生命值+675000|n生命回复+13500|n物理伤害+18%|n法术伤害+15%|n杀敌攻击+8|n杀敌业力+1|n杀敌生命+30|n</v>
      </c>
      <c r="U169" s="77" t="str">
        <f t="shared" si="2685"/>
        <v>ReplaceableTextures\\CommandButtons\\BTNIT05.blp</v>
      </c>
      <c r="CN169" s="36" t="str">
        <f t="shared" si="2686"/>
        <v>InitUnitState('IT05',,,,,,,,,,)</v>
      </c>
      <c r="CO169" s="36" t="str">
        <f t="shared" si="2687"/>
        <v>InitUnitNormal('IT05',,,,,,,,,,)</v>
      </c>
      <c r="CP169" s="36" t="str">
        <f t="shared" si="2688"/>
        <v>InitUnitMagic('IT05',,,,,,,,,,)</v>
      </c>
      <c r="CQ169" s="36" t="str">
        <f t="shared" si="2689"/>
        <v>InitUnitAdd('IT05',,,,,,,,,,)</v>
      </c>
      <c r="CR169" s="36" t="str">
        <f t="shared" si="2690"/>
        <v>InitEquipData('IT05',,"",,,,,'','','','','','',"ReplaceableTextures\\CommandButtons\\BTNIT06.blp")</v>
      </c>
      <c r="CU169" s="88" t="str">
        <f t="shared" si="2763"/>
        <v>|n</v>
      </c>
      <c r="CV169" s="19" t="str">
        <f t="shared" si="2834"/>
        <v>渡过该劫后可结成|Cff00bfff玄级道果|r。|n|n|Cff00bfff玄级道果：|r|n攻击+33750|n业力+27000|n生命值+675000|n生命回复+13500|n物理伤害+18%|n法术伤害+15%|n杀敌攻击+8|n杀敌业力+1|n杀敌生命+30|n</v>
      </c>
      <c r="CW169" s="33"/>
      <c r="CX169" s="33"/>
      <c r="CY169" s="33"/>
      <c r="CZ169" s="33"/>
      <c r="DA169" s="33"/>
      <c r="DB169" s="66" t="str">
        <f t="shared" si="2764"/>
        <v/>
      </c>
      <c r="DC169" s="66" t="str">
        <f t="shared" si="2765"/>
        <v/>
      </c>
      <c r="DD169" s="66" t="str">
        <f t="shared" si="2766"/>
        <v/>
      </c>
      <c r="DE169" s="66" t="str">
        <f t="shared" si="2767"/>
        <v/>
      </c>
      <c r="DF169" s="66" t="str">
        <f t="shared" si="2768"/>
        <v/>
      </c>
      <c r="DG169" s="66" t="str">
        <f t="shared" si="2769"/>
        <v/>
      </c>
      <c r="DH169" s="66" t="str">
        <f t="shared" si="2770"/>
        <v/>
      </c>
      <c r="DI169" s="66" t="str">
        <f t="shared" si="2771"/>
        <v/>
      </c>
      <c r="DJ169" s="66" t="str">
        <f t="shared" si="2772"/>
        <v/>
      </c>
      <c r="DK169" s="66" t="str">
        <f t="shared" si="2773"/>
        <v/>
      </c>
      <c r="DL169" s="66" t="str">
        <f t="shared" si="2774"/>
        <v/>
      </c>
      <c r="DM169" s="66" t="str">
        <f t="shared" si="2775"/>
        <v/>
      </c>
      <c r="DN169" s="66" t="str">
        <f t="shared" si="2776"/>
        <v/>
      </c>
      <c r="DO169" s="66" t="str">
        <f t="shared" si="2777"/>
        <v/>
      </c>
      <c r="DP169" s="66" t="str">
        <f t="shared" si="2778"/>
        <v/>
      </c>
      <c r="DQ169" s="66" t="str">
        <f t="shared" si="2779"/>
        <v/>
      </c>
      <c r="DR169" s="66" t="str">
        <f t="shared" si="2780"/>
        <v/>
      </c>
      <c r="DS169" s="66" t="str">
        <f t="shared" si="2781"/>
        <v/>
      </c>
      <c r="DT169" s="66" t="str">
        <f t="shared" si="2782"/>
        <v/>
      </c>
      <c r="DU169" s="66" t="str">
        <f t="shared" si="2783"/>
        <v/>
      </c>
      <c r="DV169" s="66" t="str">
        <f t="shared" si="2784"/>
        <v/>
      </c>
      <c r="DW169" s="66" t="str">
        <f t="shared" si="2785"/>
        <v/>
      </c>
      <c r="DX169" s="66" t="str">
        <f t="shared" si="2786"/>
        <v/>
      </c>
      <c r="DY169" s="66" t="str">
        <f t="shared" si="2787"/>
        <v/>
      </c>
      <c r="DZ169" s="66" t="str">
        <f t="shared" si="2788"/>
        <v/>
      </c>
      <c r="EA169" s="66" t="str">
        <f t="shared" si="2789"/>
        <v/>
      </c>
      <c r="EB169" s="66" t="str">
        <f t="shared" si="2790"/>
        <v/>
      </c>
      <c r="EC169" s="66" t="str">
        <f t="shared" si="2791"/>
        <v/>
      </c>
      <c r="ED169" s="66" t="str">
        <f t="shared" si="2792"/>
        <v/>
      </c>
      <c r="EE169" s="66" t="str">
        <f t="shared" si="2793"/>
        <v/>
      </c>
      <c r="EF169" s="66" t="str">
        <f t="shared" si="2794"/>
        <v/>
      </c>
      <c r="EG169" s="66" t="str">
        <f t="shared" si="2795"/>
        <v/>
      </c>
      <c r="EH169" s="66" t="str">
        <f t="shared" si="2796"/>
        <v/>
      </c>
      <c r="EI169" s="66" t="str">
        <f t="shared" si="2797"/>
        <v/>
      </c>
      <c r="EJ169" s="66" t="str">
        <f t="shared" si="2798"/>
        <v/>
      </c>
      <c r="EK169" s="66" t="str">
        <f t="shared" si="2799"/>
        <v/>
      </c>
      <c r="EL169" s="66" t="str">
        <f t="shared" si="2800"/>
        <v/>
      </c>
      <c r="EM169" s="66" t="str">
        <f t="shared" si="2801"/>
        <v/>
      </c>
      <c r="EN169" s="66" t="str">
        <f t="shared" si="2802"/>
        <v/>
      </c>
      <c r="EO169" s="66" t="str">
        <f t="shared" si="2803"/>
        <v/>
      </c>
      <c r="EP169" s="66" t="str">
        <f t="shared" si="2804"/>
        <v/>
      </c>
      <c r="EQ169" s="66" t="str">
        <f t="shared" si="2805"/>
        <v/>
      </c>
      <c r="ER169" s="66" t="str">
        <f t="shared" si="2806"/>
        <v/>
      </c>
      <c r="ES169" s="66" t="str">
        <f t="shared" si="2807"/>
        <v/>
      </c>
      <c r="ET169" s="66" t="str">
        <f t="shared" si="2808"/>
        <v/>
      </c>
      <c r="EU169" s="66" t="str">
        <f t="shared" si="2809"/>
        <v/>
      </c>
      <c r="EV169" s="66" t="str">
        <f t="shared" si="2810"/>
        <v/>
      </c>
      <c r="EW169" s="66" t="str">
        <f t="shared" si="2811"/>
        <v/>
      </c>
      <c r="EX169" s="66" t="str">
        <f t="shared" si="2812"/>
        <v/>
      </c>
      <c r="EY169" s="66" t="str">
        <f t="shared" si="2813"/>
        <v/>
      </c>
      <c r="EZ169" s="66" t="str">
        <f t="shared" si="2814"/>
        <v/>
      </c>
      <c r="FA169" s="66" t="str">
        <f t="shared" si="2815"/>
        <v/>
      </c>
      <c r="FB169" s="66" t="str">
        <f t="shared" si="2816"/>
        <v/>
      </c>
      <c r="FC169" s="66" t="str">
        <f t="shared" si="2817"/>
        <v/>
      </c>
      <c r="FD169" s="66" t="str">
        <f t="shared" si="2818"/>
        <v/>
      </c>
      <c r="FE169" s="66" t="str">
        <f t="shared" si="2819"/>
        <v/>
      </c>
      <c r="FF169" s="66" t="str">
        <f t="shared" si="2820"/>
        <v/>
      </c>
      <c r="FG169" s="66" t="str">
        <f t="shared" si="2821"/>
        <v/>
      </c>
      <c r="FH169" s="66" t="str">
        <f t="shared" si="2822"/>
        <v/>
      </c>
      <c r="FI169" s="66" t="str">
        <f t="shared" si="2823"/>
        <v/>
      </c>
      <c r="FJ169" s="66" t="str">
        <f t="shared" si="2824"/>
        <v/>
      </c>
      <c r="FK169" s="66" t="str">
        <f t="shared" si="2825"/>
        <v/>
      </c>
      <c r="FL169" s="66" t="str">
        <f t="shared" si="2826"/>
        <v/>
      </c>
      <c r="FM169" s="66" t="str">
        <f t="shared" si="2827"/>
        <v/>
      </c>
      <c r="FN169" s="66" t="str">
        <f t="shared" si="2828"/>
        <v/>
      </c>
      <c r="FO169" s="66" t="str">
        <f t="shared" si="2829"/>
        <v/>
      </c>
      <c r="FP169" s="66" t="str">
        <f t="shared" si="2830"/>
        <v/>
      </c>
      <c r="FQ169" s="66" t="str">
        <f t="shared" si="2831"/>
        <v/>
      </c>
      <c r="FR169" s="66" t="str">
        <f t="shared" si="2832"/>
        <v/>
      </c>
      <c r="FS169" s="66" t="str">
        <f t="shared" si="2833"/>
        <v/>
      </c>
    </row>
    <row r="170" spans="1:175" ht="16.5">
      <c r="A170" s="15"/>
      <c r="B170" s="9" t="s">
        <v>637</v>
      </c>
      <c r="C170" s="15" t="s">
        <v>638</v>
      </c>
      <c r="R170" s="60">
        <v>-7896</v>
      </c>
      <c r="S170" s="60">
        <v>3839</v>
      </c>
      <c r="T170" s="25" t="str">
        <f>"渡过该劫后可结成|Cff00bfff地级道果|r。|n|n|Cff00bfff地级道果：|r"&amp;CU83</f>
        <v>渡过该劫后可结成|Cff00bfff地级道果|r。|n|n|Cff00bfff地级道果：|r|n攻击+50000|n业力+40000|n生命值+1000000|n生命回复+20000|n物理伤害+18%|n法术伤害+15%|n杀敌攻击+8|n杀敌业力+1|n杀敌生命+30|n</v>
      </c>
      <c r="U170" s="77" t="str">
        <f t="shared" si="2685"/>
        <v>ReplaceableTextures\\CommandButtons\\BTNIT06.blp</v>
      </c>
      <c r="CN170" s="36" t="str">
        <f t="shared" si="2686"/>
        <v>InitUnitState('IT06',,,,,,,,,,)</v>
      </c>
      <c r="CO170" s="36" t="str">
        <f t="shared" si="2687"/>
        <v>InitUnitNormal('IT06',,,,,,,,,,)</v>
      </c>
      <c r="CP170" s="36" t="str">
        <f t="shared" si="2688"/>
        <v>InitUnitMagic('IT06',,,,,,,,,,)</v>
      </c>
      <c r="CQ170" s="36" t="str">
        <f t="shared" si="2689"/>
        <v>InitUnitAdd('IT06',,,,,,,,,,)</v>
      </c>
      <c r="CR170" s="36" t="str">
        <f t="shared" si="2690"/>
        <v>InitEquipData('IT06',,"",,,,,'','','','','','',"ReplaceableTextures\\CommandButtons\\BTNIT07.blp")</v>
      </c>
      <c r="CU170" s="88" t="str">
        <f t="shared" si="2763"/>
        <v>|n</v>
      </c>
      <c r="CV170" s="19" t="str">
        <f t="shared" si="2834"/>
        <v>渡过该劫后可结成|Cff00bfff地级道果|r。|n|n|Cff00bfff地级道果：|r|n攻击+50000|n业力+40000|n生命值+1000000|n生命回复+20000|n物理伤害+18%|n法术伤害+15%|n杀敌攻击+8|n杀敌业力+1|n杀敌生命+30|n</v>
      </c>
      <c r="CW170" s="33"/>
      <c r="CX170" s="33"/>
      <c r="CY170" s="33"/>
      <c r="CZ170" s="33"/>
      <c r="DA170" s="33"/>
      <c r="DB170" s="66" t="str">
        <f t="shared" si="2764"/>
        <v/>
      </c>
      <c r="DC170" s="66" t="str">
        <f t="shared" si="2765"/>
        <v/>
      </c>
      <c r="DD170" s="66" t="str">
        <f t="shared" si="2766"/>
        <v/>
      </c>
      <c r="DE170" s="66" t="str">
        <f t="shared" si="2767"/>
        <v/>
      </c>
      <c r="DF170" s="66" t="str">
        <f t="shared" si="2768"/>
        <v/>
      </c>
      <c r="DG170" s="66" t="str">
        <f t="shared" si="2769"/>
        <v/>
      </c>
      <c r="DH170" s="66" t="str">
        <f t="shared" si="2770"/>
        <v/>
      </c>
      <c r="DI170" s="66" t="str">
        <f t="shared" si="2771"/>
        <v/>
      </c>
      <c r="DJ170" s="66" t="str">
        <f t="shared" si="2772"/>
        <v/>
      </c>
      <c r="DK170" s="66" t="str">
        <f t="shared" si="2773"/>
        <v/>
      </c>
      <c r="DL170" s="66" t="str">
        <f t="shared" si="2774"/>
        <v/>
      </c>
      <c r="DM170" s="66" t="str">
        <f t="shared" si="2775"/>
        <v/>
      </c>
      <c r="DN170" s="66" t="str">
        <f t="shared" si="2776"/>
        <v/>
      </c>
      <c r="DO170" s="66" t="str">
        <f t="shared" si="2777"/>
        <v/>
      </c>
      <c r="DP170" s="66" t="str">
        <f t="shared" si="2778"/>
        <v/>
      </c>
      <c r="DQ170" s="66" t="str">
        <f t="shared" si="2779"/>
        <v/>
      </c>
      <c r="DR170" s="66" t="str">
        <f t="shared" si="2780"/>
        <v/>
      </c>
      <c r="DS170" s="66" t="str">
        <f t="shared" si="2781"/>
        <v/>
      </c>
      <c r="DT170" s="66" t="str">
        <f t="shared" si="2782"/>
        <v/>
      </c>
      <c r="DU170" s="66" t="str">
        <f t="shared" si="2783"/>
        <v/>
      </c>
      <c r="DV170" s="66" t="str">
        <f t="shared" si="2784"/>
        <v/>
      </c>
      <c r="DW170" s="66" t="str">
        <f t="shared" si="2785"/>
        <v/>
      </c>
      <c r="DX170" s="66" t="str">
        <f t="shared" si="2786"/>
        <v/>
      </c>
      <c r="DY170" s="66" t="str">
        <f t="shared" si="2787"/>
        <v/>
      </c>
      <c r="DZ170" s="66" t="str">
        <f t="shared" si="2788"/>
        <v/>
      </c>
      <c r="EA170" s="66" t="str">
        <f t="shared" si="2789"/>
        <v/>
      </c>
      <c r="EB170" s="66" t="str">
        <f t="shared" si="2790"/>
        <v/>
      </c>
      <c r="EC170" s="66" t="str">
        <f t="shared" si="2791"/>
        <v/>
      </c>
      <c r="ED170" s="66" t="str">
        <f t="shared" si="2792"/>
        <v/>
      </c>
      <c r="EE170" s="66" t="str">
        <f t="shared" si="2793"/>
        <v/>
      </c>
      <c r="EF170" s="66" t="str">
        <f t="shared" si="2794"/>
        <v/>
      </c>
      <c r="EG170" s="66" t="str">
        <f t="shared" si="2795"/>
        <v/>
      </c>
      <c r="EH170" s="66" t="str">
        <f t="shared" si="2796"/>
        <v/>
      </c>
      <c r="EI170" s="66" t="str">
        <f t="shared" si="2797"/>
        <v/>
      </c>
      <c r="EJ170" s="66" t="str">
        <f t="shared" si="2798"/>
        <v/>
      </c>
      <c r="EK170" s="66" t="str">
        <f t="shared" si="2799"/>
        <v/>
      </c>
      <c r="EL170" s="66" t="str">
        <f t="shared" si="2800"/>
        <v/>
      </c>
      <c r="EM170" s="66" t="str">
        <f t="shared" si="2801"/>
        <v/>
      </c>
      <c r="EN170" s="66" t="str">
        <f t="shared" si="2802"/>
        <v/>
      </c>
      <c r="EO170" s="66" t="str">
        <f t="shared" si="2803"/>
        <v/>
      </c>
      <c r="EP170" s="66" t="str">
        <f t="shared" si="2804"/>
        <v/>
      </c>
      <c r="EQ170" s="66" t="str">
        <f t="shared" si="2805"/>
        <v/>
      </c>
      <c r="ER170" s="66" t="str">
        <f t="shared" si="2806"/>
        <v/>
      </c>
      <c r="ES170" s="66" t="str">
        <f t="shared" si="2807"/>
        <v/>
      </c>
      <c r="ET170" s="66" t="str">
        <f t="shared" si="2808"/>
        <v/>
      </c>
      <c r="EU170" s="66" t="str">
        <f t="shared" si="2809"/>
        <v/>
      </c>
      <c r="EV170" s="66" t="str">
        <f t="shared" si="2810"/>
        <v/>
      </c>
      <c r="EW170" s="66" t="str">
        <f t="shared" si="2811"/>
        <v/>
      </c>
      <c r="EX170" s="66" t="str">
        <f t="shared" si="2812"/>
        <v/>
      </c>
      <c r="EY170" s="66" t="str">
        <f t="shared" si="2813"/>
        <v/>
      </c>
      <c r="EZ170" s="66" t="str">
        <f t="shared" si="2814"/>
        <v/>
      </c>
      <c r="FA170" s="66" t="str">
        <f t="shared" si="2815"/>
        <v/>
      </c>
      <c r="FB170" s="66" t="str">
        <f t="shared" si="2816"/>
        <v/>
      </c>
      <c r="FC170" s="66" t="str">
        <f t="shared" si="2817"/>
        <v/>
      </c>
      <c r="FD170" s="66" t="str">
        <f t="shared" si="2818"/>
        <v/>
      </c>
      <c r="FE170" s="66" t="str">
        <f t="shared" si="2819"/>
        <v/>
      </c>
      <c r="FF170" s="66" t="str">
        <f t="shared" si="2820"/>
        <v/>
      </c>
      <c r="FG170" s="66" t="str">
        <f t="shared" si="2821"/>
        <v/>
      </c>
      <c r="FH170" s="66" t="str">
        <f t="shared" si="2822"/>
        <v/>
      </c>
      <c r="FI170" s="66" t="str">
        <f t="shared" si="2823"/>
        <v/>
      </c>
      <c r="FJ170" s="66" t="str">
        <f t="shared" si="2824"/>
        <v/>
      </c>
      <c r="FK170" s="66" t="str">
        <f t="shared" si="2825"/>
        <v/>
      </c>
      <c r="FL170" s="66" t="str">
        <f t="shared" si="2826"/>
        <v/>
      </c>
      <c r="FM170" s="66" t="str">
        <f t="shared" si="2827"/>
        <v/>
      </c>
      <c r="FN170" s="66" t="str">
        <f t="shared" si="2828"/>
        <v/>
      </c>
      <c r="FO170" s="66" t="str">
        <f t="shared" si="2829"/>
        <v/>
      </c>
      <c r="FP170" s="66" t="str">
        <f t="shared" si="2830"/>
        <v/>
      </c>
      <c r="FQ170" s="66" t="str">
        <f t="shared" si="2831"/>
        <v/>
      </c>
      <c r="FR170" s="66" t="str">
        <f t="shared" si="2832"/>
        <v/>
      </c>
      <c r="FS170" s="66" t="str">
        <f t="shared" si="2833"/>
        <v/>
      </c>
    </row>
    <row r="171" spans="1:175" ht="16.5">
      <c r="A171" s="15"/>
      <c r="B171" s="9" t="s">
        <v>639</v>
      </c>
      <c r="C171" s="15" t="s">
        <v>640</v>
      </c>
      <c r="R171" s="60">
        <v>-7896</v>
      </c>
      <c r="S171" s="60">
        <v>5906</v>
      </c>
      <c r="T171" s="25" t="str">
        <f>"渡过该劫后可结成|Cffffc926天级道果|r。|n|n|Cffffc926天级道果：|r"&amp;CU84</f>
        <v>渡过该劫后可结成|Cffffc926天级道果|r。|n|n|Cffffc926天级道果：|r|n攻击+72500|n业力+58000|n生命值+1450000|n生命回复+29000|n物理伤害+24%|n法术伤害+20%|n杀敌攻击+8|n杀敌业力+1|n杀敌生命+30|n</v>
      </c>
      <c r="U171" s="77" t="str">
        <f t="shared" si="2685"/>
        <v>ReplaceableTextures\\CommandButtons\\BTNIT07.blp</v>
      </c>
      <c r="CN171" s="36" t="str">
        <f t="shared" si="2686"/>
        <v>InitUnitState('IT07',,,,,,,,,,)</v>
      </c>
      <c r="CO171" s="36" t="str">
        <f t="shared" si="2687"/>
        <v>InitUnitNormal('IT07',,,,,,,,,,)</v>
      </c>
      <c r="CP171" s="36" t="str">
        <f t="shared" si="2688"/>
        <v>InitUnitMagic('IT07',,,,,,,,,,)</v>
      </c>
      <c r="CQ171" s="36" t="str">
        <f t="shared" si="2689"/>
        <v>InitUnitAdd('IT07',,,,,,,,,,)</v>
      </c>
      <c r="CR171" s="36" t="str">
        <f t="shared" si="2690"/>
        <v>InitEquipData('IT07',,"",,,,,'','','','','','',"ReplaceableTextures\\CommandButtons\\BTNIT08.blp")</v>
      </c>
      <c r="CU171" s="88" t="str">
        <f t="shared" si="2763"/>
        <v>|n</v>
      </c>
      <c r="CV171" s="19" t="str">
        <f t="shared" si="2834"/>
        <v>渡过该劫后可结成|Cffffc926天级道果|r。|n|n|Cffffc926天级道果：|r|n攻击+72500|n业力+58000|n生命值+1450000|n生命回复+29000|n物理伤害+24%|n法术伤害+20%|n杀敌攻击+8|n杀敌业力+1|n杀敌生命+30|n</v>
      </c>
      <c r="CW171" s="33"/>
      <c r="CX171" s="33"/>
      <c r="CY171" s="33"/>
      <c r="CZ171" s="33"/>
      <c r="DA171" s="33"/>
      <c r="DB171" s="66" t="str">
        <f t="shared" si="2764"/>
        <v/>
      </c>
      <c r="DC171" s="66" t="str">
        <f t="shared" si="2765"/>
        <v/>
      </c>
      <c r="DD171" s="66" t="str">
        <f t="shared" si="2766"/>
        <v/>
      </c>
      <c r="DE171" s="66" t="str">
        <f t="shared" si="2767"/>
        <v/>
      </c>
      <c r="DF171" s="66" t="str">
        <f t="shared" si="2768"/>
        <v/>
      </c>
      <c r="DG171" s="66" t="str">
        <f t="shared" si="2769"/>
        <v/>
      </c>
      <c r="DH171" s="66" t="str">
        <f t="shared" si="2770"/>
        <v/>
      </c>
      <c r="DI171" s="66" t="str">
        <f t="shared" si="2771"/>
        <v/>
      </c>
      <c r="DJ171" s="66" t="str">
        <f t="shared" si="2772"/>
        <v/>
      </c>
      <c r="DK171" s="66" t="str">
        <f t="shared" si="2773"/>
        <v/>
      </c>
      <c r="DL171" s="66" t="str">
        <f t="shared" si="2774"/>
        <v/>
      </c>
      <c r="DM171" s="66" t="str">
        <f t="shared" si="2775"/>
        <v/>
      </c>
      <c r="DN171" s="66" t="str">
        <f t="shared" si="2776"/>
        <v/>
      </c>
      <c r="DO171" s="66" t="str">
        <f t="shared" si="2777"/>
        <v/>
      </c>
      <c r="DP171" s="66" t="str">
        <f t="shared" si="2778"/>
        <v/>
      </c>
      <c r="DQ171" s="66" t="str">
        <f t="shared" si="2779"/>
        <v/>
      </c>
      <c r="DR171" s="66" t="str">
        <f t="shared" si="2780"/>
        <v/>
      </c>
      <c r="DS171" s="66" t="str">
        <f t="shared" si="2781"/>
        <v/>
      </c>
      <c r="DT171" s="66" t="str">
        <f t="shared" si="2782"/>
        <v/>
      </c>
      <c r="DU171" s="66" t="str">
        <f t="shared" si="2783"/>
        <v/>
      </c>
      <c r="DV171" s="66" t="str">
        <f t="shared" si="2784"/>
        <v/>
      </c>
      <c r="DW171" s="66" t="str">
        <f t="shared" si="2785"/>
        <v/>
      </c>
      <c r="DX171" s="66" t="str">
        <f t="shared" si="2786"/>
        <v/>
      </c>
      <c r="DY171" s="66" t="str">
        <f t="shared" si="2787"/>
        <v/>
      </c>
      <c r="DZ171" s="66" t="str">
        <f t="shared" si="2788"/>
        <v/>
      </c>
      <c r="EA171" s="66" t="str">
        <f t="shared" si="2789"/>
        <v/>
      </c>
      <c r="EB171" s="66" t="str">
        <f t="shared" si="2790"/>
        <v/>
      </c>
      <c r="EC171" s="66" t="str">
        <f t="shared" si="2791"/>
        <v/>
      </c>
      <c r="ED171" s="66" t="str">
        <f t="shared" si="2792"/>
        <v/>
      </c>
      <c r="EE171" s="66" t="str">
        <f t="shared" si="2793"/>
        <v/>
      </c>
      <c r="EF171" s="66" t="str">
        <f t="shared" si="2794"/>
        <v/>
      </c>
      <c r="EG171" s="66" t="str">
        <f t="shared" si="2795"/>
        <v/>
      </c>
      <c r="EH171" s="66" t="str">
        <f t="shared" si="2796"/>
        <v/>
      </c>
      <c r="EI171" s="66" t="str">
        <f t="shared" si="2797"/>
        <v/>
      </c>
      <c r="EJ171" s="66" t="str">
        <f t="shared" si="2798"/>
        <v/>
      </c>
      <c r="EK171" s="66" t="str">
        <f t="shared" si="2799"/>
        <v/>
      </c>
      <c r="EL171" s="66" t="str">
        <f t="shared" si="2800"/>
        <v/>
      </c>
      <c r="EM171" s="66" t="str">
        <f t="shared" si="2801"/>
        <v/>
      </c>
      <c r="EN171" s="66" t="str">
        <f t="shared" si="2802"/>
        <v/>
      </c>
      <c r="EO171" s="66" t="str">
        <f t="shared" si="2803"/>
        <v/>
      </c>
      <c r="EP171" s="66" t="str">
        <f t="shared" si="2804"/>
        <v/>
      </c>
      <c r="EQ171" s="66" t="str">
        <f t="shared" si="2805"/>
        <v/>
      </c>
      <c r="ER171" s="66" t="str">
        <f t="shared" si="2806"/>
        <v/>
      </c>
      <c r="ES171" s="66" t="str">
        <f t="shared" si="2807"/>
        <v/>
      </c>
      <c r="ET171" s="66" t="str">
        <f t="shared" si="2808"/>
        <v/>
      </c>
      <c r="EU171" s="66" t="str">
        <f t="shared" si="2809"/>
        <v/>
      </c>
      <c r="EV171" s="66" t="str">
        <f t="shared" si="2810"/>
        <v/>
      </c>
      <c r="EW171" s="66" t="str">
        <f t="shared" si="2811"/>
        <v/>
      </c>
      <c r="EX171" s="66" t="str">
        <f t="shared" si="2812"/>
        <v/>
      </c>
      <c r="EY171" s="66" t="str">
        <f t="shared" si="2813"/>
        <v/>
      </c>
      <c r="EZ171" s="66" t="str">
        <f t="shared" si="2814"/>
        <v/>
      </c>
      <c r="FA171" s="66" t="str">
        <f t="shared" si="2815"/>
        <v/>
      </c>
      <c r="FB171" s="66" t="str">
        <f t="shared" si="2816"/>
        <v/>
      </c>
      <c r="FC171" s="66" t="str">
        <f t="shared" si="2817"/>
        <v/>
      </c>
      <c r="FD171" s="66" t="str">
        <f t="shared" si="2818"/>
        <v/>
      </c>
      <c r="FE171" s="66" t="str">
        <f t="shared" si="2819"/>
        <v/>
      </c>
      <c r="FF171" s="66" t="str">
        <f t="shared" si="2820"/>
        <v/>
      </c>
      <c r="FG171" s="66" t="str">
        <f t="shared" si="2821"/>
        <v/>
      </c>
      <c r="FH171" s="66" t="str">
        <f t="shared" si="2822"/>
        <v/>
      </c>
      <c r="FI171" s="66" t="str">
        <f t="shared" si="2823"/>
        <v/>
      </c>
      <c r="FJ171" s="66" t="str">
        <f t="shared" si="2824"/>
        <v/>
      </c>
      <c r="FK171" s="66" t="str">
        <f t="shared" si="2825"/>
        <v/>
      </c>
      <c r="FL171" s="66" t="str">
        <f t="shared" si="2826"/>
        <v/>
      </c>
      <c r="FM171" s="66" t="str">
        <f t="shared" si="2827"/>
        <v/>
      </c>
      <c r="FN171" s="66" t="str">
        <f t="shared" si="2828"/>
        <v/>
      </c>
      <c r="FO171" s="66" t="str">
        <f t="shared" si="2829"/>
        <v/>
      </c>
      <c r="FP171" s="66" t="str">
        <f t="shared" si="2830"/>
        <v/>
      </c>
      <c r="FQ171" s="66" t="str">
        <f t="shared" si="2831"/>
        <v/>
      </c>
      <c r="FR171" s="66" t="str">
        <f t="shared" si="2832"/>
        <v/>
      </c>
      <c r="FS171" s="66" t="str">
        <f t="shared" si="2833"/>
        <v/>
      </c>
    </row>
    <row r="172" spans="1:175" ht="16.5">
      <c r="A172" s="15" t="s">
        <v>641</v>
      </c>
      <c r="B172" s="9" t="s">
        <v>642</v>
      </c>
      <c r="C172" s="15" t="s">
        <v>643</v>
      </c>
      <c r="R172" s="60">
        <v>-7970</v>
      </c>
      <c r="S172" s="60">
        <v>7965</v>
      </c>
      <c r="T172" s="25" t="str">
        <f>"渡过该劫后可结成|Cffffc926仙品道果|r。|n|n|Cffffc926仙品道果：|r"&amp;CU85</f>
        <v>渡过该劫后可结成|Cffffc926仙品道果|r。|n|n|Cffffc926仙品道果：|r|n攻击+102500|n业力+82000|n生命值+2050000|n生命回复+41000|n物理伤害+24%|n法术伤害+20%|n杀敌攻击+8|n杀敌业力+1|n杀敌生命+30|n</v>
      </c>
      <c r="U172" s="77" t="str">
        <f t="shared" si="2685"/>
        <v>ReplaceableTextures\\CommandButtons\\BTNIT08.blp</v>
      </c>
      <c r="CN172" s="36" t="str">
        <f t="shared" si="2686"/>
        <v>InitUnitState('IT08',,,,,,,,,,)</v>
      </c>
      <c r="CO172" s="36" t="str">
        <f t="shared" si="2687"/>
        <v>InitUnitNormal('IT08',,,,,,,,,,)</v>
      </c>
      <c r="CP172" s="36" t="str">
        <f t="shared" si="2688"/>
        <v>InitUnitMagic('IT08',,,,,,,,,,)</v>
      </c>
      <c r="CQ172" s="36" t="str">
        <f t="shared" si="2689"/>
        <v>InitUnitAdd('IT08',,,,,,,,,,)</v>
      </c>
      <c r="CR172" s="36" t="str">
        <f t="shared" si="2690"/>
        <v>InitEquipData('IT08',,".",,,,,'','','','','','',"ReplaceableTextures\\CommandButtons\\BTNIT09.blp")</v>
      </c>
      <c r="CU172" s="88" t="str">
        <f t="shared" si="2763"/>
        <v>|n</v>
      </c>
      <c r="CV172" s="19" t="str">
        <f t="shared" si="2834"/>
        <v>渡过该劫后可结成|Cffffc926仙品道果|r。|n|n|Cffffc926仙品道果：|r|n攻击+102500|n业力+82000|n生命值+2050000|n生命回复+41000|n物理伤害+24%|n法术伤害+20%|n杀敌攻击+8|n杀敌业力+1|n杀敌生命+30|n</v>
      </c>
      <c r="CW172" s="33"/>
      <c r="CX172" s="33"/>
      <c r="CY172" s="33"/>
      <c r="CZ172" s="33"/>
      <c r="DA172" s="33"/>
      <c r="DB172" s="66" t="str">
        <f t="shared" si="2764"/>
        <v/>
      </c>
      <c r="DC172" s="66" t="str">
        <f t="shared" si="2765"/>
        <v/>
      </c>
      <c r="DD172" s="66" t="str">
        <f t="shared" si="2766"/>
        <v/>
      </c>
      <c r="DE172" s="66" t="str">
        <f t="shared" si="2767"/>
        <v/>
      </c>
      <c r="DF172" s="66" t="str">
        <f t="shared" si="2768"/>
        <v/>
      </c>
      <c r="DG172" s="66" t="str">
        <f t="shared" si="2769"/>
        <v/>
      </c>
      <c r="DH172" s="66" t="str">
        <f t="shared" si="2770"/>
        <v/>
      </c>
      <c r="DI172" s="66" t="str">
        <f t="shared" si="2771"/>
        <v/>
      </c>
      <c r="DJ172" s="66" t="str">
        <f t="shared" si="2772"/>
        <v/>
      </c>
      <c r="DK172" s="66" t="str">
        <f t="shared" si="2773"/>
        <v/>
      </c>
      <c r="DL172" s="66" t="str">
        <f t="shared" si="2774"/>
        <v/>
      </c>
      <c r="DM172" s="66" t="str">
        <f t="shared" si="2775"/>
        <v/>
      </c>
      <c r="DN172" s="66" t="str">
        <f t="shared" si="2776"/>
        <v/>
      </c>
      <c r="DO172" s="66" t="str">
        <f t="shared" si="2777"/>
        <v/>
      </c>
      <c r="DP172" s="66" t="str">
        <f t="shared" si="2778"/>
        <v/>
      </c>
      <c r="DQ172" s="66" t="str">
        <f t="shared" si="2779"/>
        <v/>
      </c>
      <c r="DR172" s="66" t="str">
        <f t="shared" si="2780"/>
        <v/>
      </c>
      <c r="DS172" s="66" t="str">
        <f t="shared" si="2781"/>
        <v/>
      </c>
      <c r="DT172" s="66" t="str">
        <f t="shared" si="2782"/>
        <v/>
      </c>
      <c r="DU172" s="66" t="str">
        <f t="shared" si="2783"/>
        <v/>
      </c>
      <c r="DV172" s="66" t="str">
        <f t="shared" si="2784"/>
        <v/>
      </c>
      <c r="DW172" s="66" t="str">
        <f t="shared" si="2785"/>
        <v/>
      </c>
      <c r="DX172" s="66" t="str">
        <f t="shared" si="2786"/>
        <v/>
      </c>
      <c r="DY172" s="66" t="str">
        <f t="shared" si="2787"/>
        <v/>
      </c>
      <c r="DZ172" s="66" t="str">
        <f t="shared" si="2788"/>
        <v/>
      </c>
      <c r="EA172" s="66" t="str">
        <f t="shared" si="2789"/>
        <v/>
      </c>
      <c r="EB172" s="66" t="str">
        <f t="shared" si="2790"/>
        <v/>
      </c>
      <c r="EC172" s="66" t="str">
        <f t="shared" si="2791"/>
        <v/>
      </c>
      <c r="ED172" s="66" t="str">
        <f t="shared" si="2792"/>
        <v/>
      </c>
      <c r="EE172" s="66" t="str">
        <f t="shared" si="2793"/>
        <v/>
      </c>
      <c r="EF172" s="66" t="str">
        <f t="shared" si="2794"/>
        <v/>
      </c>
      <c r="EG172" s="66" t="str">
        <f t="shared" si="2795"/>
        <v/>
      </c>
      <c r="EH172" s="66" t="str">
        <f t="shared" si="2796"/>
        <v/>
      </c>
      <c r="EI172" s="66" t="str">
        <f t="shared" si="2797"/>
        <v/>
      </c>
      <c r="EJ172" s="66" t="str">
        <f t="shared" si="2798"/>
        <v/>
      </c>
      <c r="EK172" s="66" t="str">
        <f t="shared" si="2799"/>
        <v/>
      </c>
      <c r="EL172" s="66" t="str">
        <f t="shared" si="2800"/>
        <v/>
      </c>
      <c r="EM172" s="66" t="str">
        <f t="shared" si="2801"/>
        <v/>
      </c>
      <c r="EN172" s="66" t="str">
        <f t="shared" si="2802"/>
        <v/>
      </c>
      <c r="EO172" s="66" t="str">
        <f t="shared" si="2803"/>
        <v/>
      </c>
      <c r="EP172" s="66" t="str">
        <f t="shared" si="2804"/>
        <v/>
      </c>
      <c r="EQ172" s="66" t="str">
        <f t="shared" si="2805"/>
        <v/>
      </c>
      <c r="ER172" s="66" t="str">
        <f t="shared" si="2806"/>
        <v/>
      </c>
      <c r="ES172" s="66" t="str">
        <f t="shared" si="2807"/>
        <v/>
      </c>
      <c r="ET172" s="66" t="str">
        <f t="shared" si="2808"/>
        <v/>
      </c>
      <c r="EU172" s="66" t="str">
        <f t="shared" si="2809"/>
        <v/>
      </c>
      <c r="EV172" s="66" t="str">
        <f t="shared" si="2810"/>
        <v/>
      </c>
      <c r="EW172" s="66" t="str">
        <f t="shared" si="2811"/>
        <v/>
      </c>
      <c r="EX172" s="66" t="str">
        <f t="shared" si="2812"/>
        <v/>
      </c>
      <c r="EY172" s="66" t="str">
        <f t="shared" si="2813"/>
        <v/>
      </c>
      <c r="EZ172" s="66" t="str">
        <f t="shared" si="2814"/>
        <v/>
      </c>
      <c r="FA172" s="66" t="str">
        <f t="shared" si="2815"/>
        <v/>
      </c>
      <c r="FB172" s="66" t="str">
        <f t="shared" si="2816"/>
        <v/>
      </c>
      <c r="FC172" s="66" t="str">
        <f t="shared" si="2817"/>
        <v/>
      </c>
      <c r="FD172" s="66" t="str">
        <f t="shared" si="2818"/>
        <v/>
      </c>
      <c r="FE172" s="66" t="str">
        <f t="shared" si="2819"/>
        <v/>
      </c>
      <c r="FF172" s="66" t="str">
        <f t="shared" si="2820"/>
        <v/>
      </c>
      <c r="FG172" s="66" t="str">
        <f t="shared" si="2821"/>
        <v/>
      </c>
      <c r="FH172" s="66" t="str">
        <f t="shared" si="2822"/>
        <v/>
      </c>
      <c r="FI172" s="66" t="str">
        <f t="shared" si="2823"/>
        <v/>
      </c>
      <c r="FJ172" s="66" t="str">
        <f t="shared" si="2824"/>
        <v/>
      </c>
      <c r="FK172" s="66" t="str">
        <f t="shared" si="2825"/>
        <v/>
      </c>
      <c r="FL172" s="66" t="str">
        <f t="shared" si="2826"/>
        <v/>
      </c>
      <c r="FM172" s="66" t="str">
        <f t="shared" si="2827"/>
        <v/>
      </c>
      <c r="FN172" s="66" t="str">
        <f t="shared" si="2828"/>
        <v/>
      </c>
      <c r="FO172" s="66" t="str">
        <f t="shared" si="2829"/>
        <v/>
      </c>
      <c r="FP172" s="66" t="str">
        <f t="shared" si="2830"/>
        <v/>
      </c>
      <c r="FQ172" s="66" t="str">
        <f t="shared" si="2831"/>
        <v/>
      </c>
      <c r="FR172" s="66" t="str">
        <f t="shared" si="2832"/>
        <v/>
      </c>
      <c r="FS172" s="66" t="str">
        <f t="shared" si="2833"/>
        <v/>
      </c>
    </row>
    <row r="173" spans="1:175" ht="16.5">
      <c r="A173" s="15"/>
      <c r="B173" s="9" t="s">
        <v>644</v>
      </c>
      <c r="C173" s="15" t="s">
        <v>645</v>
      </c>
      <c r="R173" s="60">
        <v>2100</v>
      </c>
      <c r="S173" s="60">
        <v>-5120</v>
      </c>
      <c r="T173" s="25" t="str">
        <f>"渡过该劫后可结成|Cffff0000至圣道果|r。|n|n|Cffff0000至圣道果：|r"&amp;CU86</f>
        <v>渡过该劫后可结成|Cffff0000至圣道果|r。|n|n|Cffff0000至圣道果：|r|n攻击+141250|n业力+113000|n生命值+2825000|n生命回复+56500|n物理伤害+24%|n法术伤害+20%|n杀敌攻击+8|n杀敌业力+1|n杀敌生命+30|n</v>
      </c>
      <c r="U173" s="77" t="str">
        <f t="shared" si="2685"/>
        <v>ReplaceableTextures\\CommandButtons\\BTNIT09.blp</v>
      </c>
      <c r="CN173" s="36" t="str">
        <f t="shared" si="2686"/>
        <v>InitUnitState('IT09',,,,,,,,,,)</v>
      </c>
      <c r="CO173" s="36" t="str">
        <f t="shared" si="2687"/>
        <v>InitUnitNormal('IT09',,,,,,,,,,)</v>
      </c>
      <c r="CP173" s="36" t="str">
        <f t="shared" si="2688"/>
        <v>InitUnitMagic('IT09',,,,,,,,,,)</v>
      </c>
      <c r="CQ173" s="36" t="str">
        <f t="shared" si="2689"/>
        <v>InitUnitAdd('IT09',,,,,,,,,,)</v>
      </c>
      <c r="CR173" s="36" t="str">
        <f t="shared" si="2690"/>
        <v>InitEquipData('IT09',,"",,,,,'','','','','','',"ReplaceableTextures\\CommandButtons\\BTNIT10.blp")</v>
      </c>
      <c r="CU173" s="88" t="str">
        <f t="shared" si="2763"/>
        <v>|n</v>
      </c>
      <c r="CV173" s="19" t="str">
        <f t="shared" si="2834"/>
        <v>渡过该劫后可结成|Cffff0000至圣道果|r。|n|n|Cffff0000至圣道果：|r|n攻击+141250|n业力+113000|n生命值+2825000|n生命回复+56500|n物理伤害+24%|n法术伤害+20%|n杀敌攻击+8|n杀敌业力+1|n杀敌生命+30|n</v>
      </c>
      <c r="CW173" s="33"/>
      <c r="CX173" s="33"/>
      <c r="CY173" s="33"/>
      <c r="CZ173" s="33"/>
      <c r="DA173" s="33"/>
      <c r="DB173" s="66" t="str">
        <f t="shared" si="2764"/>
        <v/>
      </c>
      <c r="DC173" s="66" t="str">
        <f t="shared" si="2765"/>
        <v/>
      </c>
      <c r="DD173" s="66" t="str">
        <f t="shared" si="2766"/>
        <v/>
      </c>
      <c r="DE173" s="66" t="str">
        <f t="shared" si="2767"/>
        <v/>
      </c>
      <c r="DF173" s="66" t="str">
        <f t="shared" si="2768"/>
        <v/>
      </c>
      <c r="DG173" s="66" t="str">
        <f t="shared" si="2769"/>
        <v/>
      </c>
      <c r="DH173" s="66" t="str">
        <f t="shared" si="2770"/>
        <v/>
      </c>
      <c r="DI173" s="66" t="str">
        <f t="shared" si="2771"/>
        <v/>
      </c>
      <c r="DJ173" s="66" t="str">
        <f t="shared" si="2772"/>
        <v/>
      </c>
      <c r="DK173" s="66" t="str">
        <f t="shared" si="2773"/>
        <v/>
      </c>
      <c r="DL173" s="66" t="str">
        <f t="shared" si="2774"/>
        <v/>
      </c>
      <c r="DM173" s="66" t="str">
        <f t="shared" si="2775"/>
        <v/>
      </c>
      <c r="DN173" s="66" t="str">
        <f t="shared" si="2776"/>
        <v/>
      </c>
      <c r="DO173" s="66" t="str">
        <f t="shared" si="2777"/>
        <v/>
      </c>
      <c r="DP173" s="66" t="str">
        <f t="shared" si="2778"/>
        <v/>
      </c>
      <c r="DQ173" s="66" t="str">
        <f t="shared" si="2779"/>
        <v/>
      </c>
      <c r="DR173" s="66" t="str">
        <f t="shared" si="2780"/>
        <v/>
      </c>
      <c r="DS173" s="66" t="str">
        <f t="shared" si="2781"/>
        <v/>
      </c>
      <c r="DT173" s="66" t="str">
        <f t="shared" si="2782"/>
        <v/>
      </c>
      <c r="DU173" s="66" t="str">
        <f t="shared" si="2783"/>
        <v/>
      </c>
      <c r="DV173" s="66" t="str">
        <f t="shared" si="2784"/>
        <v/>
      </c>
      <c r="DW173" s="66" t="str">
        <f t="shared" si="2785"/>
        <v/>
      </c>
      <c r="DX173" s="66" t="str">
        <f t="shared" si="2786"/>
        <v/>
      </c>
      <c r="DY173" s="66" t="str">
        <f t="shared" si="2787"/>
        <v/>
      </c>
      <c r="DZ173" s="66" t="str">
        <f t="shared" si="2788"/>
        <v/>
      </c>
      <c r="EA173" s="66" t="str">
        <f t="shared" si="2789"/>
        <v/>
      </c>
      <c r="EB173" s="66" t="str">
        <f t="shared" si="2790"/>
        <v/>
      </c>
      <c r="EC173" s="66" t="str">
        <f t="shared" si="2791"/>
        <v/>
      </c>
      <c r="ED173" s="66" t="str">
        <f t="shared" si="2792"/>
        <v/>
      </c>
      <c r="EE173" s="66" t="str">
        <f t="shared" si="2793"/>
        <v/>
      </c>
      <c r="EF173" s="66" t="str">
        <f t="shared" si="2794"/>
        <v/>
      </c>
      <c r="EG173" s="66" t="str">
        <f t="shared" si="2795"/>
        <v/>
      </c>
      <c r="EH173" s="66" t="str">
        <f t="shared" si="2796"/>
        <v/>
      </c>
      <c r="EI173" s="66" t="str">
        <f t="shared" si="2797"/>
        <v/>
      </c>
      <c r="EJ173" s="66" t="str">
        <f t="shared" si="2798"/>
        <v/>
      </c>
      <c r="EK173" s="66" t="str">
        <f t="shared" si="2799"/>
        <v/>
      </c>
      <c r="EL173" s="66" t="str">
        <f t="shared" si="2800"/>
        <v/>
      </c>
      <c r="EM173" s="66" t="str">
        <f t="shared" si="2801"/>
        <v/>
      </c>
      <c r="EN173" s="66" t="str">
        <f t="shared" si="2802"/>
        <v/>
      </c>
      <c r="EO173" s="66" t="str">
        <f t="shared" si="2803"/>
        <v/>
      </c>
      <c r="EP173" s="66" t="str">
        <f t="shared" si="2804"/>
        <v/>
      </c>
      <c r="EQ173" s="66" t="str">
        <f t="shared" si="2805"/>
        <v/>
      </c>
      <c r="ER173" s="66" t="str">
        <f t="shared" si="2806"/>
        <v/>
      </c>
      <c r="ES173" s="66" t="str">
        <f t="shared" si="2807"/>
        <v/>
      </c>
      <c r="ET173" s="66" t="str">
        <f t="shared" si="2808"/>
        <v/>
      </c>
      <c r="EU173" s="66" t="str">
        <f t="shared" si="2809"/>
        <v/>
      </c>
      <c r="EV173" s="66" t="str">
        <f t="shared" si="2810"/>
        <v/>
      </c>
      <c r="EW173" s="66" t="str">
        <f t="shared" si="2811"/>
        <v/>
      </c>
      <c r="EX173" s="66" t="str">
        <f t="shared" si="2812"/>
        <v/>
      </c>
      <c r="EY173" s="66" t="str">
        <f t="shared" si="2813"/>
        <v/>
      </c>
      <c r="EZ173" s="66" t="str">
        <f t="shared" si="2814"/>
        <v/>
      </c>
      <c r="FA173" s="66" t="str">
        <f t="shared" si="2815"/>
        <v/>
      </c>
      <c r="FB173" s="66" t="str">
        <f t="shared" si="2816"/>
        <v/>
      </c>
      <c r="FC173" s="66" t="str">
        <f t="shared" si="2817"/>
        <v/>
      </c>
      <c r="FD173" s="66" t="str">
        <f t="shared" si="2818"/>
        <v/>
      </c>
      <c r="FE173" s="66" t="str">
        <f t="shared" si="2819"/>
        <v/>
      </c>
      <c r="FF173" s="66" t="str">
        <f t="shared" si="2820"/>
        <v/>
      </c>
      <c r="FG173" s="66" t="str">
        <f t="shared" si="2821"/>
        <v/>
      </c>
      <c r="FH173" s="66" t="str">
        <f t="shared" si="2822"/>
        <v/>
      </c>
      <c r="FI173" s="66" t="str">
        <f t="shared" si="2823"/>
        <v/>
      </c>
      <c r="FJ173" s="66" t="str">
        <f t="shared" si="2824"/>
        <v/>
      </c>
      <c r="FK173" s="66" t="str">
        <f t="shared" si="2825"/>
        <v/>
      </c>
      <c r="FL173" s="66" t="str">
        <f t="shared" si="2826"/>
        <v/>
      </c>
      <c r="FM173" s="66" t="str">
        <f t="shared" si="2827"/>
        <v/>
      </c>
      <c r="FN173" s="66" t="str">
        <f t="shared" si="2828"/>
        <v/>
      </c>
      <c r="FO173" s="66" t="str">
        <f t="shared" si="2829"/>
        <v/>
      </c>
      <c r="FP173" s="66" t="str">
        <f t="shared" si="2830"/>
        <v/>
      </c>
      <c r="FQ173" s="66" t="str">
        <f t="shared" si="2831"/>
        <v/>
      </c>
      <c r="FR173" s="66" t="str">
        <f t="shared" si="2832"/>
        <v/>
      </c>
      <c r="FS173" s="66" t="str">
        <f t="shared" si="2833"/>
        <v/>
      </c>
    </row>
    <row r="174" spans="1:175" ht="16.5">
      <c r="A174" s="15"/>
      <c r="B174" s="9" t="s">
        <v>646</v>
      </c>
      <c r="C174" s="15" t="s">
        <v>647</v>
      </c>
      <c r="R174" s="60">
        <v>2268</v>
      </c>
      <c r="S174" s="60">
        <v>-8065</v>
      </c>
      <c r="T174" s="25" t="str">
        <f>"渡过该劫后可结成|Cffff0000混沌道果|r。|n|n|Cffff0000混沌道果：|r"&amp;CU87</f>
        <v>渡过该劫后可结成|Cffff0000混沌道果|r。|n|n|Cffff0000混沌道果：|r|n攻击+191250|n业力+153000|n生命值+3825000|n生命回复+76500|n物理伤害+36%|n法术伤害+30%|n杀敌攻击+8|n杀敌业力+1|n杀敌生命+30|n</v>
      </c>
      <c r="U174" s="77" t="str">
        <f t="shared" si="2685"/>
        <v>ReplaceableTextures\\CommandButtons\\BTNIT10.blp</v>
      </c>
      <c r="CN174" s="36" t="str">
        <f t="shared" si="2686"/>
        <v>InitUnitState('IT10',,,,,,,,,,)</v>
      </c>
      <c r="CO174" s="36" t="str">
        <f t="shared" si="2687"/>
        <v>InitUnitNormal('IT10',,,,,,,,,,)</v>
      </c>
      <c r="CP174" s="36" t="str">
        <f t="shared" si="2688"/>
        <v>InitUnitMagic('IT10',,,,,,,,,,)</v>
      </c>
      <c r="CQ174" s="36" t="str">
        <f t="shared" si="2689"/>
        <v>InitUnitAdd('IT10',,,,,,,,,,)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187&amp;CR$1&amp;")"</f>
        <v>InitEquipData('IT10',,"",,,,,'','','','','','',"ReplaceableTextures\\CommandButtons\\BTN001.blp")</v>
      </c>
      <c r="CU174" s="88" t="str">
        <f t="shared" si="2763"/>
        <v>|n</v>
      </c>
      <c r="CV174" s="19" t="str">
        <f t="shared" si="2834"/>
        <v>渡过该劫后可结成|Cffff0000混沌道果|r。|n|n|Cffff0000混沌道果：|r|n攻击+191250|n业力+153000|n生命值+3825000|n生命回复+76500|n物理伤害+36%|n法术伤害+30%|n杀敌攻击+8|n杀敌业力+1|n杀敌生命+30|n</v>
      </c>
      <c r="CW174" s="33"/>
      <c r="CX174" s="33"/>
      <c r="CY174" s="33"/>
      <c r="CZ174" s="33"/>
      <c r="DA174" s="33"/>
      <c r="DB174" s="66" t="str">
        <f t="shared" si="2764"/>
        <v/>
      </c>
      <c r="DC174" s="66" t="str">
        <f t="shared" si="2765"/>
        <v/>
      </c>
      <c r="DD174" s="66" t="str">
        <f t="shared" si="2766"/>
        <v/>
      </c>
      <c r="DE174" s="66" t="str">
        <f t="shared" si="2767"/>
        <v/>
      </c>
      <c r="DF174" s="66" t="str">
        <f t="shared" si="2768"/>
        <v/>
      </c>
      <c r="DG174" s="66" t="str">
        <f t="shared" si="2769"/>
        <v/>
      </c>
      <c r="DH174" s="66" t="str">
        <f t="shared" si="2770"/>
        <v/>
      </c>
      <c r="DI174" s="66" t="str">
        <f t="shared" si="2771"/>
        <v/>
      </c>
      <c r="DJ174" s="66" t="str">
        <f t="shared" si="2772"/>
        <v/>
      </c>
      <c r="DK174" s="66" t="str">
        <f t="shared" si="2773"/>
        <v/>
      </c>
      <c r="DL174" s="66" t="str">
        <f t="shared" si="2774"/>
        <v/>
      </c>
      <c r="DM174" s="66" t="str">
        <f t="shared" si="2775"/>
        <v/>
      </c>
      <c r="DN174" s="66" t="str">
        <f t="shared" si="2776"/>
        <v/>
      </c>
      <c r="DO174" s="66" t="str">
        <f t="shared" si="2777"/>
        <v/>
      </c>
      <c r="DP174" s="66" t="str">
        <f t="shared" si="2778"/>
        <v/>
      </c>
      <c r="DQ174" s="66" t="str">
        <f t="shared" si="2779"/>
        <v/>
      </c>
      <c r="DR174" s="66" t="str">
        <f t="shared" si="2780"/>
        <v/>
      </c>
      <c r="DS174" s="66" t="str">
        <f t="shared" si="2781"/>
        <v/>
      </c>
      <c r="DT174" s="66" t="str">
        <f t="shared" si="2782"/>
        <v/>
      </c>
      <c r="DU174" s="66" t="str">
        <f t="shared" si="2783"/>
        <v/>
      </c>
      <c r="DV174" s="66" t="str">
        <f t="shared" si="2784"/>
        <v/>
      </c>
      <c r="DW174" s="66" t="str">
        <f t="shared" si="2785"/>
        <v/>
      </c>
      <c r="DX174" s="66" t="str">
        <f t="shared" si="2786"/>
        <v/>
      </c>
      <c r="DY174" s="66" t="str">
        <f t="shared" si="2787"/>
        <v/>
      </c>
      <c r="DZ174" s="66" t="str">
        <f t="shared" si="2788"/>
        <v/>
      </c>
      <c r="EA174" s="66" t="str">
        <f t="shared" si="2789"/>
        <v/>
      </c>
      <c r="EB174" s="66" t="str">
        <f t="shared" si="2790"/>
        <v/>
      </c>
      <c r="EC174" s="66" t="str">
        <f t="shared" si="2791"/>
        <v/>
      </c>
      <c r="ED174" s="66" t="str">
        <f t="shared" si="2792"/>
        <v/>
      </c>
      <c r="EE174" s="66" t="str">
        <f t="shared" si="2793"/>
        <v/>
      </c>
      <c r="EF174" s="66" t="str">
        <f t="shared" si="2794"/>
        <v/>
      </c>
      <c r="EG174" s="66" t="str">
        <f t="shared" si="2795"/>
        <v/>
      </c>
      <c r="EH174" s="66" t="str">
        <f t="shared" si="2796"/>
        <v/>
      </c>
      <c r="EI174" s="66" t="str">
        <f t="shared" si="2797"/>
        <v/>
      </c>
      <c r="EJ174" s="66" t="str">
        <f t="shared" si="2798"/>
        <v/>
      </c>
      <c r="EK174" s="66" t="str">
        <f t="shared" si="2799"/>
        <v/>
      </c>
      <c r="EL174" s="66" t="str">
        <f t="shared" si="2800"/>
        <v/>
      </c>
      <c r="EM174" s="66" t="str">
        <f t="shared" si="2801"/>
        <v/>
      </c>
      <c r="EN174" s="66" t="str">
        <f t="shared" si="2802"/>
        <v/>
      </c>
      <c r="EO174" s="66" t="str">
        <f t="shared" si="2803"/>
        <v/>
      </c>
      <c r="EP174" s="66" t="str">
        <f t="shared" si="2804"/>
        <v/>
      </c>
      <c r="EQ174" s="66" t="str">
        <f t="shared" si="2805"/>
        <v/>
      </c>
      <c r="ER174" s="66" t="str">
        <f t="shared" si="2806"/>
        <v/>
      </c>
      <c r="ES174" s="66" t="str">
        <f t="shared" si="2807"/>
        <v/>
      </c>
      <c r="ET174" s="66" t="str">
        <f t="shared" si="2808"/>
        <v/>
      </c>
      <c r="EU174" s="66" t="str">
        <f t="shared" si="2809"/>
        <v/>
      </c>
      <c r="EV174" s="66" t="str">
        <f t="shared" si="2810"/>
        <v/>
      </c>
      <c r="EW174" s="66" t="str">
        <f t="shared" si="2811"/>
        <v/>
      </c>
      <c r="EX174" s="66" t="str">
        <f t="shared" si="2812"/>
        <v/>
      </c>
      <c r="EY174" s="66" t="str">
        <f t="shared" si="2813"/>
        <v/>
      </c>
      <c r="EZ174" s="66" t="str">
        <f t="shared" si="2814"/>
        <v/>
      </c>
      <c r="FA174" s="66" t="str">
        <f t="shared" si="2815"/>
        <v/>
      </c>
      <c r="FB174" s="66" t="str">
        <f t="shared" si="2816"/>
        <v/>
      </c>
      <c r="FC174" s="66" t="str">
        <f t="shared" si="2817"/>
        <v/>
      </c>
      <c r="FD174" s="66" t="str">
        <f t="shared" si="2818"/>
        <v/>
      </c>
      <c r="FE174" s="66" t="str">
        <f t="shared" si="2819"/>
        <v/>
      </c>
      <c r="FF174" s="66" t="str">
        <f t="shared" si="2820"/>
        <v/>
      </c>
      <c r="FG174" s="66" t="str">
        <f t="shared" si="2821"/>
        <v/>
      </c>
      <c r="FH174" s="66" t="str">
        <f t="shared" si="2822"/>
        <v/>
      </c>
      <c r="FI174" s="66" t="str">
        <f t="shared" si="2823"/>
        <v/>
      </c>
      <c r="FJ174" s="66" t="str">
        <f t="shared" si="2824"/>
        <v/>
      </c>
      <c r="FK174" s="66" t="str">
        <f t="shared" si="2825"/>
        <v/>
      </c>
      <c r="FL174" s="66" t="str">
        <f t="shared" si="2826"/>
        <v/>
      </c>
      <c r="FM174" s="66" t="str">
        <f t="shared" si="2827"/>
        <v/>
      </c>
      <c r="FN174" s="66" t="str">
        <f t="shared" si="2828"/>
        <v/>
      </c>
      <c r="FO174" s="66" t="str">
        <f t="shared" si="2829"/>
        <v/>
      </c>
      <c r="FP174" s="66" t="str">
        <f t="shared" si="2830"/>
        <v/>
      </c>
      <c r="FQ174" s="66" t="str">
        <f t="shared" si="2831"/>
        <v/>
      </c>
      <c r="FR174" s="66" t="str">
        <f t="shared" si="2832"/>
        <v/>
      </c>
      <c r="FS174" s="66" t="str">
        <f t="shared" si="2833"/>
        <v/>
      </c>
    </row>
    <row r="175" spans="1:175" ht="16.5">
      <c r="A175" s="15" t="s">
        <v>641</v>
      </c>
      <c r="B175" s="9" t="s">
        <v>648</v>
      </c>
      <c r="C175" s="15" t="s">
        <v>649</v>
      </c>
      <c r="T175" s="15" t="s">
        <v>650</v>
      </c>
      <c r="U175" s="77" t="str">
        <f t="shared" si="2685"/>
        <v>ReplaceableTextures\\CommandButtons\\BTNIT11.blp</v>
      </c>
      <c r="CN175" s="36" t="str">
        <f t="shared" si="2686"/>
        <v>InitUnitState('IT11',,,,,,,,,,)</v>
      </c>
      <c r="CO175" s="36" t="str">
        <f t="shared" si="2687"/>
        <v>InitUnitNormal('IT11',,,,,,,,,,)</v>
      </c>
      <c r="CP175" s="36" t="str">
        <f t="shared" si="2688"/>
        <v>InitUnitMagic('IT11',,,,,,,,,,)</v>
      </c>
      <c r="CQ175" s="36" t="str">
        <f t="shared" si="2689"/>
        <v>InitUnitAdd('IT11',,,,,,,,,,)</v>
      </c>
      <c r="CR175" s="36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InitEquipData('IT11',,".",,,,,'','','','','','',"ReplaceableTextures\\CommandButtons\\BTNIT12.blp")</v>
      </c>
      <c r="CU175" s="88" t="str">
        <f t="shared" si="2763"/>
        <v>|n</v>
      </c>
      <c r="CV175" s="19" t="str">
        <f t="shared" si="2834"/>
        <v>境界挑战11</v>
      </c>
      <c r="CW175" s="33"/>
      <c r="CX175" s="33"/>
      <c r="CY175" s="33"/>
      <c r="CZ175" s="33"/>
      <c r="DA175" s="33"/>
      <c r="DB175" s="66" t="str">
        <f t="shared" ref="DB175:DB177" si="2835">IF(V175="","","|n"&amp;DB$2&amp;"+"&amp;V175&amp;DB$1)</f>
        <v/>
      </c>
      <c r="DC175" s="66" t="str">
        <f t="shared" ref="DC175:DC177" si="2836">IF(W175="","","|n"&amp;DC$2&amp;"+"&amp;W175&amp;DC$1)</f>
        <v/>
      </c>
      <c r="DD175" s="66" t="str">
        <f t="shared" ref="DD175:DD177" si="2837">IF(X175="","","|n"&amp;DD$2&amp;"+"&amp;X175&amp;DD$1)</f>
        <v/>
      </c>
      <c r="DE175" s="66" t="str">
        <f t="shared" ref="DE175:DE177" si="2838">IF(Y175="","","|n"&amp;DE$2&amp;"+"&amp;Y175&amp;DE$1)</f>
        <v/>
      </c>
      <c r="DF175" s="66" t="str">
        <f t="shared" ref="DF175:DF177" si="2839">IF(Z175="","","|n"&amp;DF$2&amp;"+"&amp;Z175&amp;DF$1)</f>
        <v/>
      </c>
      <c r="DG175" s="66" t="str">
        <f t="shared" ref="DG175:DG177" si="2840">IF(AA175="","","|n"&amp;DG$2&amp;"+"&amp;AA175&amp;DG$1)</f>
        <v/>
      </c>
      <c r="DH175" s="66" t="str">
        <f t="shared" ref="DH175:DH177" si="2841">IF(AB175="","","|n"&amp;DH$2&amp;"+"&amp;AB175&amp;DH$1)</f>
        <v/>
      </c>
      <c r="DI175" s="66" t="str">
        <f t="shared" ref="DI175:DI177" si="2842">IF(AC175="","","|n"&amp;DI$2&amp;"+"&amp;AC175&amp;DI$1)</f>
        <v/>
      </c>
      <c r="DJ175" s="66" t="str">
        <f t="shared" ref="DJ175:DJ177" si="2843">IF(AD175="","","|n"&amp;DJ$2&amp;"+"&amp;AD175&amp;DJ$1)</f>
        <v/>
      </c>
      <c r="DK175" s="66" t="str">
        <f t="shared" ref="DK175:DK177" si="2844">IF(AE175="","","|n"&amp;DK$2&amp;"+"&amp;AE175&amp;DK$1)</f>
        <v/>
      </c>
      <c r="DL175" s="66" t="str">
        <f t="shared" ref="DL175:DL177" si="2845">IF(AF175="","","|n"&amp;DL$2&amp;"+"&amp;AF175&amp;DL$1)</f>
        <v/>
      </c>
      <c r="DM175" s="66" t="str">
        <f t="shared" ref="DM175:DM177" si="2846">IF(AG175="","","|n"&amp;DM$2&amp;"+"&amp;AG175&amp;DM$1)</f>
        <v/>
      </c>
      <c r="DN175" s="66" t="str">
        <f t="shared" ref="DN175:DN177" si="2847">IF(AH175="","","|n"&amp;DN$2&amp;"+"&amp;AH175&amp;DN$1)</f>
        <v/>
      </c>
      <c r="DO175" s="66" t="str">
        <f t="shared" ref="DO175:DO177" si="2848">IF(AI175="","","|n"&amp;DO$2&amp;"+"&amp;AI175&amp;DO$1)</f>
        <v/>
      </c>
      <c r="DP175" s="66" t="str">
        <f t="shared" ref="DP175:DP177" si="2849">IF(AJ175="","","|n"&amp;DP$2&amp;"+"&amp;AJ175&amp;DP$1)</f>
        <v/>
      </c>
      <c r="DQ175" s="66" t="str">
        <f t="shared" ref="DQ175:DQ177" si="2850">IF(AK175="","","|n"&amp;DQ$2&amp;"+"&amp;AK175&amp;DQ$1)</f>
        <v/>
      </c>
      <c r="DR175" s="66" t="str">
        <f t="shared" ref="DR175:DR177" si="2851">IF(AL175="","","|n"&amp;DR$2&amp;"+"&amp;AL175&amp;DR$1)</f>
        <v/>
      </c>
      <c r="DS175" s="66" t="str">
        <f t="shared" ref="DS175:DS177" si="2852">IF(AM175="","","|n"&amp;DS$2&amp;"+"&amp;AM175&amp;DS$1)</f>
        <v/>
      </c>
      <c r="DT175" s="66" t="str">
        <f t="shared" ref="DT175:DT177" si="2853">IF(AN175="","","|n"&amp;DT$2&amp;"+"&amp;AN175&amp;DT$1)</f>
        <v/>
      </c>
      <c r="DU175" s="66" t="str">
        <f t="shared" ref="DU175:DU177" si="2854">IF(AO175="","","|n"&amp;DU$2&amp;"+"&amp;AO175&amp;DU$1)</f>
        <v/>
      </c>
      <c r="DV175" s="66" t="str">
        <f t="shared" ref="DV175:DV177" si="2855">IF(AP175="","","|n"&amp;DV$2&amp;"+"&amp;AP175&amp;DV$1)</f>
        <v/>
      </c>
      <c r="DW175" s="66" t="str">
        <f t="shared" ref="DW175:DW177" si="2856">IF(AQ175="","","|n"&amp;DW$2&amp;"+"&amp;AQ175&amp;DW$1)</f>
        <v/>
      </c>
      <c r="DX175" s="66" t="str">
        <f t="shared" ref="DX175:DX177" si="2857">IF(AR175="","","|n"&amp;DX$2&amp;"+"&amp;AR175&amp;DX$1)</f>
        <v/>
      </c>
      <c r="DY175" s="66" t="str">
        <f t="shared" ref="DY175:DY177" si="2858">IF(AS175="","","|n"&amp;DY$2&amp;"+"&amp;AS175&amp;DY$1)</f>
        <v/>
      </c>
      <c r="DZ175" s="66" t="str">
        <f t="shared" ref="DZ175:DZ177" si="2859">IF(AT175="","","|n"&amp;DZ$2&amp;"+"&amp;AT175&amp;DZ$1)</f>
        <v/>
      </c>
      <c r="EA175" s="66" t="str">
        <f t="shared" ref="EA175:EA177" si="2860">IF(AU175="","","|n"&amp;EA$2&amp;"+"&amp;AU175&amp;EA$1)</f>
        <v/>
      </c>
      <c r="EB175" s="66" t="str">
        <f t="shared" ref="EB175:EB177" si="2861">IF(AV175="","","|n"&amp;EB$2&amp;"+"&amp;AV175&amp;EB$1)</f>
        <v/>
      </c>
      <c r="EC175" s="66" t="str">
        <f t="shared" ref="EC175:EC177" si="2862">IF(AW175="","","|n"&amp;EC$2&amp;"+"&amp;AW175&amp;EC$1)</f>
        <v/>
      </c>
      <c r="ED175" s="66" t="str">
        <f t="shared" ref="ED175:ED177" si="2863">IF(AX175="","","|n"&amp;ED$2&amp;"+"&amp;AX175&amp;ED$1)</f>
        <v/>
      </c>
      <c r="EE175" s="66" t="str">
        <f t="shared" ref="EE175:EE177" si="2864">IF(AY175="","","|n"&amp;EE$2&amp;"+"&amp;AY175&amp;EE$1)</f>
        <v/>
      </c>
      <c r="EF175" s="66" t="str">
        <f t="shared" ref="EF175:EF177" si="2865">IF(AZ175="","","|n"&amp;EF$2&amp;"+"&amp;AZ175&amp;EF$1)</f>
        <v/>
      </c>
      <c r="EG175" s="66" t="str">
        <f t="shared" ref="EG175:EG177" si="2866">IF(BA175="","","|n"&amp;EG$2&amp;"+"&amp;BA175&amp;EG$1)</f>
        <v/>
      </c>
      <c r="EH175" s="66" t="str">
        <f t="shared" ref="EH175:EH177" si="2867">IF(BB175="","","|n"&amp;EH$2&amp;"+"&amp;BB175&amp;EH$1)</f>
        <v/>
      </c>
      <c r="EI175" s="66" t="str">
        <f t="shared" ref="EI175:EI177" si="2868">IF(BC175="","","|n"&amp;EI$2&amp;"+"&amp;BC175&amp;EI$1)</f>
        <v/>
      </c>
      <c r="EJ175" s="66" t="str">
        <f t="shared" ref="EJ175:EJ177" si="2869">IF(BD175="","","|n"&amp;EJ$2&amp;"+"&amp;BD175&amp;EJ$1)</f>
        <v/>
      </c>
      <c r="EK175" s="66" t="str">
        <f t="shared" ref="EK175:EK177" si="2870">IF(BE175="","","|n"&amp;EK$2&amp;"+"&amp;BE175&amp;EK$1)</f>
        <v/>
      </c>
      <c r="EL175" s="66" t="str">
        <f t="shared" ref="EL175:EL177" si="2871">IF(BF175="","","|n"&amp;EL$2&amp;"+"&amp;BF175&amp;EL$1)</f>
        <v/>
      </c>
      <c r="EM175" s="66" t="str">
        <f t="shared" ref="EM175:EM177" si="2872">IF(BG175="","","|n"&amp;EM$2&amp;"+"&amp;BG175&amp;EM$1)</f>
        <v/>
      </c>
      <c r="EN175" s="66" t="str">
        <f t="shared" ref="EN175:EN177" si="2873">IF(BH175="","","|n"&amp;EN$2&amp;"+"&amp;BH175&amp;EN$1)</f>
        <v/>
      </c>
      <c r="EO175" s="66" t="str">
        <f t="shared" ref="EO175:EO177" si="2874">IF(BI175="","","|n"&amp;EO$2&amp;"+"&amp;BI175&amp;EO$1)</f>
        <v/>
      </c>
      <c r="EP175" s="66" t="str">
        <f t="shared" ref="EP175:EP177" si="2875">IF(BJ175="","","|n"&amp;EP$2&amp;"+"&amp;BJ175&amp;EP$1)</f>
        <v/>
      </c>
      <c r="EQ175" s="66" t="str">
        <f t="shared" ref="EQ175:EQ177" si="2876">IF(BK175="","","|n"&amp;EQ$2&amp;"+"&amp;BK175&amp;EQ$1)</f>
        <v/>
      </c>
      <c r="ER175" s="66" t="str">
        <f t="shared" ref="ER175:ER177" si="2877">IF(BL175="","","|n"&amp;ER$2&amp;"+"&amp;BL175&amp;ER$1)</f>
        <v/>
      </c>
      <c r="ES175" s="66" t="str">
        <f t="shared" ref="ES175:ES177" si="2878">IF(BM175="","","|n"&amp;ES$2&amp;"+"&amp;BM175&amp;ES$1)</f>
        <v/>
      </c>
      <c r="ET175" s="66" t="str">
        <f t="shared" ref="ET175:ET177" si="2879">IF(BN175="","","|n"&amp;ET$2&amp;"+"&amp;BN175&amp;ET$1)</f>
        <v/>
      </c>
      <c r="EU175" s="66" t="str">
        <f t="shared" ref="EU175:EU177" si="2880">IF(BO175="","","|n"&amp;EU$2&amp;"+"&amp;BO175&amp;EU$1)</f>
        <v/>
      </c>
      <c r="EV175" s="66" t="str">
        <f t="shared" ref="EV175:EV177" si="2881">IF(BP175="","","|n"&amp;EV$2&amp;"+"&amp;BP175&amp;EV$1)</f>
        <v/>
      </c>
      <c r="EW175" s="66" t="str">
        <f t="shared" ref="EW175:EW177" si="2882">IF(BQ175="","","|n"&amp;EW$2&amp;"+"&amp;BQ175&amp;EW$1)</f>
        <v/>
      </c>
      <c r="EX175" s="66" t="str">
        <f t="shared" ref="EX175:EX177" si="2883">IF(BR175="","","|n"&amp;EX$2&amp;"+"&amp;BR175&amp;EX$1)</f>
        <v/>
      </c>
      <c r="EY175" s="66" t="str">
        <f t="shared" ref="EY175:EY177" si="2884">IF(BS175="","","|n"&amp;EY$2&amp;"+"&amp;BS175&amp;EY$1)</f>
        <v/>
      </c>
      <c r="EZ175" s="66" t="str">
        <f t="shared" ref="EZ175:EZ177" si="2885">IF(BT175="","","|n"&amp;EZ$2&amp;"+"&amp;BT175&amp;EZ$1)</f>
        <v/>
      </c>
      <c r="FA175" s="66" t="str">
        <f t="shared" ref="FA175:FA177" si="2886">IF(BU175="","","|n"&amp;FA$2&amp;"+"&amp;BU175&amp;FA$1)</f>
        <v/>
      </c>
      <c r="FB175" s="66" t="str">
        <f t="shared" ref="FB175:FB177" si="2887">IF(BV175="","","|n"&amp;FB$2&amp;"+"&amp;BV175&amp;FB$1)</f>
        <v/>
      </c>
      <c r="FC175" s="66" t="str">
        <f t="shared" ref="FC175:FC177" si="2888">IF(BW175="","","|n"&amp;FC$2&amp;"+"&amp;BW175&amp;FC$1)</f>
        <v/>
      </c>
      <c r="FD175" s="66" t="str">
        <f t="shared" ref="FD175:FD177" si="2889">IF(BX175="","","|n"&amp;FD$2&amp;"+"&amp;BX175&amp;FD$1)</f>
        <v/>
      </c>
      <c r="FE175" s="66" t="str">
        <f t="shared" ref="FE175:FE177" si="2890">IF(BY175="","","|n"&amp;FE$2&amp;"+"&amp;BY175&amp;FE$1)</f>
        <v/>
      </c>
      <c r="FF175" s="66" t="str">
        <f t="shared" ref="FF175:FF177" si="2891">IF(BZ175="","","|n"&amp;FF$2&amp;"+"&amp;BZ175&amp;FF$1)</f>
        <v/>
      </c>
      <c r="FG175" s="66" t="str">
        <f t="shared" ref="FG175:FG177" si="2892">IF(CA175="","","|n"&amp;FG$2&amp;"+"&amp;CA175&amp;FG$1)</f>
        <v/>
      </c>
      <c r="FH175" s="66" t="str">
        <f t="shared" ref="FH175:FH177" si="2893">IF(CB175="","","|n"&amp;FH$2&amp;"+"&amp;CB175&amp;FH$1)</f>
        <v/>
      </c>
      <c r="FI175" s="66" t="str">
        <f t="shared" ref="FI175:FI177" si="2894">IF(CC175="","","|n"&amp;FI$2&amp;"+"&amp;CC175&amp;FI$1)</f>
        <v/>
      </c>
      <c r="FJ175" s="66" t="str">
        <f t="shared" ref="FJ175:FJ177" si="2895">IF(CD175="","","|n"&amp;FJ$2&amp;"+"&amp;CD175&amp;FJ$1)</f>
        <v/>
      </c>
      <c r="FK175" s="66" t="str">
        <f t="shared" ref="FK175:FK177" si="2896">IF(CE175="","","|n"&amp;FK$2&amp;"+"&amp;CE175&amp;FK$1)</f>
        <v/>
      </c>
      <c r="FL175" s="66" t="str">
        <f t="shared" ref="FL175:FL177" si="2897">IF(CF175="","","|n"&amp;FL$2&amp;"+"&amp;CF175&amp;FL$1)</f>
        <v/>
      </c>
      <c r="FM175" s="66" t="str">
        <f t="shared" ref="FM175:FM177" si="2898">IF(CG175="","","|n"&amp;FM$2&amp;"+"&amp;CG175&amp;FM$1)</f>
        <v/>
      </c>
      <c r="FN175" s="66" t="str">
        <f t="shared" ref="FN175:FN177" si="2899">IF(CH175="","","|n"&amp;FN$2&amp;"+"&amp;CH175&amp;FN$1)</f>
        <v/>
      </c>
      <c r="FO175" s="66" t="str">
        <f t="shared" ref="FO175:FO177" si="2900">IF(CI175="","","|n"&amp;FO$2&amp;"+"&amp;CI175&amp;FO$1)</f>
        <v/>
      </c>
      <c r="FP175" s="66" t="str">
        <f t="shared" ref="FP175:FP177" si="2901">IF(CJ175="","","|n"&amp;FP$2&amp;"+"&amp;CJ175&amp;FP$1)</f>
        <v/>
      </c>
      <c r="FQ175" s="66" t="str">
        <f t="shared" ref="FQ175:FQ177" si="2902">IF(CK175="","","|n"&amp;FQ$2&amp;"+"&amp;CK175&amp;FQ$1)</f>
        <v/>
      </c>
      <c r="FR175" s="66" t="str">
        <f t="shared" ref="FR175:FR177" si="2903">IF(CL175="","","|n"&amp;FR$2&amp;"+"&amp;CL175&amp;FR$1)</f>
        <v/>
      </c>
      <c r="FS175" s="66" t="str">
        <f t="shared" ref="FS175:FS177" si="2904">IF(CM175="","","|n"&amp;FS$2&amp;"+"&amp;CM175&amp;FS$1)</f>
        <v/>
      </c>
    </row>
    <row r="176" spans="1:175" ht="16.5">
      <c r="A176" s="15"/>
      <c r="B176" s="9" t="s">
        <v>651</v>
      </c>
      <c r="C176" s="15" t="s">
        <v>652</v>
      </c>
      <c r="T176" s="15" t="s">
        <v>653</v>
      </c>
      <c r="U176" s="77" t="str">
        <f t="shared" si="2685"/>
        <v>ReplaceableTextures\\CommandButtons\\BTNIT12.blp</v>
      </c>
      <c r="CN176" s="36" t="str">
        <f t="shared" si="2686"/>
        <v>InitUnitState('IT12',,,,,,,,,,)</v>
      </c>
      <c r="CO176" s="36" t="str">
        <f t="shared" si="2687"/>
        <v>InitUnitNormal('IT12',,,,,,,,,,)</v>
      </c>
      <c r="CP176" s="36" t="str">
        <f t="shared" si="2688"/>
        <v>InitUnitMagic('IT12',,,,,,,,,,)</v>
      </c>
      <c r="CQ176" s="36" t="str">
        <f t="shared" si="2689"/>
        <v>InitUnitAdd('IT12',,,,,,,,,,)</v>
      </c>
      <c r="CR176" s="36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InitEquipData('IT12',,"",,,,,'','','','','','',"ReplaceableTextures\\CommandButtons\\BTNIT13.blp")</v>
      </c>
      <c r="CU176" s="88" t="str">
        <f t="shared" si="2763"/>
        <v>|n</v>
      </c>
      <c r="CV176" s="19" t="str">
        <f t="shared" si="2834"/>
        <v>境界挑战12</v>
      </c>
      <c r="CW176" s="33"/>
      <c r="CX176" s="33"/>
      <c r="CY176" s="33"/>
      <c r="CZ176" s="33"/>
      <c r="DA176" s="33"/>
      <c r="DB176" s="66" t="str">
        <f t="shared" si="2835"/>
        <v/>
      </c>
      <c r="DC176" s="66" t="str">
        <f t="shared" si="2836"/>
        <v/>
      </c>
      <c r="DD176" s="66" t="str">
        <f t="shared" si="2837"/>
        <v/>
      </c>
      <c r="DE176" s="66" t="str">
        <f t="shared" si="2838"/>
        <v/>
      </c>
      <c r="DF176" s="66" t="str">
        <f t="shared" si="2839"/>
        <v/>
      </c>
      <c r="DG176" s="66" t="str">
        <f t="shared" si="2840"/>
        <v/>
      </c>
      <c r="DH176" s="66" t="str">
        <f t="shared" si="2841"/>
        <v/>
      </c>
      <c r="DI176" s="66" t="str">
        <f t="shared" si="2842"/>
        <v/>
      </c>
      <c r="DJ176" s="66" t="str">
        <f t="shared" si="2843"/>
        <v/>
      </c>
      <c r="DK176" s="66" t="str">
        <f t="shared" si="2844"/>
        <v/>
      </c>
      <c r="DL176" s="66" t="str">
        <f t="shared" si="2845"/>
        <v/>
      </c>
      <c r="DM176" s="66" t="str">
        <f t="shared" si="2846"/>
        <v/>
      </c>
      <c r="DN176" s="66" t="str">
        <f t="shared" si="2847"/>
        <v/>
      </c>
      <c r="DO176" s="66" t="str">
        <f t="shared" si="2848"/>
        <v/>
      </c>
      <c r="DP176" s="66" t="str">
        <f t="shared" si="2849"/>
        <v/>
      </c>
      <c r="DQ176" s="66" t="str">
        <f t="shared" si="2850"/>
        <v/>
      </c>
      <c r="DR176" s="66" t="str">
        <f t="shared" si="2851"/>
        <v/>
      </c>
      <c r="DS176" s="66" t="str">
        <f t="shared" si="2852"/>
        <v/>
      </c>
      <c r="DT176" s="66" t="str">
        <f t="shared" si="2853"/>
        <v/>
      </c>
      <c r="DU176" s="66" t="str">
        <f t="shared" si="2854"/>
        <v/>
      </c>
      <c r="DV176" s="66" t="str">
        <f t="shared" si="2855"/>
        <v/>
      </c>
      <c r="DW176" s="66" t="str">
        <f t="shared" si="2856"/>
        <v/>
      </c>
      <c r="DX176" s="66" t="str">
        <f t="shared" si="2857"/>
        <v/>
      </c>
      <c r="DY176" s="66" t="str">
        <f t="shared" si="2858"/>
        <v/>
      </c>
      <c r="DZ176" s="66" t="str">
        <f t="shared" si="2859"/>
        <v/>
      </c>
      <c r="EA176" s="66" t="str">
        <f t="shared" si="2860"/>
        <v/>
      </c>
      <c r="EB176" s="66" t="str">
        <f t="shared" si="2861"/>
        <v/>
      </c>
      <c r="EC176" s="66" t="str">
        <f t="shared" si="2862"/>
        <v/>
      </c>
      <c r="ED176" s="66" t="str">
        <f t="shared" si="2863"/>
        <v/>
      </c>
      <c r="EE176" s="66" t="str">
        <f t="shared" si="2864"/>
        <v/>
      </c>
      <c r="EF176" s="66" t="str">
        <f t="shared" si="2865"/>
        <v/>
      </c>
      <c r="EG176" s="66" t="str">
        <f t="shared" si="2866"/>
        <v/>
      </c>
      <c r="EH176" s="66" t="str">
        <f t="shared" si="2867"/>
        <v/>
      </c>
      <c r="EI176" s="66" t="str">
        <f t="shared" si="2868"/>
        <v/>
      </c>
      <c r="EJ176" s="66" t="str">
        <f t="shared" si="2869"/>
        <v/>
      </c>
      <c r="EK176" s="66" t="str">
        <f t="shared" si="2870"/>
        <v/>
      </c>
      <c r="EL176" s="66" t="str">
        <f t="shared" si="2871"/>
        <v/>
      </c>
      <c r="EM176" s="66" t="str">
        <f t="shared" si="2872"/>
        <v/>
      </c>
      <c r="EN176" s="66" t="str">
        <f t="shared" si="2873"/>
        <v/>
      </c>
      <c r="EO176" s="66" t="str">
        <f t="shared" si="2874"/>
        <v/>
      </c>
      <c r="EP176" s="66" t="str">
        <f t="shared" si="2875"/>
        <v/>
      </c>
      <c r="EQ176" s="66" t="str">
        <f t="shared" si="2876"/>
        <v/>
      </c>
      <c r="ER176" s="66" t="str">
        <f t="shared" si="2877"/>
        <v/>
      </c>
      <c r="ES176" s="66" t="str">
        <f t="shared" si="2878"/>
        <v/>
      </c>
      <c r="ET176" s="66" t="str">
        <f t="shared" si="2879"/>
        <v/>
      </c>
      <c r="EU176" s="66" t="str">
        <f t="shared" si="2880"/>
        <v/>
      </c>
      <c r="EV176" s="66" t="str">
        <f t="shared" si="2881"/>
        <v/>
      </c>
      <c r="EW176" s="66" t="str">
        <f t="shared" si="2882"/>
        <v/>
      </c>
      <c r="EX176" s="66" t="str">
        <f t="shared" si="2883"/>
        <v/>
      </c>
      <c r="EY176" s="66" t="str">
        <f t="shared" si="2884"/>
        <v/>
      </c>
      <c r="EZ176" s="66" t="str">
        <f t="shared" si="2885"/>
        <v/>
      </c>
      <c r="FA176" s="66" t="str">
        <f t="shared" si="2886"/>
        <v/>
      </c>
      <c r="FB176" s="66" t="str">
        <f t="shared" si="2887"/>
        <v/>
      </c>
      <c r="FC176" s="66" t="str">
        <f t="shared" si="2888"/>
        <v/>
      </c>
      <c r="FD176" s="66" t="str">
        <f t="shared" si="2889"/>
        <v/>
      </c>
      <c r="FE176" s="66" t="str">
        <f t="shared" si="2890"/>
        <v/>
      </c>
      <c r="FF176" s="66" t="str">
        <f t="shared" si="2891"/>
        <v/>
      </c>
      <c r="FG176" s="66" t="str">
        <f t="shared" si="2892"/>
        <v/>
      </c>
      <c r="FH176" s="66" t="str">
        <f t="shared" si="2893"/>
        <v/>
      </c>
      <c r="FI176" s="66" t="str">
        <f t="shared" si="2894"/>
        <v/>
      </c>
      <c r="FJ176" s="66" t="str">
        <f t="shared" si="2895"/>
        <v/>
      </c>
      <c r="FK176" s="66" t="str">
        <f t="shared" si="2896"/>
        <v/>
      </c>
      <c r="FL176" s="66" t="str">
        <f t="shared" si="2897"/>
        <v/>
      </c>
      <c r="FM176" s="66" t="str">
        <f t="shared" si="2898"/>
        <v/>
      </c>
      <c r="FN176" s="66" t="str">
        <f t="shared" si="2899"/>
        <v/>
      </c>
      <c r="FO176" s="66" t="str">
        <f t="shared" si="2900"/>
        <v/>
      </c>
      <c r="FP176" s="66" t="str">
        <f t="shared" si="2901"/>
        <v/>
      </c>
      <c r="FQ176" s="66" t="str">
        <f t="shared" si="2902"/>
        <v/>
      </c>
      <c r="FR176" s="66" t="str">
        <f t="shared" si="2903"/>
        <v/>
      </c>
      <c r="FS176" s="66" t="str">
        <f t="shared" si="2904"/>
        <v/>
      </c>
    </row>
    <row r="177" spans="1:175" ht="16.5">
      <c r="A177" s="15"/>
      <c r="B177" s="9" t="s">
        <v>654</v>
      </c>
      <c r="C177" s="15" t="s">
        <v>655</v>
      </c>
      <c r="T177" s="15" t="s">
        <v>656</v>
      </c>
      <c r="U177" s="77" t="str">
        <f t="shared" si="2685"/>
        <v>ReplaceableTextures\\CommandButtons\\BTNIT13.blp</v>
      </c>
      <c r="CN177" s="36" t="str">
        <f t="shared" si="2686"/>
        <v>InitUnitState('IT13',,,,,,,,,,)</v>
      </c>
      <c r="CO177" s="36" t="str">
        <f t="shared" si="2687"/>
        <v>InitUnitNormal('IT13',,,,,,,,,,)</v>
      </c>
      <c r="CP177" s="36" t="str">
        <f t="shared" si="2688"/>
        <v>InitUnitMagic('IT13',,,,,,,,,,)</v>
      </c>
      <c r="CQ177" s="36" t="str">
        <f t="shared" si="2689"/>
        <v>InitUnitAdd('IT13',,,,,,,,,,)</v>
      </c>
      <c r="CR177" s="36" t="e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#REF!&amp;CR$1&amp;")"</f>
        <v>#REF!</v>
      </c>
      <c r="CU177" s="88" t="str">
        <f t="shared" si="2763"/>
        <v>|n</v>
      </c>
      <c r="CV177" s="19" t="str">
        <f t="shared" si="2834"/>
        <v>境界挑战13</v>
      </c>
      <c r="CW177" s="33"/>
      <c r="CX177" s="33"/>
      <c r="CY177" s="33"/>
      <c r="CZ177" s="33"/>
      <c r="DA177" s="33"/>
      <c r="DB177" s="66" t="str">
        <f t="shared" si="2835"/>
        <v/>
      </c>
      <c r="DC177" s="66" t="str">
        <f t="shared" si="2836"/>
        <v/>
      </c>
      <c r="DD177" s="66" t="str">
        <f t="shared" si="2837"/>
        <v/>
      </c>
      <c r="DE177" s="66" t="str">
        <f t="shared" si="2838"/>
        <v/>
      </c>
      <c r="DF177" s="66" t="str">
        <f t="shared" si="2839"/>
        <v/>
      </c>
      <c r="DG177" s="66" t="str">
        <f t="shared" si="2840"/>
        <v/>
      </c>
      <c r="DH177" s="66" t="str">
        <f t="shared" si="2841"/>
        <v/>
      </c>
      <c r="DI177" s="66" t="str">
        <f t="shared" si="2842"/>
        <v/>
      </c>
      <c r="DJ177" s="66" t="str">
        <f t="shared" si="2843"/>
        <v/>
      </c>
      <c r="DK177" s="66" t="str">
        <f t="shared" si="2844"/>
        <v/>
      </c>
      <c r="DL177" s="66" t="str">
        <f t="shared" si="2845"/>
        <v/>
      </c>
      <c r="DM177" s="66" t="str">
        <f t="shared" si="2846"/>
        <v/>
      </c>
      <c r="DN177" s="66" t="str">
        <f t="shared" si="2847"/>
        <v/>
      </c>
      <c r="DO177" s="66" t="str">
        <f t="shared" si="2848"/>
        <v/>
      </c>
      <c r="DP177" s="66" t="str">
        <f t="shared" si="2849"/>
        <v/>
      </c>
      <c r="DQ177" s="66" t="str">
        <f t="shared" si="2850"/>
        <v/>
      </c>
      <c r="DR177" s="66" t="str">
        <f t="shared" si="2851"/>
        <v/>
      </c>
      <c r="DS177" s="66" t="str">
        <f t="shared" si="2852"/>
        <v/>
      </c>
      <c r="DT177" s="66" t="str">
        <f t="shared" si="2853"/>
        <v/>
      </c>
      <c r="DU177" s="66" t="str">
        <f t="shared" si="2854"/>
        <v/>
      </c>
      <c r="DV177" s="66" t="str">
        <f t="shared" si="2855"/>
        <v/>
      </c>
      <c r="DW177" s="66" t="str">
        <f t="shared" si="2856"/>
        <v/>
      </c>
      <c r="DX177" s="66" t="str">
        <f t="shared" si="2857"/>
        <v/>
      </c>
      <c r="DY177" s="66" t="str">
        <f t="shared" si="2858"/>
        <v/>
      </c>
      <c r="DZ177" s="66" t="str">
        <f t="shared" si="2859"/>
        <v/>
      </c>
      <c r="EA177" s="66" t="str">
        <f t="shared" si="2860"/>
        <v/>
      </c>
      <c r="EB177" s="66" t="str">
        <f t="shared" si="2861"/>
        <v/>
      </c>
      <c r="EC177" s="66" t="str">
        <f t="shared" si="2862"/>
        <v/>
      </c>
      <c r="ED177" s="66" t="str">
        <f t="shared" si="2863"/>
        <v/>
      </c>
      <c r="EE177" s="66" t="str">
        <f t="shared" si="2864"/>
        <v/>
      </c>
      <c r="EF177" s="66" t="str">
        <f t="shared" si="2865"/>
        <v/>
      </c>
      <c r="EG177" s="66" t="str">
        <f t="shared" si="2866"/>
        <v/>
      </c>
      <c r="EH177" s="66" t="str">
        <f t="shared" si="2867"/>
        <v/>
      </c>
      <c r="EI177" s="66" t="str">
        <f t="shared" si="2868"/>
        <v/>
      </c>
      <c r="EJ177" s="66" t="str">
        <f t="shared" si="2869"/>
        <v/>
      </c>
      <c r="EK177" s="66" t="str">
        <f t="shared" si="2870"/>
        <v/>
      </c>
      <c r="EL177" s="66" t="str">
        <f t="shared" si="2871"/>
        <v/>
      </c>
      <c r="EM177" s="66" t="str">
        <f t="shared" si="2872"/>
        <v/>
      </c>
      <c r="EN177" s="66" t="str">
        <f t="shared" si="2873"/>
        <v/>
      </c>
      <c r="EO177" s="66" t="str">
        <f t="shared" si="2874"/>
        <v/>
      </c>
      <c r="EP177" s="66" t="str">
        <f t="shared" si="2875"/>
        <v/>
      </c>
      <c r="EQ177" s="66" t="str">
        <f t="shared" si="2876"/>
        <v/>
      </c>
      <c r="ER177" s="66" t="str">
        <f t="shared" si="2877"/>
        <v/>
      </c>
      <c r="ES177" s="66" t="str">
        <f t="shared" si="2878"/>
        <v/>
      </c>
      <c r="ET177" s="66" t="str">
        <f t="shared" si="2879"/>
        <v/>
      </c>
      <c r="EU177" s="66" t="str">
        <f t="shared" si="2880"/>
        <v/>
      </c>
      <c r="EV177" s="66" t="str">
        <f t="shared" si="2881"/>
        <v/>
      </c>
      <c r="EW177" s="66" t="str">
        <f t="shared" si="2882"/>
        <v/>
      </c>
      <c r="EX177" s="66" t="str">
        <f t="shared" si="2883"/>
        <v/>
      </c>
      <c r="EY177" s="66" t="str">
        <f t="shared" si="2884"/>
        <v/>
      </c>
      <c r="EZ177" s="66" t="str">
        <f t="shared" si="2885"/>
        <v/>
      </c>
      <c r="FA177" s="66" t="str">
        <f t="shared" si="2886"/>
        <v/>
      </c>
      <c r="FB177" s="66" t="str">
        <f t="shared" si="2887"/>
        <v/>
      </c>
      <c r="FC177" s="66" t="str">
        <f t="shared" si="2888"/>
        <v/>
      </c>
      <c r="FD177" s="66" t="str">
        <f t="shared" si="2889"/>
        <v/>
      </c>
      <c r="FE177" s="66" t="str">
        <f t="shared" si="2890"/>
        <v/>
      </c>
      <c r="FF177" s="66" t="str">
        <f t="shared" si="2891"/>
        <v/>
      </c>
      <c r="FG177" s="66" t="str">
        <f t="shared" si="2892"/>
        <v/>
      </c>
      <c r="FH177" s="66" t="str">
        <f t="shared" si="2893"/>
        <v/>
      </c>
      <c r="FI177" s="66" t="str">
        <f t="shared" si="2894"/>
        <v/>
      </c>
      <c r="FJ177" s="66" t="str">
        <f t="shared" si="2895"/>
        <v/>
      </c>
      <c r="FK177" s="66" t="str">
        <f t="shared" si="2896"/>
        <v/>
      </c>
      <c r="FL177" s="66" t="str">
        <f t="shared" si="2897"/>
        <v/>
      </c>
      <c r="FM177" s="66" t="str">
        <f t="shared" si="2898"/>
        <v/>
      </c>
      <c r="FN177" s="66" t="str">
        <f t="shared" si="2899"/>
        <v/>
      </c>
      <c r="FO177" s="66" t="str">
        <f t="shared" si="2900"/>
        <v/>
      </c>
      <c r="FP177" s="66" t="str">
        <f t="shared" si="2901"/>
        <v/>
      </c>
      <c r="FQ177" s="66" t="str">
        <f t="shared" si="2902"/>
        <v/>
      </c>
      <c r="FR177" s="66" t="str">
        <f t="shared" si="2903"/>
        <v/>
      </c>
      <c r="FS177" s="66" t="str">
        <f t="shared" si="2904"/>
        <v/>
      </c>
    </row>
    <row r="178" spans="1:175" ht="16.5">
      <c r="A178" s="15"/>
      <c r="B178" s="9" t="s">
        <v>657</v>
      </c>
      <c r="C178" s="15" t="s">
        <v>658</v>
      </c>
      <c r="T178" s="15" t="s">
        <v>658</v>
      </c>
      <c r="U178" s="77" t="str">
        <f t="shared" si="2685"/>
        <v>ReplaceableTextures\\CommandButtons\\BTNIT14.blp</v>
      </c>
      <c r="CN178" s="36" t="str">
        <f t="shared" si="2686"/>
        <v>InitUnitState('IT14',,,,,,,,,,)</v>
      </c>
      <c r="CO178" s="36" t="str">
        <f t="shared" si="2687"/>
        <v>InitUnitNormal('IT14',,,,,,,,,,)</v>
      </c>
      <c r="CP178" s="36" t="str">
        <f t="shared" si="2688"/>
        <v>InitUnitMagic('IT14',,,,,,,,,,)</v>
      </c>
      <c r="CQ178" s="36" t="str">
        <f t="shared" si="2689"/>
        <v>InitUnitAdd('IT14',,,,,,,,,,)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199&amp;CR$1&amp;")"</f>
        <v>InitEquipData('IT14',,"",,,,,'','','','','','',"ReplaceableTextures\\CommandButtons\\BTNIH00.blp")</v>
      </c>
      <c r="CU178" s="88" t="str">
        <f t="shared" si="2763"/>
        <v>|n</v>
      </c>
      <c r="CV178" s="19" t="str">
        <f t="shared" si="2834"/>
        <v>境界挑战14</v>
      </c>
      <c r="CW178" s="33"/>
      <c r="CX178" s="33"/>
      <c r="CY178" s="33"/>
      <c r="CZ178" s="33"/>
      <c r="DA178" s="33"/>
      <c r="DB178" s="66" t="str">
        <f t="shared" ref="DB178:EG179" si="2905">IF(V178="","","|n"&amp;DB$2&amp;"+"&amp;V178&amp;DB$1)</f>
        <v/>
      </c>
      <c r="DC178" s="66" t="str">
        <f t="shared" si="2905"/>
        <v/>
      </c>
      <c r="DD178" s="66" t="str">
        <f t="shared" si="2905"/>
        <v/>
      </c>
      <c r="DE178" s="66" t="str">
        <f t="shared" si="2905"/>
        <v/>
      </c>
      <c r="DF178" s="66" t="str">
        <f t="shared" si="2905"/>
        <v/>
      </c>
      <c r="DG178" s="66" t="str">
        <f t="shared" si="2905"/>
        <v/>
      </c>
      <c r="DH178" s="66" t="str">
        <f t="shared" si="2905"/>
        <v/>
      </c>
      <c r="DI178" s="66" t="str">
        <f t="shared" si="2905"/>
        <v/>
      </c>
      <c r="DJ178" s="66" t="str">
        <f t="shared" si="2905"/>
        <v/>
      </c>
      <c r="DK178" s="66" t="str">
        <f t="shared" si="2905"/>
        <v/>
      </c>
      <c r="DL178" s="66" t="str">
        <f t="shared" si="2905"/>
        <v/>
      </c>
      <c r="DM178" s="66" t="str">
        <f t="shared" si="2905"/>
        <v/>
      </c>
      <c r="DN178" s="66" t="str">
        <f t="shared" si="2905"/>
        <v/>
      </c>
      <c r="DO178" s="66" t="str">
        <f t="shared" si="2905"/>
        <v/>
      </c>
      <c r="DP178" s="66" t="str">
        <f t="shared" si="2905"/>
        <v/>
      </c>
      <c r="DQ178" s="66" t="str">
        <f t="shared" si="2905"/>
        <v/>
      </c>
      <c r="DR178" s="66" t="str">
        <f t="shared" si="2905"/>
        <v/>
      </c>
      <c r="DS178" s="66" t="str">
        <f t="shared" si="2905"/>
        <v/>
      </c>
      <c r="DT178" s="66" t="str">
        <f t="shared" si="2905"/>
        <v/>
      </c>
      <c r="DU178" s="66" t="str">
        <f t="shared" si="2905"/>
        <v/>
      </c>
      <c r="DV178" s="66" t="str">
        <f t="shared" si="2905"/>
        <v/>
      </c>
      <c r="DW178" s="66" t="str">
        <f t="shared" si="2905"/>
        <v/>
      </c>
      <c r="DX178" s="66" t="str">
        <f t="shared" si="2905"/>
        <v/>
      </c>
      <c r="DY178" s="66" t="str">
        <f t="shared" si="2905"/>
        <v/>
      </c>
      <c r="DZ178" s="66" t="str">
        <f t="shared" si="2905"/>
        <v/>
      </c>
      <c r="EA178" s="66" t="str">
        <f t="shared" si="2905"/>
        <v/>
      </c>
      <c r="EB178" s="66" t="str">
        <f t="shared" si="2905"/>
        <v/>
      </c>
      <c r="EC178" s="66" t="str">
        <f t="shared" si="2905"/>
        <v/>
      </c>
      <c r="ED178" s="66" t="str">
        <f t="shared" si="2905"/>
        <v/>
      </c>
      <c r="EE178" s="66" t="str">
        <f t="shared" si="2905"/>
        <v/>
      </c>
      <c r="EF178" s="66" t="str">
        <f t="shared" si="2905"/>
        <v/>
      </c>
      <c r="EG178" s="66" t="str">
        <f t="shared" si="2905"/>
        <v/>
      </c>
      <c r="EH178" s="66" t="str">
        <f t="shared" ref="EH178:FM179" si="2906">IF(BB178="","","|n"&amp;EH$2&amp;"+"&amp;BB178&amp;EH$1)</f>
        <v/>
      </c>
      <c r="EI178" s="66" t="str">
        <f t="shared" si="2906"/>
        <v/>
      </c>
      <c r="EJ178" s="66" t="str">
        <f t="shared" si="2906"/>
        <v/>
      </c>
      <c r="EK178" s="66" t="str">
        <f t="shared" si="2906"/>
        <v/>
      </c>
      <c r="EL178" s="66" t="str">
        <f t="shared" si="2906"/>
        <v/>
      </c>
      <c r="EM178" s="66" t="str">
        <f t="shared" si="2906"/>
        <v/>
      </c>
      <c r="EN178" s="66" t="str">
        <f t="shared" si="2906"/>
        <v/>
      </c>
      <c r="EO178" s="66" t="str">
        <f t="shared" si="2906"/>
        <v/>
      </c>
      <c r="EP178" s="66" t="str">
        <f t="shared" si="2906"/>
        <v/>
      </c>
      <c r="EQ178" s="66" t="str">
        <f t="shared" si="2906"/>
        <v/>
      </c>
      <c r="ER178" s="66" t="str">
        <f t="shared" si="2906"/>
        <v/>
      </c>
      <c r="ES178" s="66" t="str">
        <f t="shared" si="2906"/>
        <v/>
      </c>
      <c r="ET178" s="66" t="str">
        <f t="shared" si="2906"/>
        <v/>
      </c>
      <c r="EU178" s="66" t="str">
        <f t="shared" si="2906"/>
        <v/>
      </c>
      <c r="EV178" s="66" t="str">
        <f t="shared" si="2906"/>
        <v/>
      </c>
      <c r="EW178" s="66" t="str">
        <f t="shared" si="2906"/>
        <v/>
      </c>
      <c r="EX178" s="66" t="str">
        <f t="shared" si="2906"/>
        <v/>
      </c>
      <c r="EY178" s="66" t="str">
        <f t="shared" si="2906"/>
        <v/>
      </c>
      <c r="EZ178" s="66" t="str">
        <f t="shared" si="2906"/>
        <v/>
      </c>
      <c r="FA178" s="66" t="str">
        <f t="shared" si="2906"/>
        <v/>
      </c>
      <c r="FB178" s="66" t="str">
        <f t="shared" si="2906"/>
        <v/>
      </c>
      <c r="FC178" s="66" t="str">
        <f t="shared" si="2906"/>
        <v/>
      </c>
      <c r="FD178" s="66" t="str">
        <f t="shared" si="2906"/>
        <v/>
      </c>
      <c r="FE178" s="66" t="str">
        <f t="shared" si="2906"/>
        <v/>
      </c>
      <c r="FF178" s="66" t="str">
        <f t="shared" si="2906"/>
        <v/>
      </c>
      <c r="FG178" s="66" t="str">
        <f t="shared" si="2906"/>
        <v/>
      </c>
      <c r="FH178" s="66" t="str">
        <f t="shared" si="2906"/>
        <v/>
      </c>
      <c r="FI178" s="66" t="str">
        <f t="shared" si="2906"/>
        <v/>
      </c>
      <c r="FJ178" s="66" t="str">
        <f t="shared" si="2906"/>
        <v/>
      </c>
      <c r="FK178" s="66" t="str">
        <f t="shared" si="2906"/>
        <v/>
      </c>
      <c r="FL178" s="66" t="str">
        <f t="shared" si="2906"/>
        <v/>
      </c>
      <c r="FM178" s="66" t="str">
        <f t="shared" si="2906"/>
        <v/>
      </c>
      <c r="FN178" s="66" t="str">
        <f t="shared" ref="FN178:FS179" si="2907">IF(CH178="","","|n"&amp;FN$2&amp;"+"&amp;CH178&amp;FN$1)</f>
        <v/>
      </c>
      <c r="FO178" s="66" t="str">
        <f t="shared" si="2907"/>
        <v/>
      </c>
      <c r="FP178" s="66" t="str">
        <f t="shared" si="2907"/>
        <v/>
      </c>
      <c r="FQ178" s="66" t="str">
        <f t="shared" si="2907"/>
        <v/>
      </c>
      <c r="FR178" s="66" t="str">
        <f t="shared" si="2907"/>
        <v/>
      </c>
      <c r="FS178" s="66" t="str">
        <f t="shared" si="2907"/>
        <v/>
      </c>
    </row>
    <row r="179" spans="1:175" s="29" customFormat="1" ht="16.5">
      <c r="A179" s="15"/>
      <c r="B179" s="9" t="s">
        <v>659</v>
      </c>
      <c r="C179" s="15" t="s">
        <v>660</v>
      </c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2"/>
      <c r="Q179" s="92"/>
      <c r="R179" s="92"/>
      <c r="S179" s="92"/>
      <c r="T179" s="15" t="s">
        <v>661</v>
      </c>
      <c r="U179" s="77" t="str">
        <f t="shared" si="2685"/>
        <v>ReplaceableTextures\\CommandButtons\\BTNIZ0A.blp</v>
      </c>
      <c r="V179" s="104"/>
      <c r="W179" s="105"/>
      <c r="X179" s="105"/>
      <c r="Y179" s="105"/>
      <c r="Z179" s="105"/>
      <c r="AA179" s="105"/>
      <c r="AB179" s="105"/>
      <c r="AC179" s="105"/>
      <c r="AD179" s="105"/>
      <c r="AE179" s="105"/>
      <c r="AF179" s="105"/>
      <c r="AG179" s="105"/>
      <c r="AH179" s="105"/>
      <c r="AI179" s="105"/>
      <c r="AJ179" s="105"/>
      <c r="AK179" s="105"/>
      <c r="AL179" s="105"/>
      <c r="AM179" s="105"/>
      <c r="AN179" s="105"/>
      <c r="AO179" s="105"/>
      <c r="AP179" s="105"/>
      <c r="AQ179" s="105"/>
      <c r="AR179" s="65"/>
      <c r="AS179" s="65"/>
      <c r="AT179" s="105"/>
      <c r="AU179" s="105"/>
      <c r="AV179" s="105"/>
      <c r="AW179" s="105"/>
      <c r="AX179" s="105"/>
      <c r="AY179" s="105"/>
      <c r="AZ179" s="105"/>
      <c r="BA179" s="105"/>
      <c r="BB179" s="105"/>
      <c r="BC179" s="105"/>
      <c r="BD179" s="105"/>
      <c r="BE179" s="105"/>
      <c r="BF179" s="105"/>
      <c r="BG179" s="105"/>
      <c r="BH179" s="105"/>
      <c r="BI179" s="105"/>
      <c r="BJ179" s="105"/>
      <c r="BK179" s="105"/>
      <c r="BL179" s="105"/>
      <c r="BM179" s="105"/>
      <c r="BN179" s="105"/>
      <c r="BO179" s="105"/>
      <c r="BP179" s="105"/>
      <c r="BQ179" s="105"/>
      <c r="BR179" s="105"/>
      <c r="BS179" s="105"/>
      <c r="BT179" s="105"/>
      <c r="BU179" s="105"/>
      <c r="BV179" s="105"/>
      <c r="BW179" s="105"/>
      <c r="BX179" s="105"/>
      <c r="BY179" s="105"/>
      <c r="BZ179" s="105"/>
      <c r="CA179" s="105"/>
      <c r="CB179" s="105"/>
      <c r="CC179" s="105"/>
      <c r="CD179" s="105"/>
      <c r="CE179" s="105"/>
      <c r="CF179" s="105"/>
      <c r="CG179" s="105"/>
      <c r="CH179" s="105"/>
      <c r="CI179" s="105"/>
      <c r="CJ179" s="105"/>
      <c r="CK179" s="105"/>
      <c r="CL179" s="105"/>
      <c r="CM179" s="105"/>
      <c r="CN179" s="110" t="str">
        <f t="shared" ref="CN179" si="2908">"InitUnitState('"&amp;B179&amp;"',"&amp;V179&amp;","&amp;W179&amp;","&amp;X179&amp;","&amp;Y179&amp;","&amp;Z179&amp;","&amp;AA179&amp;","&amp;AB179&amp;","&amp;AC179&amp;","&amp;AD179&amp;","&amp;AE179&amp;")"</f>
        <v>InitUnitState('IZ0A',,,,,,,,,,)</v>
      </c>
      <c r="CO179" s="110" t="str">
        <f t="shared" ref="CO179" si="2909">"InitUnitNormal('"&amp;B179&amp;"',"&amp;AF179&amp;","&amp;AG179&amp;","&amp;AH179&amp;","&amp;AI179&amp;","&amp;AJ179&amp;","&amp;AK179&amp;","&amp;AL179&amp;","&amp;AM179&amp;","&amp;AN179&amp;","&amp;AO179&amp;")"</f>
        <v>InitUnitNormal('IZ0A',,,,,,,,,,)</v>
      </c>
      <c r="CP179" s="110" t="str">
        <f t="shared" ref="CP179" si="2910">"InitUnitMagic('"&amp;B179&amp;"',"&amp;AP179&amp;","&amp;AQ179&amp;","&amp;AR179&amp;","&amp;AS179&amp;","&amp;AT179&amp;","&amp;AU179&amp;","&amp;AV179&amp;","&amp;AW179&amp;","&amp;BI179&amp;","&amp;BJ179&amp;")"</f>
        <v>InitUnitMagic('IZ0A',,,,,,,,,,)</v>
      </c>
      <c r="CQ179" s="110" t="str">
        <f t="shared" ref="CQ179" si="2911">"InitUnitAdd('"&amp;B179&amp;"',"&amp;BK179&amp;","&amp;BL179&amp;","&amp;BM179&amp;","&amp;BN179&amp;","&amp;BO179&amp;","&amp;BP179&amp;","&amp;BQ179&amp;","&amp;BR179&amp;","&amp;BS179&amp;","&amp;BT179&amp;")"</f>
        <v>InitUnitAdd('IZ0A',,,,,,,,,,)</v>
      </c>
      <c r="CR179" s="11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185&amp;CR$1&amp;")"</f>
        <v>InitEquipData('IZ0A',,"",,,,,'','','','','','',"ReplaceableTextures\\CommandButtons\\BTNIZ01.blp")</v>
      </c>
      <c r="CS179" s="110"/>
      <c r="CT179" s="110"/>
      <c r="CU179" s="88" t="str">
        <f t="shared" ref="CU179" si="2912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" si="2913">T179</f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11" t="str">
        <f t="shared" si="2905"/>
        <v/>
      </c>
      <c r="DC179" s="111" t="str">
        <f t="shared" si="2905"/>
        <v/>
      </c>
      <c r="DD179" s="111" t="str">
        <f t="shared" si="2905"/>
        <v/>
      </c>
      <c r="DE179" s="111" t="str">
        <f t="shared" si="2905"/>
        <v/>
      </c>
      <c r="DF179" s="111" t="str">
        <f t="shared" si="2905"/>
        <v/>
      </c>
      <c r="DG179" s="111" t="str">
        <f t="shared" si="2905"/>
        <v/>
      </c>
      <c r="DH179" s="111" t="str">
        <f t="shared" si="2905"/>
        <v/>
      </c>
      <c r="DI179" s="111" t="str">
        <f t="shared" si="2905"/>
        <v/>
      </c>
      <c r="DJ179" s="111" t="str">
        <f t="shared" si="2905"/>
        <v/>
      </c>
      <c r="DK179" s="111" t="str">
        <f t="shared" si="2905"/>
        <v/>
      </c>
      <c r="DL179" s="111" t="str">
        <f t="shared" si="2905"/>
        <v/>
      </c>
      <c r="DM179" s="111" t="str">
        <f t="shared" si="2905"/>
        <v/>
      </c>
      <c r="DN179" s="111" t="str">
        <f t="shared" si="2905"/>
        <v/>
      </c>
      <c r="DO179" s="111" t="str">
        <f t="shared" si="2905"/>
        <v/>
      </c>
      <c r="DP179" s="111" t="str">
        <f t="shared" si="2905"/>
        <v/>
      </c>
      <c r="DQ179" s="111" t="str">
        <f t="shared" si="2905"/>
        <v/>
      </c>
      <c r="DR179" s="111" t="str">
        <f t="shared" si="2905"/>
        <v/>
      </c>
      <c r="DS179" s="111" t="str">
        <f t="shared" si="2905"/>
        <v/>
      </c>
      <c r="DT179" s="111" t="str">
        <f t="shared" si="2905"/>
        <v/>
      </c>
      <c r="DU179" s="111" t="str">
        <f t="shared" si="2905"/>
        <v/>
      </c>
      <c r="DV179" s="111" t="str">
        <f t="shared" si="2905"/>
        <v/>
      </c>
      <c r="DW179" s="111" t="str">
        <f t="shared" si="2905"/>
        <v/>
      </c>
      <c r="DX179" s="111" t="str">
        <f t="shared" si="2905"/>
        <v/>
      </c>
      <c r="DY179" s="111" t="str">
        <f t="shared" si="2905"/>
        <v/>
      </c>
      <c r="DZ179" s="111" t="str">
        <f t="shared" si="2905"/>
        <v/>
      </c>
      <c r="EA179" s="111" t="str">
        <f t="shared" si="2905"/>
        <v/>
      </c>
      <c r="EB179" s="111" t="str">
        <f t="shared" si="2905"/>
        <v/>
      </c>
      <c r="EC179" s="111" t="str">
        <f t="shared" si="2905"/>
        <v/>
      </c>
      <c r="ED179" s="111" t="str">
        <f t="shared" si="2905"/>
        <v/>
      </c>
      <c r="EE179" s="111" t="str">
        <f t="shared" si="2905"/>
        <v/>
      </c>
      <c r="EF179" s="111" t="str">
        <f t="shared" si="2905"/>
        <v/>
      </c>
      <c r="EG179" s="111" t="str">
        <f t="shared" si="2905"/>
        <v/>
      </c>
      <c r="EH179" s="111" t="str">
        <f t="shared" si="2906"/>
        <v/>
      </c>
      <c r="EI179" s="111" t="str">
        <f t="shared" si="2906"/>
        <v/>
      </c>
      <c r="EJ179" s="111" t="str">
        <f t="shared" si="2906"/>
        <v/>
      </c>
      <c r="EK179" s="111" t="str">
        <f t="shared" si="2906"/>
        <v/>
      </c>
      <c r="EL179" s="111" t="str">
        <f t="shared" si="2906"/>
        <v/>
      </c>
      <c r="EM179" s="111" t="str">
        <f t="shared" si="2906"/>
        <v/>
      </c>
      <c r="EN179" s="111" t="str">
        <f t="shared" si="2906"/>
        <v/>
      </c>
      <c r="EO179" s="111" t="str">
        <f t="shared" si="2906"/>
        <v/>
      </c>
      <c r="EP179" s="111" t="str">
        <f t="shared" si="2906"/>
        <v/>
      </c>
      <c r="EQ179" s="111" t="str">
        <f t="shared" si="2906"/>
        <v/>
      </c>
      <c r="ER179" s="111" t="str">
        <f t="shared" si="2906"/>
        <v/>
      </c>
      <c r="ES179" s="111" t="str">
        <f t="shared" si="2906"/>
        <v/>
      </c>
      <c r="ET179" s="111" t="str">
        <f t="shared" si="2906"/>
        <v/>
      </c>
      <c r="EU179" s="111" t="str">
        <f t="shared" si="2906"/>
        <v/>
      </c>
      <c r="EV179" s="111" t="str">
        <f t="shared" si="2906"/>
        <v/>
      </c>
      <c r="EW179" s="111" t="str">
        <f t="shared" si="2906"/>
        <v/>
      </c>
      <c r="EX179" s="111" t="str">
        <f t="shared" si="2906"/>
        <v/>
      </c>
      <c r="EY179" s="111" t="str">
        <f t="shared" si="2906"/>
        <v/>
      </c>
      <c r="EZ179" s="111" t="str">
        <f t="shared" si="2906"/>
        <v/>
      </c>
      <c r="FA179" s="111" t="str">
        <f t="shared" si="2906"/>
        <v/>
      </c>
      <c r="FB179" s="111" t="str">
        <f t="shared" si="2906"/>
        <v/>
      </c>
      <c r="FC179" s="111" t="str">
        <f t="shared" si="2906"/>
        <v/>
      </c>
      <c r="FD179" s="111" t="str">
        <f t="shared" si="2906"/>
        <v/>
      </c>
      <c r="FE179" s="111" t="str">
        <f t="shared" si="2906"/>
        <v/>
      </c>
      <c r="FF179" s="111" t="str">
        <f t="shared" si="2906"/>
        <v/>
      </c>
      <c r="FG179" s="111" t="str">
        <f t="shared" si="2906"/>
        <v/>
      </c>
      <c r="FH179" s="111" t="str">
        <f t="shared" si="2906"/>
        <v/>
      </c>
      <c r="FI179" s="111" t="str">
        <f t="shared" si="2906"/>
        <v/>
      </c>
      <c r="FJ179" s="111" t="str">
        <f t="shared" si="2906"/>
        <v/>
      </c>
      <c r="FK179" s="111" t="str">
        <f t="shared" si="2906"/>
        <v/>
      </c>
      <c r="FL179" s="111" t="str">
        <f t="shared" si="2906"/>
        <v/>
      </c>
      <c r="FM179" s="111" t="str">
        <f t="shared" si="2906"/>
        <v/>
      </c>
      <c r="FN179" s="111" t="str">
        <f t="shared" si="2907"/>
        <v/>
      </c>
      <c r="FO179" s="111" t="str">
        <f t="shared" si="2907"/>
        <v/>
      </c>
      <c r="FP179" s="111" t="str">
        <f t="shared" si="2907"/>
        <v/>
      </c>
      <c r="FQ179" s="111" t="str">
        <f t="shared" si="2907"/>
        <v/>
      </c>
      <c r="FR179" s="111" t="str">
        <f t="shared" si="2907"/>
        <v/>
      </c>
      <c r="FS179" s="111" t="str">
        <f t="shared" si="2907"/>
        <v/>
      </c>
    </row>
    <row r="180" spans="1:175" s="29" customFormat="1" ht="16.5">
      <c r="A180" s="15"/>
      <c r="B180" s="9" t="s">
        <v>662</v>
      </c>
      <c r="C180" s="15" t="s">
        <v>663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2"/>
      <c r="Q180" s="92"/>
      <c r="R180" s="92"/>
      <c r="S180" s="92"/>
      <c r="T180" s="25" t="s">
        <v>664</v>
      </c>
      <c r="U180" s="77" t="str">
        <f t="shared" ref="U180:U184" si="2914">"ReplaceableTextures\\CommandButtons\\BTN"&amp;B180&amp;".blp"</f>
        <v>ReplaceableTextures\\CommandButtons\\BTNIZ0B.blp</v>
      </c>
      <c r="V180" s="104"/>
      <c r="W180" s="105"/>
      <c r="X180" s="105"/>
      <c r="Y180" s="105"/>
      <c r="Z180" s="105"/>
      <c r="AA180" s="105"/>
      <c r="AB180" s="105"/>
      <c r="AC180" s="105"/>
      <c r="AD180" s="105"/>
      <c r="AE180" s="105"/>
      <c r="AF180" s="105"/>
      <c r="AG180" s="105"/>
      <c r="AH180" s="105"/>
      <c r="AI180" s="105"/>
      <c r="AJ180" s="105"/>
      <c r="AK180" s="105"/>
      <c r="AL180" s="105"/>
      <c r="AM180" s="105"/>
      <c r="AN180" s="105"/>
      <c r="AO180" s="105"/>
      <c r="AP180" s="105"/>
      <c r="AQ180" s="105"/>
      <c r="AR180" s="65"/>
      <c r="AS180" s="65"/>
      <c r="AT180" s="105"/>
      <c r="AU180" s="105"/>
      <c r="AV180" s="105"/>
      <c r="AW180" s="105"/>
      <c r="AX180" s="105"/>
      <c r="AY180" s="105"/>
      <c r="AZ180" s="105"/>
      <c r="BA180" s="105"/>
      <c r="BB180" s="105"/>
      <c r="BC180" s="105"/>
      <c r="BD180" s="105"/>
      <c r="BE180" s="105"/>
      <c r="BF180" s="105"/>
      <c r="BG180" s="105"/>
      <c r="BH180" s="105"/>
      <c r="BI180" s="105"/>
      <c r="BJ180" s="105"/>
      <c r="BK180" s="105"/>
      <c r="BL180" s="105"/>
      <c r="BM180" s="105"/>
      <c r="BN180" s="105"/>
      <c r="BO180" s="105"/>
      <c r="BP180" s="105"/>
      <c r="BQ180" s="105"/>
      <c r="BR180" s="105"/>
      <c r="BS180" s="105"/>
      <c r="BT180" s="105"/>
      <c r="BU180" s="105"/>
      <c r="BV180" s="105"/>
      <c r="BW180" s="105"/>
      <c r="BX180" s="105"/>
      <c r="BY180" s="105"/>
      <c r="BZ180" s="105"/>
      <c r="CA180" s="105"/>
      <c r="CB180" s="105"/>
      <c r="CC180" s="105"/>
      <c r="CD180" s="105"/>
      <c r="CE180" s="105"/>
      <c r="CF180" s="105"/>
      <c r="CG180" s="105"/>
      <c r="CH180" s="105"/>
      <c r="CI180" s="105"/>
      <c r="CJ180" s="105"/>
      <c r="CK180" s="105"/>
      <c r="CL180" s="105"/>
      <c r="CM180" s="105"/>
      <c r="CN180" s="110" t="str">
        <f t="shared" ref="CN180:CN184" si="2915">"InitUnitState('"&amp;B180&amp;"',"&amp;V180&amp;","&amp;W180&amp;","&amp;X180&amp;","&amp;Y180&amp;","&amp;Z180&amp;","&amp;AA180&amp;","&amp;AB180&amp;","&amp;AC180&amp;","&amp;AD180&amp;","&amp;AE180&amp;")"</f>
        <v>InitUnitState('IZ0B',,,,,,,,,,)</v>
      </c>
      <c r="CO180" s="110" t="str">
        <f t="shared" ref="CO180:CO184" si="2916">"InitUnitNormal('"&amp;B180&amp;"',"&amp;AF180&amp;","&amp;AG180&amp;","&amp;AH180&amp;","&amp;AI180&amp;","&amp;AJ180&amp;","&amp;AK180&amp;","&amp;AL180&amp;","&amp;AM180&amp;","&amp;AN180&amp;","&amp;AO180&amp;")"</f>
        <v>InitUnitNormal('IZ0B',,,,,,,,,,)</v>
      </c>
      <c r="CP180" s="110" t="str">
        <f t="shared" ref="CP180:CP184" si="2917">"InitUnitMagic('"&amp;B180&amp;"',"&amp;AP180&amp;","&amp;AQ180&amp;","&amp;AR180&amp;","&amp;AS180&amp;","&amp;AT180&amp;","&amp;AU180&amp;","&amp;AV180&amp;","&amp;AW180&amp;","&amp;BI180&amp;","&amp;BJ180&amp;")"</f>
        <v>InitUnitMagic('IZ0B',,,,,,,,,,)</v>
      </c>
      <c r="CQ180" s="110" t="str">
        <f t="shared" ref="CQ180:CQ184" si="2918">"InitUnitAdd('"&amp;B180&amp;"',"&amp;BK180&amp;","&amp;BL180&amp;","&amp;BM180&amp;","&amp;BN180&amp;","&amp;BO180&amp;","&amp;BP180&amp;","&amp;BQ180&amp;","&amp;BR180&amp;","&amp;BS180&amp;","&amp;BT180&amp;")"</f>
        <v>InitUnitAdd('IZ0B',,,,,,,,,,)</v>
      </c>
      <c r="CR180" s="11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186&amp;CR$1&amp;")"</f>
        <v>InitEquipData('IZ0B',,"",,,,,'','','','','','',"ReplaceableTextures\\CommandButtons\\BTN001.blp")</v>
      </c>
      <c r="CS180" s="110"/>
      <c r="CT180" s="110"/>
      <c r="CU180" s="88" t="str">
        <f t="shared" ref="CU180:CU184" si="291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29" t="str">
        <f t="shared" ref="CV180:CV184" si="2920">T180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0" s="33"/>
      <c r="CX180" s="33"/>
      <c r="CY180" s="33"/>
      <c r="CZ180" s="33"/>
      <c r="DA180" s="33"/>
      <c r="DB180" s="111" t="str">
        <f t="shared" ref="DB180" si="2921">IF(V180="","","|n"&amp;DB$2&amp;"+"&amp;V180&amp;DB$1)</f>
        <v/>
      </c>
      <c r="DC180" s="111" t="str">
        <f t="shared" ref="DC180" si="2922">IF(W180="","","|n"&amp;DC$2&amp;"+"&amp;W180&amp;DC$1)</f>
        <v/>
      </c>
      <c r="DD180" s="111" t="str">
        <f t="shared" ref="DD180" si="2923">IF(X180="","","|n"&amp;DD$2&amp;"+"&amp;X180&amp;DD$1)</f>
        <v/>
      </c>
      <c r="DE180" s="111" t="str">
        <f t="shared" ref="DE180" si="2924">IF(Y180="","","|n"&amp;DE$2&amp;"+"&amp;Y180&amp;DE$1)</f>
        <v/>
      </c>
      <c r="DF180" s="111" t="str">
        <f t="shared" ref="DF180" si="2925">IF(Z180="","","|n"&amp;DF$2&amp;"+"&amp;Z180&amp;DF$1)</f>
        <v/>
      </c>
      <c r="DG180" s="111" t="str">
        <f t="shared" ref="DG180" si="2926">IF(AA180="","","|n"&amp;DG$2&amp;"+"&amp;AA180&amp;DG$1)</f>
        <v/>
      </c>
      <c r="DH180" s="111" t="str">
        <f t="shared" ref="DH180" si="2927">IF(AB180="","","|n"&amp;DH$2&amp;"+"&amp;AB180&amp;DH$1)</f>
        <v/>
      </c>
      <c r="DI180" s="111" t="str">
        <f t="shared" ref="DI180" si="2928">IF(AC180="","","|n"&amp;DI$2&amp;"+"&amp;AC180&amp;DI$1)</f>
        <v/>
      </c>
      <c r="DJ180" s="111" t="str">
        <f t="shared" ref="DJ180" si="2929">IF(AD180="","","|n"&amp;DJ$2&amp;"+"&amp;AD180&amp;DJ$1)</f>
        <v/>
      </c>
      <c r="DK180" s="111" t="str">
        <f t="shared" ref="DK180" si="2930">IF(AE180="","","|n"&amp;DK$2&amp;"+"&amp;AE180&amp;DK$1)</f>
        <v/>
      </c>
      <c r="DL180" s="111" t="str">
        <f t="shared" ref="DL180" si="2931">IF(AF180="","","|n"&amp;DL$2&amp;"+"&amp;AF180&amp;DL$1)</f>
        <v/>
      </c>
      <c r="DM180" s="111" t="str">
        <f t="shared" ref="DM180" si="2932">IF(AG180="","","|n"&amp;DM$2&amp;"+"&amp;AG180&amp;DM$1)</f>
        <v/>
      </c>
      <c r="DN180" s="111" t="str">
        <f t="shared" ref="DN180" si="2933">IF(AH180="","","|n"&amp;DN$2&amp;"+"&amp;AH180&amp;DN$1)</f>
        <v/>
      </c>
      <c r="DO180" s="111" t="str">
        <f t="shared" ref="DO180" si="2934">IF(AI180="","","|n"&amp;DO$2&amp;"+"&amp;AI180&amp;DO$1)</f>
        <v/>
      </c>
      <c r="DP180" s="111" t="str">
        <f t="shared" ref="DP180" si="2935">IF(AJ180="","","|n"&amp;DP$2&amp;"+"&amp;AJ180&amp;DP$1)</f>
        <v/>
      </c>
      <c r="DQ180" s="111" t="str">
        <f t="shared" ref="DQ180" si="2936">IF(AK180="","","|n"&amp;DQ$2&amp;"+"&amp;AK180&amp;DQ$1)</f>
        <v/>
      </c>
      <c r="DR180" s="111" t="str">
        <f t="shared" ref="DR180" si="2937">IF(AL180="","","|n"&amp;DR$2&amp;"+"&amp;AL180&amp;DR$1)</f>
        <v/>
      </c>
      <c r="DS180" s="111" t="str">
        <f t="shared" ref="DS180" si="2938">IF(AM180="","","|n"&amp;DS$2&amp;"+"&amp;AM180&amp;DS$1)</f>
        <v/>
      </c>
      <c r="DT180" s="111" t="str">
        <f t="shared" ref="DT180" si="2939">IF(AN180="","","|n"&amp;DT$2&amp;"+"&amp;AN180&amp;DT$1)</f>
        <v/>
      </c>
      <c r="DU180" s="111" t="str">
        <f t="shared" ref="DU180" si="2940">IF(AO180="","","|n"&amp;DU$2&amp;"+"&amp;AO180&amp;DU$1)</f>
        <v/>
      </c>
      <c r="DV180" s="111" t="str">
        <f t="shared" ref="DV180" si="2941">IF(AP180="","","|n"&amp;DV$2&amp;"+"&amp;AP180&amp;DV$1)</f>
        <v/>
      </c>
      <c r="DW180" s="111" t="str">
        <f t="shared" ref="DW180" si="2942">IF(AQ180="","","|n"&amp;DW$2&amp;"+"&amp;AQ180&amp;DW$1)</f>
        <v/>
      </c>
      <c r="DX180" s="111" t="str">
        <f t="shared" ref="DX180" si="2943">IF(AR180="","","|n"&amp;DX$2&amp;"+"&amp;AR180&amp;DX$1)</f>
        <v/>
      </c>
      <c r="DY180" s="111" t="str">
        <f t="shared" ref="DY180" si="2944">IF(AS180="","","|n"&amp;DY$2&amp;"+"&amp;AS180&amp;DY$1)</f>
        <v/>
      </c>
      <c r="DZ180" s="111" t="str">
        <f t="shared" ref="DZ180" si="2945">IF(AT180="","","|n"&amp;DZ$2&amp;"+"&amp;AT180&amp;DZ$1)</f>
        <v/>
      </c>
      <c r="EA180" s="111" t="str">
        <f t="shared" ref="EA180" si="2946">IF(AU180="","","|n"&amp;EA$2&amp;"+"&amp;AU180&amp;EA$1)</f>
        <v/>
      </c>
      <c r="EB180" s="111" t="str">
        <f t="shared" ref="EB180" si="2947">IF(AV180="","","|n"&amp;EB$2&amp;"+"&amp;AV180&amp;EB$1)</f>
        <v/>
      </c>
      <c r="EC180" s="111" t="str">
        <f t="shared" ref="EC180" si="2948">IF(AW180="","","|n"&amp;EC$2&amp;"+"&amp;AW180&amp;EC$1)</f>
        <v/>
      </c>
      <c r="ED180" s="111" t="str">
        <f t="shared" ref="ED180" si="2949">IF(AX180="","","|n"&amp;ED$2&amp;"+"&amp;AX180&amp;ED$1)</f>
        <v/>
      </c>
      <c r="EE180" s="111" t="str">
        <f t="shared" ref="EE180" si="2950">IF(AY180="","","|n"&amp;EE$2&amp;"+"&amp;AY180&amp;EE$1)</f>
        <v/>
      </c>
      <c r="EF180" s="111" t="str">
        <f t="shared" ref="EF180" si="2951">IF(AZ180="","","|n"&amp;EF$2&amp;"+"&amp;AZ180&amp;EF$1)</f>
        <v/>
      </c>
      <c r="EG180" s="111" t="str">
        <f t="shared" ref="EG180" si="2952">IF(BA180="","","|n"&amp;EG$2&amp;"+"&amp;BA180&amp;EG$1)</f>
        <v/>
      </c>
      <c r="EH180" s="111" t="str">
        <f t="shared" ref="EH180" si="2953">IF(BB180="","","|n"&amp;EH$2&amp;"+"&amp;BB180&amp;EH$1)</f>
        <v/>
      </c>
      <c r="EI180" s="111" t="str">
        <f t="shared" ref="EI180" si="2954">IF(BC180="","","|n"&amp;EI$2&amp;"+"&amp;BC180&amp;EI$1)</f>
        <v/>
      </c>
      <c r="EJ180" s="111" t="str">
        <f t="shared" ref="EJ180" si="2955">IF(BD180="","","|n"&amp;EJ$2&amp;"+"&amp;BD180&amp;EJ$1)</f>
        <v/>
      </c>
      <c r="EK180" s="111" t="str">
        <f t="shared" ref="EK180" si="2956">IF(BE180="","","|n"&amp;EK$2&amp;"+"&amp;BE180&amp;EK$1)</f>
        <v/>
      </c>
      <c r="EL180" s="111" t="str">
        <f t="shared" ref="EL180" si="2957">IF(BF180="","","|n"&amp;EL$2&amp;"+"&amp;BF180&amp;EL$1)</f>
        <v/>
      </c>
      <c r="EM180" s="111" t="str">
        <f t="shared" ref="EM180" si="2958">IF(BG180="","","|n"&amp;EM$2&amp;"+"&amp;BG180&amp;EM$1)</f>
        <v/>
      </c>
      <c r="EN180" s="111" t="str">
        <f t="shared" ref="EN180" si="2959">IF(BH180="","","|n"&amp;EN$2&amp;"+"&amp;BH180&amp;EN$1)</f>
        <v/>
      </c>
      <c r="EO180" s="111" t="str">
        <f t="shared" ref="EO180" si="2960">IF(BI180="","","|n"&amp;EO$2&amp;"+"&amp;BI180&amp;EO$1)</f>
        <v/>
      </c>
      <c r="EP180" s="111" t="str">
        <f t="shared" ref="EP180" si="2961">IF(BJ180="","","|n"&amp;EP$2&amp;"+"&amp;BJ180&amp;EP$1)</f>
        <v/>
      </c>
      <c r="EQ180" s="111" t="str">
        <f t="shared" ref="EQ180" si="2962">IF(BK180="","","|n"&amp;EQ$2&amp;"+"&amp;BK180&amp;EQ$1)</f>
        <v/>
      </c>
      <c r="ER180" s="111" t="str">
        <f t="shared" ref="ER180" si="2963">IF(BL180="","","|n"&amp;ER$2&amp;"+"&amp;BL180&amp;ER$1)</f>
        <v/>
      </c>
      <c r="ES180" s="111" t="str">
        <f t="shared" ref="ES180" si="2964">IF(BM180="","","|n"&amp;ES$2&amp;"+"&amp;BM180&amp;ES$1)</f>
        <v/>
      </c>
      <c r="ET180" s="111" t="str">
        <f t="shared" ref="ET180" si="2965">IF(BN180="","","|n"&amp;ET$2&amp;"+"&amp;BN180&amp;ET$1)</f>
        <v/>
      </c>
      <c r="EU180" s="111" t="str">
        <f t="shared" ref="EU180" si="2966">IF(BO180="","","|n"&amp;EU$2&amp;"+"&amp;BO180&amp;EU$1)</f>
        <v/>
      </c>
      <c r="EV180" s="111" t="str">
        <f t="shared" ref="EV180" si="2967">IF(BP180="","","|n"&amp;EV$2&amp;"+"&amp;BP180&amp;EV$1)</f>
        <v/>
      </c>
      <c r="EW180" s="111" t="str">
        <f t="shared" ref="EW180" si="2968">IF(BQ180="","","|n"&amp;EW$2&amp;"+"&amp;BQ180&amp;EW$1)</f>
        <v/>
      </c>
      <c r="EX180" s="111" t="str">
        <f t="shared" ref="EX180" si="2969">IF(BR180="","","|n"&amp;EX$2&amp;"+"&amp;BR180&amp;EX$1)</f>
        <v/>
      </c>
      <c r="EY180" s="111" t="str">
        <f t="shared" ref="EY180" si="2970">IF(BS180="","","|n"&amp;EY$2&amp;"+"&amp;BS180&amp;EY$1)</f>
        <v/>
      </c>
      <c r="EZ180" s="111" t="str">
        <f t="shared" ref="EZ180" si="2971">IF(BT180="","","|n"&amp;EZ$2&amp;"+"&amp;BT180&amp;EZ$1)</f>
        <v/>
      </c>
      <c r="FA180" s="111" t="str">
        <f t="shared" ref="FA180" si="2972">IF(BU180="","","|n"&amp;FA$2&amp;"+"&amp;BU180&amp;FA$1)</f>
        <v/>
      </c>
      <c r="FB180" s="111" t="str">
        <f t="shared" ref="FB180" si="2973">IF(BV180="","","|n"&amp;FB$2&amp;"+"&amp;BV180&amp;FB$1)</f>
        <v/>
      </c>
      <c r="FC180" s="111" t="str">
        <f t="shared" ref="FC180" si="2974">IF(BW180="","","|n"&amp;FC$2&amp;"+"&amp;BW180&amp;FC$1)</f>
        <v/>
      </c>
      <c r="FD180" s="111" t="str">
        <f t="shared" ref="FD180" si="2975">IF(BX180="","","|n"&amp;FD$2&amp;"+"&amp;BX180&amp;FD$1)</f>
        <v/>
      </c>
      <c r="FE180" s="111" t="str">
        <f t="shared" ref="FE180" si="2976">IF(BY180="","","|n"&amp;FE$2&amp;"+"&amp;BY180&amp;FE$1)</f>
        <v/>
      </c>
      <c r="FF180" s="111" t="str">
        <f t="shared" ref="FF180" si="2977">IF(BZ180="","","|n"&amp;FF$2&amp;"+"&amp;BZ180&amp;FF$1)</f>
        <v/>
      </c>
      <c r="FG180" s="111" t="str">
        <f t="shared" ref="FG180" si="2978">IF(CA180="","","|n"&amp;FG$2&amp;"+"&amp;CA180&amp;FG$1)</f>
        <v/>
      </c>
      <c r="FH180" s="111" t="str">
        <f t="shared" ref="FH180" si="2979">IF(CB180="","","|n"&amp;FH$2&amp;"+"&amp;CB180&amp;FH$1)</f>
        <v/>
      </c>
      <c r="FI180" s="111" t="str">
        <f t="shared" ref="FI180" si="2980">IF(CC180="","","|n"&amp;FI$2&amp;"+"&amp;CC180&amp;FI$1)</f>
        <v/>
      </c>
      <c r="FJ180" s="111" t="str">
        <f t="shared" ref="FJ180" si="2981">IF(CD180="","","|n"&amp;FJ$2&amp;"+"&amp;CD180&amp;FJ$1)</f>
        <v/>
      </c>
      <c r="FK180" s="111" t="str">
        <f t="shared" ref="FK180" si="2982">IF(CE180="","","|n"&amp;FK$2&amp;"+"&amp;CE180&amp;FK$1)</f>
        <v/>
      </c>
      <c r="FL180" s="111" t="str">
        <f t="shared" ref="FL180" si="2983">IF(CF180="","","|n"&amp;FL$2&amp;"+"&amp;CF180&amp;FL$1)</f>
        <v/>
      </c>
      <c r="FM180" s="111" t="str">
        <f t="shared" ref="FM180" si="2984">IF(CG180="","","|n"&amp;FM$2&amp;"+"&amp;CG180&amp;FM$1)</f>
        <v/>
      </c>
      <c r="FN180" s="111" t="str">
        <f t="shared" ref="FN180" si="2985">IF(CH180="","","|n"&amp;FN$2&amp;"+"&amp;CH180&amp;FN$1)</f>
        <v/>
      </c>
      <c r="FO180" s="111" t="str">
        <f t="shared" ref="FO180" si="2986">IF(CI180="","","|n"&amp;FO$2&amp;"+"&amp;CI180&amp;FO$1)</f>
        <v/>
      </c>
      <c r="FP180" s="111" t="str">
        <f t="shared" ref="FP180" si="2987">IF(CJ180="","","|n"&amp;FP$2&amp;"+"&amp;CJ180&amp;FP$1)</f>
        <v/>
      </c>
      <c r="FQ180" s="111" t="str">
        <f t="shared" ref="FQ180" si="2988">IF(CK180="","","|n"&amp;FQ$2&amp;"+"&amp;CK180&amp;FQ$1)</f>
        <v/>
      </c>
      <c r="FR180" s="111" t="str">
        <f t="shared" ref="FR180" si="2989">IF(CL180="","","|n"&amp;FR$2&amp;"+"&amp;CL180&amp;FR$1)</f>
        <v/>
      </c>
      <c r="FS180" s="111" t="str">
        <f t="shared" ref="FS180" si="2990">IF(CM180="","","|n"&amp;FS$2&amp;"+"&amp;CM180&amp;FS$1)</f>
        <v/>
      </c>
    </row>
    <row r="181" spans="1:175" s="29" customFormat="1" ht="16.5">
      <c r="A181" s="15"/>
      <c r="B181" s="9" t="s">
        <v>665</v>
      </c>
      <c r="C181" s="15"/>
      <c r="D181" s="12"/>
      <c r="E181" s="12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92"/>
      <c r="Q181" s="92"/>
      <c r="R181" s="92"/>
      <c r="S181" s="92"/>
      <c r="T181" s="15" t="s">
        <v>661</v>
      </c>
      <c r="U181" s="77" t="str">
        <f t="shared" si="2914"/>
        <v>ReplaceableTextures\\CommandButtons\\BTNIZ0D.blp</v>
      </c>
      <c r="V181" s="104"/>
      <c r="W181" s="105"/>
      <c r="X181" s="105"/>
      <c r="Y181" s="105"/>
      <c r="Z181" s="105"/>
      <c r="AA181" s="105"/>
      <c r="AB181" s="105"/>
      <c r="AC181" s="105"/>
      <c r="AD181" s="105"/>
      <c r="AE181" s="105"/>
      <c r="AF181" s="105"/>
      <c r="AG181" s="105"/>
      <c r="AH181" s="105"/>
      <c r="AI181" s="105"/>
      <c r="AJ181" s="105"/>
      <c r="AK181" s="105"/>
      <c r="AL181" s="105"/>
      <c r="AM181" s="105"/>
      <c r="AN181" s="105"/>
      <c r="AO181" s="105"/>
      <c r="AP181" s="105"/>
      <c r="AQ181" s="105"/>
      <c r="AR181" s="65"/>
      <c r="AS181" s="65"/>
      <c r="AT181" s="105"/>
      <c r="AU181" s="105"/>
      <c r="AV181" s="105"/>
      <c r="AW181" s="105"/>
      <c r="AX181" s="105"/>
      <c r="AY181" s="105"/>
      <c r="AZ181" s="105"/>
      <c r="BA181" s="105"/>
      <c r="BB181" s="105"/>
      <c r="BC181" s="105"/>
      <c r="BD181" s="105"/>
      <c r="BE181" s="105"/>
      <c r="BF181" s="105"/>
      <c r="BG181" s="105"/>
      <c r="BH181" s="105"/>
      <c r="BI181" s="105"/>
      <c r="BJ181" s="105"/>
      <c r="BK181" s="105"/>
      <c r="BL181" s="105"/>
      <c r="BM181" s="105"/>
      <c r="BN181" s="105"/>
      <c r="BO181" s="105"/>
      <c r="BP181" s="105"/>
      <c r="BQ181" s="105"/>
      <c r="BR181" s="105"/>
      <c r="BS181" s="105"/>
      <c r="BT181" s="105"/>
      <c r="BU181" s="105"/>
      <c r="BV181" s="105"/>
      <c r="BW181" s="105"/>
      <c r="BX181" s="105"/>
      <c r="BY181" s="105"/>
      <c r="BZ181" s="105"/>
      <c r="CA181" s="105"/>
      <c r="CB181" s="105"/>
      <c r="CC181" s="105"/>
      <c r="CD181" s="105"/>
      <c r="CE181" s="105"/>
      <c r="CF181" s="105"/>
      <c r="CG181" s="105"/>
      <c r="CH181" s="105"/>
      <c r="CI181" s="105"/>
      <c r="CJ181" s="105"/>
      <c r="CK181" s="105"/>
      <c r="CL181" s="105"/>
      <c r="CM181" s="105"/>
      <c r="CN181" s="110" t="str">
        <f t="shared" si="2915"/>
        <v>InitUnitState('IZ0D',,,,,,,,,,)</v>
      </c>
      <c r="CO181" s="110" t="str">
        <f t="shared" si="2916"/>
        <v>InitUnitNormal('IZ0D',,,,,,,,,,)</v>
      </c>
      <c r="CP181" s="110" t="str">
        <f t="shared" si="2917"/>
        <v>InitUnitMagic('IZ0D',,,,,,,,,,)</v>
      </c>
      <c r="CQ181" s="110" t="str">
        <f t="shared" si="2918"/>
        <v>InitUnitAdd('IZ0D',,,,,,,,,,)</v>
      </c>
      <c r="CR181" s="11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187&amp;CR$1&amp;")"</f>
        <v>InitEquipData('IZ0D',,"",,,,,'','','','','','',"ReplaceableTextures\\CommandButtons\\BTN001.blp")</v>
      </c>
      <c r="CS181" s="110"/>
      <c r="CT181" s="110"/>
      <c r="CU181" s="88" t="str">
        <f t="shared" si="2919"/>
        <v>|n</v>
      </c>
      <c r="CV181" s="29" t="str">
        <f t="shared" si="2920"/>
        <v>延缓敌军2分钟进攻时间。|n|n|Cff999999狗策划一直不想做这个功能，你们就省着点用吧~（逃|r</v>
      </c>
      <c r="CW181" s="33"/>
      <c r="CX181" s="33"/>
      <c r="CY181" s="33"/>
      <c r="CZ181" s="33"/>
      <c r="DA181" s="33"/>
      <c r="DB181" s="111" t="str">
        <f t="shared" ref="DB181:FM181" si="2991">IF(V181="","","|n"&amp;DB$2&amp;"+"&amp;V181&amp;DB$1)</f>
        <v/>
      </c>
      <c r="DC181" s="111" t="str">
        <f t="shared" si="2991"/>
        <v/>
      </c>
      <c r="DD181" s="111" t="str">
        <f t="shared" si="2991"/>
        <v/>
      </c>
      <c r="DE181" s="111" t="str">
        <f t="shared" si="2991"/>
        <v/>
      </c>
      <c r="DF181" s="111" t="str">
        <f t="shared" si="2991"/>
        <v/>
      </c>
      <c r="DG181" s="111" t="str">
        <f t="shared" si="2991"/>
        <v/>
      </c>
      <c r="DH181" s="111" t="str">
        <f t="shared" si="2991"/>
        <v/>
      </c>
      <c r="DI181" s="111" t="str">
        <f t="shared" si="2991"/>
        <v/>
      </c>
      <c r="DJ181" s="111" t="str">
        <f t="shared" si="2991"/>
        <v/>
      </c>
      <c r="DK181" s="111" t="str">
        <f t="shared" si="2991"/>
        <v/>
      </c>
      <c r="DL181" s="111" t="str">
        <f t="shared" si="2991"/>
        <v/>
      </c>
      <c r="DM181" s="111" t="str">
        <f t="shared" si="2991"/>
        <v/>
      </c>
      <c r="DN181" s="111" t="str">
        <f t="shared" si="2991"/>
        <v/>
      </c>
      <c r="DO181" s="111" t="str">
        <f t="shared" si="2991"/>
        <v/>
      </c>
      <c r="DP181" s="111" t="str">
        <f t="shared" si="2991"/>
        <v/>
      </c>
      <c r="DQ181" s="111" t="str">
        <f t="shared" si="2991"/>
        <v/>
      </c>
      <c r="DR181" s="111" t="str">
        <f t="shared" si="2991"/>
        <v/>
      </c>
      <c r="DS181" s="111" t="str">
        <f t="shared" si="2991"/>
        <v/>
      </c>
      <c r="DT181" s="111" t="str">
        <f t="shared" si="2991"/>
        <v/>
      </c>
      <c r="DU181" s="111" t="str">
        <f t="shared" si="2991"/>
        <v/>
      </c>
      <c r="DV181" s="111" t="str">
        <f t="shared" si="2991"/>
        <v/>
      </c>
      <c r="DW181" s="111" t="str">
        <f t="shared" si="2991"/>
        <v/>
      </c>
      <c r="DX181" s="111" t="str">
        <f t="shared" si="2991"/>
        <v/>
      </c>
      <c r="DY181" s="111" t="str">
        <f t="shared" si="2991"/>
        <v/>
      </c>
      <c r="DZ181" s="111" t="str">
        <f t="shared" si="2991"/>
        <v/>
      </c>
      <c r="EA181" s="111" t="str">
        <f t="shared" si="2991"/>
        <v/>
      </c>
      <c r="EB181" s="111" t="str">
        <f t="shared" si="2991"/>
        <v/>
      </c>
      <c r="EC181" s="111" t="str">
        <f t="shared" si="2991"/>
        <v/>
      </c>
      <c r="ED181" s="111" t="str">
        <f t="shared" si="2991"/>
        <v/>
      </c>
      <c r="EE181" s="111" t="str">
        <f t="shared" si="2991"/>
        <v/>
      </c>
      <c r="EF181" s="111" t="str">
        <f t="shared" si="2991"/>
        <v/>
      </c>
      <c r="EG181" s="111" t="str">
        <f t="shared" si="2991"/>
        <v/>
      </c>
      <c r="EH181" s="111" t="str">
        <f t="shared" si="2991"/>
        <v/>
      </c>
      <c r="EI181" s="111" t="str">
        <f t="shared" si="2991"/>
        <v/>
      </c>
      <c r="EJ181" s="111" t="str">
        <f t="shared" si="2991"/>
        <v/>
      </c>
      <c r="EK181" s="111" t="str">
        <f t="shared" si="2991"/>
        <v/>
      </c>
      <c r="EL181" s="111" t="str">
        <f t="shared" si="2991"/>
        <v/>
      </c>
      <c r="EM181" s="111" t="str">
        <f t="shared" si="2991"/>
        <v/>
      </c>
      <c r="EN181" s="111" t="str">
        <f t="shared" si="2991"/>
        <v/>
      </c>
      <c r="EO181" s="111" t="str">
        <f t="shared" si="2991"/>
        <v/>
      </c>
      <c r="EP181" s="111" t="str">
        <f t="shared" si="2991"/>
        <v/>
      </c>
      <c r="EQ181" s="111" t="str">
        <f t="shared" si="2991"/>
        <v/>
      </c>
      <c r="ER181" s="111" t="str">
        <f t="shared" si="2991"/>
        <v/>
      </c>
      <c r="ES181" s="111" t="str">
        <f t="shared" si="2991"/>
        <v/>
      </c>
      <c r="ET181" s="111" t="str">
        <f t="shared" si="2991"/>
        <v/>
      </c>
      <c r="EU181" s="111" t="str">
        <f t="shared" si="2991"/>
        <v/>
      </c>
      <c r="EV181" s="111" t="str">
        <f t="shared" si="2991"/>
        <v/>
      </c>
      <c r="EW181" s="111" t="str">
        <f t="shared" si="2991"/>
        <v/>
      </c>
      <c r="EX181" s="111" t="str">
        <f t="shared" si="2991"/>
        <v/>
      </c>
      <c r="EY181" s="111" t="str">
        <f t="shared" si="2991"/>
        <v/>
      </c>
      <c r="EZ181" s="111" t="str">
        <f t="shared" si="2991"/>
        <v/>
      </c>
      <c r="FA181" s="111" t="str">
        <f t="shared" si="2991"/>
        <v/>
      </c>
      <c r="FB181" s="111" t="str">
        <f t="shared" si="2991"/>
        <v/>
      </c>
      <c r="FC181" s="111" t="str">
        <f t="shared" si="2991"/>
        <v/>
      </c>
      <c r="FD181" s="111" t="str">
        <f t="shared" si="2991"/>
        <v/>
      </c>
      <c r="FE181" s="111" t="str">
        <f t="shared" si="2991"/>
        <v/>
      </c>
      <c r="FF181" s="111" t="str">
        <f t="shared" si="2991"/>
        <v/>
      </c>
      <c r="FG181" s="111" t="str">
        <f t="shared" si="2991"/>
        <v/>
      </c>
      <c r="FH181" s="111" t="str">
        <f t="shared" si="2991"/>
        <v/>
      </c>
      <c r="FI181" s="111" t="str">
        <f t="shared" si="2991"/>
        <v/>
      </c>
      <c r="FJ181" s="111" t="str">
        <f t="shared" si="2991"/>
        <v/>
      </c>
      <c r="FK181" s="111" t="str">
        <f t="shared" si="2991"/>
        <v/>
      </c>
      <c r="FL181" s="111" t="str">
        <f t="shared" si="2991"/>
        <v/>
      </c>
      <c r="FM181" s="111" t="str">
        <f t="shared" si="2991"/>
        <v/>
      </c>
      <c r="FN181" s="111" t="str">
        <f t="shared" ref="FN181:FS181" si="2992">IF(CH181="","","|n"&amp;FN$2&amp;"+"&amp;CH181&amp;FN$1)</f>
        <v/>
      </c>
      <c r="FO181" s="111" t="str">
        <f t="shared" si="2992"/>
        <v/>
      </c>
      <c r="FP181" s="111" t="str">
        <f t="shared" si="2992"/>
        <v/>
      </c>
      <c r="FQ181" s="111" t="str">
        <f t="shared" si="2992"/>
        <v/>
      </c>
      <c r="FR181" s="111" t="str">
        <f t="shared" si="2992"/>
        <v/>
      </c>
      <c r="FS181" s="111" t="str">
        <f t="shared" si="2992"/>
        <v/>
      </c>
    </row>
    <row r="182" spans="1:175" s="29" customFormat="1" ht="16.5">
      <c r="A182" s="15"/>
      <c r="B182" s="9" t="s">
        <v>666</v>
      </c>
      <c r="C182" s="15"/>
      <c r="D182" s="12"/>
      <c r="E182" s="12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92"/>
      <c r="Q182" s="92"/>
      <c r="R182" s="92"/>
      <c r="S182" s="92"/>
      <c r="T182" s="15" t="s">
        <v>661</v>
      </c>
      <c r="U182" s="77" t="str">
        <f t="shared" si="2914"/>
        <v>ReplaceableTextures\\CommandButtons\\BTNIZ0E.blp</v>
      </c>
      <c r="V182" s="104"/>
      <c r="W182" s="105"/>
      <c r="X182" s="105"/>
      <c r="Y182" s="105"/>
      <c r="Z182" s="105"/>
      <c r="AA182" s="105"/>
      <c r="AB182" s="105"/>
      <c r="AC182" s="105"/>
      <c r="AD182" s="105"/>
      <c r="AE182" s="105"/>
      <c r="AF182" s="105"/>
      <c r="AG182" s="105"/>
      <c r="AH182" s="105"/>
      <c r="AI182" s="105"/>
      <c r="AJ182" s="105"/>
      <c r="AK182" s="105"/>
      <c r="AL182" s="105"/>
      <c r="AM182" s="105"/>
      <c r="AN182" s="105"/>
      <c r="AO182" s="105"/>
      <c r="AP182" s="105"/>
      <c r="AQ182" s="105"/>
      <c r="AR182" s="65"/>
      <c r="AS182" s="65"/>
      <c r="AT182" s="105"/>
      <c r="AU182" s="105"/>
      <c r="AV182" s="105"/>
      <c r="AW182" s="105"/>
      <c r="AX182" s="105"/>
      <c r="AY182" s="105"/>
      <c r="AZ182" s="105"/>
      <c r="BA182" s="105"/>
      <c r="BB182" s="105"/>
      <c r="BC182" s="105"/>
      <c r="BD182" s="105"/>
      <c r="BE182" s="105"/>
      <c r="BF182" s="105"/>
      <c r="BG182" s="105"/>
      <c r="BH182" s="105"/>
      <c r="BI182" s="105"/>
      <c r="BJ182" s="105"/>
      <c r="BK182" s="105"/>
      <c r="BL182" s="105"/>
      <c r="BM182" s="105"/>
      <c r="BN182" s="105"/>
      <c r="BO182" s="105"/>
      <c r="BP182" s="105"/>
      <c r="BQ182" s="105"/>
      <c r="BR182" s="105"/>
      <c r="BS182" s="105"/>
      <c r="BT182" s="105"/>
      <c r="BU182" s="105"/>
      <c r="BV182" s="105"/>
      <c r="BW182" s="105"/>
      <c r="BX182" s="105"/>
      <c r="BY182" s="105"/>
      <c r="BZ182" s="105"/>
      <c r="CA182" s="105"/>
      <c r="CB182" s="105"/>
      <c r="CC182" s="105"/>
      <c r="CD182" s="105"/>
      <c r="CE182" s="105"/>
      <c r="CF182" s="105"/>
      <c r="CG182" s="105"/>
      <c r="CH182" s="105"/>
      <c r="CI182" s="105"/>
      <c r="CJ182" s="105"/>
      <c r="CK182" s="105"/>
      <c r="CL182" s="105"/>
      <c r="CM182" s="105"/>
      <c r="CN182" s="110" t="str">
        <f t="shared" si="2915"/>
        <v>InitUnitState('IZ0E',,,,,,,,,,)</v>
      </c>
      <c r="CO182" s="110" t="str">
        <f t="shared" si="2916"/>
        <v>InitUnitNormal('IZ0E',,,,,,,,,,)</v>
      </c>
      <c r="CP182" s="110" t="str">
        <f t="shared" si="2917"/>
        <v>InitUnitMagic('IZ0E',,,,,,,,,,)</v>
      </c>
      <c r="CQ182" s="110" t="str">
        <f t="shared" si="2918"/>
        <v>InitUnitAdd('IZ0E',,,,,,,,,,)</v>
      </c>
      <c r="CR182" s="11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188&amp;CR$1&amp;")"</f>
        <v>InitEquipData('IZ0E',,"",,,,,'','','','','','',"ReplaceableTextures\\CommandButtons\\BTN001.blp")</v>
      </c>
      <c r="CS182" s="110"/>
      <c r="CT182" s="110"/>
      <c r="CU182" s="88" t="str">
        <f t="shared" si="2919"/>
        <v>|n</v>
      </c>
      <c r="CV182" s="29" t="str">
        <f t="shared" si="2920"/>
        <v>延缓敌军2分钟进攻时间。|n|n|Cff999999狗策划一直不想做这个功能，你们就省着点用吧~（逃|r</v>
      </c>
      <c r="CW182" s="33"/>
      <c r="CX182" s="33"/>
      <c r="CY182" s="33"/>
      <c r="CZ182" s="33"/>
      <c r="DA182" s="33"/>
      <c r="DB182" s="111" t="str">
        <f t="shared" ref="DB182:FM182" si="2993">IF(V182="","","|n"&amp;DB$2&amp;"+"&amp;V182&amp;DB$1)</f>
        <v/>
      </c>
      <c r="DC182" s="111" t="str">
        <f t="shared" si="2993"/>
        <v/>
      </c>
      <c r="DD182" s="111" t="str">
        <f t="shared" si="2993"/>
        <v/>
      </c>
      <c r="DE182" s="111" t="str">
        <f t="shared" si="2993"/>
        <v/>
      </c>
      <c r="DF182" s="111" t="str">
        <f t="shared" si="2993"/>
        <v/>
      </c>
      <c r="DG182" s="111" t="str">
        <f t="shared" si="2993"/>
        <v/>
      </c>
      <c r="DH182" s="111" t="str">
        <f t="shared" si="2993"/>
        <v/>
      </c>
      <c r="DI182" s="111" t="str">
        <f t="shared" si="2993"/>
        <v/>
      </c>
      <c r="DJ182" s="111" t="str">
        <f t="shared" si="2993"/>
        <v/>
      </c>
      <c r="DK182" s="111" t="str">
        <f t="shared" si="2993"/>
        <v/>
      </c>
      <c r="DL182" s="111" t="str">
        <f t="shared" si="2993"/>
        <v/>
      </c>
      <c r="DM182" s="111" t="str">
        <f t="shared" si="2993"/>
        <v/>
      </c>
      <c r="DN182" s="111" t="str">
        <f t="shared" si="2993"/>
        <v/>
      </c>
      <c r="DO182" s="111" t="str">
        <f t="shared" si="2993"/>
        <v/>
      </c>
      <c r="DP182" s="111" t="str">
        <f t="shared" si="2993"/>
        <v/>
      </c>
      <c r="DQ182" s="111" t="str">
        <f t="shared" si="2993"/>
        <v/>
      </c>
      <c r="DR182" s="111" t="str">
        <f t="shared" si="2993"/>
        <v/>
      </c>
      <c r="DS182" s="111" t="str">
        <f t="shared" si="2993"/>
        <v/>
      </c>
      <c r="DT182" s="111" t="str">
        <f t="shared" si="2993"/>
        <v/>
      </c>
      <c r="DU182" s="111" t="str">
        <f t="shared" si="2993"/>
        <v/>
      </c>
      <c r="DV182" s="111" t="str">
        <f t="shared" si="2993"/>
        <v/>
      </c>
      <c r="DW182" s="111" t="str">
        <f t="shared" si="2993"/>
        <v/>
      </c>
      <c r="DX182" s="111" t="str">
        <f t="shared" si="2993"/>
        <v/>
      </c>
      <c r="DY182" s="111" t="str">
        <f t="shared" si="2993"/>
        <v/>
      </c>
      <c r="DZ182" s="111" t="str">
        <f t="shared" si="2993"/>
        <v/>
      </c>
      <c r="EA182" s="111" t="str">
        <f t="shared" si="2993"/>
        <v/>
      </c>
      <c r="EB182" s="111" t="str">
        <f t="shared" si="2993"/>
        <v/>
      </c>
      <c r="EC182" s="111" t="str">
        <f t="shared" si="2993"/>
        <v/>
      </c>
      <c r="ED182" s="111" t="str">
        <f t="shared" si="2993"/>
        <v/>
      </c>
      <c r="EE182" s="111" t="str">
        <f t="shared" si="2993"/>
        <v/>
      </c>
      <c r="EF182" s="111" t="str">
        <f t="shared" si="2993"/>
        <v/>
      </c>
      <c r="EG182" s="111" t="str">
        <f t="shared" si="2993"/>
        <v/>
      </c>
      <c r="EH182" s="111" t="str">
        <f t="shared" si="2993"/>
        <v/>
      </c>
      <c r="EI182" s="111" t="str">
        <f t="shared" si="2993"/>
        <v/>
      </c>
      <c r="EJ182" s="111" t="str">
        <f t="shared" si="2993"/>
        <v/>
      </c>
      <c r="EK182" s="111" t="str">
        <f t="shared" si="2993"/>
        <v/>
      </c>
      <c r="EL182" s="111" t="str">
        <f t="shared" si="2993"/>
        <v/>
      </c>
      <c r="EM182" s="111" t="str">
        <f t="shared" si="2993"/>
        <v/>
      </c>
      <c r="EN182" s="111" t="str">
        <f t="shared" si="2993"/>
        <v/>
      </c>
      <c r="EO182" s="111" t="str">
        <f t="shared" si="2993"/>
        <v/>
      </c>
      <c r="EP182" s="111" t="str">
        <f t="shared" si="2993"/>
        <v/>
      </c>
      <c r="EQ182" s="111" t="str">
        <f t="shared" si="2993"/>
        <v/>
      </c>
      <c r="ER182" s="111" t="str">
        <f t="shared" si="2993"/>
        <v/>
      </c>
      <c r="ES182" s="111" t="str">
        <f t="shared" si="2993"/>
        <v/>
      </c>
      <c r="ET182" s="111" t="str">
        <f t="shared" si="2993"/>
        <v/>
      </c>
      <c r="EU182" s="111" t="str">
        <f t="shared" si="2993"/>
        <v/>
      </c>
      <c r="EV182" s="111" t="str">
        <f t="shared" si="2993"/>
        <v/>
      </c>
      <c r="EW182" s="111" t="str">
        <f t="shared" si="2993"/>
        <v/>
      </c>
      <c r="EX182" s="111" t="str">
        <f t="shared" si="2993"/>
        <v/>
      </c>
      <c r="EY182" s="111" t="str">
        <f t="shared" si="2993"/>
        <v/>
      </c>
      <c r="EZ182" s="111" t="str">
        <f t="shared" si="2993"/>
        <v/>
      </c>
      <c r="FA182" s="111" t="str">
        <f t="shared" si="2993"/>
        <v/>
      </c>
      <c r="FB182" s="111" t="str">
        <f t="shared" si="2993"/>
        <v/>
      </c>
      <c r="FC182" s="111" t="str">
        <f t="shared" si="2993"/>
        <v/>
      </c>
      <c r="FD182" s="111" t="str">
        <f t="shared" si="2993"/>
        <v/>
      </c>
      <c r="FE182" s="111" t="str">
        <f t="shared" si="2993"/>
        <v/>
      </c>
      <c r="FF182" s="111" t="str">
        <f t="shared" si="2993"/>
        <v/>
      </c>
      <c r="FG182" s="111" t="str">
        <f t="shared" si="2993"/>
        <v/>
      </c>
      <c r="FH182" s="111" t="str">
        <f t="shared" si="2993"/>
        <v/>
      </c>
      <c r="FI182" s="111" t="str">
        <f t="shared" si="2993"/>
        <v/>
      </c>
      <c r="FJ182" s="111" t="str">
        <f t="shared" si="2993"/>
        <v/>
      </c>
      <c r="FK182" s="111" t="str">
        <f t="shared" si="2993"/>
        <v/>
      </c>
      <c r="FL182" s="111" t="str">
        <f t="shared" si="2993"/>
        <v/>
      </c>
      <c r="FM182" s="111" t="str">
        <f t="shared" si="2993"/>
        <v/>
      </c>
      <c r="FN182" s="111" t="str">
        <f t="shared" ref="FN182:FS182" si="2994">IF(CH182="","","|n"&amp;FN$2&amp;"+"&amp;CH182&amp;FN$1)</f>
        <v/>
      </c>
      <c r="FO182" s="111" t="str">
        <f t="shared" si="2994"/>
        <v/>
      </c>
      <c r="FP182" s="111" t="str">
        <f t="shared" si="2994"/>
        <v/>
      </c>
      <c r="FQ182" s="111" t="str">
        <f t="shared" si="2994"/>
        <v/>
      </c>
      <c r="FR182" s="111" t="str">
        <f t="shared" si="2994"/>
        <v/>
      </c>
      <c r="FS182" s="111" t="str">
        <f t="shared" si="2994"/>
        <v/>
      </c>
    </row>
    <row r="183" spans="1:175" s="29" customFormat="1" ht="16.5">
      <c r="A183" s="15"/>
      <c r="B183" s="9" t="s">
        <v>667</v>
      </c>
      <c r="C183" s="15"/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2"/>
      <c r="Q183" s="92"/>
      <c r="R183" s="92"/>
      <c r="S183" s="92"/>
      <c r="T183" s="15" t="s">
        <v>661</v>
      </c>
      <c r="U183" s="77" t="str">
        <f t="shared" si="2914"/>
        <v>ReplaceableTextures\\CommandButtons\\BTNIZ0F.blp</v>
      </c>
      <c r="V183" s="104"/>
      <c r="W183" s="105"/>
      <c r="X183" s="105"/>
      <c r="Y183" s="105"/>
      <c r="Z183" s="105"/>
      <c r="AA183" s="105"/>
      <c r="AB183" s="105"/>
      <c r="AC183" s="105"/>
      <c r="AD183" s="105"/>
      <c r="AE183" s="105"/>
      <c r="AF183" s="105"/>
      <c r="AG183" s="105"/>
      <c r="AH183" s="105"/>
      <c r="AI183" s="105"/>
      <c r="AJ183" s="105"/>
      <c r="AK183" s="105"/>
      <c r="AL183" s="105"/>
      <c r="AM183" s="105"/>
      <c r="AN183" s="105"/>
      <c r="AO183" s="105"/>
      <c r="AP183" s="105"/>
      <c r="AQ183" s="105"/>
      <c r="AR183" s="65"/>
      <c r="AS183" s="65"/>
      <c r="AT183" s="105"/>
      <c r="AU183" s="105"/>
      <c r="AV183" s="105"/>
      <c r="AW183" s="105"/>
      <c r="AX183" s="105"/>
      <c r="AY183" s="105"/>
      <c r="AZ183" s="105"/>
      <c r="BA183" s="105"/>
      <c r="BB183" s="105"/>
      <c r="BC183" s="105"/>
      <c r="BD183" s="105"/>
      <c r="BE183" s="105"/>
      <c r="BF183" s="105"/>
      <c r="BG183" s="105"/>
      <c r="BH183" s="105"/>
      <c r="BI183" s="105"/>
      <c r="BJ183" s="105"/>
      <c r="BK183" s="105"/>
      <c r="BL183" s="105"/>
      <c r="BM183" s="105"/>
      <c r="BN183" s="105"/>
      <c r="BO183" s="105"/>
      <c r="BP183" s="105"/>
      <c r="BQ183" s="105"/>
      <c r="BR183" s="105"/>
      <c r="BS183" s="105"/>
      <c r="BT183" s="105"/>
      <c r="BU183" s="105"/>
      <c r="BV183" s="105"/>
      <c r="BW183" s="105"/>
      <c r="BX183" s="105"/>
      <c r="BY183" s="105"/>
      <c r="BZ183" s="105"/>
      <c r="CA183" s="105"/>
      <c r="CB183" s="105"/>
      <c r="CC183" s="105"/>
      <c r="CD183" s="105"/>
      <c r="CE183" s="105"/>
      <c r="CF183" s="105"/>
      <c r="CG183" s="105"/>
      <c r="CH183" s="105"/>
      <c r="CI183" s="105"/>
      <c r="CJ183" s="105"/>
      <c r="CK183" s="105"/>
      <c r="CL183" s="105"/>
      <c r="CM183" s="105"/>
      <c r="CN183" s="110" t="str">
        <f t="shared" si="2915"/>
        <v>InitUnitState('IZ0F',,,,,,,,,,)</v>
      </c>
      <c r="CO183" s="110" t="str">
        <f t="shared" si="2916"/>
        <v>InitUnitNormal('IZ0F',,,,,,,,,,)</v>
      </c>
      <c r="CP183" s="110" t="str">
        <f t="shared" si="2917"/>
        <v>InitUnitMagic('IZ0F',,,,,,,,,,)</v>
      </c>
      <c r="CQ183" s="110" t="str">
        <f t="shared" si="2918"/>
        <v>InitUnitAdd('IZ0F',,,,,,,,,,)</v>
      </c>
      <c r="CR183" s="1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192&amp;CR$1&amp;")"</f>
        <v>InitEquipData('IZ0F',,"",,,,,'','','','','','',"ReplaceableTextures\\CommandButtons\\BTNIN01.blp")</v>
      </c>
      <c r="CS183" s="110"/>
      <c r="CT183" s="110"/>
      <c r="CU183" s="88" t="str">
        <f t="shared" si="2919"/>
        <v>|n</v>
      </c>
      <c r="CV183" s="29" t="str">
        <f t="shared" si="2920"/>
        <v>延缓敌军2分钟进攻时间。|n|n|Cff999999狗策划一直不想做这个功能，你们就省着点用吧~（逃|r</v>
      </c>
      <c r="CW183" s="33"/>
      <c r="CX183" s="33"/>
      <c r="CY183" s="33"/>
      <c r="CZ183" s="33"/>
      <c r="DA183" s="33"/>
      <c r="DB183" s="111" t="str">
        <f t="shared" ref="DB183:FM183" si="2995">IF(V183="","","|n"&amp;DB$2&amp;"+"&amp;V183&amp;DB$1)</f>
        <v/>
      </c>
      <c r="DC183" s="111" t="str">
        <f t="shared" si="2995"/>
        <v/>
      </c>
      <c r="DD183" s="111" t="str">
        <f t="shared" si="2995"/>
        <v/>
      </c>
      <c r="DE183" s="111" t="str">
        <f t="shared" si="2995"/>
        <v/>
      </c>
      <c r="DF183" s="111" t="str">
        <f t="shared" si="2995"/>
        <v/>
      </c>
      <c r="DG183" s="111" t="str">
        <f t="shared" si="2995"/>
        <v/>
      </c>
      <c r="DH183" s="111" t="str">
        <f t="shared" si="2995"/>
        <v/>
      </c>
      <c r="DI183" s="111" t="str">
        <f t="shared" si="2995"/>
        <v/>
      </c>
      <c r="DJ183" s="111" t="str">
        <f t="shared" si="2995"/>
        <v/>
      </c>
      <c r="DK183" s="111" t="str">
        <f t="shared" si="2995"/>
        <v/>
      </c>
      <c r="DL183" s="111" t="str">
        <f t="shared" si="2995"/>
        <v/>
      </c>
      <c r="DM183" s="111" t="str">
        <f t="shared" si="2995"/>
        <v/>
      </c>
      <c r="DN183" s="111" t="str">
        <f t="shared" si="2995"/>
        <v/>
      </c>
      <c r="DO183" s="111" t="str">
        <f t="shared" si="2995"/>
        <v/>
      </c>
      <c r="DP183" s="111" t="str">
        <f t="shared" si="2995"/>
        <v/>
      </c>
      <c r="DQ183" s="111" t="str">
        <f t="shared" si="2995"/>
        <v/>
      </c>
      <c r="DR183" s="111" t="str">
        <f t="shared" si="2995"/>
        <v/>
      </c>
      <c r="DS183" s="111" t="str">
        <f t="shared" si="2995"/>
        <v/>
      </c>
      <c r="DT183" s="111" t="str">
        <f t="shared" si="2995"/>
        <v/>
      </c>
      <c r="DU183" s="111" t="str">
        <f t="shared" si="2995"/>
        <v/>
      </c>
      <c r="DV183" s="111" t="str">
        <f t="shared" si="2995"/>
        <v/>
      </c>
      <c r="DW183" s="111" t="str">
        <f t="shared" si="2995"/>
        <v/>
      </c>
      <c r="DX183" s="111" t="str">
        <f t="shared" si="2995"/>
        <v/>
      </c>
      <c r="DY183" s="111" t="str">
        <f t="shared" si="2995"/>
        <v/>
      </c>
      <c r="DZ183" s="111" t="str">
        <f t="shared" si="2995"/>
        <v/>
      </c>
      <c r="EA183" s="111" t="str">
        <f t="shared" si="2995"/>
        <v/>
      </c>
      <c r="EB183" s="111" t="str">
        <f t="shared" si="2995"/>
        <v/>
      </c>
      <c r="EC183" s="111" t="str">
        <f t="shared" si="2995"/>
        <v/>
      </c>
      <c r="ED183" s="111" t="str">
        <f t="shared" si="2995"/>
        <v/>
      </c>
      <c r="EE183" s="111" t="str">
        <f t="shared" si="2995"/>
        <v/>
      </c>
      <c r="EF183" s="111" t="str">
        <f t="shared" si="2995"/>
        <v/>
      </c>
      <c r="EG183" s="111" t="str">
        <f t="shared" si="2995"/>
        <v/>
      </c>
      <c r="EH183" s="111" t="str">
        <f t="shared" si="2995"/>
        <v/>
      </c>
      <c r="EI183" s="111" t="str">
        <f t="shared" si="2995"/>
        <v/>
      </c>
      <c r="EJ183" s="111" t="str">
        <f t="shared" si="2995"/>
        <v/>
      </c>
      <c r="EK183" s="111" t="str">
        <f t="shared" si="2995"/>
        <v/>
      </c>
      <c r="EL183" s="111" t="str">
        <f t="shared" si="2995"/>
        <v/>
      </c>
      <c r="EM183" s="111" t="str">
        <f t="shared" si="2995"/>
        <v/>
      </c>
      <c r="EN183" s="111" t="str">
        <f t="shared" si="2995"/>
        <v/>
      </c>
      <c r="EO183" s="111" t="str">
        <f t="shared" si="2995"/>
        <v/>
      </c>
      <c r="EP183" s="111" t="str">
        <f t="shared" si="2995"/>
        <v/>
      </c>
      <c r="EQ183" s="111" t="str">
        <f t="shared" si="2995"/>
        <v/>
      </c>
      <c r="ER183" s="111" t="str">
        <f t="shared" si="2995"/>
        <v/>
      </c>
      <c r="ES183" s="111" t="str">
        <f t="shared" si="2995"/>
        <v/>
      </c>
      <c r="ET183" s="111" t="str">
        <f t="shared" si="2995"/>
        <v/>
      </c>
      <c r="EU183" s="111" t="str">
        <f t="shared" si="2995"/>
        <v/>
      </c>
      <c r="EV183" s="111" t="str">
        <f t="shared" si="2995"/>
        <v/>
      </c>
      <c r="EW183" s="111" t="str">
        <f t="shared" si="2995"/>
        <v/>
      </c>
      <c r="EX183" s="111" t="str">
        <f t="shared" si="2995"/>
        <v/>
      </c>
      <c r="EY183" s="111" t="str">
        <f t="shared" si="2995"/>
        <v/>
      </c>
      <c r="EZ183" s="111" t="str">
        <f t="shared" si="2995"/>
        <v/>
      </c>
      <c r="FA183" s="111" t="str">
        <f t="shared" si="2995"/>
        <v/>
      </c>
      <c r="FB183" s="111" t="str">
        <f t="shared" si="2995"/>
        <v/>
      </c>
      <c r="FC183" s="111" t="str">
        <f t="shared" si="2995"/>
        <v/>
      </c>
      <c r="FD183" s="111" t="str">
        <f t="shared" si="2995"/>
        <v/>
      </c>
      <c r="FE183" s="111" t="str">
        <f t="shared" si="2995"/>
        <v/>
      </c>
      <c r="FF183" s="111" t="str">
        <f t="shared" si="2995"/>
        <v/>
      </c>
      <c r="FG183" s="111" t="str">
        <f t="shared" si="2995"/>
        <v/>
      </c>
      <c r="FH183" s="111" t="str">
        <f t="shared" si="2995"/>
        <v/>
      </c>
      <c r="FI183" s="111" t="str">
        <f t="shared" si="2995"/>
        <v/>
      </c>
      <c r="FJ183" s="111" t="str">
        <f t="shared" si="2995"/>
        <v/>
      </c>
      <c r="FK183" s="111" t="str">
        <f t="shared" si="2995"/>
        <v/>
      </c>
      <c r="FL183" s="111" t="str">
        <f t="shared" si="2995"/>
        <v/>
      </c>
      <c r="FM183" s="111" t="str">
        <f t="shared" si="2995"/>
        <v/>
      </c>
      <c r="FN183" s="111" t="str">
        <f t="shared" ref="FN183:FS183" si="2996">IF(CH183="","","|n"&amp;FN$2&amp;"+"&amp;CH183&amp;FN$1)</f>
        <v/>
      </c>
      <c r="FO183" s="111" t="str">
        <f t="shared" si="2996"/>
        <v/>
      </c>
      <c r="FP183" s="111" t="str">
        <f t="shared" si="2996"/>
        <v/>
      </c>
      <c r="FQ183" s="111" t="str">
        <f t="shared" si="2996"/>
        <v/>
      </c>
      <c r="FR183" s="111" t="str">
        <f t="shared" si="2996"/>
        <v/>
      </c>
      <c r="FS183" s="111" t="str">
        <f t="shared" si="2996"/>
        <v/>
      </c>
    </row>
    <row r="184" spans="1:175" s="29" customFormat="1" ht="16.5">
      <c r="A184" s="15"/>
      <c r="B184" s="9" t="s">
        <v>668</v>
      </c>
      <c r="C184" s="15"/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661</v>
      </c>
      <c r="U184" s="77" t="str">
        <f t="shared" si="2914"/>
        <v>ReplaceableTextures\\CommandButtons\\BTNIZ0G.blp</v>
      </c>
      <c r="V184" s="104"/>
      <c r="W184" s="105"/>
      <c r="X184" s="105"/>
      <c r="Y184" s="105"/>
      <c r="Z184" s="105"/>
      <c r="AA184" s="105"/>
      <c r="AB184" s="105"/>
      <c r="AC184" s="105"/>
      <c r="AD184" s="105"/>
      <c r="AE184" s="105"/>
      <c r="AF184" s="105"/>
      <c r="AG184" s="105"/>
      <c r="AH184" s="105"/>
      <c r="AI184" s="105"/>
      <c r="AJ184" s="105"/>
      <c r="AK184" s="105"/>
      <c r="AL184" s="105"/>
      <c r="AM184" s="105"/>
      <c r="AN184" s="105"/>
      <c r="AO184" s="105"/>
      <c r="AP184" s="105"/>
      <c r="AQ184" s="105"/>
      <c r="AR184" s="65"/>
      <c r="AS184" s="65"/>
      <c r="AT184" s="105"/>
      <c r="AU184" s="105"/>
      <c r="AV184" s="105"/>
      <c r="AW184" s="105"/>
      <c r="AX184" s="105"/>
      <c r="AY184" s="105"/>
      <c r="AZ184" s="105"/>
      <c r="BA184" s="105"/>
      <c r="BB184" s="105"/>
      <c r="BC184" s="105"/>
      <c r="BD184" s="105"/>
      <c r="BE184" s="105"/>
      <c r="BF184" s="105"/>
      <c r="BG184" s="105"/>
      <c r="BH184" s="105"/>
      <c r="BI184" s="105"/>
      <c r="BJ184" s="105"/>
      <c r="BK184" s="105"/>
      <c r="BL184" s="105"/>
      <c r="BM184" s="105"/>
      <c r="BN184" s="105"/>
      <c r="BO184" s="105"/>
      <c r="BP184" s="105"/>
      <c r="BQ184" s="105"/>
      <c r="BR184" s="105"/>
      <c r="BS184" s="105"/>
      <c r="BT184" s="105"/>
      <c r="BU184" s="105"/>
      <c r="BV184" s="105"/>
      <c r="BW184" s="105"/>
      <c r="BX184" s="105"/>
      <c r="BY184" s="105"/>
      <c r="BZ184" s="105"/>
      <c r="CA184" s="105"/>
      <c r="CB184" s="105"/>
      <c r="CC184" s="105"/>
      <c r="CD184" s="105"/>
      <c r="CE184" s="105"/>
      <c r="CF184" s="105"/>
      <c r="CG184" s="105"/>
      <c r="CH184" s="105"/>
      <c r="CI184" s="105"/>
      <c r="CJ184" s="105"/>
      <c r="CK184" s="105"/>
      <c r="CL184" s="105"/>
      <c r="CM184" s="105"/>
      <c r="CN184" s="110" t="str">
        <f t="shared" si="2915"/>
        <v>InitUnitState('IZ0G',,,,,,,,,,)</v>
      </c>
      <c r="CO184" s="110" t="str">
        <f t="shared" si="2916"/>
        <v>InitUnitNormal('IZ0G',,,,,,,,,,)</v>
      </c>
      <c r="CP184" s="110" t="str">
        <f t="shared" si="2917"/>
        <v>InitUnitMagic('IZ0G',,,,,,,,,,)</v>
      </c>
      <c r="CQ184" s="110" t="str">
        <f t="shared" si="2918"/>
        <v>InitUnitAdd('IZ0G',,,,,,,,,,)</v>
      </c>
      <c r="CR184" s="1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193&amp;CR$1&amp;")"</f>
        <v>InitEquipData('IZ0G',,"",,,,,'','','','','','',"ReplaceableTextures\\CommandButtons\\BTNIN02.blp")</v>
      </c>
      <c r="CS184" s="110"/>
      <c r="CT184" s="110"/>
      <c r="CU184" s="88" t="str">
        <f t="shared" si="2919"/>
        <v>|n</v>
      </c>
      <c r="CV184" s="29" t="str">
        <f t="shared" si="2920"/>
        <v>延缓敌军2分钟进攻时间。|n|n|Cff999999狗策划一直不想做这个功能，你们就省着点用吧~（逃|r</v>
      </c>
      <c r="CW184" s="33"/>
      <c r="CX184" s="33"/>
      <c r="CY184" s="33"/>
      <c r="CZ184" s="33"/>
      <c r="DA184" s="33"/>
      <c r="DB184" s="111" t="str">
        <f t="shared" ref="DB184:FM184" si="2997">IF(V184="","","|n"&amp;DB$2&amp;"+"&amp;V184&amp;DB$1)</f>
        <v/>
      </c>
      <c r="DC184" s="111" t="str">
        <f t="shared" si="2997"/>
        <v/>
      </c>
      <c r="DD184" s="111" t="str">
        <f t="shared" si="2997"/>
        <v/>
      </c>
      <c r="DE184" s="111" t="str">
        <f t="shared" si="2997"/>
        <v/>
      </c>
      <c r="DF184" s="111" t="str">
        <f t="shared" si="2997"/>
        <v/>
      </c>
      <c r="DG184" s="111" t="str">
        <f t="shared" si="2997"/>
        <v/>
      </c>
      <c r="DH184" s="111" t="str">
        <f t="shared" si="2997"/>
        <v/>
      </c>
      <c r="DI184" s="111" t="str">
        <f t="shared" si="2997"/>
        <v/>
      </c>
      <c r="DJ184" s="111" t="str">
        <f t="shared" si="2997"/>
        <v/>
      </c>
      <c r="DK184" s="111" t="str">
        <f t="shared" si="2997"/>
        <v/>
      </c>
      <c r="DL184" s="111" t="str">
        <f t="shared" si="2997"/>
        <v/>
      </c>
      <c r="DM184" s="111" t="str">
        <f t="shared" si="2997"/>
        <v/>
      </c>
      <c r="DN184" s="111" t="str">
        <f t="shared" si="2997"/>
        <v/>
      </c>
      <c r="DO184" s="111" t="str">
        <f t="shared" si="2997"/>
        <v/>
      </c>
      <c r="DP184" s="111" t="str">
        <f t="shared" si="2997"/>
        <v/>
      </c>
      <c r="DQ184" s="111" t="str">
        <f t="shared" si="2997"/>
        <v/>
      </c>
      <c r="DR184" s="111" t="str">
        <f t="shared" si="2997"/>
        <v/>
      </c>
      <c r="DS184" s="111" t="str">
        <f t="shared" si="2997"/>
        <v/>
      </c>
      <c r="DT184" s="111" t="str">
        <f t="shared" si="2997"/>
        <v/>
      </c>
      <c r="DU184" s="111" t="str">
        <f t="shared" si="2997"/>
        <v/>
      </c>
      <c r="DV184" s="111" t="str">
        <f t="shared" si="2997"/>
        <v/>
      </c>
      <c r="DW184" s="111" t="str">
        <f t="shared" si="2997"/>
        <v/>
      </c>
      <c r="DX184" s="111" t="str">
        <f t="shared" si="2997"/>
        <v/>
      </c>
      <c r="DY184" s="111" t="str">
        <f t="shared" si="2997"/>
        <v/>
      </c>
      <c r="DZ184" s="111" t="str">
        <f t="shared" si="2997"/>
        <v/>
      </c>
      <c r="EA184" s="111" t="str">
        <f t="shared" si="2997"/>
        <v/>
      </c>
      <c r="EB184" s="111" t="str">
        <f t="shared" si="2997"/>
        <v/>
      </c>
      <c r="EC184" s="111" t="str">
        <f t="shared" si="2997"/>
        <v/>
      </c>
      <c r="ED184" s="111" t="str">
        <f t="shared" si="2997"/>
        <v/>
      </c>
      <c r="EE184" s="111" t="str">
        <f t="shared" si="2997"/>
        <v/>
      </c>
      <c r="EF184" s="111" t="str">
        <f t="shared" si="2997"/>
        <v/>
      </c>
      <c r="EG184" s="111" t="str">
        <f t="shared" si="2997"/>
        <v/>
      </c>
      <c r="EH184" s="111" t="str">
        <f t="shared" si="2997"/>
        <v/>
      </c>
      <c r="EI184" s="111" t="str">
        <f t="shared" si="2997"/>
        <v/>
      </c>
      <c r="EJ184" s="111" t="str">
        <f t="shared" si="2997"/>
        <v/>
      </c>
      <c r="EK184" s="111" t="str">
        <f t="shared" si="2997"/>
        <v/>
      </c>
      <c r="EL184" s="111" t="str">
        <f t="shared" si="2997"/>
        <v/>
      </c>
      <c r="EM184" s="111" t="str">
        <f t="shared" si="2997"/>
        <v/>
      </c>
      <c r="EN184" s="111" t="str">
        <f t="shared" si="2997"/>
        <v/>
      </c>
      <c r="EO184" s="111" t="str">
        <f t="shared" si="2997"/>
        <v/>
      </c>
      <c r="EP184" s="111" t="str">
        <f t="shared" si="2997"/>
        <v/>
      </c>
      <c r="EQ184" s="111" t="str">
        <f t="shared" si="2997"/>
        <v/>
      </c>
      <c r="ER184" s="111" t="str">
        <f t="shared" si="2997"/>
        <v/>
      </c>
      <c r="ES184" s="111" t="str">
        <f t="shared" si="2997"/>
        <v/>
      </c>
      <c r="ET184" s="111" t="str">
        <f t="shared" si="2997"/>
        <v/>
      </c>
      <c r="EU184" s="111" t="str">
        <f t="shared" si="2997"/>
        <v/>
      </c>
      <c r="EV184" s="111" t="str">
        <f t="shared" si="2997"/>
        <v/>
      </c>
      <c r="EW184" s="111" t="str">
        <f t="shared" si="2997"/>
        <v/>
      </c>
      <c r="EX184" s="111" t="str">
        <f t="shared" si="2997"/>
        <v/>
      </c>
      <c r="EY184" s="111" t="str">
        <f t="shared" si="2997"/>
        <v/>
      </c>
      <c r="EZ184" s="111" t="str">
        <f t="shared" si="2997"/>
        <v/>
      </c>
      <c r="FA184" s="111" t="str">
        <f t="shared" si="2997"/>
        <v/>
      </c>
      <c r="FB184" s="111" t="str">
        <f t="shared" si="2997"/>
        <v/>
      </c>
      <c r="FC184" s="111" t="str">
        <f t="shared" si="2997"/>
        <v/>
      </c>
      <c r="FD184" s="111" t="str">
        <f t="shared" si="2997"/>
        <v/>
      </c>
      <c r="FE184" s="111" t="str">
        <f t="shared" si="2997"/>
        <v/>
      </c>
      <c r="FF184" s="111" t="str">
        <f t="shared" si="2997"/>
        <v/>
      </c>
      <c r="FG184" s="111" t="str">
        <f t="shared" si="2997"/>
        <v/>
      </c>
      <c r="FH184" s="111" t="str">
        <f t="shared" si="2997"/>
        <v/>
      </c>
      <c r="FI184" s="111" t="str">
        <f t="shared" si="2997"/>
        <v/>
      </c>
      <c r="FJ184" s="111" t="str">
        <f t="shared" si="2997"/>
        <v/>
      </c>
      <c r="FK184" s="111" t="str">
        <f t="shared" si="2997"/>
        <v/>
      </c>
      <c r="FL184" s="111" t="str">
        <f t="shared" si="2997"/>
        <v/>
      </c>
      <c r="FM184" s="111" t="str">
        <f t="shared" si="2997"/>
        <v/>
      </c>
      <c r="FN184" s="111" t="str">
        <f t="shared" ref="FN184:FS184" si="2998">IF(CH184="","","|n"&amp;FN$2&amp;"+"&amp;CH184&amp;FN$1)</f>
        <v/>
      </c>
      <c r="FO184" s="111" t="str">
        <f t="shared" si="2998"/>
        <v/>
      </c>
      <c r="FP184" s="111" t="str">
        <f t="shared" si="2998"/>
        <v/>
      </c>
      <c r="FQ184" s="111" t="str">
        <f t="shared" si="2998"/>
        <v/>
      </c>
      <c r="FR184" s="111" t="str">
        <f t="shared" si="2998"/>
        <v/>
      </c>
      <c r="FS184" s="111" t="str">
        <f t="shared" si="2998"/>
        <v/>
      </c>
    </row>
    <row r="185" spans="1:175" s="29" customFormat="1" ht="16.5">
      <c r="A185" s="15"/>
      <c r="B185" s="9" t="s">
        <v>669</v>
      </c>
      <c r="C185" s="15" t="s">
        <v>670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671</v>
      </c>
      <c r="U185" s="77" t="str">
        <f>"ReplaceableTextures\\CommandButtons\\BTN"&amp;B185&amp;".blp"</f>
        <v>ReplaceableTextures\\CommandButtons\\BTNIZ01.blp</v>
      </c>
      <c r="V185" s="104"/>
      <c r="W185" s="105"/>
      <c r="X185" s="105"/>
      <c r="Y185" s="105"/>
      <c r="Z185" s="105"/>
      <c r="AA185" s="105"/>
      <c r="AB185" s="105"/>
      <c r="AC185" s="105"/>
      <c r="AD185" s="105"/>
      <c r="AE185" s="105"/>
      <c r="AF185" s="105"/>
      <c r="AG185" s="105"/>
      <c r="AH185" s="105"/>
      <c r="AI185" s="105"/>
      <c r="AJ185" s="105"/>
      <c r="AK185" s="105"/>
      <c r="AL185" s="105"/>
      <c r="AM185" s="105"/>
      <c r="AN185" s="105"/>
      <c r="AO185" s="105"/>
      <c r="AP185" s="105"/>
      <c r="AQ185" s="105"/>
      <c r="AR185" s="65"/>
      <c r="AS185" s="65"/>
      <c r="AT185" s="105"/>
      <c r="AU185" s="105"/>
      <c r="AV185" s="105"/>
      <c r="AW185" s="105"/>
      <c r="AX185" s="105"/>
      <c r="AY185" s="105"/>
      <c r="AZ185" s="105"/>
      <c r="BA185" s="105"/>
      <c r="BB185" s="105"/>
      <c r="BC185" s="105"/>
      <c r="BD185" s="105"/>
      <c r="BE185" s="105"/>
      <c r="BF185" s="105"/>
      <c r="BG185" s="105"/>
      <c r="BH185" s="105"/>
      <c r="BI185" s="105"/>
      <c r="BJ185" s="105"/>
      <c r="BK185" s="105"/>
      <c r="BL185" s="105"/>
      <c r="BM185" s="105"/>
      <c r="BN185" s="105"/>
      <c r="BO185" s="105"/>
      <c r="BP185" s="105"/>
      <c r="BQ185" s="105"/>
      <c r="BR185" s="105"/>
      <c r="BS185" s="105"/>
      <c r="BT185" s="105"/>
      <c r="BU185" s="105"/>
      <c r="BV185" s="105"/>
      <c r="BW185" s="105"/>
      <c r="BX185" s="105"/>
      <c r="BY185" s="105"/>
      <c r="BZ185" s="105"/>
      <c r="CA185" s="105"/>
      <c r="CB185" s="105"/>
      <c r="CC185" s="105"/>
      <c r="CD185" s="105"/>
      <c r="CE185" s="105"/>
      <c r="CF185" s="105"/>
      <c r="CG185" s="105"/>
      <c r="CH185" s="105"/>
      <c r="CI185" s="105"/>
      <c r="CJ185" s="105"/>
      <c r="CK185" s="105"/>
      <c r="CL185" s="105"/>
      <c r="CM185" s="105"/>
      <c r="CN185" s="110" t="str">
        <f t="shared" ref="CN185:CN202" si="2999">"InitUnitState('"&amp;B185&amp;"',"&amp;V185&amp;","&amp;W185&amp;","&amp;X185&amp;","&amp;Y185&amp;","&amp;Z185&amp;","&amp;AA185&amp;","&amp;AB185&amp;","&amp;AC185&amp;","&amp;AD185&amp;","&amp;AE185&amp;")"</f>
        <v>InitUnitState('IZ01',,,,,,,,,,)</v>
      </c>
      <c r="CO185" s="110" t="str">
        <f t="shared" ref="CO185:CO202" si="3000">"InitUnitNormal('"&amp;B185&amp;"',"&amp;AF185&amp;","&amp;AG185&amp;","&amp;AH185&amp;","&amp;AI185&amp;","&amp;AJ185&amp;","&amp;AK185&amp;","&amp;AL185&amp;","&amp;AM185&amp;","&amp;AN185&amp;","&amp;AO185&amp;")"</f>
        <v>InitUnitNormal('IZ01',,,,,,,,,,)</v>
      </c>
      <c r="CP185" s="110" t="str">
        <f t="shared" ref="CP185:CP202" si="3001">"InitUnitMagic('"&amp;B185&amp;"',"&amp;AP185&amp;","&amp;AQ185&amp;","&amp;AR185&amp;","&amp;AS185&amp;","&amp;AT185&amp;","&amp;AU185&amp;","&amp;AV185&amp;","&amp;AW185&amp;","&amp;BI185&amp;","&amp;BJ185&amp;")"</f>
        <v>InitUnitMagic('IZ01',,,,,,,,,,)</v>
      </c>
      <c r="CQ185" s="110" t="str">
        <f t="shared" ref="CQ185:CQ202" si="3002">"InitUnitAdd('"&amp;B185&amp;"',"&amp;BK185&amp;","&amp;BL185&amp;","&amp;BM185&amp;","&amp;BN185&amp;","&amp;BO185&amp;","&amp;BP185&amp;","&amp;BQ185&amp;","&amp;BR185&amp;","&amp;BS185&amp;","&amp;BT185&amp;")"</f>
        <v>InitUnitAdd('IZ01',,,,,,,,,,)</v>
      </c>
      <c r="CR185" s="1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InitEquipData('IZ01',,"",,,,,'','','','','','',"ReplaceableTextures\\CommandButtons\\BTN001.blp")</v>
      </c>
      <c r="CS185" s="110"/>
      <c r="CT185" s="110"/>
      <c r="CU185" s="88" t="str">
        <f t="shared" ref="CU185:CU193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29" t="str">
        <f t="shared" ref="CV185:CV193" si="3004">T185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5" s="33"/>
      <c r="CX185" s="33"/>
      <c r="CY185" s="33"/>
      <c r="CZ185" s="33"/>
      <c r="DA185" s="33"/>
      <c r="DB185" s="111" t="str">
        <f t="shared" ref="DB185:FM185" si="3005">IF(V185="","","|n"&amp;DB$2&amp;"+"&amp;V185&amp;DB$1)</f>
        <v/>
      </c>
      <c r="DC185" s="111" t="str">
        <f t="shared" si="3005"/>
        <v/>
      </c>
      <c r="DD185" s="111" t="str">
        <f t="shared" si="3005"/>
        <v/>
      </c>
      <c r="DE185" s="111" t="str">
        <f t="shared" si="3005"/>
        <v/>
      </c>
      <c r="DF185" s="111" t="str">
        <f t="shared" si="3005"/>
        <v/>
      </c>
      <c r="DG185" s="111" t="str">
        <f t="shared" si="3005"/>
        <v/>
      </c>
      <c r="DH185" s="111" t="str">
        <f t="shared" si="3005"/>
        <v/>
      </c>
      <c r="DI185" s="111" t="str">
        <f t="shared" si="3005"/>
        <v/>
      </c>
      <c r="DJ185" s="111" t="str">
        <f t="shared" si="3005"/>
        <v/>
      </c>
      <c r="DK185" s="111" t="str">
        <f t="shared" si="3005"/>
        <v/>
      </c>
      <c r="DL185" s="111" t="str">
        <f t="shared" si="3005"/>
        <v/>
      </c>
      <c r="DM185" s="111" t="str">
        <f t="shared" si="3005"/>
        <v/>
      </c>
      <c r="DN185" s="111" t="str">
        <f t="shared" si="3005"/>
        <v/>
      </c>
      <c r="DO185" s="111" t="str">
        <f t="shared" si="3005"/>
        <v/>
      </c>
      <c r="DP185" s="111" t="str">
        <f t="shared" si="3005"/>
        <v/>
      </c>
      <c r="DQ185" s="111" t="str">
        <f t="shared" si="3005"/>
        <v/>
      </c>
      <c r="DR185" s="111" t="str">
        <f t="shared" si="3005"/>
        <v/>
      </c>
      <c r="DS185" s="111" t="str">
        <f t="shared" si="3005"/>
        <v/>
      </c>
      <c r="DT185" s="111" t="str">
        <f t="shared" si="3005"/>
        <v/>
      </c>
      <c r="DU185" s="111" t="str">
        <f t="shared" si="3005"/>
        <v/>
      </c>
      <c r="DV185" s="111" t="str">
        <f t="shared" si="3005"/>
        <v/>
      </c>
      <c r="DW185" s="111" t="str">
        <f t="shared" si="3005"/>
        <v/>
      </c>
      <c r="DX185" s="111" t="str">
        <f t="shared" si="3005"/>
        <v/>
      </c>
      <c r="DY185" s="111" t="str">
        <f t="shared" si="3005"/>
        <v/>
      </c>
      <c r="DZ185" s="111" t="str">
        <f t="shared" si="3005"/>
        <v/>
      </c>
      <c r="EA185" s="111" t="str">
        <f t="shared" si="3005"/>
        <v/>
      </c>
      <c r="EB185" s="111" t="str">
        <f t="shared" si="3005"/>
        <v/>
      </c>
      <c r="EC185" s="111" t="str">
        <f t="shared" si="3005"/>
        <v/>
      </c>
      <c r="ED185" s="111" t="str">
        <f t="shared" si="3005"/>
        <v/>
      </c>
      <c r="EE185" s="111" t="str">
        <f t="shared" si="3005"/>
        <v/>
      </c>
      <c r="EF185" s="111" t="str">
        <f t="shared" si="3005"/>
        <v/>
      </c>
      <c r="EG185" s="111" t="str">
        <f t="shared" si="3005"/>
        <v/>
      </c>
      <c r="EH185" s="111" t="str">
        <f t="shared" si="3005"/>
        <v/>
      </c>
      <c r="EI185" s="111" t="str">
        <f t="shared" si="3005"/>
        <v/>
      </c>
      <c r="EJ185" s="111" t="str">
        <f t="shared" si="3005"/>
        <v/>
      </c>
      <c r="EK185" s="111" t="str">
        <f t="shared" si="3005"/>
        <v/>
      </c>
      <c r="EL185" s="111" t="str">
        <f t="shared" si="3005"/>
        <v/>
      </c>
      <c r="EM185" s="111" t="str">
        <f t="shared" si="3005"/>
        <v/>
      </c>
      <c r="EN185" s="111" t="str">
        <f t="shared" si="3005"/>
        <v/>
      </c>
      <c r="EO185" s="111" t="str">
        <f t="shared" si="3005"/>
        <v/>
      </c>
      <c r="EP185" s="111" t="str">
        <f t="shared" si="3005"/>
        <v/>
      </c>
      <c r="EQ185" s="111" t="str">
        <f t="shared" si="3005"/>
        <v/>
      </c>
      <c r="ER185" s="111" t="str">
        <f t="shared" si="3005"/>
        <v/>
      </c>
      <c r="ES185" s="111" t="str">
        <f t="shared" si="3005"/>
        <v/>
      </c>
      <c r="ET185" s="111" t="str">
        <f t="shared" si="3005"/>
        <v/>
      </c>
      <c r="EU185" s="111" t="str">
        <f t="shared" si="3005"/>
        <v/>
      </c>
      <c r="EV185" s="111" t="str">
        <f t="shared" si="3005"/>
        <v/>
      </c>
      <c r="EW185" s="111" t="str">
        <f t="shared" si="3005"/>
        <v/>
      </c>
      <c r="EX185" s="111" t="str">
        <f t="shared" si="3005"/>
        <v/>
      </c>
      <c r="EY185" s="111" t="str">
        <f t="shared" si="3005"/>
        <v/>
      </c>
      <c r="EZ185" s="111" t="str">
        <f t="shared" si="3005"/>
        <v/>
      </c>
      <c r="FA185" s="111" t="str">
        <f t="shared" si="3005"/>
        <v/>
      </c>
      <c r="FB185" s="111" t="str">
        <f t="shared" si="3005"/>
        <v/>
      </c>
      <c r="FC185" s="111" t="str">
        <f t="shared" si="3005"/>
        <v/>
      </c>
      <c r="FD185" s="111" t="str">
        <f t="shared" si="3005"/>
        <v/>
      </c>
      <c r="FE185" s="111" t="str">
        <f t="shared" si="3005"/>
        <v/>
      </c>
      <c r="FF185" s="111" t="str">
        <f t="shared" si="3005"/>
        <v/>
      </c>
      <c r="FG185" s="111" t="str">
        <f t="shared" si="3005"/>
        <v/>
      </c>
      <c r="FH185" s="111" t="str">
        <f t="shared" si="3005"/>
        <v/>
      </c>
      <c r="FI185" s="111" t="str">
        <f t="shared" si="3005"/>
        <v/>
      </c>
      <c r="FJ185" s="111" t="str">
        <f t="shared" si="3005"/>
        <v/>
      </c>
      <c r="FK185" s="111" t="str">
        <f t="shared" si="3005"/>
        <v/>
      </c>
      <c r="FL185" s="111" t="str">
        <f t="shared" si="3005"/>
        <v/>
      </c>
      <c r="FM185" s="111" t="str">
        <f t="shared" si="3005"/>
        <v/>
      </c>
      <c r="FN185" s="111" t="str">
        <f t="shared" ref="FN185:FS185" si="3006">IF(CH185="","","|n"&amp;FN$2&amp;"+"&amp;CH185&amp;FN$1)</f>
        <v/>
      </c>
      <c r="FO185" s="111" t="str">
        <f t="shared" si="3006"/>
        <v/>
      </c>
      <c r="FP185" s="111" t="str">
        <f t="shared" si="3006"/>
        <v/>
      </c>
      <c r="FQ185" s="111" t="str">
        <f t="shared" si="3006"/>
        <v/>
      </c>
      <c r="FR185" s="111" t="str">
        <f t="shared" si="3006"/>
        <v/>
      </c>
      <c r="FS185" s="111" t="str">
        <f t="shared" si="3006"/>
        <v/>
      </c>
    </row>
    <row r="186" spans="1:175" ht="16.5">
      <c r="A186" s="15"/>
      <c r="B186" s="9" t="s">
        <v>672</v>
      </c>
      <c r="C186" s="15" t="s">
        <v>673</v>
      </c>
      <c r="T186" s="108" t="str">
        <f>C186</f>
        <v>学习Q技能</v>
      </c>
      <c r="U186" s="77" t="s">
        <v>447</v>
      </c>
      <c r="CN186" s="36" t="str">
        <f t="shared" si="2999"/>
        <v>InitUnitState('IS01',,,,,,,,,,)</v>
      </c>
      <c r="CO186" s="36" t="str">
        <f t="shared" si="3000"/>
        <v>InitUnitNormal('IS01',,,,,,,,,,)</v>
      </c>
      <c r="CP186" s="36" t="str">
        <f t="shared" si="3001"/>
        <v>InitUnitMagic('IS01',,,,,,,,,,)</v>
      </c>
      <c r="CQ186" s="36" t="str">
        <f t="shared" si="3002"/>
        <v>InitUnitAdd('IS01',,,,,,,,,,)</v>
      </c>
      <c r="CR186" s="36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InitEquipData('IS01',,"",,,,,'','','','','','',"ReplaceableTextures\\CommandButtons\\BTN001.blp")</v>
      </c>
      <c r="CU186" s="88" t="str">
        <f t="shared" si="3003"/>
        <v>|n</v>
      </c>
      <c r="CV186" s="19" t="str">
        <f t="shared" si="3004"/>
        <v>学习Q技能</v>
      </c>
      <c r="CW186" s="33"/>
      <c r="CX186" s="33"/>
      <c r="CY186" s="33"/>
      <c r="CZ186" s="33"/>
      <c r="DA186" s="33"/>
      <c r="DB186" s="66" t="str">
        <f t="shared" ref="DB186:DK187" si="3007">IF(V186="","","|n"&amp;DB$2&amp;"+"&amp;V186&amp;DB$1)</f>
        <v/>
      </c>
      <c r="DC186" s="66" t="str">
        <f t="shared" si="3007"/>
        <v/>
      </c>
      <c r="DD186" s="66" t="str">
        <f t="shared" si="3007"/>
        <v/>
      </c>
      <c r="DE186" s="66" t="str">
        <f t="shared" si="3007"/>
        <v/>
      </c>
      <c r="DF186" s="66" t="str">
        <f t="shared" si="3007"/>
        <v/>
      </c>
      <c r="DG186" s="66" t="str">
        <f t="shared" si="3007"/>
        <v/>
      </c>
      <c r="DH186" s="66" t="str">
        <f t="shared" si="3007"/>
        <v/>
      </c>
      <c r="DI186" s="66" t="str">
        <f t="shared" si="3007"/>
        <v/>
      </c>
      <c r="DJ186" s="66" t="str">
        <f t="shared" si="3007"/>
        <v/>
      </c>
      <c r="DK186" s="66" t="str">
        <f t="shared" si="3007"/>
        <v/>
      </c>
      <c r="DL186" s="66" t="str">
        <f t="shared" ref="DL186:DU187" si="3008">IF(AF186="","","|n"&amp;DL$2&amp;"+"&amp;AF186&amp;DL$1)</f>
        <v/>
      </c>
      <c r="DM186" s="66" t="str">
        <f t="shared" si="3008"/>
        <v/>
      </c>
      <c r="DN186" s="66" t="str">
        <f t="shared" si="3008"/>
        <v/>
      </c>
      <c r="DO186" s="66" t="str">
        <f t="shared" si="3008"/>
        <v/>
      </c>
      <c r="DP186" s="66" t="str">
        <f t="shared" si="3008"/>
        <v/>
      </c>
      <c r="DQ186" s="66" t="str">
        <f t="shared" si="3008"/>
        <v/>
      </c>
      <c r="DR186" s="66" t="str">
        <f t="shared" si="3008"/>
        <v/>
      </c>
      <c r="DS186" s="66" t="str">
        <f t="shared" si="3008"/>
        <v/>
      </c>
      <c r="DT186" s="66" t="str">
        <f t="shared" si="3008"/>
        <v/>
      </c>
      <c r="DU186" s="66" t="str">
        <f t="shared" si="3008"/>
        <v/>
      </c>
      <c r="DV186" s="66" t="str">
        <f t="shared" ref="DV186:EE187" si="3009">IF(AP186="","","|n"&amp;DV$2&amp;"+"&amp;AP186&amp;DV$1)</f>
        <v/>
      </c>
      <c r="DW186" s="66" t="str">
        <f t="shared" si="3009"/>
        <v/>
      </c>
      <c r="DX186" s="66" t="str">
        <f t="shared" si="3009"/>
        <v/>
      </c>
      <c r="DY186" s="66" t="str">
        <f t="shared" si="3009"/>
        <v/>
      </c>
      <c r="DZ186" s="66" t="str">
        <f t="shared" si="3009"/>
        <v/>
      </c>
      <c r="EA186" s="66" t="str">
        <f t="shared" si="3009"/>
        <v/>
      </c>
      <c r="EB186" s="66" t="str">
        <f t="shared" si="3009"/>
        <v/>
      </c>
      <c r="EC186" s="66" t="str">
        <f t="shared" si="3009"/>
        <v/>
      </c>
      <c r="ED186" s="66" t="str">
        <f t="shared" si="3009"/>
        <v/>
      </c>
      <c r="EE186" s="66" t="str">
        <f t="shared" si="3009"/>
        <v/>
      </c>
      <c r="EF186" s="66" t="str">
        <f t="shared" ref="EF186:EO187" si="3010">IF(AZ186="","","|n"&amp;EF$2&amp;"+"&amp;AZ186&amp;EF$1)</f>
        <v/>
      </c>
      <c r="EG186" s="66" t="str">
        <f t="shared" si="3010"/>
        <v/>
      </c>
      <c r="EH186" s="66" t="str">
        <f t="shared" si="3010"/>
        <v/>
      </c>
      <c r="EI186" s="66" t="str">
        <f t="shared" si="3010"/>
        <v/>
      </c>
      <c r="EJ186" s="66" t="str">
        <f t="shared" si="3010"/>
        <v/>
      </c>
      <c r="EK186" s="66" t="str">
        <f t="shared" si="3010"/>
        <v/>
      </c>
      <c r="EL186" s="66" t="str">
        <f t="shared" si="3010"/>
        <v/>
      </c>
      <c r="EM186" s="66" t="str">
        <f t="shared" si="3010"/>
        <v/>
      </c>
      <c r="EN186" s="66" t="str">
        <f t="shared" si="3010"/>
        <v/>
      </c>
      <c r="EO186" s="66" t="str">
        <f t="shared" si="3010"/>
        <v/>
      </c>
      <c r="EP186" s="66" t="str">
        <f t="shared" ref="EP186:EY187" si="3011">IF(BJ186="","","|n"&amp;EP$2&amp;"+"&amp;BJ186&amp;EP$1)</f>
        <v/>
      </c>
      <c r="EQ186" s="66" t="str">
        <f t="shared" si="3011"/>
        <v/>
      </c>
      <c r="ER186" s="66" t="str">
        <f t="shared" si="3011"/>
        <v/>
      </c>
      <c r="ES186" s="66" t="str">
        <f t="shared" si="3011"/>
        <v/>
      </c>
      <c r="ET186" s="66" t="str">
        <f t="shared" si="3011"/>
        <v/>
      </c>
      <c r="EU186" s="66" t="str">
        <f t="shared" si="3011"/>
        <v/>
      </c>
      <c r="EV186" s="66" t="str">
        <f t="shared" si="3011"/>
        <v/>
      </c>
      <c r="EW186" s="66" t="str">
        <f t="shared" si="3011"/>
        <v/>
      </c>
      <c r="EX186" s="66" t="str">
        <f t="shared" si="3011"/>
        <v/>
      </c>
      <c r="EY186" s="66" t="str">
        <f t="shared" si="3011"/>
        <v/>
      </c>
      <c r="EZ186" s="66" t="str">
        <f t="shared" ref="EZ186:FI187" si="3012">IF(BT186="","","|n"&amp;EZ$2&amp;"+"&amp;BT186&amp;EZ$1)</f>
        <v/>
      </c>
      <c r="FA186" s="66" t="str">
        <f t="shared" si="3012"/>
        <v/>
      </c>
      <c r="FB186" s="66" t="str">
        <f t="shared" si="3012"/>
        <v/>
      </c>
      <c r="FC186" s="66" t="str">
        <f t="shared" si="3012"/>
        <v/>
      </c>
      <c r="FD186" s="66" t="str">
        <f t="shared" si="3012"/>
        <v/>
      </c>
      <c r="FE186" s="66" t="str">
        <f t="shared" si="3012"/>
        <v/>
      </c>
      <c r="FF186" s="66" t="str">
        <f t="shared" si="3012"/>
        <v/>
      </c>
      <c r="FG186" s="66" t="str">
        <f t="shared" si="3012"/>
        <v/>
      </c>
      <c r="FH186" s="66" t="str">
        <f t="shared" si="3012"/>
        <v/>
      </c>
      <c r="FI186" s="66" t="str">
        <f t="shared" si="3012"/>
        <v/>
      </c>
      <c r="FJ186" s="66" t="str">
        <f t="shared" ref="FJ186:FS187" si="3013">IF(CD186="","","|n"&amp;FJ$2&amp;"+"&amp;CD186&amp;FJ$1)</f>
        <v/>
      </c>
      <c r="FK186" s="66" t="str">
        <f t="shared" si="3013"/>
        <v/>
      </c>
      <c r="FL186" s="66" t="str">
        <f t="shared" si="3013"/>
        <v/>
      </c>
      <c r="FM186" s="66" t="str">
        <f t="shared" si="3013"/>
        <v/>
      </c>
      <c r="FN186" s="66" t="str">
        <f t="shared" si="3013"/>
        <v/>
      </c>
      <c r="FO186" s="66" t="str">
        <f t="shared" si="3013"/>
        <v/>
      </c>
      <c r="FP186" s="66" t="str">
        <f t="shared" si="3013"/>
        <v/>
      </c>
      <c r="FQ186" s="66" t="str">
        <f t="shared" si="3013"/>
        <v/>
      </c>
      <c r="FR186" s="66" t="str">
        <f t="shared" si="3013"/>
        <v/>
      </c>
      <c r="FS186" s="66" t="str">
        <f t="shared" si="3013"/>
        <v/>
      </c>
    </row>
    <row r="187" spans="1:175" ht="16.5">
      <c r="A187" s="15"/>
      <c r="B187" s="9" t="s">
        <v>674</v>
      </c>
      <c r="C187" s="15" t="s">
        <v>673</v>
      </c>
      <c r="T187" s="108" t="str">
        <f t="shared" ref="T187:T189" si="3014">C187</f>
        <v>学习Q技能</v>
      </c>
      <c r="U187" s="77" t="s">
        <v>447</v>
      </c>
      <c r="CN187" s="36" t="str">
        <f t="shared" si="2999"/>
        <v>InitUnitState('IS02',,,,,,,,,,)</v>
      </c>
      <c r="CO187" s="36" t="str">
        <f t="shared" si="3000"/>
        <v>InitUnitNormal('IS02',,,,,,,,,,)</v>
      </c>
      <c r="CP187" s="36" t="str">
        <f t="shared" si="3001"/>
        <v>InitUnitMagic('IS02',,,,,,,,,,)</v>
      </c>
      <c r="CQ187" s="36" t="str">
        <f t="shared" si="3002"/>
        <v>InitUnitAdd('IS02',,,,,,,,,,)</v>
      </c>
      <c r="CR187" s="36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InitEquipData('IS02',,"",,,,,'','','','','','',"ReplaceableTextures\\CommandButtons\\BTN001.blp")</v>
      </c>
      <c r="CU187" s="88" t="str">
        <f t="shared" si="3003"/>
        <v>|n</v>
      </c>
      <c r="CV187" s="19" t="str">
        <f t="shared" si="3004"/>
        <v>学习Q技能</v>
      </c>
      <c r="CW187" s="33"/>
      <c r="CX187" s="33"/>
      <c r="CY187" s="33"/>
      <c r="CZ187" s="33"/>
      <c r="DA187" s="33"/>
      <c r="DB187" s="66" t="str">
        <f t="shared" si="3007"/>
        <v/>
      </c>
      <c r="DC187" s="66" t="str">
        <f t="shared" si="3007"/>
        <v/>
      </c>
      <c r="DD187" s="66" t="str">
        <f t="shared" si="3007"/>
        <v/>
      </c>
      <c r="DE187" s="66" t="str">
        <f t="shared" si="3007"/>
        <v/>
      </c>
      <c r="DF187" s="66" t="str">
        <f t="shared" si="3007"/>
        <v/>
      </c>
      <c r="DG187" s="66" t="str">
        <f t="shared" si="3007"/>
        <v/>
      </c>
      <c r="DH187" s="66" t="str">
        <f t="shared" si="3007"/>
        <v/>
      </c>
      <c r="DI187" s="66" t="str">
        <f t="shared" si="3007"/>
        <v/>
      </c>
      <c r="DJ187" s="66" t="str">
        <f t="shared" si="3007"/>
        <v/>
      </c>
      <c r="DK187" s="66" t="str">
        <f t="shared" si="3007"/>
        <v/>
      </c>
      <c r="DL187" s="66" t="str">
        <f t="shared" si="3008"/>
        <v/>
      </c>
      <c r="DM187" s="66" t="str">
        <f t="shared" si="3008"/>
        <v/>
      </c>
      <c r="DN187" s="66" t="str">
        <f t="shared" si="3008"/>
        <v/>
      </c>
      <c r="DO187" s="66" t="str">
        <f t="shared" si="3008"/>
        <v/>
      </c>
      <c r="DP187" s="66" t="str">
        <f t="shared" si="3008"/>
        <v/>
      </c>
      <c r="DQ187" s="66" t="str">
        <f t="shared" si="3008"/>
        <v/>
      </c>
      <c r="DR187" s="66" t="str">
        <f t="shared" si="3008"/>
        <v/>
      </c>
      <c r="DS187" s="66" t="str">
        <f t="shared" si="3008"/>
        <v/>
      </c>
      <c r="DT187" s="66" t="str">
        <f t="shared" si="3008"/>
        <v/>
      </c>
      <c r="DU187" s="66" t="str">
        <f t="shared" si="3008"/>
        <v/>
      </c>
      <c r="DV187" s="66" t="str">
        <f t="shared" si="3009"/>
        <v/>
      </c>
      <c r="DW187" s="66" t="str">
        <f t="shared" si="3009"/>
        <v/>
      </c>
      <c r="DX187" s="66" t="str">
        <f t="shared" si="3009"/>
        <v/>
      </c>
      <c r="DY187" s="66" t="str">
        <f t="shared" si="3009"/>
        <v/>
      </c>
      <c r="DZ187" s="66" t="str">
        <f t="shared" si="3009"/>
        <v/>
      </c>
      <c r="EA187" s="66" t="str">
        <f t="shared" si="3009"/>
        <v/>
      </c>
      <c r="EB187" s="66" t="str">
        <f t="shared" si="3009"/>
        <v/>
      </c>
      <c r="EC187" s="66" t="str">
        <f t="shared" si="3009"/>
        <v/>
      </c>
      <c r="ED187" s="66" t="str">
        <f t="shared" si="3009"/>
        <v/>
      </c>
      <c r="EE187" s="66" t="str">
        <f t="shared" si="3009"/>
        <v/>
      </c>
      <c r="EF187" s="66" t="str">
        <f t="shared" si="3010"/>
        <v/>
      </c>
      <c r="EG187" s="66" t="str">
        <f t="shared" si="3010"/>
        <v/>
      </c>
      <c r="EH187" s="66" t="str">
        <f t="shared" si="3010"/>
        <v/>
      </c>
      <c r="EI187" s="66" t="str">
        <f t="shared" si="3010"/>
        <v/>
      </c>
      <c r="EJ187" s="66" t="str">
        <f t="shared" si="3010"/>
        <v/>
      </c>
      <c r="EK187" s="66" t="str">
        <f t="shared" si="3010"/>
        <v/>
      </c>
      <c r="EL187" s="66" t="str">
        <f t="shared" si="3010"/>
        <v/>
      </c>
      <c r="EM187" s="66" t="str">
        <f t="shared" si="3010"/>
        <v/>
      </c>
      <c r="EN187" s="66" t="str">
        <f t="shared" si="3010"/>
        <v/>
      </c>
      <c r="EO187" s="66" t="str">
        <f t="shared" si="3010"/>
        <v/>
      </c>
      <c r="EP187" s="66" t="str">
        <f t="shared" si="3011"/>
        <v/>
      </c>
      <c r="EQ187" s="66" t="str">
        <f t="shared" si="3011"/>
        <v/>
      </c>
      <c r="ER187" s="66" t="str">
        <f t="shared" si="3011"/>
        <v/>
      </c>
      <c r="ES187" s="66" t="str">
        <f t="shared" si="3011"/>
        <v/>
      </c>
      <c r="ET187" s="66" t="str">
        <f t="shared" si="3011"/>
        <v/>
      </c>
      <c r="EU187" s="66" t="str">
        <f t="shared" si="3011"/>
        <v/>
      </c>
      <c r="EV187" s="66" t="str">
        <f t="shared" si="3011"/>
        <v/>
      </c>
      <c r="EW187" s="66" t="str">
        <f t="shared" si="3011"/>
        <v/>
      </c>
      <c r="EX187" s="66" t="str">
        <f t="shared" si="3011"/>
        <v/>
      </c>
      <c r="EY187" s="66" t="str">
        <f t="shared" si="3011"/>
        <v/>
      </c>
      <c r="EZ187" s="66" t="str">
        <f t="shared" si="3012"/>
        <v/>
      </c>
      <c r="FA187" s="66" t="str">
        <f t="shared" si="3012"/>
        <v/>
      </c>
      <c r="FB187" s="66" t="str">
        <f t="shared" si="3012"/>
        <v/>
      </c>
      <c r="FC187" s="66" t="str">
        <f t="shared" si="3012"/>
        <v/>
      </c>
      <c r="FD187" s="66" t="str">
        <f t="shared" si="3012"/>
        <v/>
      </c>
      <c r="FE187" s="66" t="str">
        <f t="shared" si="3012"/>
        <v/>
      </c>
      <c r="FF187" s="66" t="str">
        <f t="shared" si="3012"/>
        <v/>
      </c>
      <c r="FG187" s="66" t="str">
        <f t="shared" si="3012"/>
        <v/>
      </c>
      <c r="FH187" s="66" t="str">
        <f t="shared" si="3012"/>
        <v/>
      </c>
      <c r="FI187" s="66" t="str">
        <f t="shared" si="3012"/>
        <v/>
      </c>
      <c r="FJ187" s="66" t="str">
        <f t="shared" si="3013"/>
        <v/>
      </c>
      <c r="FK187" s="66" t="str">
        <f t="shared" si="3013"/>
        <v/>
      </c>
      <c r="FL187" s="66" t="str">
        <f t="shared" si="3013"/>
        <v/>
      </c>
      <c r="FM187" s="66" t="str">
        <f t="shared" si="3013"/>
        <v/>
      </c>
      <c r="FN187" s="66" t="str">
        <f t="shared" si="3013"/>
        <v/>
      </c>
      <c r="FO187" s="66" t="str">
        <f t="shared" si="3013"/>
        <v/>
      </c>
      <c r="FP187" s="66" t="str">
        <f t="shared" si="3013"/>
        <v/>
      </c>
      <c r="FQ187" s="66" t="str">
        <f t="shared" si="3013"/>
        <v/>
      </c>
      <c r="FR187" s="66" t="str">
        <f t="shared" si="3013"/>
        <v/>
      </c>
      <c r="FS187" s="66" t="str">
        <f t="shared" si="3013"/>
        <v/>
      </c>
    </row>
    <row r="188" spans="1:175" ht="16.5">
      <c r="A188" s="15"/>
      <c r="B188" s="9" t="s">
        <v>675</v>
      </c>
      <c r="C188" s="15" t="s">
        <v>673</v>
      </c>
      <c r="T188" s="108" t="str">
        <f t="shared" si="3014"/>
        <v>学习Q技能</v>
      </c>
      <c r="U188" s="77" t="s">
        <v>447</v>
      </c>
      <c r="CN188" s="36" t="str">
        <f t="shared" si="2999"/>
        <v>InitUnitState('IS03',,,,,,,,,,)</v>
      </c>
      <c r="CO188" s="36" t="str">
        <f t="shared" si="3000"/>
        <v>InitUnitNormal('IS03',,,,,,,,,,)</v>
      </c>
      <c r="CP188" s="36" t="str">
        <f t="shared" si="3001"/>
        <v>InitUnitMagic('IS03',,,,,,,,,,)</v>
      </c>
      <c r="CQ188" s="36" t="str">
        <f t="shared" si="3002"/>
        <v>InitUnitAdd('IS03',,,,,,,,,,)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03"/>
        <v>|n</v>
      </c>
      <c r="CV188" s="19" t="str">
        <f t="shared" si="3004"/>
        <v>学习Q技能</v>
      </c>
      <c r="CW188" s="33"/>
      <c r="CX188" s="33"/>
      <c r="CY188" s="33"/>
      <c r="CZ188" s="33"/>
      <c r="DA188" s="33"/>
      <c r="DB188" s="66" t="str">
        <f t="shared" ref="DB188:DK193" si="3015">IF(V188="","","|n"&amp;DB$2&amp;"+"&amp;V188&amp;DB$1)</f>
        <v/>
      </c>
      <c r="DC188" s="66" t="str">
        <f t="shared" si="3015"/>
        <v/>
      </c>
      <c r="DD188" s="66" t="str">
        <f t="shared" si="3015"/>
        <v/>
      </c>
      <c r="DE188" s="66" t="str">
        <f t="shared" si="3015"/>
        <v/>
      </c>
      <c r="DF188" s="66" t="str">
        <f t="shared" si="3015"/>
        <v/>
      </c>
      <c r="DG188" s="66" t="str">
        <f t="shared" si="3015"/>
        <v/>
      </c>
      <c r="DH188" s="66" t="str">
        <f t="shared" si="3015"/>
        <v/>
      </c>
      <c r="DI188" s="66" t="str">
        <f t="shared" si="3015"/>
        <v/>
      </c>
      <c r="DJ188" s="66" t="str">
        <f t="shared" si="3015"/>
        <v/>
      </c>
      <c r="DK188" s="66" t="str">
        <f t="shared" si="3015"/>
        <v/>
      </c>
      <c r="DL188" s="66" t="str">
        <f t="shared" ref="DL188:DU193" si="3016">IF(AF188="","","|n"&amp;DL$2&amp;"+"&amp;AF188&amp;DL$1)</f>
        <v/>
      </c>
      <c r="DM188" s="66" t="str">
        <f t="shared" si="3016"/>
        <v/>
      </c>
      <c r="DN188" s="66" t="str">
        <f t="shared" si="3016"/>
        <v/>
      </c>
      <c r="DO188" s="66" t="str">
        <f t="shared" si="3016"/>
        <v/>
      </c>
      <c r="DP188" s="66" t="str">
        <f t="shared" si="3016"/>
        <v/>
      </c>
      <c r="DQ188" s="66" t="str">
        <f t="shared" si="3016"/>
        <v/>
      </c>
      <c r="DR188" s="66" t="str">
        <f t="shared" si="3016"/>
        <v/>
      </c>
      <c r="DS188" s="66" t="str">
        <f t="shared" si="3016"/>
        <v/>
      </c>
      <c r="DT188" s="66" t="str">
        <f t="shared" si="3016"/>
        <v/>
      </c>
      <c r="DU188" s="66" t="str">
        <f t="shared" si="3016"/>
        <v/>
      </c>
      <c r="DV188" s="66" t="str">
        <f t="shared" ref="DV188:EE193" si="3017">IF(AP188="","","|n"&amp;DV$2&amp;"+"&amp;AP188&amp;DV$1)</f>
        <v/>
      </c>
      <c r="DW188" s="66" t="str">
        <f t="shared" si="3017"/>
        <v/>
      </c>
      <c r="DX188" s="66" t="str">
        <f t="shared" si="3017"/>
        <v/>
      </c>
      <c r="DY188" s="66" t="str">
        <f t="shared" si="3017"/>
        <v/>
      </c>
      <c r="DZ188" s="66" t="str">
        <f t="shared" si="3017"/>
        <v/>
      </c>
      <c r="EA188" s="66" t="str">
        <f t="shared" si="3017"/>
        <v/>
      </c>
      <c r="EB188" s="66" t="str">
        <f t="shared" si="3017"/>
        <v/>
      </c>
      <c r="EC188" s="66" t="str">
        <f t="shared" si="3017"/>
        <v/>
      </c>
      <c r="ED188" s="66" t="str">
        <f t="shared" si="3017"/>
        <v/>
      </c>
      <c r="EE188" s="66" t="str">
        <f t="shared" si="3017"/>
        <v/>
      </c>
      <c r="EF188" s="66" t="str">
        <f t="shared" ref="EF188:EO193" si="3018">IF(AZ188="","","|n"&amp;EF$2&amp;"+"&amp;AZ188&amp;EF$1)</f>
        <v/>
      </c>
      <c r="EG188" s="66" t="str">
        <f t="shared" si="3018"/>
        <v/>
      </c>
      <c r="EH188" s="66" t="str">
        <f t="shared" si="3018"/>
        <v/>
      </c>
      <c r="EI188" s="66" t="str">
        <f t="shared" si="3018"/>
        <v/>
      </c>
      <c r="EJ188" s="66" t="str">
        <f t="shared" si="3018"/>
        <v/>
      </c>
      <c r="EK188" s="66" t="str">
        <f t="shared" si="3018"/>
        <v/>
      </c>
      <c r="EL188" s="66" t="str">
        <f t="shared" si="3018"/>
        <v/>
      </c>
      <c r="EM188" s="66" t="str">
        <f t="shared" si="3018"/>
        <v/>
      </c>
      <c r="EN188" s="66" t="str">
        <f t="shared" si="3018"/>
        <v/>
      </c>
      <c r="EO188" s="66" t="str">
        <f t="shared" si="3018"/>
        <v/>
      </c>
      <c r="EP188" s="66" t="str">
        <f t="shared" ref="EP188:EY193" si="3019">IF(BJ188="","","|n"&amp;EP$2&amp;"+"&amp;BJ188&amp;EP$1)</f>
        <v/>
      </c>
      <c r="EQ188" s="66" t="str">
        <f t="shared" si="3019"/>
        <v/>
      </c>
      <c r="ER188" s="66" t="str">
        <f t="shared" si="3019"/>
        <v/>
      </c>
      <c r="ES188" s="66" t="str">
        <f t="shared" si="3019"/>
        <v/>
      </c>
      <c r="ET188" s="66" t="str">
        <f t="shared" si="3019"/>
        <v/>
      </c>
      <c r="EU188" s="66" t="str">
        <f t="shared" si="3019"/>
        <v/>
      </c>
      <c r="EV188" s="66" t="str">
        <f t="shared" si="3019"/>
        <v/>
      </c>
      <c r="EW188" s="66" t="str">
        <f t="shared" si="3019"/>
        <v/>
      </c>
      <c r="EX188" s="66" t="str">
        <f t="shared" si="3019"/>
        <v/>
      </c>
      <c r="EY188" s="66" t="str">
        <f t="shared" si="3019"/>
        <v/>
      </c>
      <c r="EZ188" s="66" t="str">
        <f t="shared" ref="EZ188:FI193" si="3020">IF(BT188="","","|n"&amp;EZ$2&amp;"+"&amp;BT188&amp;EZ$1)</f>
        <v/>
      </c>
      <c r="FA188" s="66" t="str">
        <f t="shared" si="3020"/>
        <v/>
      </c>
      <c r="FB188" s="66" t="str">
        <f t="shared" si="3020"/>
        <v/>
      </c>
      <c r="FC188" s="66" t="str">
        <f t="shared" si="3020"/>
        <v/>
      </c>
      <c r="FD188" s="66" t="str">
        <f t="shared" si="3020"/>
        <v/>
      </c>
      <c r="FE188" s="66" t="str">
        <f t="shared" si="3020"/>
        <v/>
      </c>
      <c r="FF188" s="66" t="str">
        <f t="shared" si="3020"/>
        <v/>
      </c>
      <c r="FG188" s="66" t="str">
        <f t="shared" si="3020"/>
        <v/>
      </c>
      <c r="FH188" s="66" t="str">
        <f t="shared" si="3020"/>
        <v/>
      </c>
      <c r="FI188" s="66" t="str">
        <f t="shared" si="3020"/>
        <v/>
      </c>
      <c r="FJ188" s="66" t="str">
        <f t="shared" ref="FJ188:FS193" si="3021">IF(CD188="","","|n"&amp;FJ$2&amp;"+"&amp;CD188&amp;FJ$1)</f>
        <v/>
      </c>
      <c r="FK188" s="66" t="str">
        <f t="shared" si="3021"/>
        <v/>
      </c>
      <c r="FL188" s="66" t="str">
        <f t="shared" si="3021"/>
        <v/>
      </c>
      <c r="FM188" s="66" t="str">
        <f t="shared" si="3021"/>
        <v/>
      </c>
      <c r="FN188" s="66" t="str">
        <f t="shared" si="3021"/>
        <v/>
      </c>
      <c r="FO188" s="66" t="str">
        <f t="shared" si="3021"/>
        <v/>
      </c>
      <c r="FP188" s="66" t="str">
        <f t="shared" si="3021"/>
        <v/>
      </c>
      <c r="FQ188" s="66" t="str">
        <f t="shared" si="3021"/>
        <v/>
      </c>
      <c r="FR188" s="66" t="str">
        <f t="shared" si="3021"/>
        <v/>
      </c>
      <c r="FS188" s="66" t="str">
        <f t="shared" si="3021"/>
        <v/>
      </c>
    </row>
    <row r="189" spans="1:175" ht="16.5">
      <c r="A189" s="15"/>
      <c r="B189" s="9" t="s">
        <v>676</v>
      </c>
      <c r="C189" s="101" t="s">
        <v>677</v>
      </c>
      <c r="T189" s="108" t="str">
        <f t="shared" si="3014"/>
        <v>学习W技能</v>
      </c>
      <c r="U189" s="77" t="s">
        <v>678</v>
      </c>
      <c r="CN189" s="36" t="str">
        <f t="shared" ref="CN189:CN191" si="3022">"InitUnitState('"&amp;B189&amp;"',"&amp;V189&amp;","&amp;W189&amp;","&amp;X189&amp;","&amp;Y189&amp;","&amp;Z189&amp;","&amp;AA189&amp;","&amp;AB189&amp;","&amp;AC189&amp;","&amp;AD189&amp;","&amp;AE189&amp;")"</f>
        <v>InitUnitState('IS06',,,,,,,,,,)</v>
      </c>
      <c r="CO189" s="36" t="str">
        <f t="shared" ref="CO189:CO191" si="3023">"InitUnitNormal('"&amp;B189&amp;"',"&amp;AF189&amp;","&amp;AG189&amp;","&amp;AH189&amp;","&amp;AI189&amp;","&amp;AJ189&amp;","&amp;AK189&amp;","&amp;AL189&amp;","&amp;AM189&amp;","&amp;AN189&amp;","&amp;AO189&amp;")"</f>
        <v>InitUnitNormal('IS06',,,,,,,,,,)</v>
      </c>
      <c r="CP189" s="36" t="str">
        <f t="shared" ref="CP189:CP191" si="3024">"InitUnitMagic('"&amp;B189&amp;"',"&amp;AP189&amp;","&amp;AQ189&amp;","&amp;AR189&amp;","&amp;AS189&amp;","&amp;AT189&amp;","&amp;AU189&amp;","&amp;AV189&amp;","&amp;AW189&amp;","&amp;BI189&amp;","&amp;BJ189&amp;")"</f>
        <v>InitUnitMagic('IS06',,,,,,,,,,)</v>
      </c>
      <c r="CQ189" s="36" t="str">
        <f t="shared" ref="CQ189:CQ191" si="3025">"InitUnitAdd('"&amp;B189&amp;"',"&amp;BK189&amp;","&amp;BL189&amp;","&amp;BM189&amp;","&amp;BN189&amp;","&amp;BO189&amp;","&amp;BP189&amp;","&amp;BQ189&amp;","&amp;BR189&amp;","&amp;BS189&amp;","&amp;BT189&amp;")"</f>
        <v>InitUnitAdd('IS06',,,,,,,,,,)</v>
      </c>
      <c r="CR189" s="36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InitEquipData('IS06',,"",,,,,'','','','','','',"ReplaceableTextures\\CommandButtons\\BTN002.blp")</v>
      </c>
      <c r="CU189" s="88" t="str">
        <f t="shared" ref="CU189:CU191" si="302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19" t="str">
        <f t="shared" ref="CV189:CV191" si="3027">T189</f>
        <v>学习W技能</v>
      </c>
      <c r="CW189" s="33"/>
      <c r="CX189" s="33"/>
      <c r="CY189" s="33"/>
      <c r="CZ189" s="33"/>
      <c r="DA189" s="33"/>
      <c r="DB189" s="66" t="str">
        <f t="shared" si="3015"/>
        <v/>
      </c>
      <c r="DC189" s="66" t="str">
        <f t="shared" si="3015"/>
        <v/>
      </c>
      <c r="DD189" s="66" t="str">
        <f t="shared" si="3015"/>
        <v/>
      </c>
      <c r="DE189" s="66" t="str">
        <f t="shared" si="3015"/>
        <v/>
      </c>
      <c r="DF189" s="66" t="str">
        <f t="shared" si="3015"/>
        <v/>
      </c>
      <c r="DG189" s="66" t="str">
        <f t="shared" si="3015"/>
        <v/>
      </c>
      <c r="DH189" s="66" t="str">
        <f t="shared" si="3015"/>
        <v/>
      </c>
      <c r="DI189" s="66" t="str">
        <f t="shared" si="3015"/>
        <v/>
      </c>
      <c r="DJ189" s="66" t="str">
        <f t="shared" si="3015"/>
        <v/>
      </c>
      <c r="DK189" s="66" t="str">
        <f t="shared" si="3015"/>
        <v/>
      </c>
      <c r="DL189" s="66" t="str">
        <f t="shared" si="3016"/>
        <v/>
      </c>
      <c r="DM189" s="66" t="str">
        <f t="shared" si="3016"/>
        <v/>
      </c>
      <c r="DN189" s="66" t="str">
        <f t="shared" si="3016"/>
        <v/>
      </c>
      <c r="DO189" s="66" t="str">
        <f t="shared" si="3016"/>
        <v/>
      </c>
      <c r="DP189" s="66" t="str">
        <f t="shared" si="3016"/>
        <v/>
      </c>
      <c r="DQ189" s="66" t="str">
        <f t="shared" si="3016"/>
        <v/>
      </c>
      <c r="DR189" s="66" t="str">
        <f t="shared" si="3016"/>
        <v/>
      </c>
      <c r="DS189" s="66" t="str">
        <f t="shared" si="3016"/>
        <v/>
      </c>
      <c r="DT189" s="66" t="str">
        <f t="shared" si="3016"/>
        <v/>
      </c>
      <c r="DU189" s="66" t="str">
        <f t="shared" si="3016"/>
        <v/>
      </c>
      <c r="DV189" s="66" t="str">
        <f t="shared" si="3017"/>
        <v/>
      </c>
      <c r="DW189" s="66" t="str">
        <f t="shared" si="3017"/>
        <v/>
      </c>
      <c r="DX189" s="66" t="str">
        <f t="shared" si="3017"/>
        <v/>
      </c>
      <c r="DY189" s="66" t="str">
        <f t="shared" si="3017"/>
        <v/>
      </c>
      <c r="DZ189" s="66" t="str">
        <f t="shared" si="3017"/>
        <v/>
      </c>
      <c r="EA189" s="66" t="str">
        <f t="shared" si="3017"/>
        <v/>
      </c>
      <c r="EB189" s="66" t="str">
        <f t="shared" si="3017"/>
        <v/>
      </c>
      <c r="EC189" s="66" t="str">
        <f t="shared" si="3017"/>
        <v/>
      </c>
      <c r="ED189" s="66" t="str">
        <f t="shared" si="3017"/>
        <v/>
      </c>
      <c r="EE189" s="66" t="str">
        <f t="shared" si="3017"/>
        <v/>
      </c>
      <c r="EF189" s="66" t="str">
        <f t="shared" si="3018"/>
        <v/>
      </c>
      <c r="EG189" s="66" t="str">
        <f t="shared" si="3018"/>
        <v/>
      </c>
      <c r="EH189" s="66" t="str">
        <f t="shared" si="3018"/>
        <v/>
      </c>
      <c r="EI189" s="66" t="str">
        <f t="shared" si="3018"/>
        <v/>
      </c>
      <c r="EJ189" s="66" t="str">
        <f t="shared" si="3018"/>
        <v/>
      </c>
      <c r="EK189" s="66" t="str">
        <f t="shared" si="3018"/>
        <v/>
      </c>
      <c r="EL189" s="66" t="str">
        <f t="shared" si="3018"/>
        <v/>
      </c>
      <c r="EM189" s="66" t="str">
        <f t="shared" si="3018"/>
        <v/>
      </c>
      <c r="EN189" s="66" t="str">
        <f t="shared" si="3018"/>
        <v/>
      </c>
      <c r="EO189" s="66" t="str">
        <f t="shared" si="3018"/>
        <v/>
      </c>
      <c r="EP189" s="66" t="str">
        <f t="shared" si="3019"/>
        <v/>
      </c>
      <c r="EQ189" s="66" t="str">
        <f t="shared" si="3019"/>
        <v/>
      </c>
      <c r="ER189" s="66" t="str">
        <f t="shared" si="3019"/>
        <v/>
      </c>
      <c r="ES189" s="66" t="str">
        <f t="shared" si="3019"/>
        <v/>
      </c>
      <c r="ET189" s="66" t="str">
        <f t="shared" si="3019"/>
        <v/>
      </c>
      <c r="EU189" s="66" t="str">
        <f t="shared" si="3019"/>
        <v/>
      </c>
      <c r="EV189" s="66" t="str">
        <f t="shared" si="3019"/>
        <v/>
      </c>
      <c r="EW189" s="66" t="str">
        <f t="shared" si="3019"/>
        <v/>
      </c>
      <c r="EX189" s="66" t="str">
        <f t="shared" si="3019"/>
        <v/>
      </c>
      <c r="EY189" s="66" t="str">
        <f t="shared" si="3019"/>
        <v/>
      </c>
      <c r="EZ189" s="66" t="str">
        <f t="shared" si="3020"/>
        <v/>
      </c>
      <c r="FA189" s="66" t="str">
        <f t="shared" si="3020"/>
        <v/>
      </c>
      <c r="FB189" s="66" t="str">
        <f t="shared" si="3020"/>
        <v/>
      </c>
      <c r="FC189" s="66" t="str">
        <f t="shared" si="3020"/>
        <v/>
      </c>
      <c r="FD189" s="66" t="str">
        <f t="shared" si="3020"/>
        <v/>
      </c>
      <c r="FE189" s="66" t="str">
        <f t="shared" si="3020"/>
        <v/>
      </c>
      <c r="FF189" s="66" t="str">
        <f t="shared" si="3020"/>
        <v/>
      </c>
      <c r="FG189" s="66" t="str">
        <f t="shared" si="3020"/>
        <v/>
      </c>
      <c r="FH189" s="66" t="str">
        <f t="shared" si="3020"/>
        <v/>
      </c>
      <c r="FI189" s="66" t="str">
        <f t="shared" si="3020"/>
        <v/>
      </c>
      <c r="FJ189" s="66" t="str">
        <f t="shared" si="3021"/>
        <v/>
      </c>
      <c r="FK189" s="66" t="str">
        <f t="shared" si="3021"/>
        <v/>
      </c>
      <c r="FL189" s="66" t="str">
        <f t="shared" si="3021"/>
        <v/>
      </c>
      <c r="FM189" s="66" t="str">
        <f t="shared" si="3021"/>
        <v/>
      </c>
      <c r="FN189" s="66" t="str">
        <f t="shared" si="3021"/>
        <v/>
      </c>
      <c r="FO189" s="66" t="str">
        <f t="shared" si="3021"/>
        <v/>
      </c>
      <c r="FP189" s="66" t="str">
        <f t="shared" si="3021"/>
        <v/>
      </c>
      <c r="FQ189" s="66" t="str">
        <f t="shared" si="3021"/>
        <v/>
      </c>
      <c r="FR189" s="66" t="str">
        <f t="shared" si="3021"/>
        <v/>
      </c>
      <c r="FS189" s="66" t="str">
        <f t="shared" si="3021"/>
        <v/>
      </c>
    </row>
    <row r="190" spans="1:175" ht="16.5">
      <c r="A190" s="15"/>
      <c r="B190" s="9" t="s">
        <v>679</v>
      </c>
      <c r="C190" s="101" t="s">
        <v>677</v>
      </c>
      <c r="T190" s="108" t="str">
        <f t="shared" ref="T190:T191" si="3028">C190</f>
        <v>学习W技能</v>
      </c>
      <c r="U190" s="77" t="s">
        <v>678</v>
      </c>
      <c r="CN190" s="36" t="str">
        <f t="shared" si="3022"/>
        <v>InitUnitState('IS07',,,,,,,,,,)</v>
      </c>
      <c r="CO190" s="36" t="str">
        <f t="shared" si="3023"/>
        <v>InitUnitNormal('IS07',,,,,,,,,,)</v>
      </c>
      <c r="CP190" s="36" t="str">
        <f t="shared" si="3024"/>
        <v>InitUnitMagic('IS07',,,,,,,,,,)</v>
      </c>
      <c r="CQ190" s="36" t="str">
        <f t="shared" si="3025"/>
        <v>InitUnitAdd('IS07',,,,,,,,,,)</v>
      </c>
      <c r="CR190" s="36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InitEquipData('IS07',,"",,,,,'','','','','','',"ReplaceableTextures\\CommandButtons\\BTN002.blp")</v>
      </c>
      <c r="CU190" s="88" t="str">
        <f t="shared" si="3026"/>
        <v>|n</v>
      </c>
      <c r="CV190" s="19" t="str">
        <f t="shared" si="3027"/>
        <v>学习W技能</v>
      </c>
      <c r="CW190" s="33"/>
      <c r="CX190" s="33"/>
      <c r="CY190" s="33"/>
      <c r="CZ190" s="33"/>
      <c r="DA190" s="33"/>
      <c r="DB190" s="66" t="str">
        <f t="shared" si="3015"/>
        <v/>
      </c>
      <c r="DC190" s="66" t="str">
        <f t="shared" si="3015"/>
        <v/>
      </c>
      <c r="DD190" s="66" t="str">
        <f t="shared" si="3015"/>
        <v/>
      </c>
      <c r="DE190" s="66" t="str">
        <f t="shared" si="3015"/>
        <v/>
      </c>
      <c r="DF190" s="66" t="str">
        <f t="shared" si="3015"/>
        <v/>
      </c>
      <c r="DG190" s="66" t="str">
        <f t="shared" si="3015"/>
        <v/>
      </c>
      <c r="DH190" s="66" t="str">
        <f t="shared" si="3015"/>
        <v/>
      </c>
      <c r="DI190" s="66" t="str">
        <f t="shared" si="3015"/>
        <v/>
      </c>
      <c r="DJ190" s="66" t="str">
        <f t="shared" si="3015"/>
        <v/>
      </c>
      <c r="DK190" s="66" t="str">
        <f t="shared" si="3015"/>
        <v/>
      </c>
      <c r="DL190" s="66" t="str">
        <f t="shared" si="3016"/>
        <v/>
      </c>
      <c r="DM190" s="66" t="str">
        <f t="shared" si="3016"/>
        <v/>
      </c>
      <c r="DN190" s="66" t="str">
        <f t="shared" si="3016"/>
        <v/>
      </c>
      <c r="DO190" s="66" t="str">
        <f t="shared" si="3016"/>
        <v/>
      </c>
      <c r="DP190" s="66" t="str">
        <f t="shared" si="3016"/>
        <v/>
      </c>
      <c r="DQ190" s="66" t="str">
        <f t="shared" si="3016"/>
        <v/>
      </c>
      <c r="DR190" s="66" t="str">
        <f t="shared" si="3016"/>
        <v/>
      </c>
      <c r="DS190" s="66" t="str">
        <f t="shared" si="3016"/>
        <v/>
      </c>
      <c r="DT190" s="66" t="str">
        <f t="shared" si="3016"/>
        <v/>
      </c>
      <c r="DU190" s="66" t="str">
        <f t="shared" si="3016"/>
        <v/>
      </c>
      <c r="DV190" s="66" t="str">
        <f t="shared" si="3017"/>
        <v/>
      </c>
      <c r="DW190" s="66" t="str">
        <f t="shared" si="3017"/>
        <v/>
      </c>
      <c r="DX190" s="66" t="str">
        <f t="shared" si="3017"/>
        <v/>
      </c>
      <c r="DY190" s="66" t="str">
        <f t="shared" si="3017"/>
        <v/>
      </c>
      <c r="DZ190" s="66" t="str">
        <f t="shared" si="3017"/>
        <v/>
      </c>
      <c r="EA190" s="66" t="str">
        <f t="shared" si="3017"/>
        <v/>
      </c>
      <c r="EB190" s="66" t="str">
        <f t="shared" si="3017"/>
        <v/>
      </c>
      <c r="EC190" s="66" t="str">
        <f t="shared" si="3017"/>
        <v/>
      </c>
      <c r="ED190" s="66" t="str">
        <f t="shared" si="3017"/>
        <v/>
      </c>
      <c r="EE190" s="66" t="str">
        <f t="shared" si="3017"/>
        <v/>
      </c>
      <c r="EF190" s="66" t="str">
        <f t="shared" si="3018"/>
        <v/>
      </c>
      <c r="EG190" s="66" t="str">
        <f t="shared" si="3018"/>
        <v/>
      </c>
      <c r="EH190" s="66" t="str">
        <f t="shared" si="3018"/>
        <v/>
      </c>
      <c r="EI190" s="66" t="str">
        <f t="shared" si="3018"/>
        <v/>
      </c>
      <c r="EJ190" s="66" t="str">
        <f t="shared" si="3018"/>
        <v/>
      </c>
      <c r="EK190" s="66" t="str">
        <f t="shared" si="3018"/>
        <v/>
      </c>
      <c r="EL190" s="66" t="str">
        <f t="shared" si="3018"/>
        <v/>
      </c>
      <c r="EM190" s="66" t="str">
        <f t="shared" si="3018"/>
        <v/>
      </c>
      <c r="EN190" s="66" t="str">
        <f t="shared" si="3018"/>
        <v/>
      </c>
      <c r="EO190" s="66" t="str">
        <f t="shared" si="3018"/>
        <v/>
      </c>
      <c r="EP190" s="66" t="str">
        <f t="shared" si="3019"/>
        <v/>
      </c>
      <c r="EQ190" s="66" t="str">
        <f t="shared" si="3019"/>
        <v/>
      </c>
      <c r="ER190" s="66" t="str">
        <f t="shared" si="3019"/>
        <v/>
      </c>
      <c r="ES190" s="66" t="str">
        <f t="shared" si="3019"/>
        <v/>
      </c>
      <c r="ET190" s="66" t="str">
        <f t="shared" si="3019"/>
        <v/>
      </c>
      <c r="EU190" s="66" t="str">
        <f t="shared" si="3019"/>
        <v/>
      </c>
      <c r="EV190" s="66" t="str">
        <f t="shared" si="3019"/>
        <v/>
      </c>
      <c r="EW190" s="66" t="str">
        <f t="shared" si="3019"/>
        <v/>
      </c>
      <c r="EX190" s="66" t="str">
        <f t="shared" si="3019"/>
        <v/>
      </c>
      <c r="EY190" s="66" t="str">
        <f t="shared" si="3019"/>
        <v/>
      </c>
      <c r="EZ190" s="66" t="str">
        <f t="shared" si="3020"/>
        <v/>
      </c>
      <c r="FA190" s="66" t="str">
        <f t="shared" si="3020"/>
        <v/>
      </c>
      <c r="FB190" s="66" t="str">
        <f t="shared" si="3020"/>
        <v/>
      </c>
      <c r="FC190" s="66" t="str">
        <f t="shared" si="3020"/>
        <v/>
      </c>
      <c r="FD190" s="66" t="str">
        <f t="shared" si="3020"/>
        <v/>
      </c>
      <c r="FE190" s="66" t="str">
        <f t="shared" si="3020"/>
        <v/>
      </c>
      <c r="FF190" s="66" t="str">
        <f t="shared" si="3020"/>
        <v/>
      </c>
      <c r="FG190" s="66" t="str">
        <f t="shared" si="3020"/>
        <v/>
      </c>
      <c r="FH190" s="66" t="str">
        <f t="shared" si="3020"/>
        <v/>
      </c>
      <c r="FI190" s="66" t="str">
        <f t="shared" si="3020"/>
        <v/>
      </c>
      <c r="FJ190" s="66" t="str">
        <f t="shared" si="3021"/>
        <v/>
      </c>
      <c r="FK190" s="66" t="str">
        <f t="shared" si="3021"/>
        <v/>
      </c>
      <c r="FL190" s="66" t="str">
        <f t="shared" si="3021"/>
        <v/>
      </c>
      <c r="FM190" s="66" t="str">
        <f t="shared" si="3021"/>
        <v/>
      </c>
      <c r="FN190" s="66" t="str">
        <f t="shared" si="3021"/>
        <v/>
      </c>
      <c r="FO190" s="66" t="str">
        <f t="shared" si="3021"/>
        <v/>
      </c>
      <c r="FP190" s="66" t="str">
        <f t="shared" si="3021"/>
        <v/>
      </c>
      <c r="FQ190" s="66" t="str">
        <f t="shared" si="3021"/>
        <v/>
      </c>
      <c r="FR190" s="66" t="str">
        <f t="shared" si="3021"/>
        <v/>
      </c>
      <c r="FS190" s="66" t="str">
        <f t="shared" si="3021"/>
        <v/>
      </c>
    </row>
    <row r="191" spans="1:175" ht="16.5">
      <c r="A191" s="15"/>
      <c r="B191" s="9" t="s">
        <v>680</v>
      </c>
      <c r="C191" s="101" t="s">
        <v>677</v>
      </c>
      <c r="T191" s="108" t="str">
        <f t="shared" si="3028"/>
        <v>学习W技能</v>
      </c>
      <c r="U191" s="77" t="s">
        <v>678</v>
      </c>
      <c r="CN191" s="36" t="str">
        <f t="shared" si="3022"/>
        <v>InitUnitState('IS08',,,,,,,,,,)</v>
      </c>
      <c r="CO191" s="36" t="str">
        <f t="shared" si="3023"/>
        <v>InitUnitNormal('IS08',,,,,,,,,,)</v>
      </c>
      <c r="CP191" s="36" t="str">
        <f t="shared" si="3024"/>
        <v>InitUnitMagic('IS08',,,,,,,,,,)</v>
      </c>
      <c r="CQ191" s="36" t="str">
        <f t="shared" si="3025"/>
        <v>InitUnitAdd('IS08',,,,,,,,,,)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26"/>
        <v>|n</v>
      </c>
      <c r="CV191" s="19" t="str">
        <f t="shared" si="3027"/>
        <v>学习W技能</v>
      </c>
      <c r="CW191" s="33"/>
      <c r="CX191" s="33"/>
      <c r="CY191" s="33"/>
      <c r="CZ191" s="33"/>
      <c r="DA191" s="33"/>
      <c r="DB191" s="66" t="str">
        <f t="shared" ref="DB191" si="3029">IF(V191="","","|n"&amp;DB$2&amp;"+"&amp;V191&amp;DB$1)</f>
        <v/>
      </c>
      <c r="DC191" s="66" t="str">
        <f t="shared" ref="DC191" si="3030">IF(W191="","","|n"&amp;DC$2&amp;"+"&amp;W191&amp;DC$1)</f>
        <v/>
      </c>
      <c r="DD191" s="66" t="str">
        <f t="shared" ref="DD191" si="3031">IF(X191="","","|n"&amp;DD$2&amp;"+"&amp;X191&amp;DD$1)</f>
        <v/>
      </c>
      <c r="DE191" s="66" t="str">
        <f t="shared" ref="DE191" si="3032">IF(Y191="","","|n"&amp;DE$2&amp;"+"&amp;Y191&amp;DE$1)</f>
        <v/>
      </c>
      <c r="DF191" s="66" t="str">
        <f t="shared" ref="DF191" si="3033">IF(Z191="","","|n"&amp;DF$2&amp;"+"&amp;Z191&amp;DF$1)</f>
        <v/>
      </c>
      <c r="DG191" s="66" t="str">
        <f t="shared" ref="DG191" si="3034">IF(AA191="","","|n"&amp;DG$2&amp;"+"&amp;AA191&amp;DG$1)</f>
        <v/>
      </c>
      <c r="DH191" s="66" t="str">
        <f t="shared" ref="DH191" si="3035">IF(AB191="","","|n"&amp;DH$2&amp;"+"&amp;AB191&amp;DH$1)</f>
        <v/>
      </c>
      <c r="DI191" s="66" t="str">
        <f t="shared" ref="DI191" si="3036">IF(AC191="","","|n"&amp;DI$2&amp;"+"&amp;AC191&amp;DI$1)</f>
        <v/>
      </c>
      <c r="DJ191" s="66" t="str">
        <f t="shared" ref="DJ191" si="3037">IF(AD191="","","|n"&amp;DJ$2&amp;"+"&amp;AD191&amp;DJ$1)</f>
        <v/>
      </c>
      <c r="DK191" s="66" t="str">
        <f t="shared" ref="DK191" si="3038">IF(AE191="","","|n"&amp;DK$2&amp;"+"&amp;AE191&amp;DK$1)</f>
        <v/>
      </c>
      <c r="DL191" s="66" t="str">
        <f t="shared" ref="DL191" si="3039">IF(AF191="","","|n"&amp;DL$2&amp;"+"&amp;AF191&amp;DL$1)</f>
        <v/>
      </c>
      <c r="DM191" s="66" t="str">
        <f t="shared" ref="DM191" si="3040">IF(AG191="","","|n"&amp;DM$2&amp;"+"&amp;AG191&amp;DM$1)</f>
        <v/>
      </c>
      <c r="DN191" s="66" t="str">
        <f t="shared" ref="DN191" si="3041">IF(AH191="","","|n"&amp;DN$2&amp;"+"&amp;AH191&amp;DN$1)</f>
        <v/>
      </c>
      <c r="DO191" s="66" t="str">
        <f t="shared" ref="DO191" si="3042">IF(AI191="","","|n"&amp;DO$2&amp;"+"&amp;AI191&amp;DO$1)</f>
        <v/>
      </c>
      <c r="DP191" s="66" t="str">
        <f t="shared" ref="DP191" si="3043">IF(AJ191="","","|n"&amp;DP$2&amp;"+"&amp;AJ191&amp;DP$1)</f>
        <v/>
      </c>
      <c r="DQ191" s="66" t="str">
        <f t="shared" ref="DQ191" si="3044">IF(AK191="","","|n"&amp;DQ$2&amp;"+"&amp;AK191&amp;DQ$1)</f>
        <v/>
      </c>
      <c r="DR191" s="66" t="str">
        <f t="shared" ref="DR191" si="3045">IF(AL191="","","|n"&amp;DR$2&amp;"+"&amp;AL191&amp;DR$1)</f>
        <v/>
      </c>
      <c r="DS191" s="66" t="str">
        <f t="shared" ref="DS191" si="3046">IF(AM191="","","|n"&amp;DS$2&amp;"+"&amp;AM191&amp;DS$1)</f>
        <v/>
      </c>
      <c r="DT191" s="66" t="str">
        <f t="shared" ref="DT191" si="3047">IF(AN191="","","|n"&amp;DT$2&amp;"+"&amp;AN191&amp;DT$1)</f>
        <v/>
      </c>
      <c r="DU191" s="66" t="str">
        <f t="shared" ref="DU191" si="3048">IF(AO191="","","|n"&amp;DU$2&amp;"+"&amp;AO191&amp;DU$1)</f>
        <v/>
      </c>
      <c r="DV191" s="66" t="str">
        <f t="shared" ref="DV191" si="3049">IF(AP191="","","|n"&amp;DV$2&amp;"+"&amp;AP191&amp;DV$1)</f>
        <v/>
      </c>
      <c r="DW191" s="66" t="str">
        <f t="shared" ref="DW191" si="3050">IF(AQ191="","","|n"&amp;DW$2&amp;"+"&amp;AQ191&amp;DW$1)</f>
        <v/>
      </c>
      <c r="DX191" s="66" t="str">
        <f t="shared" ref="DX191" si="3051">IF(AR191="","","|n"&amp;DX$2&amp;"+"&amp;AR191&amp;DX$1)</f>
        <v/>
      </c>
      <c r="DY191" s="66" t="str">
        <f t="shared" ref="DY191" si="3052">IF(AS191="","","|n"&amp;DY$2&amp;"+"&amp;AS191&amp;DY$1)</f>
        <v/>
      </c>
      <c r="DZ191" s="66" t="str">
        <f t="shared" ref="DZ191" si="3053">IF(AT191="","","|n"&amp;DZ$2&amp;"+"&amp;AT191&amp;DZ$1)</f>
        <v/>
      </c>
      <c r="EA191" s="66" t="str">
        <f t="shared" ref="EA191" si="3054">IF(AU191="","","|n"&amp;EA$2&amp;"+"&amp;AU191&amp;EA$1)</f>
        <v/>
      </c>
      <c r="EB191" s="66" t="str">
        <f t="shared" ref="EB191" si="3055">IF(AV191="","","|n"&amp;EB$2&amp;"+"&amp;AV191&amp;EB$1)</f>
        <v/>
      </c>
      <c r="EC191" s="66" t="str">
        <f t="shared" ref="EC191" si="3056">IF(AW191="","","|n"&amp;EC$2&amp;"+"&amp;AW191&amp;EC$1)</f>
        <v/>
      </c>
      <c r="ED191" s="66" t="str">
        <f t="shared" ref="ED191" si="3057">IF(AX191="","","|n"&amp;ED$2&amp;"+"&amp;AX191&amp;ED$1)</f>
        <v/>
      </c>
      <c r="EE191" s="66" t="str">
        <f t="shared" ref="EE191" si="3058">IF(AY191="","","|n"&amp;EE$2&amp;"+"&amp;AY191&amp;EE$1)</f>
        <v/>
      </c>
      <c r="EF191" s="66" t="str">
        <f t="shared" ref="EF191" si="3059">IF(AZ191="","","|n"&amp;EF$2&amp;"+"&amp;AZ191&amp;EF$1)</f>
        <v/>
      </c>
      <c r="EG191" s="66" t="str">
        <f t="shared" ref="EG191" si="3060">IF(BA191="","","|n"&amp;EG$2&amp;"+"&amp;BA191&amp;EG$1)</f>
        <v/>
      </c>
      <c r="EH191" s="66" t="str">
        <f t="shared" ref="EH191" si="3061">IF(BB191="","","|n"&amp;EH$2&amp;"+"&amp;BB191&amp;EH$1)</f>
        <v/>
      </c>
      <c r="EI191" s="66" t="str">
        <f t="shared" ref="EI191" si="3062">IF(BC191="","","|n"&amp;EI$2&amp;"+"&amp;BC191&amp;EI$1)</f>
        <v/>
      </c>
      <c r="EJ191" s="66" t="str">
        <f t="shared" ref="EJ191" si="3063">IF(BD191="","","|n"&amp;EJ$2&amp;"+"&amp;BD191&amp;EJ$1)</f>
        <v/>
      </c>
      <c r="EK191" s="66" t="str">
        <f t="shared" ref="EK191" si="3064">IF(BE191="","","|n"&amp;EK$2&amp;"+"&amp;BE191&amp;EK$1)</f>
        <v/>
      </c>
      <c r="EL191" s="66" t="str">
        <f t="shared" ref="EL191" si="3065">IF(BF191="","","|n"&amp;EL$2&amp;"+"&amp;BF191&amp;EL$1)</f>
        <v/>
      </c>
      <c r="EM191" s="66" t="str">
        <f t="shared" ref="EM191" si="3066">IF(BG191="","","|n"&amp;EM$2&amp;"+"&amp;BG191&amp;EM$1)</f>
        <v/>
      </c>
      <c r="EN191" s="66" t="str">
        <f t="shared" ref="EN191" si="3067">IF(BH191="","","|n"&amp;EN$2&amp;"+"&amp;BH191&amp;EN$1)</f>
        <v/>
      </c>
      <c r="EO191" s="66" t="str">
        <f t="shared" ref="EO191" si="3068">IF(BI191="","","|n"&amp;EO$2&amp;"+"&amp;BI191&amp;EO$1)</f>
        <v/>
      </c>
      <c r="EP191" s="66" t="str">
        <f t="shared" ref="EP191" si="3069">IF(BJ191="","","|n"&amp;EP$2&amp;"+"&amp;BJ191&amp;EP$1)</f>
        <v/>
      </c>
      <c r="EQ191" s="66" t="str">
        <f t="shared" ref="EQ191" si="3070">IF(BK191="","","|n"&amp;EQ$2&amp;"+"&amp;BK191&amp;EQ$1)</f>
        <v/>
      </c>
      <c r="ER191" s="66" t="str">
        <f t="shared" ref="ER191" si="3071">IF(BL191="","","|n"&amp;ER$2&amp;"+"&amp;BL191&amp;ER$1)</f>
        <v/>
      </c>
      <c r="ES191" s="66" t="str">
        <f t="shared" ref="ES191" si="3072">IF(BM191="","","|n"&amp;ES$2&amp;"+"&amp;BM191&amp;ES$1)</f>
        <v/>
      </c>
      <c r="ET191" s="66" t="str">
        <f t="shared" ref="ET191" si="3073">IF(BN191="","","|n"&amp;ET$2&amp;"+"&amp;BN191&amp;ET$1)</f>
        <v/>
      </c>
      <c r="EU191" s="66" t="str">
        <f t="shared" ref="EU191" si="3074">IF(BO191="","","|n"&amp;EU$2&amp;"+"&amp;BO191&amp;EU$1)</f>
        <v/>
      </c>
      <c r="EV191" s="66" t="str">
        <f t="shared" ref="EV191" si="3075">IF(BP191="","","|n"&amp;EV$2&amp;"+"&amp;BP191&amp;EV$1)</f>
        <v/>
      </c>
      <c r="EW191" s="66" t="str">
        <f t="shared" ref="EW191" si="3076">IF(BQ191="","","|n"&amp;EW$2&amp;"+"&amp;BQ191&amp;EW$1)</f>
        <v/>
      </c>
      <c r="EX191" s="66" t="str">
        <f t="shared" ref="EX191" si="3077">IF(BR191="","","|n"&amp;EX$2&amp;"+"&amp;BR191&amp;EX$1)</f>
        <v/>
      </c>
      <c r="EY191" s="66" t="str">
        <f t="shared" ref="EY191" si="3078">IF(BS191="","","|n"&amp;EY$2&amp;"+"&amp;BS191&amp;EY$1)</f>
        <v/>
      </c>
      <c r="EZ191" s="66" t="str">
        <f t="shared" ref="EZ191" si="3079">IF(BT191="","","|n"&amp;EZ$2&amp;"+"&amp;BT191&amp;EZ$1)</f>
        <v/>
      </c>
      <c r="FA191" s="66" t="str">
        <f t="shared" ref="FA191" si="3080">IF(BU191="","","|n"&amp;FA$2&amp;"+"&amp;BU191&amp;FA$1)</f>
        <v/>
      </c>
      <c r="FB191" s="66" t="str">
        <f t="shared" ref="FB191" si="3081">IF(BV191="","","|n"&amp;FB$2&amp;"+"&amp;BV191&amp;FB$1)</f>
        <v/>
      </c>
      <c r="FC191" s="66" t="str">
        <f t="shared" ref="FC191" si="3082">IF(BW191="","","|n"&amp;FC$2&amp;"+"&amp;BW191&amp;FC$1)</f>
        <v/>
      </c>
      <c r="FD191" s="66" t="str">
        <f t="shared" ref="FD191" si="3083">IF(BX191="","","|n"&amp;FD$2&amp;"+"&amp;BX191&amp;FD$1)</f>
        <v/>
      </c>
      <c r="FE191" s="66" t="str">
        <f t="shared" ref="FE191" si="3084">IF(BY191="","","|n"&amp;FE$2&amp;"+"&amp;BY191&amp;FE$1)</f>
        <v/>
      </c>
      <c r="FF191" s="66" t="str">
        <f t="shared" ref="FF191" si="3085">IF(BZ191="","","|n"&amp;FF$2&amp;"+"&amp;BZ191&amp;FF$1)</f>
        <v/>
      </c>
      <c r="FG191" s="66" t="str">
        <f t="shared" ref="FG191" si="3086">IF(CA191="","","|n"&amp;FG$2&amp;"+"&amp;CA191&amp;FG$1)</f>
        <v/>
      </c>
      <c r="FH191" s="66" t="str">
        <f t="shared" ref="FH191" si="3087">IF(CB191="","","|n"&amp;FH$2&amp;"+"&amp;CB191&amp;FH$1)</f>
        <v/>
      </c>
      <c r="FI191" s="66" t="str">
        <f t="shared" ref="FI191" si="3088">IF(CC191="","","|n"&amp;FI$2&amp;"+"&amp;CC191&amp;FI$1)</f>
        <v/>
      </c>
      <c r="FJ191" s="66" t="str">
        <f t="shared" ref="FJ191" si="3089">IF(CD191="","","|n"&amp;FJ$2&amp;"+"&amp;CD191&amp;FJ$1)</f>
        <v/>
      </c>
      <c r="FK191" s="66" t="str">
        <f t="shared" ref="FK191" si="3090">IF(CE191="","","|n"&amp;FK$2&amp;"+"&amp;CE191&amp;FK$1)</f>
        <v/>
      </c>
      <c r="FL191" s="66" t="str">
        <f t="shared" ref="FL191" si="3091">IF(CF191="","","|n"&amp;FL$2&amp;"+"&amp;CF191&amp;FL$1)</f>
        <v/>
      </c>
      <c r="FM191" s="66" t="str">
        <f t="shared" ref="FM191" si="3092">IF(CG191="","","|n"&amp;FM$2&amp;"+"&amp;CG191&amp;FM$1)</f>
        <v/>
      </c>
      <c r="FN191" s="66" t="str">
        <f t="shared" ref="FN191" si="3093">IF(CH191="","","|n"&amp;FN$2&amp;"+"&amp;CH191&amp;FN$1)</f>
        <v/>
      </c>
      <c r="FO191" s="66" t="str">
        <f t="shared" ref="FO191" si="3094">IF(CI191="","","|n"&amp;FO$2&amp;"+"&amp;CI191&amp;FO$1)</f>
        <v/>
      </c>
      <c r="FP191" s="66" t="str">
        <f t="shared" ref="FP191" si="3095">IF(CJ191="","","|n"&amp;FP$2&amp;"+"&amp;CJ191&amp;FP$1)</f>
        <v/>
      </c>
      <c r="FQ191" s="66" t="str">
        <f t="shared" ref="FQ191" si="3096">IF(CK191="","","|n"&amp;FQ$2&amp;"+"&amp;CK191&amp;FQ$1)</f>
        <v/>
      </c>
      <c r="FR191" s="66" t="str">
        <f t="shared" ref="FR191" si="3097">IF(CL191="","","|n"&amp;FR$2&amp;"+"&amp;CL191&amp;FR$1)</f>
        <v/>
      </c>
      <c r="FS191" s="66" t="str">
        <f t="shared" ref="FS191" si="3098">IF(CM191="","","|n"&amp;FS$2&amp;"+"&amp;CM191&amp;FS$1)</f>
        <v/>
      </c>
    </row>
    <row r="192" spans="1:175" ht="16.5">
      <c r="A192" s="15"/>
      <c r="B192" s="9" t="s">
        <v>681</v>
      </c>
      <c r="C192" s="15" t="s">
        <v>682</v>
      </c>
      <c r="T192" s="15" t="s">
        <v>683</v>
      </c>
      <c r="U192" s="77" t="s">
        <v>684</v>
      </c>
      <c r="CN192" s="36" t="str">
        <f t="shared" si="2999"/>
        <v>InitUnitState('IS21',,,,,,,,,,)</v>
      </c>
      <c r="CO192" s="36" t="str">
        <f t="shared" si="3000"/>
        <v>InitUnitNormal('IS21',,,,,,,,,,)</v>
      </c>
      <c r="CP192" s="36" t="str">
        <f t="shared" si="3001"/>
        <v>InitUnitMagic('IS21',,,,,,,,,,)</v>
      </c>
      <c r="CQ192" s="36" t="str">
        <f t="shared" si="3002"/>
        <v>InitUnitAdd('IS21',,,,,,,,,,)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InitEquipData('IS21',,"",,,,,'','','','','','',"ReplaceableTextures\\CommandButtons\\BTNIN02.blp")</v>
      </c>
      <c r="CU192" s="88" t="str">
        <f t="shared" si="3003"/>
        <v>|n</v>
      </c>
      <c r="CV192" s="19" t="str">
        <f t="shared" si="3004"/>
        <v>为|Cffffd24dQ技能|r附魔一条|Cffffd24d随机属性|r。</v>
      </c>
      <c r="CW192" s="33"/>
      <c r="CX192" s="33"/>
      <c r="CY192" s="33"/>
      <c r="CZ192" s="33"/>
      <c r="DA192" s="33"/>
      <c r="DB192" s="66" t="str">
        <f t="shared" si="3015"/>
        <v/>
      </c>
      <c r="DC192" s="66" t="str">
        <f t="shared" si="3015"/>
        <v/>
      </c>
      <c r="DD192" s="66" t="str">
        <f t="shared" si="3015"/>
        <v/>
      </c>
      <c r="DE192" s="66" t="str">
        <f t="shared" si="3015"/>
        <v/>
      </c>
      <c r="DF192" s="66" t="str">
        <f t="shared" si="3015"/>
        <v/>
      </c>
      <c r="DG192" s="66" t="str">
        <f t="shared" si="3015"/>
        <v/>
      </c>
      <c r="DH192" s="66" t="str">
        <f t="shared" si="3015"/>
        <v/>
      </c>
      <c r="DI192" s="66" t="str">
        <f t="shared" si="3015"/>
        <v/>
      </c>
      <c r="DJ192" s="66" t="str">
        <f t="shared" si="3015"/>
        <v/>
      </c>
      <c r="DK192" s="66" t="str">
        <f t="shared" si="3015"/>
        <v/>
      </c>
      <c r="DL192" s="66" t="str">
        <f t="shared" si="3016"/>
        <v/>
      </c>
      <c r="DM192" s="66" t="str">
        <f t="shared" si="3016"/>
        <v/>
      </c>
      <c r="DN192" s="66" t="str">
        <f t="shared" si="3016"/>
        <v/>
      </c>
      <c r="DO192" s="66" t="str">
        <f t="shared" si="3016"/>
        <v/>
      </c>
      <c r="DP192" s="66" t="str">
        <f t="shared" si="3016"/>
        <v/>
      </c>
      <c r="DQ192" s="66" t="str">
        <f t="shared" si="3016"/>
        <v/>
      </c>
      <c r="DR192" s="66" t="str">
        <f t="shared" si="3016"/>
        <v/>
      </c>
      <c r="DS192" s="66" t="str">
        <f t="shared" si="3016"/>
        <v/>
      </c>
      <c r="DT192" s="66" t="str">
        <f t="shared" si="3016"/>
        <v/>
      </c>
      <c r="DU192" s="66" t="str">
        <f t="shared" si="3016"/>
        <v/>
      </c>
      <c r="DV192" s="66" t="str">
        <f t="shared" si="3017"/>
        <v/>
      </c>
      <c r="DW192" s="66" t="str">
        <f t="shared" si="3017"/>
        <v/>
      </c>
      <c r="DX192" s="66" t="str">
        <f t="shared" si="3017"/>
        <v/>
      </c>
      <c r="DY192" s="66" t="str">
        <f t="shared" si="3017"/>
        <v/>
      </c>
      <c r="DZ192" s="66" t="str">
        <f t="shared" si="3017"/>
        <v/>
      </c>
      <c r="EA192" s="66" t="str">
        <f t="shared" si="3017"/>
        <v/>
      </c>
      <c r="EB192" s="66" t="str">
        <f t="shared" si="3017"/>
        <v/>
      </c>
      <c r="EC192" s="66" t="str">
        <f t="shared" si="3017"/>
        <v/>
      </c>
      <c r="ED192" s="66" t="str">
        <f t="shared" si="3017"/>
        <v/>
      </c>
      <c r="EE192" s="66" t="str">
        <f t="shared" si="3017"/>
        <v/>
      </c>
      <c r="EF192" s="66" t="str">
        <f t="shared" si="3018"/>
        <v/>
      </c>
      <c r="EG192" s="66" t="str">
        <f t="shared" si="3018"/>
        <v/>
      </c>
      <c r="EH192" s="66" t="str">
        <f t="shared" si="3018"/>
        <v/>
      </c>
      <c r="EI192" s="66" t="str">
        <f t="shared" si="3018"/>
        <v/>
      </c>
      <c r="EJ192" s="66" t="str">
        <f t="shared" si="3018"/>
        <v/>
      </c>
      <c r="EK192" s="66" t="str">
        <f t="shared" si="3018"/>
        <v/>
      </c>
      <c r="EL192" s="66" t="str">
        <f t="shared" si="3018"/>
        <v/>
      </c>
      <c r="EM192" s="66" t="str">
        <f t="shared" si="3018"/>
        <v/>
      </c>
      <c r="EN192" s="66" t="str">
        <f t="shared" si="3018"/>
        <v/>
      </c>
      <c r="EO192" s="66" t="str">
        <f t="shared" si="3018"/>
        <v/>
      </c>
      <c r="EP192" s="66" t="str">
        <f t="shared" si="3019"/>
        <v/>
      </c>
      <c r="EQ192" s="66" t="str">
        <f t="shared" si="3019"/>
        <v/>
      </c>
      <c r="ER192" s="66" t="str">
        <f t="shared" si="3019"/>
        <v/>
      </c>
      <c r="ES192" s="66" t="str">
        <f t="shared" si="3019"/>
        <v/>
      </c>
      <c r="ET192" s="66" t="str">
        <f t="shared" si="3019"/>
        <v/>
      </c>
      <c r="EU192" s="66" t="str">
        <f t="shared" si="3019"/>
        <v/>
      </c>
      <c r="EV192" s="66" t="str">
        <f t="shared" si="3019"/>
        <v/>
      </c>
      <c r="EW192" s="66" t="str">
        <f t="shared" si="3019"/>
        <v/>
      </c>
      <c r="EX192" s="66" t="str">
        <f t="shared" si="3019"/>
        <v/>
      </c>
      <c r="EY192" s="66" t="str">
        <f t="shared" si="3019"/>
        <v/>
      </c>
      <c r="EZ192" s="66" t="str">
        <f t="shared" si="3020"/>
        <v/>
      </c>
      <c r="FA192" s="66" t="str">
        <f t="shared" si="3020"/>
        <v/>
      </c>
      <c r="FB192" s="66" t="str">
        <f t="shared" si="3020"/>
        <v/>
      </c>
      <c r="FC192" s="66" t="str">
        <f t="shared" si="3020"/>
        <v/>
      </c>
      <c r="FD192" s="66" t="str">
        <f t="shared" si="3020"/>
        <v/>
      </c>
      <c r="FE192" s="66" t="str">
        <f t="shared" si="3020"/>
        <v/>
      </c>
      <c r="FF192" s="66" t="str">
        <f t="shared" si="3020"/>
        <v/>
      </c>
      <c r="FG192" s="66" t="str">
        <f t="shared" si="3020"/>
        <v/>
      </c>
      <c r="FH192" s="66" t="str">
        <f t="shared" si="3020"/>
        <v/>
      </c>
      <c r="FI192" s="66" t="str">
        <f t="shared" si="3020"/>
        <v/>
      </c>
      <c r="FJ192" s="66" t="str">
        <f t="shared" si="3021"/>
        <v/>
      </c>
      <c r="FK192" s="66" t="str">
        <f t="shared" si="3021"/>
        <v/>
      </c>
      <c r="FL192" s="66" t="str">
        <f t="shared" si="3021"/>
        <v/>
      </c>
      <c r="FM192" s="66" t="str">
        <f t="shared" si="3021"/>
        <v/>
      </c>
      <c r="FN192" s="66" t="str">
        <f t="shared" si="3021"/>
        <v/>
      </c>
      <c r="FO192" s="66" t="str">
        <f t="shared" si="3021"/>
        <v/>
      </c>
      <c r="FP192" s="66" t="str">
        <f t="shared" si="3021"/>
        <v/>
      </c>
      <c r="FQ192" s="66" t="str">
        <f t="shared" si="3021"/>
        <v/>
      </c>
      <c r="FR192" s="66" t="str">
        <f t="shared" si="3021"/>
        <v/>
      </c>
      <c r="FS192" s="66" t="str">
        <f t="shared" si="3021"/>
        <v/>
      </c>
    </row>
    <row r="193" spans="1:175" ht="16.5">
      <c r="A193" s="15"/>
      <c r="B193" s="9" t="s">
        <v>685</v>
      </c>
      <c r="C193" s="15" t="s">
        <v>686</v>
      </c>
      <c r="T193" s="15" t="s">
        <v>687</v>
      </c>
      <c r="U193" s="77" t="s">
        <v>688</v>
      </c>
      <c r="CN193" s="36" t="str">
        <f t="shared" si="2999"/>
        <v>InitUnitState('IS22',,,,,,,,,,)</v>
      </c>
      <c r="CO193" s="36" t="str">
        <f t="shared" si="3000"/>
        <v>InitUnitNormal('IS22',,,,,,,,,,)</v>
      </c>
      <c r="CP193" s="36" t="str">
        <f t="shared" si="3001"/>
        <v>InitUnitMagic('IS22',,,,,,,,,,)</v>
      </c>
      <c r="CQ193" s="36" t="str">
        <f t="shared" si="3002"/>
        <v>InitUnitAdd('IS22',,,,,,,,,,)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InitEquipData('IS22',,"",,,,,'','','','','','',"ReplaceableTextures\\CommandButtons\\BTNIN03.blp")</v>
      </c>
      <c r="CU193" s="88" t="str">
        <f t="shared" si="3003"/>
        <v>|n</v>
      </c>
      <c r="CV193" s="19" t="str">
        <f t="shared" si="3004"/>
        <v>为|Cffffd24dW技能|r附魔一条|Cffffd24d随机属性|r。</v>
      </c>
      <c r="CW193" s="33"/>
      <c r="CX193" s="33"/>
      <c r="CY193" s="33"/>
      <c r="CZ193" s="33"/>
      <c r="DA193" s="33"/>
      <c r="DB193" s="66" t="str">
        <f t="shared" si="3015"/>
        <v/>
      </c>
      <c r="DC193" s="66" t="str">
        <f t="shared" si="3015"/>
        <v/>
      </c>
      <c r="DD193" s="66" t="str">
        <f t="shared" si="3015"/>
        <v/>
      </c>
      <c r="DE193" s="66" t="str">
        <f t="shared" si="3015"/>
        <v/>
      </c>
      <c r="DF193" s="66" t="str">
        <f t="shared" si="3015"/>
        <v/>
      </c>
      <c r="DG193" s="66" t="str">
        <f t="shared" si="3015"/>
        <v/>
      </c>
      <c r="DH193" s="66" t="str">
        <f t="shared" si="3015"/>
        <v/>
      </c>
      <c r="DI193" s="66" t="str">
        <f t="shared" si="3015"/>
        <v/>
      </c>
      <c r="DJ193" s="66" t="str">
        <f t="shared" si="3015"/>
        <v/>
      </c>
      <c r="DK193" s="66" t="str">
        <f t="shared" si="3015"/>
        <v/>
      </c>
      <c r="DL193" s="66" t="str">
        <f t="shared" si="3016"/>
        <v/>
      </c>
      <c r="DM193" s="66" t="str">
        <f t="shared" si="3016"/>
        <v/>
      </c>
      <c r="DN193" s="66" t="str">
        <f t="shared" si="3016"/>
        <v/>
      </c>
      <c r="DO193" s="66" t="str">
        <f t="shared" si="3016"/>
        <v/>
      </c>
      <c r="DP193" s="66" t="str">
        <f t="shared" si="3016"/>
        <v/>
      </c>
      <c r="DQ193" s="66" t="str">
        <f t="shared" si="3016"/>
        <v/>
      </c>
      <c r="DR193" s="66" t="str">
        <f t="shared" si="3016"/>
        <v/>
      </c>
      <c r="DS193" s="66" t="str">
        <f t="shared" si="3016"/>
        <v/>
      </c>
      <c r="DT193" s="66" t="str">
        <f t="shared" si="3016"/>
        <v/>
      </c>
      <c r="DU193" s="66" t="str">
        <f t="shared" si="3016"/>
        <v/>
      </c>
      <c r="DV193" s="66" t="str">
        <f t="shared" si="3017"/>
        <v/>
      </c>
      <c r="DW193" s="66" t="str">
        <f t="shared" si="3017"/>
        <v/>
      </c>
      <c r="DX193" s="66" t="str">
        <f t="shared" si="3017"/>
        <v/>
      </c>
      <c r="DY193" s="66" t="str">
        <f t="shared" si="3017"/>
        <v/>
      </c>
      <c r="DZ193" s="66" t="str">
        <f t="shared" si="3017"/>
        <v/>
      </c>
      <c r="EA193" s="66" t="str">
        <f t="shared" si="3017"/>
        <v/>
      </c>
      <c r="EB193" s="66" t="str">
        <f t="shared" si="3017"/>
        <v/>
      </c>
      <c r="EC193" s="66" t="str">
        <f t="shared" si="3017"/>
        <v/>
      </c>
      <c r="ED193" s="66" t="str">
        <f t="shared" si="3017"/>
        <v/>
      </c>
      <c r="EE193" s="66" t="str">
        <f t="shared" si="3017"/>
        <v/>
      </c>
      <c r="EF193" s="66" t="str">
        <f t="shared" si="3018"/>
        <v/>
      </c>
      <c r="EG193" s="66" t="str">
        <f t="shared" si="3018"/>
        <v/>
      </c>
      <c r="EH193" s="66" t="str">
        <f t="shared" si="3018"/>
        <v/>
      </c>
      <c r="EI193" s="66" t="str">
        <f t="shared" si="3018"/>
        <v/>
      </c>
      <c r="EJ193" s="66" t="str">
        <f t="shared" si="3018"/>
        <v/>
      </c>
      <c r="EK193" s="66" t="str">
        <f t="shared" si="3018"/>
        <v/>
      </c>
      <c r="EL193" s="66" t="str">
        <f t="shared" si="3018"/>
        <v/>
      </c>
      <c r="EM193" s="66" t="str">
        <f t="shared" si="3018"/>
        <v/>
      </c>
      <c r="EN193" s="66" t="str">
        <f t="shared" si="3018"/>
        <v/>
      </c>
      <c r="EO193" s="66" t="str">
        <f t="shared" si="3018"/>
        <v/>
      </c>
      <c r="EP193" s="66" t="str">
        <f t="shared" si="3019"/>
        <v/>
      </c>
      <c r="EQ193" s="66" t="str">
        <f t="shared" si="3019"/>
        <v/>
      </c>
      <c r="ER193" s="66" t="str">
        <f t="shared" si="3019"/>
        <v/>
      </c>
      <c r="ES193" s="66" t="str">
        <f t="shared" si="3019"/>
        <v/>
      </c>
      <c r="ET193" s="66" t="str">
        <f t="shared" si="3019"/>
        <v/>
      </c>
      <c r="EU193" s="66" t="str">
        <f t="shared" si="3019"/>
        <v/>
      </c>
      <c r="EV193" s="66" t="str">
        <f t="shared" si="3019"/>
        <v/>
      </c>
      <c r="EW193" s="66" t="str">
        <f t="shared" si="3019"/>
        <v/>
      </c>
      <c r="EX193" s="66" t="str">
        <f t="shared" si="3019"/>
        <v/>
      </c>
      <c r="EY193" s="66" t="str">
        <f t="shared" si="3019"/>
        <v/>
      </c>
      <c r="EZ193" s="66" t="str">
        <f t="shared" si="3020"/>
        <v/>
      </c>
      <c r="FA193" s="66" t="str">
        <f t="shared" si="3020"/>
        <v/>
      </c>
      <c r="FB193" s="66" t="str">
        <f t="shared" si="3020"/>
        <v/>
      </c>
      <c r="FC193" s="66" t="str">
        <f t="shared" si="3020"/>
        <v/>
      </c>
      <c r="FD193" s="66" t="str">
        <f t="shared" si="3020"/>
        <v/>
      </c>
      <c r="FE193" s="66" t="str">
        <f t="shared" si="3020"/>
        <v/>
      </c>
      <c r="FF193" s="66" t="str">
        <f t="shared" si="3020"/>
        <v/>
      </c>
      <c r="FG193" s="66" t="str">
        <f t="shared" si="3020"/>
        <v/>
      </c>
      <c r="FH193" s="66" t="str">
        <f t="shared" si="3020"/>
        <v/>
      </c>
      <c r="FI193" s="66" t="str">
        <f t="shared" si="3020"/>
        <v/>
      </c>
      <c r="FJ193" s="66" t="str">
        <f t="shared" si="3021"/>
        <v/>
      </c>
      <c r="FK193" s="66" t="str">
        <f t="shared" si="3021"/>
        <v/>
      </c>
      <c r="FL193" s="66" t="str">
        <f t="shared" si="3021"/>
        <v/>
      </c>
      <c r="FM193" s="66" t="str">
        <f t="shared" si="3021"/>
        <v/>
      </c>
      <c r="FN193" s="66" t="str">
        <f t="shared" si="3021"/>
        <v/>
      </c>
      <c r="FO193" s="66" t="str">
        <f t="shared" si="3021"/>
        <v/>
      </c>
      <c r="FP193" s="66" t="str">
        <f t="shared" si="3021"/>
        <v/>
      </c>
      <c r="FQ193" s="66" t="str">
        <f t="shared" si="3021"/>
        <v/>
      </c>
      <c r="FR193" s="66" t="str">
        <f t="shared" si="3021"/>
        <v/>
      </c>
      <c r="FS193" s="66" t="str">
        <f t="shared" si="3021"/>
        <v/>
      </c>
    </row>
    <row r="194" spans="1:175" ht="16.5">
      <c r="A194" s="15"/>
      <c r="B194" s="9" t="s">
        <v>689</v>
      </c>
      <c r="C194" s="15" t="s">
        <v>690</v>
      </c>
      <c r="T194" s="15" t="s">
        <v>691</v>
      </c>
      <c r="U194" s="77" t="s">
        <v>692</v>
      </c>
      <c r="CN194" s="36" t="str">
        <f t="shared" si="2999"/>
        <v>InitUnitState('IS23',,,,,,,,,,)</v>
      </c>
      <c r="CO194" s="36" t="str">
        <f t="shared" si="3000"/>
        <v>InitUnitNormal('IS23',,,,,,,,,,)</v>
      </c>
      <c r="CP194" s="36" t="str">
        <f t="shared" si="3001"/>
        <v>InitUnitMagic('IS23',,,,,,,,,,)</v>
      </c>
      <c r="CQ194" s="36" t="str">
        <f t="shared" si="3002"/>
        <v>InitUnitAdd('IS23',,,,,,,,,,)</v>
      </c>
      <c r="CR194" s="36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88" t="str">
        <f t="shared" ref="CU194:CU197" si="3099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197" si="3100">T194</f>
        <v>为|Cffffd24dE技能|r附魔一条|Cffffd24d随机属性|r。</v>
      </c>
      <c r="CW194" s="33"/>
      <c r="CX194" s="33"/>
      <c r="CY194" s="33"/>
      <c r="CZ194" s="33"/>
      <c r="DA194" s="33"/>
      <c r="DB194" s="66" t="str">
        <f t="shared" ref="DB194" si="3101">IF(V194="","","|n"&amp;DB$2&amp;"+"&amp;V194&amp;DB$1)</f>
        <v/>
      </c>
      <c r="DC194" s="66" t="str">
        <f t="shared" ref="DC194" si="3102">IF(W194="","","|n"&amp;DC$2&amp;"+"&amp;W194&amp;DC$1)</f>
        <v/>
      </c>
      <c r="DD194" s="66" t="str">
        <f t="shared" ref="DD194" si="3103">IF(X194="","","|n"&amp;DD$2&amp;"+"&amp;X194&amp;DD$1)</f>
        <v/>
      </c>
      <c r="DE194" s="66" t="str">
        <f t="shared" ref="DE194" si="3104">IF(Y194="","","|n"&amp;DE$2&amp;"+"&amp;Y194&amp;DE$1)</f>
        <v/>
      </c>
      <c r="DF194" s="66" t="str">
        <f t="shared" ref="DF194" si="3105">IF(Z194="","","|n"&amp;DF$2&amp;"+"&amp;Z194&amp;DF$1)</f>
        <v/>
      </c>
      <c r="DG194" s="66" t="str">
        <f t="shared" ref="DG194" si="3106">IF(AA194="","","|n"&amp;DG$2&amp;"+"&amp;AA194&amp;DG$1)</f>
        <v/>
      </c>
      <c r="DH194" s="66" t="str">
        <f t="shared" ref="DH194" si="3107">IF(AB194="","","|n"&amp;DH$2&amp;"+"&amp;AB194&amp;DH$1)</f>
        <v/>
      </c>
      <c r="DI194" s="66" t="str">
        <f t="shared" ref="DI194" si="3108">IF(AC194="","","|n"&amp;DI$2&amp;"+"&amp;AC194&amp;DI$1)</f>
        <v/>
      </c>
      <c r="DJ194" s="66" t="str">
        <f t="shared" ref="DJ194" si="3109">IF(AD194="","","|n"&amp;DJ$2&amp;"+"&amp;AD194&amp;DJ$1)</f>
        <v/>
      </c>
      <c r="DK194" s="66" t="str">
        <f t="shared" ref="DK194" si="3110">IF(AE194="","","|n"&amp;DK$2&amp;"+"&amp;AE194&amp;DK$1)</f>
        <v/>
      </c>
      <c r="DL194" s="66" t="str">
        <f t="shared" ref="DL194" si="3111">IF(AF194="","","|n"&amp;DL$2&amp;"+"&amp;AF194&amp;DL$1)</f>
        <v/>
      </c>
      <c r="DM194" s="66" t="str">
        <f t="shared" ref="DM194" si="3112">IF(AG194="","","|n"&amp;DM$2&amp;"+"&amp;AG194&amp;DM$1)</f>
        <v/>
      </c>
      <c r="DN194" s="66" t="str">
        <f t="shared" ref="DN194" si="3113">IF(AH194="","","|n"&amp;DN$2&amp;"+"&amp;AH194&amp;DN$1)</f>
        <v/>
      </c>
      <c r="DO194" s="66" t="str">
        <f t="shared" ref="DO194" si="3114">IF(AI194="","","|n"&amp;DO$2&amp;"+"&amp;AI194&amp;DO$1)</f>
        <v/>
      </c>
      <c r="DP194" s="66" t="str">
        <f t="shared" ref="DP194" si="3115">IF(AJ194="","","|n"&amp;DP$2&amp;"+"&amp;AJ194&amp;DP$1)</f>
        <v/>
      </c>
      <c r="DQ194" s="66" t="str">
        <f t="shared" ref="DQ194" si="3116">IF(AK194="","","|n"&amp;DQ$2&amp;"+"&amp;AK194&amp;DQ$1)</f>
        <v/>
      </c>
      <c r="DR194" s="66" t="str">
        <f t="shared" ref="DR194" si="3117">IF(AL194="","","|n"&amp;DR$2&amp;"+"&amp;AL194&amp;DR$1)</f>
        <v/>
      </c>
      <c r="DS194" s="66" t="str">
        <f t="shared" ref="DS194" si="3118">IF(AM194="","","|n"&amp;DS$2&amp;"+"&amp;AM194&amp;DS$1)</f>
        <v/>
      </c>
      <c r="DT194" s="66" t="str">
        <f t="shared" ref="DT194" si="3119">IF(AN194="","","|n"&amp;DT$2&amp;"+"&amp;AN194&amp;DT$1)</f>
        <v/>
      </c>
      <c r="DU194" s="66" t="str">
        <f t="shared" ref="DU194" si="3120">IF(AO194="","","|n"&amp;DU$2&amp;"+"&amp;AO194&amp;DU$1)</f>
        <v/>
      </c>
      <c r="DV194" s="66" t="str">
        <f t="shared" ref="DV194" si="3121">IF(AP194="","","|n"&amp;DV$2&amp;"+"&amp;AP194&amp;DV$1)</f>
        <v/>
      </c>
      <c r="DW194" s="66" t="str">
        <f t="shared" ref="DW194" si="3122">IF(AQ194="","","|n"&amp;DW$2&amp;"+"&amp;AQ194&amp;DW$1)</f>
        <v/>
      </c>
      <c r="DX194" s="66" t="str">
        <f t="shared" ref="DX194" si="3123">IF(AR194="","","|n"&amp;DX$2&amp;"+"&amp;AR194&amp;DX$1)</f>
        <v/>
      </c>
      <c r="DY194" s="66" t="str">
        <f t="shared" ref="DY194" si="3124">IF(AS194="","","|n"&amp;DY$2&amp;"+"&amp;AS194&amp;DY$1)</f>
        <v/>
      </c>
      <c r="DZ194" s="66" t="str">
        <f t="shared" ref="DZ194" si="3125">IF(AT194="","","|n"&amp;DZ$2&amp;"+"&amp;AT194&amp;DZ$1)</f>
        <v/>
      </c>
      <c r="EA194" s="66" t="str">
        <f t="shared" ref="EA194" si="3126">IF(AU194="","","|n"&amp;EA$2&amp;"+"&amp;AU194&amp;EA$1)</f>
        <v/>
      </c>
      <c r="EB194" s="66" t="str">
        <f t="shared" ref="EB194" si="3127">IF(AV194="","","|n"&amp;EB$2&amp;"+"&amp;AV194&amp;EB$1)</f>
        <v/>
      </c>
      <c r="EC194" s="66" t="str">
        <f t="shared" ref="EC194" si="3128">IF(AW194="","","|n"&amp;EC$2&amp;"+"&amp;AW194&amp;EC$1)</f>
        <v/>
      </c>
      <c r="ED194" s="66" t="str">
        <f t="shared" ref="ED194" si="3129">IF(AX194="","","|n"&amp;ED$2&amp;"+"&amp;AX194&amp;ED$1)</f>
        <v/>
      </c>
      <c r="EE194" s="66" t="str">
        <f t="shared" ref="EE194" si="3130">IF(AY194="","","|n"&amp;EE$2&amp;"+"&amp;AY194&amp;EE$1)</f>
        <v/>
      </c>
      <c r="EF194" s="66" t="str">
        <f t="shared" ref="EF194" si="3131">IF(AZ194="","","|n"&amp;EF$2&amp;"+"&amp;AZ194&amp;EF$1)</f>
        <v/>
      </c>
      <c r="EG194" s="66" t="str">
        <f t="shared" ref="EG194" si="3132">IF(BA194="","","|n"&amp;EG$2&amp;"+"&amp;BA194&amp;EG$1)</f>
        <v/>
      </c>
      <c r="EH194" s="66" t="str">
        <f t="shared" ref="EH194" si="3133">IF(BB194="","","|n"&amp;EH$2&amp;"+"&amp;BB194&amp;EH$1)</f>
        <v/>
      </c>
      <c r="EI194" s="66" t="str">
        <f t="shared" ref="EI194" si="3134">IF(BC194="","","|n"&amp;EI$2&amp;"+"&amp;BC194&amp;EI$1)</f>
        <v/>
      </c>
      <c r="EJ194" s="66" t="str">
        <f t="shared" ref="EJ194" si="3135">IF(BD194="","","|n"&amp;EJ$2&amp;"+"&amp;BD194&amp;EJ$1)</f>
        <v/>
      </c>
      <c r="EK194" s="66" t="str">
        <f t="shared" ref="EK194" si="3136">IF(BE194="","","|n"&amp;EK$2&amp;"+"&amp;BE194&amp;EK$1)</f>
        <v/>
      </c>
      <c r="EL194" s="66" t="str">
        <f t="shared" ref="EL194" si="3137">IF(BF194="","","|n"&amp;EL$2&amp;"+"&amp;BF194&amp;EL$1)</f>
        <v/>
      </c>
      <c r="EM194" s="66" t="str">
        <f t="shared" ref="EM194" si="3138">IF(BG194="","","|n"&amp;EM$2&amp;"+"&amp;BG194&amp;EM$1)</f>
        <v/>
      </c>
      <c r="EN194" s="66" t="str">
        <f t="shared" ref="EN194" si="3139">IF(BH194="","","|n"&amp;EN$2&amp;"+"&amp;BH194&amp;EN$1)</f>
        <v/>
      </c>
      <c r="EO194" s="66" t="str">
        <f t="shared" ref="EO194" si="3140">IF(BI194="","","|n"&amp;EO$2&amp;"+"&amp;BI194&amp;EO$1)</f>
        <v/>
      </c>
      <c r="EP194" s="66" t="str">
        <f t="shared" ref="EP194" si="3141">IF(BJ194="","","|n"&amp;EP$2&amp;"+"&amp;BJ194&amp;EP$1)</f>
        <v/>
      </c>
      <c r="EQ194" s="66" t="str">
        <f t="shared" ref="EQ194" si="3142">IF(BK194="","","|n"&amp;EQ$2&amp;"+"&amp;BK194&amp;EQ$1)</f>
        <v/>
      </c>
      <c r="ER194" s="66" t="str">
        <f t="shared" ref="ER194" si="3143">IF(BL194="","","|n"&amp;ER$2&amp;"+"&amp;BL194&amp;ER$1)</f>
        <v/>
      </c>
      <c r="ES194" s="66" t="str">
        <f t="shared" ref="ES194" si="3144">IF(BM194="","","|n"&amp;ES$2&amp;"+"&amp;BM194&amp;ES$1)</f>
        <v/>
      </c>
      <c r="ET194" s="66" t="str">
        <f t="shared" ref="ET194" si="3145">IF(BN194="","","|n"&amp;ET$2&amp;"+"&amp;BN194&amp;ET$1)</f>
        <v/>
      </c>
      <c r="EU194" s="66" t="str">
        <f t="shared" ref="EU194" si="3146">IF(BO194="","","|n"&amp;EU$2&amp;"+"&amp;BO194&amp;EU$1)</f>
        <v/>
      </c>
      <c r="EV194" s="66" t="str">
        <f t="shared" ref="EV194" si="3147">IF(BP194="","","|n"&amp;EV$2&amp;"+"&amp;BP194&amp;EV$1)</f>
        <v/>
      </c>
      <c r="EW194" s="66" t="str">
        <f t="shared" ref="EW194" si="3148">IF(BQ194="","","|n"&amp;EW$2&amp;"+"&amp;BQ194&amp;EW$1)</f>
        <v/>
      </c>
      <c r="EX194" s="66" t="str">
        <f t="shared" ref="EX194" si="3149">IF(BR194="","","|n"&amp;EX$2&amp;"+"&amp;BR194&amp;EX$1)</f>
        <v/>
      </c>
      <c r="EY194" s="66" t="str">
        <f t="shared" ref="EY194" si="3150">IF(BS194="","","|n"&amp;EY$2&amp;"+"&amp;BS194&amp;EY$1)</f>
        <v/>
      </c>
      <c r="EZ194" s="66" t="str">
        <f t="shared" ref="EZ194" si="3151">IF(BT194="","","|n"&amp;EZ$2&amp;"+"&amp;BT194&amp;EZ$1)</f>
        <v/>
      </c>
      <c r="FA194" s="66" t="str">
        <f t="shared" ref="FA194" si="3152">IF(BU194="","","|n"&amp;FA$2&amp;"+"&amp;BU194&amp;FA$1)</f>
        <v/>
      </c>
      <c r="FB194" s="66" t="str">
        <f t="shared" ref="FB194" si="3153">IF(BV194="","","|n"&amp;FB$2&amp;"+"&amp;BV194&amp;FB$1)</f>
        <v/>
      </c>
      <c r="FC194" s="66" t="str">
        <f t="shared" ref="FC194" si="3154">IF(BW194="","","|n"&amp;FC$2&amp;"+"&amp;BW194&amp;FC$1)</f>
        <v/>
      </c>
      <c r="FD194" s="66" t="str">
        <f t="shared" ref="FD194" si="3155">IF(BX194="","","|n"&amp;FD$2&amp;"+"&amp;BX194&amp;FD$1)</f>
        <v/>
      </c>
      <c r="FE194" s="66" t="str">
        <f t="shared" ref="FE194" si="3156">IF(BY194="","","|n"&amp;FE$2&amp;"+"&amp;BY194&amp;FE$1)</f>
        <v/>
      </c>
      <c r="FF194" s="66" t="str">
        <f t="shared" ref="FF194" si="3157">IF(BZ194="","","|n"&amp;FF$2&amp;"+"&amp;BZ194&amp;FF$1)</f>
        <v/>
      </c>
      <c r="FG194" s="66" t="str">
        <f t="shared" ref="FG194" si="3158">IF(CA194="","","|n"&amp;FG$2&amp;"+"&amp;CA194&amp;FG$1)</f>
        <v/>
      </c>
      <c r="FH194" s="66" t="str">
        <f t="shared" ref="FH194" si="3159">IF(CB194="","","|n"&amp;FH$2&amp;"+"&amp;CB194&amp;FH$1)</f>
        <v/>
      </c>
      <c r="FI194" s="66" t="str">
        <f t="shared" ref="FI194" si="3160">IF(CC194="","","|n"&amp;FI$2&amp;"+"&amp;CC194&amp;FI$1)</f>
        <v/>
      </c>
      <c r="FJ194" s="66" t="str">
        <f t="shared" ref="FJ194" si="3161">IF(CD194="","","|n"&amp;FJ$2&amp;"+"&amp;CD194&amp;FJ$1)</f>
        <v/>
      </c>
      <c r="FK194" s="66" t="str">
        <f t="shared" ref="FK194" si="3162">IF(CE194="","","|n"&amp;FK$2&amp;"+"&amp;CE194&amp;FK$1)</f>
        <v/>
      </c>
      <c r="FL194" s="66" t="str">
        <f t="shared" ref="FL194" si="3163">IF(CF194="","","|n"&amp;FL$2&amp;"+"&amp;CF194&amp;FL$1)</f>
        <v/>
      </c>
      <c r="FM194" s="66" t="str">
        <f t="shared" ref="FM194" si="3164">IF(CG194="","","|n"&amp;FM$2&amp;"+"&amp;CG194&amp;FM$1)</f>
        <v/>
      </c>
      <c r="FN194" s="66" t="str">
        <f t="shared" ref="FN194" si="3165">IF(CH194="","","|n"&amp;FN$2&amp;"+"&amp;CH194&amp;FN$1)</f>
        <v/>
      </c>
      <c r="FO194" s="66" t="str">
        <f t="shared" ref="FO194" si="3166">IF(CI194="","","|n"&amp;FO$2&amp;"+"&amp;CI194&amp;FO$1)</f>
        <v/>
      </c>
      <c r="FP194" s="66" t="str">
        <f t="shared" ref="FP194" si="3167">IF(CJ194="","","|n"&amp;FP$2&amp;"+"&amp;CJ194&amp;FP$1)</f>
        <v/>
      </c>
      <c r="FQ194" s="66" t="str">
        <f t="shared" ref="FQ194" si="3168">IF(CK194="","","|n"&amp;FQ$2&amp;"+"&amp;CK194&amp;FQ$1)</f>
        <v/>
      </c>
      <c r="FR194" s="66" t="str">
        <f t="shared" ref="FR194" si="3169">IF(CL194="","","|n"&amp;FR$2&amp;"+"&amp;CL194&amp;FR$1)</f>
        <v/>
      </c>
      <c r="FS194" s="66" t="str">
        <f t="shared" ref="FS194" si="3170">IF(CM194="","","|n"&amp;FS$2&amp;"+"&amp;CM194&amp;FS$1)</f>
        <v/>
      </c>
    </row>
    <row r="195" spans="1:175" s="29" customFormat="1" ht="16.5">
      <c r="A195" s="15"/>
      <c r="B195" s="9" t="s">
        <v>693</v>
      </c>
      <c r="C195" s="25" t="s">
        <v>694</v>
      </c>
      <c r="D195" s="12"/>
      <c r="E195" s="12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92"/>
      <c r="Q195" s="92"/>
      <c r="R195" s="92"/>
      <c r="S195" s="92"/>
      <c r="T195" s="15" t="s">
        <v>683</v>
      </c>
      <c r="U195" s="77" t="s">
        <v>695</v>
      </c>
      <c r="V195" s="104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05"/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9"/>
      <c r="AS195" s="109"/>
      <c r="AT195" s="105"/>
      <c r="AU195" s="105"/>
      <c r="AV195" s="105"/>
      <c r="AW195" s="105"/>
      <c r="AX195" s="105"/>
      <c r="AY195" s="105"/>
      <c r="AZ195" s="105"/>
      <c r="BA195" s="105"/>
      <c r="BB195" s="105"/>
      <c r="BC195" s="105"/>
      <c r="BD195" s="105"/>
      <c r="BE195" s="105"/>
      <c r="BF195" s="105"/>
      <c r="BG195" s="105"/>
      <c r="BH195" s="105"/>
      <c r="BI195" s="105"/>
      <c r="BJ195" s="105"/>
      <c r="BK195" s="105"/>
      <c r="BL195" s="105"/>
      <c r="BM195" s="105"/>
      <c r="BN195" s="105"/>
      <c r="BO195" s="105"/>
      <c r="BP195" s="105"/>
      <c r="BQ195" s="105"/>
      <c r="BR195" s="105"/>
      <c r="BS195" s="105"/>
      <c r="BT195" s="105"/>
      <c r="BU195" s="105"/>
      <c r="BV195" s="105"/>
      <c r="BW195" s="105"/>
      <c r="BX195" s="105"/>
      <c r="BY195" s="105"/>
      <c r="BZ195" s="105"/>
      <c r="CA195" s="105"/>
      <c r="CB195" s="105"/>
      <c r="CC195" s="105"/>
      <c r="CD195" s="105"/>
      <c r="CE195" s="105"/>
      <c r="CF195" s="105"/>
      <c r="CG195" s="105"/>
      <c r="CH195" s="105"/>
      <c r="CI195" s="105"/>
      <c r="CJ195" s="105"/>
      <c r="CK195" s="105"/>
      <c r="CL195" s="105"/>
      <c r="CM195" s="105"/>
      <c r="CN195" s="110" t="str">
        <f t="shared" si="2999"/>
        <v>InitUnitState('IS24',,,,,,,,,,)</v>
      </c>
      <c r="CO195" s="110" t="str">
        <f t="shared" si="3000"/>
        <v>InitUnitNormal('IS24',,,,,,,,,,)</v>
      </c>
      <c r="CP195" s="110" t="str">
        <f t="shared" si="3001"/>
        <v>InitUnitMagic('IS24',,,,,,,,,,)</v>
      </c>
      <c r="CQ195" s="110" t="str">
        <f t="shared" si="3002"/>
        <v>InitUnitAdd('IS24',,,,,,,,,,)</v>
      </c>
      <c r="CR195" s="11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InitEquipData('IS24',,"",,,,,'','','','','','',"ReplaceableTextures\\CommandButtons\\BTN010.blp")</v>
      </c>
      <c r="CS195" s="110"/>
      <c r="CT195" s="110"/>
      <c r="CU195" s="88" t="str">
        <f t="shared" si="3099"/>
        <v>|n</v>
      </c>
      <c r="CV195" s="29" t="str">
        <f t="shared" si="3100"/>
        <v>为|Cffffd24dQ技能|r附魔一条|Cffffd24d随机属性|r。</v>
      </c>
      <c r="CW195" s="33"/>
      <c r="CX195" s="33"/>
      <c r="CY195" s="33"/>
      <c r="CZ195" s="33"/>
      <c r="DA195" s="33"/>
      <c r="DB195" s="111" t="str">
        <f t="shared" ref="DB195:FM195" si="3171">IF(V195="","","|n"&amp;DB$2&amp;"+"&amp;V195&amp;DB$1)</f>
        <v/>
      </c>
      <c r="DC195" s="111" t="str">
        <f t="shared" si="3171"/>
        <v/>
      </c>
      <c r="DD195" s="111" t="str">
        <f t="shared" si="3171"/>
        <v/>
      </c>
      <c r="DE195" s="111" t="str">
        <f t="shared" si="3171"/>
        <v/>
      </c>
      <c r="DF195" s="111" t="str">
        <f t="shared" si="3171"/>
        <v/>
      </c>
      <c r="DG195" s="111" t="str">
        <f t="shared" si="3171"/>
        <v/>
      </c>
      <c r="DH195" s="111" t="str">
        <f t="shared" si="3171"/>
        <v/>
      </c>
      <c r="DI195" s="111" t="str">
        <f t="shared" si="3171"/>
        <v/>
      </c>
      <c r="DJ195" s="111" t="str">
        <f t="shared" si="3171"/>
        <v/>
      </c>
      <c r="DK195" s="111" t="str">
        <f t="shared" si="3171"/>
        <v/>
      </c>
      <c r="DL195" s="111" t="str">
        <f t="shared" si="3171"/>
        <v/>
      </c>
      <c r="DM195" s="111" t="str">
        <f t="shared" si="3171"/>
        <v/>
      </c>
      <c r="DN195" s="111" t="str">
        <f t="shared" si="3171"/>
        <v/>
      </c>
      <c r="DO195" s="111" t="str">
        <f t="shared" si="3171"/>
        <v/>
      </c>
      <c r="DP195" s="111" t="str">
        <f t="shared" si="3171"/>
        <v/>
      </c>
      <c r="DQ195" s="111" t="str">
        <f t="shared" si="3171"/>
        <v/>
      </c>
      <c r="DR195" s="111" t="str">
        <f t="shared" si="3171"/>
        <v/>
      </c>
      <c r="DS195" s="111" t="str">
        <f t="shared" si="3171"/>
        <v/>
      </c>
      <c r="DT195" s="111" t="str">
        <f t="shared" si="3171"/>
        <v/>
      </c>
      <c r="DU195" s="111" t="str">
        <f t="shared" si="3171"/>
        <v/>
      </c>
      <c r="DV195" s="111" t="str">
        <f t="shared" si="3171"/>
        <v/>
      </c>
      <c r="DW195" s="111" t="str">
        <f t="shared" si="3171"/>
        <v/>
      </c>
      <c r="DX195" s="111" t="str">
        <f t="shared" si="3171"/>
        <v/>
      </c>
      <c r="DY195" s="111" t="str">
        <f t="shared" si="3171"/>
        <v/>
      </c>
      <c r="DZ195" s="111" t="str">
        <f t="shared" si="3171"/>
        <v/>
      </c>
      <c r="EA195" s="111" t="str">
        <f t="shared" si="3171"/>
        <v/>
      </c>
      <c r="EB195" s="111" t="str">
        <f t="shared" si="3171"/>
        <v/>
      </c>
      <c r="EC195" s="111" t="str">
        <f t="shared" si="3171"/>
        <v/>
      </c>
      <c r="ED195" s="111" t="str">
        <f t="shared" si="3171"/>
        <v/>
      </c>
      <c r="EE195" s="111" t="str">
        <f t="shared" si="3171"/>
        <v/>
      </c>
      <c r="EF195" s="111" t="str">
        <f t="shared" si="3171"/>
        <v/>
      </c>
      <c r="EG195" s="111" t="str">
        <f t="shared" si="3171"/>
        <v/>
      </c>
      <c r="EH195" s="111" t="str">
        <f t="shared" si="3171"/>
        <v/>
      </c>
      <c r="EI195" s="111" t="str">
        <f t="shared" si="3171"/>
        <v/>
      </c>
      <c r="EJ195" s="111" t="str">
        <f t="shared" si="3171"/>
        <v/>
      </c>
      <c r="EK195" s="111" t="str">
        <f t="shared" si="3171"/>
        <v/>
      </c>
      <c r="EL195" s="111" t="str">
        <f t="shared" si="3171"/>
        <v/>
      </c>
      <c r="EM195" s="111" t="str">
        <f t="shared" si="3171"/>
        <v/>
      </c>
      <c r="EN195" s="111" t="str">
        <f t="shared" si="3171"/>
        <v/>
      </c>
      <c r="EO195" s="111" t="str">
        <f t="shared" si="3171"/>
        <v/>
      </c>
      <c r="EP195" s="111" t="str">
        <f t="shared" si="3171"/>
        <v/>
      </c>
      <c r="EQ195" s="111" t="str">
        <f t="shared" si="3171"/>
        <v/>
      </c>
      <c r="ER195" s="111" t="str">
        <f t="shared" si="3171"/>
        <v/>
      </c>
      <c r="ES195" s="111" t="str">
        <f t="shared" si="3171"/>
        <v/>
      </c>
      <c r="ET195" s="111" t="str">
        <f t="shared" si="3171"/>
        <v/>
      </c>
      <c r="EU195" s="111" t="str">
        <f t="shared" si="3171"/>
        <v/>
      </c>
      <c r="EV195" s="111" t="str">
        <f t="shared" si="3171"/>
        <v/>
      </c>
      <c r="EW195" s="111" t="str">
        <f t="shared" si="3171"/>
        <v/>
      </c>
      <c r="EX195" s="111" t="str">
        <f t="shared" si="3171"/>
        <v/>
      </c>
      <c r="EY195" s="111" t="str">
        <f t="shared" si="3171"/>
        <v/>
      </c>
      <c r="EZ195" s="111" t="str">
        <f t="shared" si="3171"/>
        <v/>
      </c>
      <c r="FA195" s="111" t="str">
        <f t="shared" si="3171"/>
        <v/>
      </c>
      <c r="FB195" s="111" t="str">
        <f t="shared" si="3171"/>
        <v/>
      </c>
      <c r="FC195" s="111" t="str">
        <f t="shared" si="3171"/>
        <v/>
      </c>
      <c r="FD195" s="111" t="str">
        <f t="shared" si="3171"/>
        <v/>
      </c>
      <c r="FE195" s="111" t="str">
        <f t="shared" si="3171"/>
        <v/>
      </c>
      <c r="FF195" s="111" t="str">
        <f t="shared" si="3171"/>
        <v/>
      </c>
      <c r="FG195" s="111" t="str">
        <f t="shared" si="3171"/>
        <v/>
      </c>
      <c r="FH195" s="111" t="str">
        <f t="shared" si="3171"/>
        <v/>
      </c>
      <c r="FI195" s="111" t="str">
        <f t="shared" si="3171"/>
        <v/>
      </c>
      <c r="FJ195" s="111" t="str">
        <f t="shared" si="3171"/>
        <v/>
      </c>
      <c r="FK195" s="111" t="str">
        <f t="shared" si="3171"/>
        <v/>
      </c>
      <c r="FL195" s="111" t="str">
        <f t="shared" si="3171"/>
        <v/>
      </c>
      <c r="FM195" s="111" t="str">
        <f t="shared" si="3171"/>
        <v/>
      </c>
      <c r="FN195" s="111" t="str">
        <f t="shared" ref="FN195:FS195" si="3172">IF(CH195="","","|n"&amp;FN$2&amp;"+"&amp;CH195&amp;FN$1)</f>
        <v/>
      </c>
      <c r="FO195" s="111" t="str">
        <f t="shared" si="3172"/>
        <v/>
      </c>
      <c r="FP195" s="111" t="str">
        <f t="shared" si="3172"/>
        <v/>
      </c>
      <c r="FQ195" s="111" t="str">
        <f t="shared" si="3172"/>
        <v/>
      </c>
      <c r="FR195" s="111" t="str">
        <f t="shared" si="3172"/>
        <v/>
      </c>
      <c r="FS195" s="111" t="str">
        <f t="shared" si="3172"/>
        <v/>
      </c>
    </row>
    <row r="196" spans="1:175" s="29" customFormat="1" ht="16.5">
      <c r="A196" s="15"/>
      <c r="B196" s="9" t="s">
        <v>696</v>
      </c>
      <c r="C196" s="26" t="s">
        <v>697</v>
      </c>
      <c r="D196" s="12"/>
      <c r="E196" s="12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92"/>
      <c r="Q196" s="92"/>
      <c r="R196" s="92"/>
      <c r="S196" s="92"/>
      <c r="T196" s="15" t="s">
        <v>687</v>
      </c>
      <c r="U196" s="77" t="s">
        <v>698</v>
      </c>
      <c r="V196" s="104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05"/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9"/>
      <c r="AS196" s="109"/>
      <c r="AT196" s="105"/>
      <c r="AU196" s="105"/>
      <c r="AV196" s="105"/>
      <c r="AW196" s="105"/>
      <c r="AX196" s="105"/>
      <c r="AY196" s="105"/>
      <c r="AZ196" s="105"/>
      <c r="BA196" s="105"/>
      <c r="BB196" s="105"/>
      <c r="BC196" s="105"/>
      <c r="BD196" s="105"/>
      <c r="BE196" s="105"/>
      <c r="BF196" s="105"/>
      <c r="BG196" s="105"/>
      <c r="BH196" s="105"/>
      <c r="BI196" s="105"/>
      <c r="BJ196" s="105"/>
      <c r="BK196" s="105"/>
      <c r="BL196" s="105"/>
      <c r="BM196" s="105"/>
      <c r="BN196" s="105"/>
      <c r="BO196" s="105"/>
      <c r="BP196" s="105"/>
      <c r="BQ196" s="105"/>
      <c r="BR196" s="105"/>
      <c r="BS196" s="105"/>
      <c r="BT196" s="105"/>
      <c r="BU196" s="105"/>
      <c r="BV196" s="105"/>
      <c r="BW196" s="105"/>
      <c r="BX196" s="105"/>
      <c r="BY196" s="105"/>
      <c r="BZ196" s="105"/>
      <c r="CA196" s="105"/>
      <c r="CB196" s="105"/>
      <c r="CC196" s="105"/>
      <c r="CD196" s="105"/>
      <c r="CE196" s="105"/>
      <c r="CF196" s="105"/>
      <c r="CG196" s="105"/>
      <c r="CH196" s="105"/>
      <c r="CI196" s="105"/>
      <c r="CJ196" s="105"/>
      <c r="CK196" s="105"/>
      <c r="CL196" s="105"/>
      <c r="CM196" s="105"/>
      <c r="CN196" s="110" t="str">
        <f t="shared" si="2999"/>
        <v>InitUnitState('IS25',,,,,,,,,,)</v>
      </c>
      <c r="CO196" s="110" t="str">
        <f t="shared" si="3000"/>
        <v>InitUnitNormal('IS25',,,,,,,,,,)</v>
      </c>
      <c r="CP196" s="110" t="str">
        <f t="shared" si="3001"/>
        <v>InitUnitMagic('IS25',,,,,,,,,,)</v>
      </c>
      <c r="CQ196" s="110" t="str">
        <f t="shared" si="3002"/>
        <v>InitUnitAdd('IS25',,,,,,,,,,)</v>
      </c>
      <c r="CR196" s="11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InitEquipData('IS25',,"",,,,,'','','','','','',"ReplaceableTextures\\CommandButtons\\BTN011.blp")</v>
      </c>
      <c r="CS196" s="110"/>
      <c r="CT196" s="110"/>
      <c r="CU196" s="88" t="str">
        <f t="shared" si="3099"/>
        <v>|n</v>
      </c>
      <c r="CV196" s="29" t="str">
        <f t="shared" si="3100"/>
        <v>为|Cffffd24dW技能|r附魔一条|Cffffd24d随机属性|r。</v>
      </c>
      <c r="CW196" s="33"/>
      <c r="CX196" s="33"/>
      <c r="CY196" s="33"/>
      <c r="CZ196" s="33"/>
      <c r="DA196" s="33"/>
      <c r="DB196" s="111" t="str">
        <f t="shared" ref="DB196:FM196" si="3173">IF(V196="","","|n"&amp;DB$2&amp;"+"&amp;V196&amp;DB$1)</f>
        <v/>
      </c>
      <c r="DC196" s="111" t="str">
        <f t="shared" si="3173"/>
        <v/>
      </c>
      <c r="DD196" s="111" t="str">
        <f t="shared" si="3173"/>
        <v/>
      </c>
      <c r="DE196" s="111" t="str">
        <f t="shared" si="3173"/>
        <v/>
      </c>
      <c r="DF196" s="111" t="str">
        <f t="shared" si="3173"/>
        <v/>
      </c>
      <c r="DG196" s="111" t="str">
        <f t="shared" si="3173"/>
        <v/>
      </c>
      <c r="DH196" s="111" t="str">
        <f t="shared" si="3173"/>
        <v/>
      </c>
      <c r="DI196" s="111" t="str">
        <f t="shared" si="3173"/>
        <v/>
      </c>
      <c r="DJ196" s="111" t="str">
        <f t="shared" si="3173"/>
        <v/>
      </c>
      <c r="DK196" s="111" t="str">
        <f t="shared" si="3173"/>
        <v/>
      </c>
      <c r="DL196" s="111" t="str">
        <f t="shared" si="3173"/>
        <v/>
      </c>
      <c r="DM196" s="111" t="str">
        <f t="shared" si="3173"/>
        <v/>
      </c>
      <c r="DN196" s="111" t="str">
        <f t="shared" si="3173"/>
        <v/>
      </c>
      <c r="DO196" s="111" t="str">
        <f t="shared" si="3173"/>
        <v/>
      </c>
      <c r="DP196" s="111" t="str">
        <f t="shared" si="3173"/>
        <v/>
      </c>
      <c r="DQ196" s="111" t="str">
        <f t="shared" si="3173"/>
        <v/>
      </c>
      <c r="DR196" s="111" t="str">
        <f t="shared" si="3173"/>
        <v/>
      </c>
      <c r="DS196" s="111" t="str">
        <f t="shared" si="3173"/>
        <v/>
      </c>
      <c r="DT196" s="111" t="str">
        <f t="shared" si="3173"/>
        <v/>
      </c>
      <c r="DU196" s="111" t="str">
        <f t="shared" si="3173"/>
        <v/>
      </c>
      <c r="DV196" s="111" t="str">
        <f t="shared" si="3173"/>
        <v/>
      </c>
      <c r="DW196" s="111" t="str">
        <f t="shared" si="3173"/>
        <v/>
      </c>
      <c r="DX196" s="111" t="str">
        <f t="shared" si="3173"/>
        <v/>
      </c>
      <c r="DY196" s="111" t="str">
        <f t="shared" si="3173"/>
        <v/>
      </c>
      <c r="DZ196" s="111" t="str">
        <f t="shared" si="3173"/>
        <v/>
      </c>
      <c r="EA196" s="111" t="str">
        <f t="shared" si="3173"/>
        <v/>
      </c>
      <c r="EB196" s="111" t="str">
        <f t="shared" si="3173"/>
        <v/>
      </c>
      <c r="EC196" s="111" t="str">
        <f t="shared" si="3173"/>
        <v/>
      </c>
      <c r="ED196" s="111" t="str">
        <f t="shared" si="3173"/>
        <v/>
      </c>
      <c r="EE196" s="111" t="str">
        <f t="shared" si="3173"/>
        <v/>
      </c>
      <c r="EF196" s="111" t="str">
        <f t="shared" si="3173"/>
        <v/>
      </c>
      <c r="EG196" s="111" t="str">
        <f t="shared" si="3173"/>
        <v/>
      </c>
      <c r="EH196" s="111" t="str">
        <f t="shared" si="3173"/>
        <v/>
      </c>
      <c r="EI196" s="111" t="str">
        <f t="shared" si="3173"/>
        <v/>
      </c>
      <c r="EJ196" s="111" t="str">
        <f t="shared" si="3173"/>
        <v/>
      </c>
      <c r="EK196" s="111" t="str">
        <f t="shared" si="3173"/>
        <v/>
      </c>
      <c r="EL196" s="111" t="str">
        <f t="shared" si="3173"/>
        <v/>
      </c>
      <c r="EM196" s="111" t="str">
        <f t="shared" si="3173"/>
        <v/>
      </c>
      <c r="EN196" s="111" t="str">
        <f t="shared" si="3173"/>
        <v/>
      </c>
      <c r="EO196" s="111" t="str">
        <f t="shared" si="3173"/>
        <v/>
      </c>
      <c r="EP196" s="111" t="str">
        <f t="shared" si="3173"/>
        <v/>
      </c>
      <c r="EQ196" s="111" t="str">
        <f t="shared" si="3173"/>
        <v/>
      </c>
      <c r="ER196" s="111" t="str">
        <f t="shared" si="3173"/>
        <v/>
      </c>
      <c r="ES196" s="111" t="str">
        <f t="shared" si="3173"/>
        <v/>
      </c>
      <c r="ET196" s="111" t="str">
        <f t="shared" si="3173"/>
        <v/>
      </c>
      <c r="EU196" s="111" t="str">
        <f t="shared" si="3173"/>
        <v/>
      </c>
      <c r="EV196" s="111" t="str">
        <f t="shared" si="3173"/>
        <v/>
      </c>
      <c r="EW196" s="111" t="str">
        <f t="shared" si="3173"/>
        <v/>
      </c>
      <c r="EX196" s="111" t="str">
        <f t="shared" si="3173"/>
        <v/>
      </c>
      <c r="EY196" s="111" t="str">
        <f t="shared" si="3173"/>
        <v/>
      </c>
      <c r="EZ196" s="111" t="str">
        <f t="shared" si="3173"/>
        <v/>
      </c>
      <c r="FA196" s="111" t="str">
        <f t="shared" si="3173"/>
        <v/>
      </c>
      <c r="FB196" s="111" t="str">
        <f t="shared" si="3173"/>
        <v/>
      </c>
      <c r="FC196" s="111" t="str">
        <f t="shared" si="3173"/>
        <v/>
      </c>
      <c r="FD196" s="111" t="str">
        <f t="shared" si="3173"/>
        <v/>
      </c>
      <c r="FE196" s="111" t="str">
        <f t="shared" si="3173"/>
        <v/>
      </c>
      <c r="FF196" s="111" t="str">
        <f t="shared" si="3173"/>
        <v/>
      </c>
      <c r="FG196" s="111" t="str">
        <f t="shared" si="3173"/>
        <v/>
      </c>
      <c r="FH196" s="111" t="str">
        <f t="shared" si="3173"/>
        <v/>
      </c>
      <c r="FI196" s="111" t="str">
        <f t="shared" si="3173"/>
        <v/>
      </c>
      <c r="FJ196" s="111" t="str">
        <f t="shared" si="3173"/>
        <v/>
      </c>
      <c r="FK196" s="111" t="str">
        <f t="shared" si="3173"/>
        <v/>
      </c>
      <c r="FL196" s="111" t="str">
        <f t="shared" si="3173"/>
        <v/>
      </c>
      <c r="FM196" s="111" t="str">
        <f t="shared" si="3173"/>
        <v/>
      </c>
      <c r="FN196" s="111" t="str">
        <f t="shared" ref="FN196:FS196" si="3174">IF(CH196="","","|n"&amp;FN$2&amp;"+"&amp;CH196&amp;FN$1)</f>
        <v/>
      </c>
      <c r="FO196" s="111" t="str">
        <f t="shared" si="3174"/>
        <v/>
      </c>
      <c r="FP196" s="111" t="str">
        <f t="shared" si="3174"/>
        <v/>
      </c>
      <c r="FQ196" s="111" t="str">
        <f t="shared" si="3174"/>
        <v/>
      </c>
      <c r="FR196" s="111" t="str">
        <f t="shared" si="3174"/>
        <v/>
      </c>
      <c r="FS196" s="111" t="str">
        <f t="shared" si="3174"/>
        <v/>
      </c>
    </row>
    <row r="197" spans="1:175" s="29" customFormat="1" ht="16.5">
      <c r="A197" s="15"/>
      <c r="B197" s="9" t="s">
        <v>699</v>
      </c>
      <c r="C197" s="26" t="s">
        <v>700</v>
      </c>
      <c r="D197" s="12"/>
      <c r="E197" s="12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92"/>
      <c r="Q197" s="92"/>
      <c r="R197" s="92"/>
      <c r="S197" s="92"/>
      <c r="T197" s="15" t="s">
        <v>691</v>
      </c>
      <c r="U197" s="77" t="s">
        <v>701</v>
      </c>
      <c r="V197" s="104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05"/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9"/>
      <c r="AS197" s="109"/>
      <c r="AT197" s="105"/>
      <c r="AU197" s="105"/>
      <c r="AV197" s="105"/>
      <c r="AW197" s="105"/>
      <c r="AX197" s="105"/>
      <c r="AY197" s="105"/>
      <c r="AZ197" s="105"/>
      <c r="BA197" s="105"/>
      <c r="BB197" s="105"/>
      <c r="BC197" s="105"/>
      <c r="BD197" s="105"/>
      <c r="BE197" s="105"/>
      <c r="BF197" s="105"/>
      <c r="BG197" s="105"/>
      <c r="BH197" s="105"/>
      <c r="BI197" s="105"/>
      <c r="BJ197" s="105"/>
      <c r="BK197" s="105"/>
      <c r="BL197" s="105"/>
      <c r="BM197" s="105"/>
      <c r="BN197" s="105"/>
      <c r="BO197" s="105"/>
      <c r="BP197" s="105"/>
      <c r="BQ197" s="105"/>
      <c r="BR197" s="105"/>
      <c r="BS197" s="105"/>
      <c r="BT197" s="105"/>
      <c r="BU197" s="105"/>
      <c r="BV197" s="105"/>
      <c r="BW197" s="105"/>
      <c r="BX197" s="105"/>
      <c r="BY197" s="105"/>
      <c r="BZ197" s="105"/>
      <c r="CA197" s="105"/>
      <c r="CB197" s="105"/>
      <c r="CC197" s="105"/>
      <c r="CD197" s="105"/>
      <c r="CE197" s="105"/>
      <c r="CF197" s="105"/>
      <c r="CG197" s="105"/>
      <c r="CH197" s="105"/>
      <c r="CI197" s="105"/>
      <c r="CJ197" s="105"/>
      <c r="CK197" s="105"/>
      <c r="CL197" s="105"/>
      <c r="CM197" s="105"/>
      <c r="CN197" s="110" t="str">
        <f t="shared" si="2999"/>
        <v>InitUnitState('IS26',,,,,,,,,,)</v>
      </c>
      <c r="CO197" s="110" t="str">
        <f t="shared" si="3000"/>
        <v>InitUnitNormal('IS26',,,,,,,,,,)</v>
      </c>
      <c r="CP197" s="110" t="str">
        <f t="shared" si="3001"/>
        <v>InitUnitMagic('IS26',,,,,,,,,,)</v>
      </c>
      <c r="CQ197" s="110" t="str">
        <f t="shared" si="3002"/>
        <v>InitUnitAdd('IS26',,,,,,,,,,)</v>
      </c>
      <c r="CR197" s="110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S197" s="110"/>
      <c r="CT197" s="110"/>
      <c r="CU197" s="88" t="str">
        <f t="shared" si="3099"/>
        <v>|n</v>
      </c>
      <c r="CV197" s="29" t="str">
        <f t="shared" si="3100"/>
        <v>为|Cffffd24dE技能|r附魔一条|Cffffd24d随机属性|r。</v>
      </c>
      <c r="CW197" s="33"/>
      <c r="CX197" s="33"/>
      <c r="CY197" s="33"/>
      <c r="CZ197" s="33"/>
      <c r="DA197" s="33"/>
      <c r="DB197" s="111" t="str">
        <f t="shared" ref="DB197:FM197" si="3175">IF(V197="","","|n"&amp;DB$2&amp;"+"&amp;V197&amp;DB$1)</f>
        <v/>
      </c>
      <c r="DC197" s="111" t="str">
        <f t="shared" si="3175"/>
        <v/>
      </c>
      <c r="DD197" s="111" t="str">
        <f t="shared" si="3175"/>
        <v/>
      </c>
      <c r="DE197" s="111" t="str">
        <f t="shared" si="3175"/>
        <v/>
      </c>
      <c r="DF197" s="111" t="str">
        <f t="shared" si="3175"/>
        <v/>
      </c>
      <c r="DG197" s="111" t="str">
        <f t="shared" si="3175"/>
        <v/>
      </c>
      <c r="DH197" s="111" t="str">
        <f t="shared" si="3175"/>
        <v/>
      </c>
      <c r="DI197" s="111" t="str">
        <f t="shared" si="3175"/>
        <v/>
      </c>
      <c r="DJ197" s="111" t="str">
        <f t="shared" si="3175"/>
        <v/>
      </c>
      <c r="DK197" s="111" t="str">
        <f t="shared" si="3175"/>
        <v/>
      </c>
      <c r="DL197" s="111" t="str">
        <f t="shared" si="3175"/>
        <v/>
      </c>
      <c r="DM197" s="111" t="str">
        <f t="shared" si="3175"/>
        <v/>
      </c>
      <c r="DN197" s="111" t="str">
        <f t="shared" si="3175"/>
        <v/>
      </c>
      <c r="DO197" s="111" t="str">
        <f t="shared" si="3175"/>
        <v/>
      </c>
      <c r="DP197" s="111" t="str">
        <f t="shared" si="3175"/>
        <v/>
      </c>
      <c r="DQ197" s="111" t="str">
        <f t="shared" si="3175"/>
        <v/>
      </c>
      <c r="DR197" s="111" t="str">
        <f t="shared" si="3175"/>
        <v/>
      </c>
      <c r="DS197" s="111" t="str">
        <f t="shared" si="3175"/>
        <v/>
      </c>
      <c r="DT197" s="111" t="str">
        <f t="shared" si="3175"/>
        <v/>
      </c>
      <c r="DU197" s="111" t="str">
        <f t="shared" si="3175"/>
        <v/>
      </c>
      <c r="DV197" s="111" t="str">
        <f t="shared" si="3175"/>
        <v/>
      </c>
      <c r="DW197" s="111" t="str">
        <f t="shared" si="3175"/>
        <v/>
      </c>
      <c r="DX197" s="111" t="str">
        <f t="shared" si="3175"/>
        <v/>
      </c>
      <c r="DY197" s="111" t="str">
        <f t="shared" si="3175"/>
        <v/>
      </c>
      <c r="DZ197" s="111" t="str">
        <f t="shared" si="3175"/>
        <v/>
      </c>
      <c r="EA197" s="111" t="str">
        <f t="shared" si="3175"/>
        <v/>
      </c>
      <c r="EB197" s="111" t="str">
        <f t="shared" si="3175"/>
        <v/>
      </c>
      <c r="EC197" s="111" t="str">
        <f t="shared" si="3175"/>
        <v/>
      </c>
      <c r="ED197" s="111" t="str">
        <f t="shared" si="3175"/>
        <v/>
      </c>
      <c r="EE197" s="111" t="str">
        <f t="shared" si="3175"/>
        <v/>
      </c>
      <c r="EF197" s="111" t="str">
        <f t="shared" si="3175"/>
        <v/>
      </c>
      <c r="EG197" s="111" t="str">
        <f t="shared" si="3175"/>
        <v/>
      </c>
      <c r="EH197" s="111" t="str">
        <f t="shared" si="3175"/>
        <v/>
      </c>
      <c r="EI197" s="111" t="str">
        <f t="shared" si="3175"/>
        <v/>
      </c>
      <c r="EJ197" s="111" t="str">
        <f t="shared" si="3175"/>
        <v/>
      </c>
      <c r="EK197" s="111" t="str">
        <f t="shared" si="3175"/>
        <v/>
      </c>
      <c r="EL197" s="111" t="str">
        <f t="shared" si="3175"/>
        <v/>
      </c>
      <c r="EM197" s="111" t="str">
        <f t="shared" si="3175"/>
        <v/>
      </c>
      <c r="EN197" s="111" t="str">
        <f t="shared" si="3175"/>
        <v/>
      </c>
      <c r="EO197" s="111" t="str">
        <f t="shared" si="3175"/>
        <v/>
      </c>
      <c r="EP197" s="111" t="str">
        <f t="shared" si="3175"/>
        <v/>
      </c>
      <c r="EQ197" s="111" t="str">
        <f t="shared" si="3175"/>
        <v/>
      </c>
      <c r="ER197" s="111" t="str">
        <f t="shared" si="3175"/>
        <v/>
      </c>
      <c r="ES197" s="111" t="str">
        <f t="shared" si="3175"/>
        <v/>
      </c>
      <c r="ET197" s="111" t="str">
        <f t="shared" si="3175"/>
        <v/>
      </c>
      <c r="EU197" s="111" t="str">
        <f t="shared" si="3175"/>
        <v/>
      </c>
      <c r="EV197" s="111" t="str">
        <f t="shared" si="3175"/>
        <v/>
      </c>
      <c r="EW197" s="111" t="str">
        <f t="shared" si="3175"/>
        <v/>
      </c>
      <c r="EX197" s="111" t="str">
        <f t="shared" si="3175"/>
        <v/>
      </c>
      <c r="EY197" s="111" t="str">
        <f t="shared" si="3175"/>
        <v/>
      </c>
      <c r="EZ197" s="111" t="str">
        <f t="shared" si="3175"/>
        <v/>
      </c>
      <c r="FA197" s="111" t="str">
        <f t="shared" si="3175"/>
        <v/>
      </c>
      <c r="FB197" s="111" t="str">
        <f t="shared" si="3175"/>
        <v/>
      </c>
      <c r="FC197" s="111" t="str">
        <f t="shared" si="3175"/>
        <v/>
      </c>
      <c r="FD197" s="111" t="str">
        <f t="shared" si="3175"/>
        <v/>
      </c>
      <c r="FE197" s="111" t="str">
        <f t="shared" si="3175"/>
        <v/>
      </c>
      <c r="FF197" s="111" t="str">
        <f t="shared" si="3175"/>
        <v/>
      </c>
      <c r="FG197" s="111" t="str">
        <f t="shared" si="3175"/>
        <v/>
      </c>
      <c r="FH197" s="111" t="str">
        <f t="shared" si="3175"/>
        <v/>
      </c>
      <c r="FI197" s="111" t="str">
        <f t="shared" si="3175"/>
        <v/>
      </c>
      <c r="FJ197" s="111" t="str">
        <f t="shared" si="3175"/>
        <v/>
      </c>
      <c r="FK197" s="111" t="str">
        <f t="shared" si="3175"/>
        <v/>
      </c>
      <c r="FL197" s="111" t="str">
        <f t="shared" si="3175"/>
        <v/>
      </c>
      <c r="FM197" s="111" t="str">
        <f t="shared" si="3175"/>
        <v/>
      </c>
      <c r="FN197" s="111" t="str">
        <f t="shared" ref="FN197:FS197" si="3176">IF(CH197="","","|n"&amp;FN$2&amp;"+"&amp;CH197&amp;FN$1)</f>
        <v/>
      </c>
      <c r="FO197" s="111" t="str">
        <f t="shared" si="3176"/>
        <v/>
      </c>
      <c r="FP197" s="111" t="str">
        <f t="shared" si="3176"/>
        <v/>
      </c>
      <c r="FQ197" s="111" t="str">
        <f t="shared" si="3176"/>
        <v/>
      </c>
      <c r="FR197" s="111" t="str">
        <f t="shared" si="3176"/>
        <v/>
      </c>
      <c r="FS197" s="111" t="str">
        <f t="shared" si="3176"/>
        <v/>
      </c>
    </row>
    <row r="198" spans="1:175" ht="16.5">
      <c r="A198" s="15"/>
      <c r="B198" s="9" t="s">
        <v>702</v>
      </c>
      <c r="C198" s="15" t="s">
        <v>703</v>
      </c>
      <c r="T198" s="15" t="str">
        <f t="shared" ref="T198:T200" si="3177">C198</f>
        <v>|CffFF0000占星|r</v>
      </c>
      <c r="U198" s="77" t="str">
        <f t="shared" ref="U198" si="3178">"ReplaceableTextures\\CommandButtons\\BTN"&amp;B198&amp;".blp"</f>
        <v>ReplaceableTextures\\CommandButtons\\BTNIS11.blp</v>
      </c>
      <c r="CN198" s="36" t="str">
        <f t="shared" si="2999"/>
        <v>InitUnitState('IS11',,,,,,,,,,)</v>
      </c>
      <c r="CO198" s="36" t="str">
        <f t="shared" si="3000"/>
        <v>InitUnitNormal('IS11',,,,,,,,,,)</v>
      </c>
      <c r="CP198" s="36" t="str">
        <f t="shared" si="3001"/>
        <v>InitUnitMagic('IS11',,,,,,,,,,)</v>
      </c>
      <c r="CQ198" s="36" t="str">
        <f t="shared" si="3002"/>
        <v>InitUnitAdd('IS11',,,,,,,,,,)</v>
      </c>
      <c r="CR198" s="36" t="e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#REF!&amp;CR$1&amp;")"</f>
        <v>#REF!</v>
      </c>
      <c r="CU198" s="88" t="str">
        <f t="shared" ref="CU198:CU202" si="3179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19" t="str">
        <f t="shared" ref="CV198:CV202" si="3180">T198</f>
        <v>|CffFF0000占星|r</v>
      </c>
      <c r="CW198" s="33"/>
      <c r="CX198" s="33"/>
      <c r="CY198" s="33"/>
      <c r="CZ198" s="33"/>
      <c r="DA198" s="33"/>
      <c r="DB198" s="66" t="str">
        <f t="shared" ref="DB198" si="3181">IF(V198="","","|n"&amp;DB$2&amp;"+"&amp;V198&amp;DB$1)</f>
        <v/>
      </c>
      <c r="DC198" s="66" t="str">
        <f t="shared" ref="DC198" si="3182">IF(W198="","","|n"&amp;DC$2&amp;"+"&amp;W198&amp;DC$1)</f>
        <v/>
      </c>
      <c r="DD198" s="66" t="str">
        <f t="shared" ref="DD198" si="3183">IF(X198="","","|n"&amp;DD$2&amp;"+"&amp;X198&amp;DD$1)</f>
        <v/>
      </c>
      <c r="DE198" s="66" t="str">
        <f t="shared" ref="DE198" si="3184">IF(Y198="","","|n"&amp;DE$2&amp;"+"&amp;Y198&amp;DE$1)</f>
        <v/>
      </c>
      <c r="DF198" s="66" t="str">
        <f t="shared" ref="DF198" si="3185">IF(Z198="","","|n"&amp;DF$2&amp;"+"&amp;Z198&amp;DF$1)</f>
        <v/>
      </c>
      <c r="DG198" s="66" t="str">
        <f t="shared" ref="DG198" si="3186">IF(AA198="","","|n"&amp;DG$2&amp;"+"&amp;AA198&amp;DG$1)</f>
        <v/>
      </c>
      <c r="DH198" s="66" t="str">
        <f t="shared" ref="DH198" si="3187">IF(AB198="","","|n"&amp;DH$2&amp;"+"&amp;AB198&amp;DH$1)</f>
        <v/>
      </c>
      <c r="DI198" s="66" t="str">
        <f t="shared" ref="DI198" si="3188">IF(AC198="","","|n"&amp;DI$2&amp;"+"&amp;AC198&amp;DI$1)</f>
        <v/>
      </c>
      <c r="DJ198" s="66" t="str">
        <f t="shared" ref="DJ198" si="3189">IF(AD198="","","|n"&amp;DJ$2&amp;"+"&amp;AD198&amp;DJ$1)</f>
        <v/>
      </c>
      <c r="DK198" s="66" t="str">
        <f t="shared" ref="DK198" si="3190">IF(AE198="","","|n"&amp;DK$2&amp;"+"&amp;AE198&amp;DK$1)</f>
        <v/>
      </c>
      <c r="DL198" s="66" t="str">
        <f t="shared" ref="DL198" si="3191">IF(AF198="","","|n"&amp;DL$2&amp;"+"&amp;AF198&amp;DL$1)</f>
        <v/>
      </c>
      <c r="DM198" s="66" t="str">
        <f t="shared" ref="DM198" si="3192">IF(AG198="","","|n"&amp;DM$2&amp;"+"&amp;AG198&amp;DM$1)</f>
        <v/>
      </c>
      <c r="DN198" s="66" t="str">
        <f t="shared" ref="DN198" si="3193">IF(AH198="","","|n"&amp;DN$2&amp;"+"&amp;AH198&amp;DN$1)</f>
        <v/>
      </c>
      <c r="DO198" s="66" t="str">
        <f t="shared" ref="DO198" si="3194">IF(AI198="","","|n"&amp;DO$2&amp;"+"&amp;AI198&amp;DO$1)</f>
        <v/>
      </c>
      <c r="DP198" s="66" t="str">
        <f t="shared" ref="DP198" si="3195">IF(AJ198="","","|n"&amp;DP$2&amp;"+"&amp;AJ198&amp;DP$1)</f>
        <v/>
      </c>
      <c r="DQ198" s="66" t="str">
        <f t="shared" ref="DQ198" si="3196">IF(AK198="","","|n"&amp;DQ$2&amp;"+"&amp;AK198&amp;DQ$1)</f>
        <v/>
      </c>
      <c r="DR198" s="66" t="str">
        <f t="shared" ref="DR198" si="3197">IF(AL198="","","|n"&amp;DR$2&amp;"+"&amp;AL198&amp;DR$1)</f>
        <v/>
      </c>
      <c r="DS198" s="66" t="str">
        <f t="shared" ref="DS198" si="3198">IF(AM198="","","|n"&amp;DS$2&amp;"+"&amp;AM198&amp;DS$1)</f>
        <v/>
      </c>
      <c r="DT198" s="66" t="str">
        <f t="shared" ref="DT198" si="3199">IF(AN198="","","|n"&amp;DT$2&amp;"+"&amp;AN198&amp;DT$1)</f>
        <v/>
      </c>
      <c r="DU198" s="66" t="str">
        <f t="shared" ref="DU198" si="3200">IF(AO198="","","|n"&amp;DU$2&amp;"+"&amp;AO198&amp;DU$1)</f>
        <v/>
      </c>
      <c r="DV198" s="66" t="str">
        <f t="shared" ref="DV198" si="3201">IF(AP198="","","|n"&amp;DV$2&amp;"+"&amp;AP198&amp;DV$1)</f>
        <v/>
      </c>
      <c r="DW198" s="66" t="str">
        <f t="shared" ref="DW198" si="3202">IF(AQ198="","","|n"&amp;DW$2&amp;"+"&amp;AQ198&amp;DW$1)</f>
        <v/>
      </c>
      <c r="DX198" s="66" t="str">
        <f t="shared" ref="DX198" si="3203">IF(AR198="","","|n"&amp;DX$2&amp;"+"&amp;AR198&amp;DX$1)</f>
        <v/>
      </c>
      <c r="DY198" s="66" t="str">
        <f t="shared" ref="DY198" si="3204">IF(AS198="","","|n"&amp;DY$2&amp;"+"&amp;AS198&amp;DY$1)</f>
        <v/>
      </c>
      <c r="DZ198" s="66" t="str">
        <f t="shared" ref="DZ198" si="3205">IF(AT198="","","|n"&amp;DZ$2&amp;"+"&amp;AT198&amp;DZ$1)</f>
        <v/>
      </c>
      <c r="EA198" s="66" t="str">
        <f t="shared" ref="EA198" si="3206">IF(AU198="","","|n"&amp;EA$2&amp;"+"&amp;AU198&amp;EA$1)</f>
        <v/>
      </c>
      <c r="EB198" s="66" t="str">
        <f t="shared" ref="EB198" si="3207">IF(AV198="","","|n"&amp;EB$2&amp;"+"&amp;AV198&amp;EB$1)</f>
        <v/>
      </c>
      <c r="EC198" s="66" t="str">
        <f t="shared" ref="EC198" si="3208">IF(AW198="","","|n"&amp;EC$2&amp;"+"&amp;AW198&amp;EC$1)</f>
        <v/>
      </c>
      <c r="ED198" s="66" t="str">
        <f t="shared" ref="ED198" si="3209">IF(AX198="","","|n"&amp;ED$2&amp;"+"&amp;AX198&amp;ED$1)</f>
        <v/>
      </c>
      <c r="EE198" s="66" t="str">
        <f t="shared" ref="EE198" si="3210">IF(AY198="","","|n"&amp;EE$2&amp;"+"&amp;AY198&amp;EE$1)</f>
        <v/>
      </c>
      <c r="EF198" s="66" t="str">
        <f t="shared" ref="EF198" si="3211">IF(AZ198="","","|n"&amp;EF$2&amp;"+"&amp;AZ198&amp;EF$1)</f>
        <v/>
      </c>
      <c r="EG198" s="66" t="str">
        <f t="shared" ref="EG198" si="3212">IF(BA198="","","|n"&amp;EG$2&amp;"+"&amp;BA198&amp;EG$1)</f>
        <v/>
      </c>
      <c r="EH198" s="66" t="str">
        <f t="shared" ref="EH198" si="3213">IF(BB198="","","|n"&amp;EH$2&amp;"+"&amp;BB198&amp;EH$1)</f>
        <v/>
      </c>
      <c r="EI198" s="66" t="str">
        <f t="shared" ref="EI198" si="3214">IF(BC198="","","|n"&amp;EI$2&amp;"+"&amp;BC198&amp;EI$1)</f>
        <v/>
      </c>
      <c r="EJ198" s="66" t="str">
        <f t="shared" ref="EJ198" si="3215">IF(BD198="","","|n"&amp;EJ$2&amp;"+"&amp;BD198&amp;EJ$1)</f>
        <v/>
      </c>
      <c r="EK198" s="66" t="str">
        <f t="shared" ref="EK198" si="3216">IF(BE198="","","|n"&amp;EK$2&amp;"+"&amp;BE198&amp;EK$1)</f>
        <v/>
      </c>
      <c r="EL198" s="66" t="str">
        <f t="shared" ref="EL198" si="3217">IF(BF198="","","|n"&amp;EL$2&amp;"+"&amp;BF198&amp;EL$1)</f>
        <v/>
      </c>
      <c r="EM198" s="66" t="str">
        <f t="shared" ref="EM198" si="3218">IF(BG198="","","|n"&amp;EM$2&amp;"+"&amp;BG198&amp;EM$1)</f>
        <v/>
      </c>
      <c r="EN198" s="66" t="str">
        <f t="shared" ref="EN198" si="3219">IF(BH198="","","|n"&amp;EN$2&amp;"+"&amp;BH198&amp;EN$1)</f>
        <v/>
      </c>
      <c r="EO198" s="66" t="str">
        <f t="shared" ref="EO198" si="3220">IF(BI198="","","|n"&amp;EO$2&amp;"+"&amp;BI198&amp;EO$1)</f>
        <v/>
      </c>
      <c r="EP198" s="66" t="str">
        <f t="shared" ref="EP198" si="3221">IF(BJ198="","","|n"&amp;EP$2&amp;"+"&amp;BJ198&amp;EP$1)</f>
        <v/>
      </c>
      <c r="EQ198" s="66" t="str">
        <f t="shared" ref="EQ198" si="3222">IF(BK198="","","|n"&amp;EQ$2&amp;"+"&amp;BK198&amp;EQ$1)</f>
        <v/>
      </c>
      <c r="ER198" s="66" t="str">
        <f t="shared" ref="ER198" si="3223">IF(BL198="","","|n"&amp;ER$2&amp;"+"&amp;BL198&amp;ER$1)</f>
        <v/>
      </c>
      <c r="ES198" s="66" t="str">
        <f t="shared" ref="ES198" si="3224">IF(BM198="","","|n"&amp;ES$2&amp;"+"&amp;BM198&amp;ES$1)</f>
        <v/>
      </c>
      <c r="ET198" s="66" t="str">
        <f t="shared" ref="ET198" si="3225">IF(BN198="","","|n"&amp;ET$2&amp;"+"&amp;BN198&amp;ET$1)</f>
        <v/>
      </c>
      <c r="EU198" s="66" t="str">
        <f t="shared" ref="EU198" si="3226">IF(BO198="","","|n"&amp;EU$2&amp;"+"&amp;BO198&amp;EU$1)</f>
        <v/>
      </c>
      <c r="EV198" s="66" t="str">
        <f t="shared" ref="EV198" si="3227">IF(BP198="","","|n"&amp;EV$2&amp;"+"&amp;BP198&amp;EV$1)</f>
        <v/>
      </c>
      <c r="EW198" s="66" t="str">
        <f t="shared" ref="EW198" si="3228">IF(BQ198="","","|n"&amp;EW$2&amp;"+"&amp;BQ198&amp;EW$1)</f>
        <v/>
      </c>
      <c r="EX198" s="66" t="str">
        <f t="shared" ref="EX198" si="3229">IF(BR198="","","|n"&amp;EX$2&amp;"+"&amp;BR198&amp;EX$1)</f>
        <v/>
      </c>
      <c r="EY198" s="66" t="str">
        <f t="shared" ref="EY198" si="3230">IF(BS198="","","|n"&amp;EY$2&amp;"+"&amp;BS198&amp;EY$1)</f>
        <v/>
      </c>
      <c r="EZ198" s="66" t="str">
        <f t="shared" ref="EZ198" si="3231">IF(BT198="","","|n"&amp;EZ$2&amp;"+"&amp;BT198&amp;EZ$1)</f>
        <v/>
      </c>
      <c r="FA198" s="66" t="str">
        <f t="shared" ref="FA198" si="3232">IF(BU198="","","|n"&amp;FA$2&amp;"+"&amp;BU198&amp;FA$1)</f>
        <v/>
      </c>
      <c r="FB198" s="66" t="str">
        <f t="shared" ref="FB198" si="3233">IF(BV198="","","|n"&amp;FB$2&amp;"+"&amp;BV198&amp;FB$1)</f>
        <v/>
      </c>
      <c r="FC198" s="66" t="str">
        <f t="shared" ref="FC198" si="3234">IF(BW198="","","|n"&amp;FC$2&amp;"+"&amp;BW198&amp;FC$1)</f>
        <v/>
      </c>
      <c r="FD198" s="66" t="str">
        <f t="shared" ref="FD198" si="3235">IF(BX198="","","|n"&amp;FD$2&amp;"+"&amp;BX198&amp;FD$1)</f>
        <v/>
      </c>
      <c r="FE198" s="66" t="str">
        <f t="shared" ref="FE198" si="3236">IF(BY198="","","|n"&amp;FE$2&amp;"+"&amp;BY198&amp;FE$1)</f>
        <v/>
      </c>
      <c r="FF198" s="66" t="str">
        <f t="shared" ref="FF198" si="3237">IF(BZ198="","","|n"&amp;FF$2&amp;"+"&amp;BZ198&amp;FF$1)</f>
        <v/>
      </c>
      <c r="FG198" s="66" t="str">
        <f t="shared" ref="FG198" si="3238">IF(CA198="","","|n"&amp;FG$2&amp;"+"&amp;CA198&amp;FG$1)</f>
        <v/>
      </c>
      <c r="FH198" s="66" t="str">
        <f t="shared" ref="FH198" si="3239">IF(CB198="","","|n"&amp;FH$2&amp;"+"&amp;CB198&amp;FH$1)</f>
        <v/>
      </c>
      <c r="FI198" s="66" t="str">
        <f t="shared" ref="FI198" si="3240">IF(CC198="","","|n"&amp;FI$2&amp;"+"&amp;CC198&amp;FI$1)</f>
        <v/>
      </c>
      <c r="FJ198" s="66" t="str">
        <f t="shared" ref="FJ198" si="3241">IF(CD198="","","|n"&amp;FJ$2&amp;"+"&amp;CD198&amp;FJ$1)</f>
        <v/>
      </c>
      <c r="FK198" s="66" t="str">
        <f t="shared" ref="FK198" si="3242">IF(CE198="","","|n"&amp;FK$2&amp;"+"&amp;CE198&amp;FK$1)</f>
        <v/>
      </c>
      <c r="FL198" s="66" t="str">
        <f t="shared" ref="FL198" si="3243">IF(CF198="","","|n"&amp;FL$2&amp;"+"&amp;CF198&amp;FL$1)</f>
        <v/>
      </c>
      <c r="FM198" s="66" t="str">
        <f t="shared" ref="FM198" si="3244">IF(CG198="","","|n"&amp;FM$2&amp;"+"&amp;CG198&amp;FM$1)</f>
        <v/>
      </c>
      <c r="FN198" s="66" t="str">
        <f t="shared" ref="FN198" si="3245">IF(CH198="","","|n"&amp;FN$2&amp;"+"&amp;CH198&amp;FN$1)</f>
        <v/>
      </c>
      <c r="FO198" s="66" t="str">
        <f t="shared" ref="FO198" si="3246">IF(CI198="","","|n"&amp;FO$2&amp;"+"&amp;CI198&amp;FO$1)</f>
        <v/>
      </c>
      <c r="FP198" s="66" t="str">
        <f t="shared" ref="FP198" si="3247">IF(CJ198="","","|n"&amp;FP$2&amp;"+"&amp;CJ198&amp;FP$1)</f>
        <v/>
      </c>
      <c r="FQ198" s="66" t="str">
        <f t="shared" ref="FQ198" si="3248">IF(CK198="","","|n"&amp;FQ$2&amp;"+"&amp;CK198&amp;FQ$1)</f>
        <v/>
      </c>
      <c r="FR198" s="66" t="str">
        <f t="shared" ref="FR198" si="3249">IF(CL198="","","|n"&amp;FR$2&amp;"+"&amp;CL198&amp;FR$1)</f>
        <v/>
      </c>
      <c r="FS198" s="66" t="str">
        <f t="shared" ref="FS198" si="3250">IF(CM198="","","|n"&amp;FS$2&amp;"+"&amp;CM198&amp;FS$1)</f>
        <v/>
      </c>
    </row>
    <row r="199" spans="1:175" ht="16.5">
      <c r="A199" s="15"/>
      <c r="B199" s="9" t="s">
        <v>704</v>
      </c>
      <c r="C199" s="15" t="s">
        <v>705</v>
      </c>
      <c r="T199" s="25" t="str">
        <f t="shared" si="3177"/>
        <v>|CffFFD24D兽魂抽奖|r</v>
      </c>
      <c r="U199" s="77" t="s">
        <v>706</v>
      </c>
      <c r="CN199" s="36" t="str">
        <f t="shared" si="2999"/>
        <v>InitUnitState('IS12',,,,,,,,,,)</v>
      </c>
      <c r="CO199" s="36" t="str">
        <f t="shared" si="3000"/>
        <v>InitUnitNormal('IS12',,,,,,,,,,)</v>
      </c>
      <c r="CP199" s="36" t="str">
        <f t="shared" si="3001"/>
        <v>InitUnitMagic('IS12',,,,,,,,,,)</v>
      </c>
      <c r="CQ199" s="36" t="str">
        <f t="shared" si="3002"/>
        <v>InitUnitAdd('IS12',,,,,,,,,,)</v>
      </c>
      <c r="CR199" s="36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88" t="str">
        <f t="shared" si="3179"/>
        <v>|n</v>
      </c>
      <c r="CV199" s="19" t="str">
        <f t="shared" si="3180"/>
        <v>|CffFFD24D兽魂抽奖|r</v>
      </c>
      <c r="CW199" s="33"/>
      <c r="CX199" s="33"/>
      <c r="CY199" s="33"/>
      <c r="CZ199" s="33"/>
      <c r="DA199" s="33"/>
      <c r="DB199" s="66" t="str">
        <f t="shared" ref="DB199:EG199" si="3251">IF(V199="","","|n"&amp;DB$2&amp;"+"&amp;V199&amp;DB$1)</f>
        <v/>
      </c>
      <c r="DC199" s="66" t="str">
        <f t="shared" si="3251"/>
        <v/>
      </c>
      <c r="DD199" s="66" t="str">
        <f t="shared" si="3251"/>
        <v/>
      </c>
      <c r="DE199" s="66" t="str">
        <f t="shared" si="3251"/>
        <v/>
      </c>
      <c r="DF199" s="66" t="str">
        <f t="shared" si="3251"/>
        <v/>
      </c>
      <c r="DG199" s="66" t="str">
        <f t="shared" si="3251"/>
        <v/>
      </c>
      <c r="DH199" s="66" t="str">
        <f t="shared" si="3251"/>
        <v/>
      </c>
      <c r="DI199" s="66" t="str">
        <f t="shared" si="3251"/>
        <v/>
      </c>
      <c r="DJ199" s="66" t="str">
        <f t="shared" si="3251"/>
        <v/>
      </c>
      <c r="DK199" s="66" t="str">
        <f t="shared" si="3251"/>
        <v/>
      </c>
      <c r="DL199" s="66" t="str">
        <f t="shared" si="3251"/>
        <v/>
      </c>
      <c r="DM199" s="66" t="str">
        <f t="shared" si="3251"/>
        <v/>
      </c>
      <c r="DN199" s="66" t="str">
        <f t="shared" si="3251"/>
        <v/>
      </c>
      <c r="DO199" s="66" t="str">
        <f t="shared" si="3251"/>
        <v/>
      </c>
      <c r="DP199" s="66" t="str">
        <f t="shared" si="3251"/>
        <v/>
      </c>
      <c r="DQ199" s="66" t="str">
        <f t="shared" si="3251"/>
        <v/>
      </c>
      <c r="DR199" s="66" t="str">
        <f t="shared" si="3251"/>
        <v/>
      </c>
      <c r="DS199" s="66" t="str">
        <f t="shared" si="3251"/>
        <v/>
      </c>
      <c r="DT199" s="66" t="str">
        <f t="shared" si="3251"/>
        <v/>
      </c>
      <c r="DU199" s="66" t="str">
        <f t="shared" si="3251"/>
        <v/>
      </c>
      <c r="DV199" s="66" t="str">
        <f t="shared" si="3251"/>
        <v/>
      </c>
      <c r="DW199" s="66" t="str">
        <f t="shared" si="3251"/>
        <v/>
      </c>
      <c r="DX199" s="66" t="str">
        <f t="shared" si="3251"/>
        <v/>
      </c>
      <c r="DY199" s="66" t="str">
        <f t="shared" si="3251"/>
        <v/>
      </c>
      <c r="DZ199" s="66" t="str">
        <f t="shared" si="3251"/>
        <v/>
      </c>
      <c r="EA199" s="66" t="str">
        <f t="shared" si="3251"/>
        <v/>
      </c>
      <c r="EB199" s="66" t="str">
        <f t="shared" si="3251"/>
        <v/>
      </c>
      <c r="EC199" s="66" t="str">
        <f t="shared" si="3251"/>
        <v/>
      </c>
      <c r="ED199" s="66" t="str">
        <f t="shared" si="3251"/>
        <v/>
      </c>
      <c r="EE199" s="66" t="str">
        <f t="shared" si="3251"/>
        <v/>
      </c>
      <c r="EF199" s="66" t="str">
        <f t="shared" si="3251"/>
        <v/>
      </c>
      <c r="EG199" s="66" t="str">
        <f t="shared" si="3251"/>
        <v/>
      </c>
      <c r="EH199" s="66" t="str">
        <f t="shared" ref="EH199:FM199" si="3252">IF(BB199="","","|n"&amp;EH$2&amp;"+"&amp;BB199&amp;EH$1)</f>
        <v/>
      </c>
      <c r="EI199" s="66" t="str">
        <f t="shared" si="3252"/>
        <v/>
      </c>
      <c r="EJ199" s="66" t="str">
        <f t="shared" si="3252"/>
        <v/>
      </c>
      <c r="EK199" s="66" t="str">
        <f t="shared" si="3252"/>
        <v/>
      </c>
      <c r="EL199" s="66" t="str">
        <f t="shared" si="3252"/>
        <v/>
      </c>
      <c r="EM199" s="66" t="str">
        <f t="shared" si="3252"/>
        <v/>
      </c>
      <c r="EN199" s="66" t="str">
        <f t="shared" si="3252"/>
        <v/>
      </c>
      <c r="EO199" s="66" t="str">
        <f t="shared" si="3252"/>
        <v/>
      </c>
      <c r="EP199" s="66" t="str">
        <f t="shared" si="3252"/>
        <v/>
      </c>
      <c r="EQ199" s="66" t="str">
        <f t="shared" si="3252"/>
        <v/>
      </c>
      <c r="ER199" s="66" t="str">
        <f t="shared" si="3252"/>
        <v/>
      </c>
      <c r="ES199" s="66" t="str">
        <f t="shared" si="3252"/>
        <v/>
      </c>
      <c r="ET199" s="66" t="str">
        <f t="shared" si="3252"/>
        <v/>
      </c>
      <c r="EU199" s="66" t="str">
        <f t="shared" si="3252"/>
        <v/>
      </c>
      <c r="EV199" s="66" t="str">
        <f t="shared" si="3252"/>
        <v/>
      </c>
      <c r="EW199" s="66" t="str">
        <f t="shared" si="3252"/>
        <v/>
      </c>
      <c r="EX199" s="66" t="str">
        <f t="shared" si="3252"/>
        <v/>
      </c>
      <c r="EY199" s="66" t="str">
        <f t="shared" si="3252"/>
        <v/>
      </c>
      <c r="EZ199" s="66" t="str">
        <f t="shared" si="3252"/>
        <v/>
      </c>
      <c r="FA199" s="66" t="str">
        <f t="shared" si="3252"/>
        <v/>
      </c>
      <c r="FB199" s="66" t="str">
        <f t="shared" si="3252"/>
        <v/>
      </c>
      <c r="FC199" s="66" t="str">
        <f t="shared" si="3252"/>
        <v/>
      </c>
      <c r="FD199" s="66" t="str">
        <f t="shared" si="3252"/>
        <v/>
      </c>
      <c r="FE199" s="66" t="str">
        <f t="shared" si="3252"/>
        <v/>
      </c>
      <c r="FF199" s="66" t="str">
        <f t="shared" si="3252"/>
        <v/>
      </c>
      <c r="FG199" s="66" t="str">
        <f t="shared" si="3252"/>
        <v/>
      </c>
      <c r="FH199" s="66" t="str">
        <f t="shared" si="3252"/>
        <v/>
      </c>
      <c r="FI199" s="66" t="str">
        <f t="shared" si="3252"/>
        <v/>
      </c>
      <c r="FJ199" s="66" t="str">
        <f t="shared" si="3252"/>
        <v/>
      </c>
      <c r="FK199" s="66" t="str">
        <f t="shared" si="3252"/>
        <v/>
      </c>
      <c r="FL199" s="66" t="str">
        <f t="shared" si="3252"/>
        <v/>
      </c>
      <c r="FM199" s="66" t="str">
        <f t="shared" si="3252"/>
        <v/>
      </c>
      <c r="FN199" s="66" t="str">
        <f t="shared" ref="FN199:FS199" si="3253">IF(CH199="","","|n"&amp;FN$2&amp;"+"&amp;CH199&amp;FN$1)</f>
        <v/>
      </c>
      <c r="FO199" s="66" t="str">
        <f t="shared" si="3253"/>
        <v/>
      </c>
      <c r="FP199" s="66" t="str">
        <f t="shared" si="3253"/>
        <v/>
      </c>
      <c r="FQ199" s="66" t="str">
        <f t="shared" si="3253"/>
        <v/>
      </c>
      <c r="FR199" s="66" t="str">
        <f t="shared" si="3253"/>
        <v/>
      </c>
      <c r="FS199" s="66" t="str">
        <f t="shared" si="3253"/>
        <v/>
      </c>
    </row>
    <row r="200" spans="1:175" ht="16.5">
      <c r="A200" s="15"/>
      <c r="B200" s="9" t="s">
        <v>707</v>
      </c>
      <c r="C200" s="15" t="s">
        <v>705</v>
      </c>
      <c r="T200" s="25" t="str">
        <f t="shared" si="3177"/>
        <v>|CffFFD24D兽魂抽奖|r</v>
      </c>
      <c r="U200" s="77" t="s">
        <v>706</v>
      </c>
      <c r="CN200" s="36" t="str">
        <f t="shared" si="2999"/>
        <v>InitUnitState('IZ0C',,,,,,,,,,)</v>
      </c>
      <c r="CO200" s="36" t="str">
        <f t="shared" si="3000"/>
        <v>InitUnitNormal('IZ0C',,,,,,,,,,)</v>
      </c>
      <c r="CP200" s="36" t="str">
        <f t="shared" si="3001"/>
        <v>InitUnitMagic('IZ0C',,,,,,,,,,)</v>
      </c>
      <c r="CQ200" s="36" t="str">
        <f t="shared" si="3002"/>
        <v>InitUnitAdd('IZ0C',,,,,,,,,,)</v>
      </c>
      <c r="CR200" s="36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88" t="str">
        <f t="shared" si="3179"/>
        <v>|n</v>
      </c>
      <c r="CV200" s="19" t="str">
        <f t="shared" si="3180"/>
        <v>|CffFFD24D兽魂抽奖|r</v>
      </c>
      <c r="CW200" s="33"/>
      <c r="CX200" s="33"/>
      <c r="CY200" s="33"/>
      <c r="CZ200" s="33"/>
      <c r="DA200" s="33"/>
      <c r="DB200" s="66" t="str">
        <f t="shared" ref="DB200:FM200" si="3254">IF(V200="","","|n"&amp;DB$2&amp;"+"&amp;V200&amp;DB$1)</f>
        <v/>
      </c>
      <c r="DC200" s="66" t="str">
        <f t="shared" si="3254"/>
        <v/>
      </c>
      <c r="DD200" s="66" t="str">
        <f t="shared" si="3254"/>
        <v/>
      </c>
      <c r="DE200" s="66" t="str">
        <f t="shared" si="3254"/>
        <v/>
      </c>
      <c r="DF200" s="66" t="str">
        <f t="shared" si="3254"/>
        <v/>
      </c>
      <c r="DG200" s="66" t="str">
        <f t="shared" si="3254"/>
        <v/>
      </c>
      <c r="DH200" s="66" t="str">
        <f t="shared" si="3254"/>
        <v/>
      </c>
      <c r="DI200" s="66" t="str">
        <f t="shared" si="3254"/>
        <v/>
      </c>
      <c r="DJ200" s="66" t="str">
        <f t="shared" si="3254"/>
        <v/>
      </c>
      <c r="DK200" s="66" t="str">
        <f t="shared" si="3254"/>
        <v/>
      </c>
      <c r="DL200" s="66" t="str">
        <f t="shared" si="3254"/>
        <v/>
      </c>
      <c r="DM200" s="66" t="str">
        <f t="shared" si="3254"/>
        <v/>
      </c>
      <c r="DN200" s="66" t="str">
        <f t="shared" si="3254"/>
        <v/>
      </c>
      <c r="DO200" s="66" t="str">
        <f t="shared" si="3254"/>
        <v/>
      </c>
      <c r="DP200" s="66" t="str">
        <f t="shared" si="3254"/>
        <v/>
      </c>
      <c r="DQ200" s="66" t="str">
        <f t="shared" si="3254"/>
        <v/>
      </c>
      <c r="DR200" s="66" t="str">
        <f t="shared" si="3254"/>
        <v/>
      </c>
      <c r="DS200" s="66" t="str">
        <f t="shared" si="3254"/>
        <v/>
      </c>
      <c r="DT200" s="66" t="str">
        <f t="shared" si="3254"/>
        <v/>
      </c>
      <c r="DU200" s="66" t="str">
        <f t="shared" si="3254"/>
        <v/>
      </c>
      <c r="DV200" s="66" t="str">
        <f t="shared" si="3254"/>
        <v/>
      </c>
      <c r="DW200" s="66" t="str">
        <f t="shared" si="3254"/>
        <v/>
      </c>
      <c r="DX200" s="66" t="str">
        <f t="shared" si="3254"/>
        <v/>
      </c>
      <c r="DY200" s="66" t="str">
        <f t="shared" si="3254"/>
        <v/>
      </c>
      <c r="DZ200" s="66" t="str">
        <f t="shared" si="3254"/>
        <v/>
      </c>
      <c r="EA200" s="66" t="str">
        <f t="shared" si="3254"/>
        <v/>
      </c>
      <c r="EB200" s="66" t="str">
        <f t="shared" si="3254"/>
        <v/>
      </c>
      <c r="EC200" s="66" t="str">
        <f t="shared" si="3254"/>
        <v/>
      </c>
      <c r="ED200" s="66" t="str">
        <f t="shared" si="3254"/>
        <v/>
      </c>
      <c r="EE200" s="66" t="str">
        <f t="shared" si="3254"/>
        <v/>
      </c>
      <c r="EF200" s="66" t="str">
        <f t="shared" si="3254"/>
        <v/>
      </c>
      <c r="EG200" s="66" t="str">
        <f t="shared" si="3254"/>
        <v/>
      </c>
      <c r="EH200" s="66" t="str">
        <f t="shared" si="3254"/>
        <v/>
      </c>
      <c r="EI200" s="66" t="str">
        <f t="shared" si="3254"/>
        <v/>
      </c>
      <c r="EJ200" s="66" t="str">
        <f t="shared" si="3254"/>
        <v/>
      </c>
      <c r="EK200" s="66" t="str">
        <f t="shared" si="3254"/>
        <v/>
      </c>
      <c r="EL200" s="66" t="str">
        <f t="shared" si="3254"/>
        <v/>
      </c>
      <c r="EM200" s="66" t="str">
        <f t="shared" si="3254"/>
        <v/>
      </c>
      <c r="EN200" s="66" t="str">
        <f t="shared" si="3254"/>
        <v/>
      </c>
      <c r="EO200" s="66" t="str">
        <f t="shared" si="3254"/>
        <v/>
      </c>
      <c r="EP200" s="66" t="str">
        <f t="shared" si="3254"/>
        <v/>
      </c>
      <c r="EQ200" s="66" t="str">
        <f t="shared" si="3254"/>
        <v/>
      </c>
      <c r="ER200" s="66" t="str">
        <f t="shared" si="3254"/>
        <v/>
      </c>
      <c r="ES200" s="66" t="str">
        <f t="shared" si="3254"/>
        <v/>
      </c>
      <c r="ET200" s="66" t="str">
        <f t="shared" si="3254"/>
        <v/>
      </c>
      <c r="EU200" s="66" t="str">
        <f t="shared" si="3254"/>
        <v/>
      </c>
      <c r="EV200" s="66" t="str">
        <f t="shared" si="3254"/>
        <v/>
      </c>
      <c r="EW200" s="66" t="str">
        <f t="shared" si="3254"/>
        <v/>
      </c>
      <c r="EX200" s="66" t="str">
        <f t="shared" si="3254"/>
        <v/>
      </c>
      <c r="EY200" s="66" t="str">
        <f t="shared" si="3254"/>
        <v/>
      </c>
      <c r="EZ200" s="66" t="str">
        <f t="shared" si="3254"/>
        <v/>
      </c>
      <c r="FA200" s="66" t="str">
        <f t="shared" si="3254"/>
        <v/>
      </c>
      <c r="FB200" s="66" t="str">
        <f t="shared" si="3254"/>
        <v/>
      </c>
      <c r="FC200" s="66" t="str">
        <f t="shared" si="3254"/>
        <v/>
      </c>
      <c r="FD200" s="66" t="str">
        <f t="shared" si="3254"/>
        <v/>
      </c>
      <c r="FE200" s="66" t="str">
        <f t="shared" si="3254"/>
        <v/>
      </c>
      <c r="FF200" s="66" t="str">
        <f t="shared" si="3254"/>
        <v/>
      </c>
      <c r="FG200" s="66" t="str">
        <f t="shared" si="3254"/>
        <v/>
      </c>
      <c r="FH200" s="66" t="str">
        <f t="shared" si="3254"/>
        <v/>
      </c>
      <c r="FI200" s="66" t="str">
        <f t="shared" si="3254"/>
        <v/>
      </c>
      <c r="FJ200" s="66" t="str">
        <f t="shared" si="3254"/>
        <v/>
      </c>
      <c r="FK200" s="66" t="str">
        <f t="shared" si="3254"/>
        <v/>
      </c>
      <c r="FL200" s="66" t="str">
        <f t="shared" si="3254"/>
        <v/>
      </c>
      <c r="FM200" s="66" t="str">
        <f t="shared" si="3254"/>
        <v/>
      </c>
      <c r="FN200" s="66" t="str">
        <f t="shared" ref="FN200:FS200" si="3255">IF(CH200="","","|n"&amp;FN$2&amp;"+"&amp;CH200&amp;FN$1)</f>
        <v/>
      </c>
      <c r="FO200" s="66" t="str">
        <f t="shared" si="3255"/>
        <v/>
      </c>
      <c r="FP200" s="66" t="str">
        <f t="shared" si="3255"/>
        <v/>
      </c>
      <c r="FQ200" s="66" t="str">
        <f t="shared" si="3255"/>
        <v/>
      </c>
      <c r="FR200" s="66" t="str">
        <f t="shared" si="3255"/>
        <v/>
      </c>
      <c r="FS200" s="66" t="str">
        <f t="shared" si="3255"/>
        <v/>
      </c>
    </row>
    <row r="201" spans="1:175" ht="16.5">
      <c r="A201" s="15"/>
      <c r="B201" s="9" t="s">
        <v>708</v>
      </c>
      <c r="C201" s="15" t="s">
        <v>709</v>
      </c>
      <c r="T201" s="25" t="s">
        <v>710</v>
      </c>
      <c r="U201" s="77" t="s">
        <v>706</v>
      </c>
      <c r="CN201" s="36" t="str">
        <f t="shared" si="2999"/>
        <v>InitUnitState('IZ10',,,,,,,,,,)</v>
      </c>
      <c r="CO201" s="36" t="str">
        <f t="shared" si="3000"/>
        <v>InitUnitNormal('IZ10',,,,,,,,,,)</v>
      </c>
      <c r="CP201" s="36" t="str">
        <f t="shared" si="3001"/>
        <v>InitUnitMagic('IZ10',,,,,,,,,,)</v>
      </c>
      <c r="CQ201" s="36" t="str">
        <f t="shared" si="3002"/>
        <v>InitUnitAdd('IZ10',,,,,,,,,,)</v>
      </c>
      <c r="CR201" s="36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88" t="str">
        <f t="shared" si="3179"/>
        <v>|n</v>
      </c>
      <c r="CV201" s="19" t="str">
        <f t="shared" si="3180"/>
        <v>|CffF0F0F0有几率获得|r|Cffffd24d好东西|r|Cfff0f0f0，也有可能|r|Cffcccccc打水漂|r|Cfff0f0f0。|n|n|r|Cff00ff7f观今夜星象，抽就完事了...|r</v>
      </c>
      <c r="CW201" s="33"/>
      <c r="CX201" s="33"/>
      <c r="CY201" s="33"/>
      <c r="CZ201" s="33"/>
      <c r="DA201" s="33"/>
      <c r="DB201" s="66" t="str">
        <f t="shared" ref="DB201:FM201" si="3256">IF(V201="","","|n"&amp;DB$2&amp;"+"&amp;V201&amp;DB$1)</f>
        <v/>
      </c>
      <c r="DC201" s="66" t="str">
        <f t="shared" si="3256"/>
        <v/>
      </c>
      <c r="DD201" s="66" t="str">
        <f t="shared" si="3256"/>
        <v/>
      </c>
      <c r="DE201" s="66" t="str">
        <f t="shared" si="3256"/>
        <v/>
      </c>
      <c r="DF201" s="66" t="str">
        <f t="shared" si="3256"/>
        <v/>
      </c>
      <c r="DG201" s="66" t="str">
        <f t="shared" si="3256"/>
        <v/>
      </c>
      <c r="DH201" s="66" t="str">
        <f t="shared" si="3256"/>
        <v/>
      </c>
      <c r="DI201" s="66" t="str">
        <f t="shared" si="3256"/>
        <v/>
      </c>
      <c r="DJ201" s="66" t="str">
        <f t="shared" si="3256"/>
        <v/>
      </c>
      <c r="DK201" s="66" t="str">
        <f t="shared" si="3256"/>
        <v/>
      </c>
      <c r="DL201" s="66" t="str">
        <f t="shared" si="3256"/>
        <v/>
      </c>
      <c r="DM201" s="66" t="str">
        <f t="shared" si="3256"/>
        <v/>
      </c>
      <c r="DN201" s="66" t="str">
        <f t="shared" si="3256"/>
        <v/>
      </c>
      <c r="DO201" s="66" t="str">
        <f t="shared" si="3256"/>
        <v/>
      </c>
      <c r="DP201" s="66" t="str">
        <f t="shared" si="3256"/>
        <v/>
      </c>
      <c r="DQ201" s="66" t="str">
        <f t="shared" si="3256"/>
        <v/>
      </c>
      <c r="DR201" s="66" t="str">
        <f t="shared" si="3256"/>
        <v/>
      </c>
      <c r="DS201" s="66" t="str">
        <f t="shared" si="3256"/>
        <v/>
      </c>
      <c r="DT201" s="66" t="str">
        <f t="shared" si="3256"/>
        <v/>
      </c>
      <c r="DU201" s="66" t="str">
        <f t="shared" si="3256"/>
        <v/>
      </c>
      <c r="DV201" s="66" t="str">
        <f t="shared" si="3256"/>
        <v/>
      </c>
      <c r="DW201" s="66" t="str">
        <f t="shared" si="3256"/>
        <v/>
      </c>
      <c r="DX201" s="66" t="str">
        <f t="shared" si="3256"/>
        <v/>
      </c>
      <c r="DY201" s="66" t="str">
        <f t="shared" si="3256"/>
        <v/>
      </c>
      <c r="DZ201" s="66" t="str">
        <f t="shared" si="3256"/>
        <v/>
      </c>
      <c r="EA201" s="66" t="str">
        <f t="shared" si="3256"/>
        <v/>
      </c>
      <c r="EB201" s="66" t="str">
        <f t="shared" si="3256"/>
        <v/>
      </c>
      <c r="EC201" s="66" t="str">
        <f t="shared" si="3256"/>
        <v/>
      </c>
      <c r="ED201" s="66" t="str">
        <f t="shared" si="3256"/>
        <v/>
      </c>
      <c r="EE201" s="66" t="str">
        <f t="shared" si="3256"/>
        <v/>
      </c>
      <c r="EF201" s="66" t="str">
        <f t="shared" si="3256"/>
        <v/>
      </c>
      <c r="EG201" s="66" t="str">
        <f t="shared" si="3256"/>
        <v/>
      </c>
      <c r="EH201" s="66" t="str">
        <f t="shared" si="3256"/>
        <v/>
      </c>
      <c r="EI201" s="66" t="str">
        <f t="shared" si="3256"/>
        <v/>
      </c>
      <c r="EJ201" s="66" t="str">
        <f t="shared" si="3256"/>
        <v/>
      </c>
      <c r="EK201" s="66" t="str">
        <f t="shared" si="3256"/>
        <v/>
      </c>
      <c r="EL201" s="66" t="str">
        <f t="shared" si="3256"/>
        <v/>
      </c>
      <c r="EM201" s="66" t="str">
        <f t="shared" si="3256"/>
        <v/>
      </c>
      <c r="EN201" s="66" t="str">
        <f t="shared" si="3256"/>
        <v/>
      </c>
      <c r="EO201" s="66" t="str">
        <f t="shared" si="3256"/>
        <v/>
      </c>
      <c r="EP201" s="66" t="str">
        <f t="shared" si="3256"/>
        <v/>
      </c>
      <c r="EQ201" s="66" t="str">
        <f t="shared" si="3256"/>
        <v/>
      </c>
      <c r="ER201" s="66" t="str">
        <f t="shared" si="3256"/>
        <v/>
      </c>
      <c r="ES201" s="66" t="str">
        <f t="shared" si="3256"/>
        <v/>
      </c>
      <c r="ET201" s="66" t="str">
        <f t="shared" si="3256"/>
        <v/>
      </c>
      <c r="EU201" s="66" t="str">
        <f t="shared" si="3256"/>
        <v/>
      </c>
      <c r="EV201" s="66" t="str">
        <f t="shared" si="3256"/>
        <v/>
      </c>
      <c r="EW201" s="66" t="str">
        <f t="shared" si="3256"/>
        <v/>
      </c>
      <c r="EX201" s="66" t="str">
        <f t="shared" si="3256"/>
        <v/>
      </c>
      <c r="EY201" s="66" t="str">
        <f t="shared" si="3256"/>
        <v/>
      </c>
      <c r="EZ201" s="66" t="str">
        <f t="shared" si="3256"/>
        <v/>
      </c>
      <c r="FA201" s="66" t="str">
        <f t="shared" si="3256"/>
        <v/>
      </c>
      <c r="FB201" s="66" t="str">
        <f t="shared" si="3256"/>
        <v/>
      </c>
      <c r="FC201" s="66" t="str">
        <f t="shared" si="3256"/>
        <v/>
      </c>
      <c r="FD201" s="66" t="str">
        <f t="shared" si="3256"/>
        <v/>
      </c>
      <c r="FE201" s="66" t="str">
        <f t="shared" si="3256"/>
        <v/>
      </c>
      <c r="FF201" s="66" t="str">
        <f t="shared" si="3256"/>
        <v/>
      </c>
      <c r="FG201" s="66" t="str">
        <f t="shared" si="3256"/>
        <v/>
      </c>
      <c r="FH201" s="66" t="str">
        <f t="shared" si="3256"/>
        <v/>
      </c>
      <c r="FI201" s="66" t="str">
        <f t="shared" si="3256"/>
        <v/>
      </c>
      <c r="FJ201" s="66" t="str">
        <f t="shared" si="3256"/>
        <v/>
      </c>
      <c r="FK201" s="66" t="str">
        <f t="shared" si="3256"/>
        <v/>
      </c>
      <c r="FL201" s="66" t="str">
        <f t="shared" si="3256"/>
        <v/>
      </c>
      <c r="FM201" s="66" t="str">
        <f t="shared" si="3256"/>
        <v/>
      </c>
      <c r="FN201" s="66" t="str">
        <f t="shared" ref="FN201:FS201" si="3257">IF(CH201="","","|n"&amp;FN$2&amp;"+"&amp;CH201&amp;FN$1)</f>
        <v/>
      </c>
      <c r="FO201" s="66" t="str">
        <f t="shared" si="3257"/>
        <v/>
      </c>
      <c r="FP201" s="66" t="str">
        <f t="shared" si="3257"/>
        <v/>
      </c>
      <c r="FQ201" s="66" t="str">
        <f t="shared" si="3257"/>
        <v/>
      </c>
      <c r="FR201" s="66" t="str">
        <f t="shared" si="3257"/>
        <v/>
      </c>
      <c r="FS201" s="66" t="str">
        <f t="shared" si="3257"/>
        <v/>
      </c>
    </row>
    <row r="202" spans="1:175" ht="16.5">
      <c r="A202" s="15"/>
      <c r="B202" s="9" t="s">
        <v>711</v>
      </c>
      <c r="C202" s="15" t="s">
        <v>712</v>
      </c>
      <c r="T202" s="25" t="s">
        <v>713</v>
      </c>
      <c r="U202" s="77" t="s">
        <v>706</v>
      </c>
      <c r="CN202" s="36" t="str">
        <f t="shared" si="2999"/>
        <v>InitUnitState('IZ11',,,,,,,,,,)</v>
      </c>
      <c r="CO202" s="36" t="str">
        <f t="shared" si="3000"/>
        <v>InitUnitNormal('IZ11',,,,,,,,,,)</v>
      </c>
      <c r="CP202" s="36" t="str">
        <f t="shared" si="3001"/>
        <v>InitUnitMagic('IZ11',,,,,,,,,,)</v>
      </c>
      <c r="CQ202" s="36" t="str">
        <f t="shared" si="3002"/>
        <v>InitUnitAdd('IZ11',,,,,,,,,,)</v>
      </c>
      <c r="CR202" s="36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88" t="str">
        <f t="shared" si="3179"/>
        <v>|n</v>
      </c>
      <c r="CV202" s="19" t="str">
        <f t="shared" si="3180"/>
        <v>|CffF0F0F0有几率获得|r|Cffffd24d很多好东西|r|Cfff0f0f0，也有可能|r|Cffcccccc打很多水漂|r|Cfff0f0f0。|n|n|r|Cff00ff7f观今夜星象，使劲抽就完事了...|r</v>
      </c>
      <c r="CW202" s="33"/>
      <c r="CX202" s="33"/>
      <c r="CY202" s="33"/>
      <c r="CZ202" s="33"/>
      <c r="DA202" s="33"/>
      <c r="DB202" s="66" t="str">
        <f t="shared" ref="DB202:FM202" si="3258">IF(V202="","","|n"&amp;DB$2&amp;"+"&amp;V202&amp;DB$1)</f>
        <v/>
      </c>
      <c r="DC202" s="66" t="str">
        <f t="shared" si="3258"/>
        <v/>
      </c>
      <c r="DD202" s="66" t="str">
        <f t="shared" si="3258"/>
        <v/>
      </c>
      <c r="DE202" s="66" t="str">
        <f t="shared" si="3258"/>
        <v/>
      </c>
      <c r="DF202" s="66" t="str">
        <f t="shared" si="3258"/>
        <v/>
      </c>
      <c r="DG202" s="66" t="str">
        <f t="shared" si="3258"/>
        <v/>
      </c>
      <c r="DH202" s="66" t="str">
        <f t="shared" si="3258"/>
        <v/>
      </c>
      <c r="DI202" s="66" t="str">
        <f t="shared" si="3258"/>
        <v/>
      </c>
      <c r="DJ202" s="66" t="str">
        <f t="shared" si="3258"/>
        <v/>
      </c>
      <c r="DK202" s="66" t="str">
        <f t="shared" si="3258"/>
        <v/>
      </c>
      <c r="DL202" s="66" t="str">
        <f t="shared" si="3258"/>
        <v/>
      </c>
      <c r="DM202" s="66" t="str">
        <f t="shared" si="3258"/>
        <v/>
      </c>
      <c r="DN202" s="66" t="str">
        <f t="shared" si="3258"/>
        <v/>
      </c>
      <c r="DO202" s="66" t="str">
        <f t="shared" si="3258"/>
        <v/>
      </c>
      <c r="DP202" s="66" t="str">
        <f t="shared" si="3258"/>
        <v/>
      </c>
      <c r="DQ202" s="66" t="str">
        <f t="shared" si="3258"/>
        <v/>
      </c>
      <c r="DR202" s="66" t="str">
        <f t="shared" si="3258"/>
        <v/>
      </c>
      <c r="DS202" s="66" t="str">
        <f t="shared" si="3258"/>
        <v/>
      </c>
      <c r="DT202" s="66" t="str">
        <f t="shared" si="3258"/>
        <v/>
      </c>
      <c r="DU202" s="66" t="str">
        <f t="shared" si="3258"/>
        <v/>
      </c>
      <c r="DV202" s="66" t="str">
        <f t="shared" si="3258"/>
        <v/>
      </c>
      <c r="DW202" s="66" t="str">
        <f t="shared" si="3258"/>
        <v/>
      </c>
      <c r="DX202" s="66" t="str">
        <f t="shared" si="3258"/>
        <v/>
      </c>
      <c r="DY202" s="66" t="str">
        <f t="shared" si="3258"/>
        <v/>
      </c>
      <c r="DZ202" s="66" t="str">
        <f t="shared" si="3258"/>
        <v/>
      </c>
      <c r="EA202" s="66" t="str">
        <f t="shared" si="3258"/>
        <v/>
      </c>
      <c r="EB202" s="66" t="str">
        <f t="shared" si="3258"/>
        <v/>
      </c>
      <c r="EC202" s="66" t="str">
        <f t="shared" si="3258"/>
        <v/>
      </c>
      <c r="ED202" s="66" t="str">
        <f t="shared" si="3258"/>
        <v/>
      </c>
      <c r="EE202" s="66" t="str">
        <f t="shared" si="3258"/>
        <v/>
      </c>
      <c r="EF202" s="66" t="str">
        <f t="shared" si="3258"/>
        <v/>
      </c>
      <c r="EG202" s="66" t="str">
        <f t="shared" si="3258"/>
        <v/>
      </c>
      <c r="EH202" s="66" t="str">
        <f t="shared" si="3258"/>
        <v/>
      </c>
      <c r="EI202" s="66" t="str">
        <f t="shared" si="3258"/>
        <v/>
      </c>
      <c r="EJ202" s="66" t="str">
        <f t="shared" si="3258"/>
        <v/>
      </c>
      <c r="EK202" s="66" t="str">
        <f t="shared" si="3258"/>
        <v/>
      </c>
      <c r="EL202" s="66" t="str">
        <f t="shared" si="3258"/>
        <v/>
      </c>
      <c r="EM202" s="66" t="str">
        <f t="shared" si="3258"/>
        <v/>
      </c>
      <c r="EN202" s="66" t="str">
        <f t="shared" si="3258"/>
        <v/>
      </c>
      <c r="EO202" s="66" t="str">
        <f t="shared" si="3258"/>
        <v/>
      </c>
      <c r="EP202" s="66" t="str">
        <f t="shared" si="3258"/>
        <v/>
      </c>
      <c r="EQ202" s="66" t="str">
        <f t="shared" si="3258"/>
        <v/>
      </c>
      <c r="ER202" s="66" t="str">
        <f t="shared" si="3258"/>
        <v/>
      </c>
      <c r="ES202" s="66" t="str">
        <f t="shared" si="3258"/>
        <v/>
      </c>
      <c r="ET202" s="66" t="str">
        <f t="shared" si="3258"/>
        <v/>
      </c>
      <c r="EU202" s="66" t="str">
        <f t="shared" si="3258"/>
        <v/>
      </c>
      <c r="EV202" s="66" t="str">
        <f t="shared" si="3258"/>
        <v/>
      </c>
      <c r="EW202" s="66" t="str">
        <f t="shared" si="3258"/>
        <v/>
      </c>
      <c r="EX202" s="66" t="str">
        <f t="shared" si="3258"/>
        <v/>
      </c>
      <c r="EY202" s="66" t="str">
        <f t="shared" si="3258"/>
        <v/>
      </c>
      <c r="EZ202" s="66" t="str">
        <f t="shared" si="3258"/>
        <v/>
      </c>
      <c r="FA202" s="66" t="str">
        <f t="shared" si="3258"/>
        <v/>
      </c>
      <c r="FB202" s="66" t="str">
        <f t="shared" si="3258"/>
        <v/>
      </c>
      <c r="FC202" s="66" t="str">
        <f t="shared" si="3258"/>
        <v/>
      </c>
      <c r="FD202" s="66" t="str">
        <f t="shared" si="3258"/>
        <v/>
      </c>
      <c r="FE202" s="66" t="str">
        <f t="shared" si="3258"/>
        <v/>
      </c>
      <c r="FF202" s="66" t="str">
        <f t="shared" si="3258"/>
        <v/>
      </c>
      <c r="FG202" s="66" t="str">
        <f t="shared" si="3258"/>
        <v/>
      </c>
      <c r="FH202" s="66" t="str">
        <f t="shared" si="3258"/>
        <v/>
      </c>
      <c r="FI202" s="66" t="str">
        <f t="shared" si="3258"/>
        <v/>
      </c>
      <c r="FJ202" s="66" t="str">
        <f t="shared" si="3258"/>
        <v/>
      </c>
      <c r="FK202" s="66" t="str">
        <f t="shared" si="3258"/>
        <v/>
      </c>
      <c r="FL202" s="66" t="str">
        <f t="shared" si="3258"/>
        <v/>
      </c>
      <c r="FM202" s="66" t="str">
        <f t="shared" si="3258"/>
        <v/>
      </c>
      <c r="FN202" s="66" t="str">
        <f t="shared" ref="FN202:FS202" si="3259">IF(CH202="","","|n"&amp;FN$2&amp;"+"&amp;CH202&amp;FN$1)</f>
        <v/>
      </c>
      <c r="FO202" s="66" t="str">
        <f t="shared" si="3259"/>
        <v/>
      </c>
      <c r="FP202" s="66" t="str">
        <f t="shared" si="3259"/>
        <v/>
      </c>
      <c r="FQ202" s="66" t="str">
        <f t="shared" si="3259"/>
        <v/>
      </c>
      <c r="FR202" s="66" t="str">
        <f t="shared" si="3259"/>
        <v/>
      </c>
      <c r="FS202" s="66" t="str">
        <f t="shared" si="3259"/>
        <v/>
      </c>
    </row>
    <row r="203" spans="1:175" ht="16.5">
      <c r="A203" s="15"/>
      <c r="B203" s="9" t="s">
        <v>714</v>
      </c>
      <c r="C203" s="15" t="s">
        <v>715</v>
      </c>
      <c r="T203" s="9" t="s">
        <v>716</v>
      </c>
      <c r="U203" s="77" t="s">
        <v>285</v>
      </c>
      <c r="CN203" s="36" t="str">
        <f t="shared" ref="CN203" si="3260">"InitUnitState('"&amp;B203&amp;"',"&amp;V203&amp;","&amp;W203&amp;","&amp;X203&amp;","&amp;Y203&amp;","&amp;Z203&amp;","&amp;AA203&amp;","&amp;AB203&amp;","&amp;AC203&amp;","&amp;AD203&amp;","&amp;AE203&amp;")"</f>
        <v>InitUnitState('IS13',,,,,,,,,,)</v>
      </c>
      <c r="CO203" s="36" t="str">
        <f t="shared" ref="CO203" si="3261">"InitUnitNormal('"&amp;B203&amp;"',"&amp;AF203&amp;","&amp;AG203&amp;","&amp;AH203&amp;","&amp;AI203&amp;","&amp;AJ203&amp;","&amp;AK203&amp;","&amp;AL203&amp;","&amp;AM203&amp;","&amp;AN203&amp;","&amp;AO203&amp;")"</f>
        <v>InitUnitNormal('IS13',,,,,,,,,,)</v>
      </c>
      <c r="CP203" s="36" t="str">
        <f t="shared" ref="CP203" si="3262">"InitUnitMagic('"&amp;B203&amp;"',"&amp;AP203&amp;","&amp;AQ203&amp;","&amp;AR203&amp;","&amp;AS203&amp;","&amp;AT203&amp;","&amp;AU203&amp;","&amp;AV203&amp;","&amp;AW203&amp;","&amp;BI203&amp;","&amp;BJ203&amp;")"</f>
        <v>InitUnitMagic('IS13',,,,,,,,,,)</v>
      </c>
      <c r="CQ203" s="36" t="str">
        <f t="shared" ref="CQ203" si="3263">"InitUnitAdd('"&amp;B203&amp;"',"&amp;BK203&amp;","&amp;BL203&amp;","&amp;BM203&amp;","&amp;BN203&amp;","&amp;BO203&amp;","&amp;BP203&amp;","&amp;BQ203&amp;","&amp;BR203&amp;","&amp;BS203&amp;","&amp;BT203&amp;")"</f>
        <v>InitUnitAdd('IS13',,,,,,,,,,)</v>
      </c>
      <c r="CR203" s="36" t="e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#REF!&amp;CR$1&amp;")"</f>
        <v>#REF!</v>
      </c>
      <c r="CU203" s="88" t="str">
        <f t="shared" ref="CU203:CU204" si="3264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04" si="3265">T203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03" s="33"/>
      <c r="CX203" s="33"/>
      <c r="CY203" s="33"/>
      <c r="CZ203" s="33"/>
      <c r="DA203" s="33"/>
      <c r="DB203" s="66" t="str">
        <f t="shared" ref="DB203" si="3266">IF(V203="","","|n"&amp;DB$2&amp;"+"&amp;V203&amp;DB$1)</f>
        <v/>
      </c>
      <c r="DC203" s="66" t="str">
        <f t="shared" ref="DC203" si="3267">IF(W203="","","|n"&amp;DC$2&amp;"+"&amp;W203&amp;DC$1)</f>
        <v/>
      </c>
      <c r="DD203" s="66" t="str">
        <f t="shared" ref="DD203" si="3268">IF(X203="","","|n"&amp;DD$2&amp;"+"&amp;X203&amp;DD$1)</f>
        <v/>
      </c>
      <c r="DE203" s="66" t="str">
        <f t="shared" ref="DE203" si="3269">IF(Y203="","","|n"&amp;DE$2&amp;"+"&amp;Y203&amp;DE$1)</f>
        <v/>
      </c>
      <c r="DF203" s="66" t="str">
        <f t="shared" ref="DF203" si="3270">IF(Z203="","","|n"&amp;DF$2&amp;"+"&amp;Z203&amp;DF$1)</f>
        <v/>
      </c>
      <c r="DG203" s="66" t="str">
        <f t="shared" ref="DG203" si="3271">IF(AA203="","","|n"&amp;DG$2&amp;"+"&amp;AA203&amp;DG$1)</f>
        <v/>
      </c>
      <c r="DH203" s="66" t="str">
        <f t="shared" ref="DH203" si="3272">IF(AB203="","","|n"&amp;DH$2&amp;"+"&amp;AB203&amp;DH$1)</f>
        <v/>
      </c>
      <c r="DI203" s="66" t="str">
        <f t="shared" ref="DI203" si="3273">IF(AC203="","","|n"&amp;DI$2&amp;"+"&amp;AC203&amp;DI$1)</f>
        <v/>
      </c>
      <c r="DJ203" s="66" t="str">
        <f t="shared" ref="DJ203" si="3274">IF(AD203="","","|n"&amp;DJ$2&amp;"+"&amp;AD203&amp;DJ$1)</f>
        <v/>
      </c>
      <c r="DK203" s="66" t="str">
        <f t="shared" ref="DK203" si="3275">IF(AE203="","","|n"&amp;DK$2&amp;"+"&amp;AE203&amp;DK$1)</f>
        <v/>
      </c>
      <c r="DL203" s="66" t="str">
        <f t="shared" ref="DL203" si="3276">IF(AF203="","","|n"&amp;DL$2&amp;"+"&amp;AF203&amp;DL$1)</f>
        <v/>
      </c>
      <c r="DM203" s="66" t="str">
        <f t="shared" ref="DM203" si="3277">IF(AG203="","","|n"&amp;DM$2&amp;"+"&amp;AG203&amp;DM$1)</f>
        <v/>
      </c>
      <c r="DN203" s="66" t="str">
        <f t="shared" ref="DN203" si="3278">IF(AH203="","","|n"&amp;DN$2&amp;"+"&amp;AH203&amp;DN$1)</f>
        <v/>
      </c>
      <c r="DO203" s="66" t="str">
        <f t="shared" ref="DO203" si="3279">IF(AI203="","","|n"&amp;DO$2&amp;"+"&amp;AI203&amp;DO$1)</f>
        <v/>
      </c>
      <c r="DP203" s="66" t="str">
        <f t="shared" ref="DP203" si="3280">IF(AJ203="","","|n"&amp;DP$2&amp;"+"&amp;AJ203&amp;DP$1)</f>
        <v/>
      </c>
      <c r="DQ203" s="66" t="str">
        <f t="shared" ref="DQ203" si="3281">IF(AK203="","","|n"&amp;DQ$2&amp;"+"&amp;AK203&amp;DQ$1)</f>
        <v/>
      </c>
      <c r="DR203" s="66" t="str">
        <f t="shared" ref="DR203" si="3282">IF(AL203="","","|n"&amp;DR$2&amp;"+"&amp;AL203&amp;DR$1)</f>
        <v/>
      </c>
      <c r="DS203" s="66" t="str">
        <f t="shared" ref="DS203" si="3283">IF(AM203="","","|n"&amp;DS$2&amp;"+"&amp;AM203&amp;DS$1)</f>
        <v/>
      </c>
      <c r="DT203" s="66" t="str">
        <f t="shared" ref="DT203" si="3284">IF(AN203="","","|n"&amp;DT$2&amp;"+"&amp;AN203&amp;DT$1)</f>
        <v/>
      </c>
      <c r="DU203" s="66" t="str">
        <f t="shared" ref="DU203" si="3285">IF(AO203="","","|n"&amp;DU$2&amp;"+"&amp;AO203&amp;DU$1)</f>
        <v/>
      </c>
      <c r="DV203" s="66" t="str">
        <f t="shared" ref="DV203" si="3286">IF(AP203="","","|n"&amp;DV$2&amp;"+"&amp;AP203&amp;DV$1)</f>
        <v/>
      </c>
      <c r="DW203" s="66" t="str">
        <f t="shared" ref="DW203" si="3287">IF(AQ203="","","|n"&amp;DW$2&amp;"+"&amp;AQ203&amp;DW$1)</f>
        <v/>
      </c>
      <c r="DX203" s="66" t="str">
        <f t="shared" ref="DX203" si="3288">IF(AR203="","","|n"&amp;DX$2&amp;"+"&amp;AR203&amp;DX$1)</f>
        <v/>
      </c>
      <c r="DY203" s="66" t="str">
        <f t="shared" ref="DY203" si="3289">IF(AS203="","","|n"&amp;DY$2&amp;"+"&amp;AS203&amp;DY$1)</f>
        <v/>
      </c>
      <c r="DZ203" s="66" t="str">
        <f t="shared" ref="DZ203" si="3290">IF(AT203="","","|n"&amp;DZ$2&amp;"+"&amp;AT203&amp;DZ$1)</f>
        <v/>
      </c>
      <c r="EA203" s="66" t="str">
        <f t="shared" ref="EA203" si="3291">IF(AU203="","","|n"&amp;EA$2&amp;"+"&amp;AU203&amp;EA$1)</f>
        <v/>
      </c>
      <c r="EB203" s="66" t="str">
        <f t="shared" ref="EB203" si="3292">IF(AV203="","","|n"&amp;EB$2&amp;"+"&amp;AV203&amp;EB$1)</f>
        <v/>
      </c>
      <c r="EC203" s="66" t="str">
        <f t="shared" ref="EC203" si="3293">IF(AW203="","","|n"&amp;EC$2&amp;"+"&amp;AW203&amp;EC$1)</f>
        <v/>
      </c>
      <c r="ED203" s="66" t="str">
        <f t="shared" ref="ED203" si="3294">IF(AX203="","","|n"&amp;ED$2&amp;"+"&amp;AX203&amp;ED$1)</f>
        <v/>
      </c>
      <c r="EE203" s="66" t="str">
        <f t="shared" ref="EE203" si="3295">IF(AY203="","","|n"&amp;EE$2&amp;"+"&amp;AY203&amp;EE$1)</f>
        <v/>
      </c>
      <c r="EF203" s="66" t="str">
        <f t="shared" ref="EF203" si="3296">IF(AZ203="","","|n"&amp;EF$2&amp;"+"&amp;AZ203&amp;EF$1)</f>
        <v/>
      </c>
      <c r="EG203" s="66" t="str">
        <f t="shared" ref="EG203" si="3297">IF(BA203="","","|n"&amp;EG$2&amp;"+"&amp;BA203&amp;EG$1)</f>
        <v/>
      </c>
      <c r="EH203" s="66" t="str">
        <f t="shared" ref="EH203" si="3298">IF(BB203="","","|n"&amp;EH$2&amp;"+"&amp;BB203&amp;EH$1)</f>
        <v/>
      </c>
      <c r="EI203" s="66" t="str">
        <f t="shared" ref="EI203" si="3299">IF(BC203="","","|n"&amp;EI$2&amp;"+"&amp;BC203&amp;EI$1)</f>
        <v/>
      </c>
      <c r="EJ203" s="66" t="str">
        <f t="shared" ref="EJ203" si="3300">IF(BD203="","","|n"&amp;EJ$2&amp;"+"&amp;BD203&amp;EJ$1)</f>
        <v/>
      </c>
      <c r="EK203" s="66" t="str">
        <f t="shared" ref="EK203" si="3301">IF(BE203="","","|n"&amp;EK$2&amp;"+"&amp;BE203&amp;EK$1)</f>
        <v/>
      </c>
      <c r="EL203" s="66" t="str">
        <f t="shared" ref="EL203" si="3302">IF(BF203="","","|n"&amp;EL$2&amp;"+"&amp;BF203&amp;EL$1)</f>
        <v/>
      </c>
      <c r="EM203" s="66" t="str">
        <f t="shared" ref="EM203" si="3303">IF(BG203="","","|n"&amp;EM$2&amp;"+"&amp;BG203&amp;EM$1)</f>
        <v/>
      </c>
      <c r="EN203" s="66" t="str">
        <f t="shared" ref="EN203" si="3304">IF(BH203="","","|n"&amp;EN$2&amp;"+"&amp;BH203&amp;EN$1)</f>
        <v/>
      </c>
      <c r="EO203" s="66" t="str">
        <f t="shared" ref="EO203" si="3305">IF(BI203="","","|n"&amp;EO$2&amp;"+"&amp;BI203&amp;EO$1)</f>
        <v/>
      </c>
      <c r="EP203" s="66" t="str">
        <f t="shared" ref="EP203" si="3306">IF(BJ203="","","|n"&amp;EP$2&amp;"+"&amp;BJ203&amp;EP$1)</f>
        <v/>
      </c>
      <c r="EQ203" s="66" t="str">
        <f t="shared" ref="EQ203" si="3307">IF(BK203="","","|n"&amp;EQ$2&amp;"+"&amp;BK203&amp;EQ$1)</f>
        <v/>
      </c>
      <c r="ER203" s="66" t="str">
        <f t="shared" ref="ER203" si="3308">IF(BL203="","","|n"&amp;ER$2&amp;"+"&amp;BL203&amp;ER$1)</f>
        <v/>
      </c>
      <c r="ES203" s="66" t="str">
        <f t="shared" ref="ES203" si="3309">IF(BM203="","","|n"&amp;ES$2&amp;"+"&amp;BM203&amp;ES$1)</f>
        <v/>
      </c>
      <c r="ET203" s="66" t="str">
        <f t="shared" ref="ET203" si="3310">IF(BN203="","","|n"&amp;ET$2&amp;"+"&amp;BN203&amp;ET$1)</f>
        <v/>
      </c>
      <c r="EU203" s="66" t="str">
        <f t="shared" ref="EU203" si="3311">IF(BO203="","","|n"&amp;EU$2&amp;"+"&amp;BO203&amp;EU$1)</f>
        <v/>
      </c>
      <c r="EV203" s="66" t="str">
        <f t="shared" ref="EV203" si="3312">IF(BP203="","","|n"&amp;EV$2&amp;"+"&amp;BP203&amp;EV$1)</f>
        <v/>
      </c>
      <c r="EW203" s="66" t="str">
        <f t="shared" ref="EW203" si="3313">IF(BQ203="","","|n"&amp;EW$2&amp;"+"&amp;BQ203&amp;EW$1)</f>
        <v/>
      </c>
      <c r="EX203" s="66" t="str">
        <f t="shared" ref="EX203" si="3314">IF(BR203="","","|n"&amp;EX$2&amp;"+"&amp;BR203&amp;EX$1)</f>
        <v/>
      </c>
      <c r="EY203" s="66" t="str">
        <f t="shared" ref="EY203" si="3315">IF(BS203="","","|n"&amp;EY$2&amp;"+"&amp;BS203&amp;EY$1)</f>
        <v/>
      </c>
      <c r="EZ203" s="66" t="str">
        <f t="shared" ref="EZ203" si="3316">IF(BT203="","","|n"&amp;EZ$2&amp;"+"&amp;BT203&amp;EZ$1)</f>
        <v/>
      </c>
      <c r="FA203" s="66" t="str">
        <f t="shared" ref="FA203" si="3317">IF(BU203="","","|n"&amp;FA$2&amp;"+"&amp;BU203&amp;FA$1)</f>
        <v/>
      </c>
      <c r="FB203" s="66" t="str">
        <f t="shared" ref="FB203" si="3318">IF(BV203="","","|n"&amp;FB$2&amp;"+"&amp;BV203&amp;FB$1)</f>
        <v/>
      </c>
      <c r="FC203" s="66" t="str">
        <f t="shared" ref="FC203" si="3319">IF(BW203="","","|n"&amp;FC$2&amp;"+"&amp;BW203&amp;FC$1)</f>
        <v/>
      </c>
      <c r="FD203" s="66" t="str">
        <f t="shared" ref="FD203" si="3320">IF(BX203="","","|n"&amp;FD$2&amp;"+"&amp;BX203&amp;FD$1)</f>
        <v/>
      </c>
      <c r="FE203" s="66" t="str">
        <f t="shared" ref="FE203" si="3321">IF(BY203="","","|n"&amp;FE$2&amp;"+"&amp;BY203&amp;FE$1)</f>
        <v/>
      </c>
      <c r="FF203" s="66" t="str">
        <f t="shared" ref="FF203" si="3322">IF(BZ203="","","|n"&amp;FF$2&amp;"+"&amp;BZ203&amp;FF$1)</f>
        <v/>
      </c>
      <c r="FG203" s="66" t="str">
        <f t="shared" ref="FG203" si="3323">IF(CA203="","","|n"&amp;FG$2&amp;"+"&amp;CA203&amp;FG$1)</f>
        <v/>
      </c>
      <c r="FH203" s="66" t="str">
        <f t="shared" ref="FH203" si="3324">IF(CB203="","","|n"&amp;FH$2&amp;"+"&amp;CB203&amp;FH$1)</f>
        <v/>
      </c>
      <c r="FI203" s="66" t="str">
        <f t="shared" ref="FI203" si="3325">IF(CC203="","","|n"&amp;FI$2&amp;"+"&amp;CC203&amp;FI$1)</f>
        <v/>
      </c>
      <c r="FJ203" s="66" t="str">
        <f t="shared" ref="FJ203" si="3326">IF(CD203="","","|n"&amp;FJ$2&amp;"+"&amp;CD203&amp;FJ$1)</f>
        <v/>
      </c>
      <c r="FK203" s="66" t="str">
        <f t="shared" ref="FK203" si="3327">IF(CE203="","","|n"&amp;FK$2&amp;"+"&amp;CE203&amp;FK$1)</f>
        <v/>
      </c>
      <c r="FL203" s="66" t="str">
        <f t="shared" ref="FL203" si="3328">IF(CF203="","","|n"&amp;FL$2&amp;"+"&amp;CF203&amp;FL$1)</f>
        <v/>
      </c>
      <c r="FM203" s="66" t="str">
        <f t="shared" ref="FM203" si="3329">IF(CG203="","","|n"&amp;FM$2&amp;"+"&amp;CG203&amp;FM$1)</f>
        <v/>
      </c>
      <c r="FN203" s="66" t="str">
        <f t="shared" ref="FN203" si="3330">IF(CH203="","","|n"&amp;FN$2&amp;"+"&amp;CH203&amp;FN$1)</f>
        <v/>
      </c>
      <c r="FO203" s="66" t="str">
        <f t="shared" ref="FO203" si="3331">IF(CI203="","","|n"&amp;FO$2&amp;"+"&amp;CI203&amp;FO$1)</f>
        <v/>
      </c>
      <c r="FP203" s="66" t="str">
        <f t="shared" ref="FP203" si="3332">IF(CJ203="","","|n"&amp;FP$2&amp;"+"&amp;CJ203&amp;FP$1)</f>
        <v/>
      </c>
      <c r="FQ203" s="66" t="str">
        <f t="shared" ref="FQ203" si="3333">IF(CK203="","","|n"&amp;FQ$2&amp;"+"&amp;CK203&amp;FQ$1)</f>
        <v/>
      </c>
      <c r="FR203" s="66" t="str">
        <f t="shared" ref="FR203" si="3334">IF(CL203="","","|n"&amp;FR$2&amp;"+"&amp;CL203&amp;FR$1)</f>
        <v/>
      </c>
      <c r="FS203" s="66" t="str">
        <f t="shared" ref="FS203" si="3335">IF(CM203="","","|n"&amp;FS$2&amp;"+"&amp;CM203&amp;FS$1)</f>
        <v/>
      </c>
    </row>
    <row r="204" spans="1:175" ht="16.5">
      <c r="A204" s="15"/>
      <c r="B204" s="9" t="s">
        <v>717</v>
      </c>
      <c r="C204" s="15" t="s">
        <v>718</v>
      </c>
      <c r="T204" s="15" t="s">
        <v>719</v>
      </c>
      <c r="U204" s="77" t="s">
        <v>720</v>
      </c>
      <c r="CN204" s="36" t="str">
        <f t="shared" ref="CN204:CN207" si="3336">"InitUnitState('"&amp;B204&amp;"',"&amp;V204&amp;","&amp;W204&amp;","&amp;X204&amp;","&amp;Y204&amp;","&amp;Z204&amp;","&amp;AA204&amp;","&amp;AB204&amp;","&amp;AC204&amp;","&amp;AD204&amp;","&amp;AE204&amp;")"</f>
        <v>InitUnitState('IS14',,,,,,,,,,)</v>
      </c>
      <c r="CO204" s="36" t="str">
        <f t="shared" ref="CO204:CO207" si="3337">"InitUnitNormal('"&amp;B204&amp;"',"&amp;AF204&amp;","&amp;AG204&amp;","&amp;AH204&amp;","&amp;AI204&amp;","&amp;AJ204&amp;","&amp;AK204&amp;","&amp;AL204&amp;","&amp;AM204&amp;","&amp;AN204&amp;","&amp;AO204&amp;")"</f>
        <v>InitUnitNormal('IS14',,,,,,,,,,)</v>
      </c>
      <c r="CP204" s="36" t="str">
        <f t="shared" ref="CP204:CP207" si="3338">"InitUnitMagic('"&amp;B204&amp;"',"&amp;AP204&amp;","&amp;AQ204&amp;","&amp;AR204&amp;","&amp;AS204&amp;","&amp;AT204&amp;","&amp;AU204&amp;","&amp;AV204&amp;","&amp;AW204&amp;","&amp;BI204&amp;","&amp;BJ204&amp;")"</f>
        <v>InitUnitMagic('IS14',,,,,,,,,,)</v>
      </c>
      <c r="CQ204" s="36" t="str">
        <f t="shared" ref="CQ204:CQ207" si="3339">"InitUnitAdd('"&amp;B204&amp;"',"&amp;BK204&amp;","&amp;BL204&amp;","&amp;BM204&amp;","&amp;BN204&amp;","&amp;BO204&amp;","&amp;BP204&amp;","&amp;BQ204&amp;","&amp;BR204&amp;","&amp;BS204&amp;","&amp;BT204&amp;")"</f>
        <v>InitUnitAdd('IS14',,,,,,,,,,)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192&amp;CR$1&amp;")"</f>
        <v>InitEquipData('IS14',,"",,,,,'','','','','','',"ReplaceableTextures\\CommandButtons\\BTNIN01.blp")</v>
      </c>
      <c r="CU204" s="88" t="str">
        <f t="shared" si="3264"/>
        <v>|n</v>
      </c>
      <c r="CV204" s="19" t="str">
        <f t="shared" si="3265"/>
        <v>|cffffcc00升级消耗：|r150+等级*150杀敌数|n|n|cff00ff7f最高升至10级|r</v>
      </c>
      <c r="CW204" s="33"/>
      <c r="CX204" s="33"/>
      <c r="CY204" s="33"/>
      <c r="CZ204" s="33"/>
      <c r="DA204" s="33"/>
      <c r="DB204" s="66" t="str">
        <f t="shared" ref="DB204:EG204" si="3340">IF(V204="","","|n"&amp;DB$2&amp;"+"&amp;V204&amp;DB$1)</f>
        <v/>
      </c>
      <c r="DC204" s="66" t="str">
        <f t="shared" si="3340"/>
        <v/>
      </c>
      <c r="DD204" s="66" t="str">
        <f t="shared" si="3340"/>
        <v/>
      </c>
      <c r="DE204" s="66" t="str">
        <f t="shared" si="3340"/>
        <v/>
      </c>
      <c r="DF204" s="66" t="str">
        <f t="shared" si="3340"/>
        <v/>
      </c>
      <c r="DG204" s="66" t="str">
        <f t="shared" si="3340"/>
        <v/>
      </c>
      <c r="DH204" s="66" t="str">
        <f t="shared" si="3340"/>
        <v/>
      </c>
      <c r="DI204" s="66" t="str">
        <f t="shared" si="3340"/>
        <v/>
      </c>
      <c r="DJ204" s="66" t="str">
        <f t="shared" si="3340"/>
        <v/>
      </c>
      <c r="DK204" s="66" t="str">
        <f t="shared" si="3340"/>
        <v/>
      </c>
      <c r="DL204" s="66" t="str">
        <f t="shared" si="3340"/>
        <v/>
      </c>
      <c r="DM204" s="66" t="str">
        <f t="shared" si="3340"/>
        <v/>
      </c>
      <c r="DN204" s="66" t="str">
        <f t="shared" si="3340"/>
        <v/>
      </c>
      <c r="DO204" s="66" t="str">
        <f t="shared" si="3340"/>
        <v/>
      </c>
      <c r="DP204" s="66" t="str">
        <f t="shared" si="3340"/>
        <v/>
      </c>
      <c r="DQ204" s="66" t="str">
        <f t="shared" si="3340"/>
        <v/>
      </c>
      <c r="DR204" s="66" t="str">
        <f t="shared" si="3340"/>
        <v/>
      </c>
      <c r="DS204" s="66" t="str">
        <f t="shared" si="3340"/>
        <v/>
      </c>
      <c r="DT204" s="66" t="str">
        <f t="shared" si="3340"/>
        <v/>
      </c>
      <c r="DU204" s="66" t="str">
        <f t="shared" si="3340"/>
        <v/>
      </c>
      <c r="DV204" s="66" t="str">
        <f t="shared" si="3340"/>
        <v/>
      </c>
      <c r="DW204" s="66" t="str">
        <f t="shared" si="3340"/>
        <v/>
      </c>
      <c r="DX204" s="66" t="str">
        <f t="shared" si="3340"/>
        <v/>
      </c>
      <c r="DY204" s="66" t="str">
        <f t="shared" si="3340"/>
        <v/>
      </c>
      <c r="DZ204" s="66" t="str">
        <f t="shared" si="3340"/>
        <v/>
      </c>
      <c r="EA204" s="66" t="str">
        <f t="shared" si="3340"/>
        <v/>
      </c>
      <c r="EB204" s="66" t="str">
        <f t="shared" si="3340"/>
        <v/>
      </c>
      <c r="EC204" s="66" t="str">
        <f t="shared" si="3340"/>
        <v/>
      </c>
      <c r="ED204" s="66" t="str">
        <f t="shared" si="3340"/>
        <v/>
      </c>
      <c r="EE204" s="66" t="str">
        <f t="shared" si="3340"/>
        <v/>
      </c>
      <c r="EF204" s="66" t="str">
        <f t="shared" si="3340"/>
        <v/>
      </c>
      <c r="EG204" s="66" t="str">
        <f t="shared" si="3340"/>
        <v/>
      </c>
      <c r="EH204" s="66" t="str">
        <f t="shared" ref="EH204:FM204" si="3341">IF(BB204="","","|n"&amp;EH$2&amp;"+"&amp;BB204&amp;EH$1)</f>
        <v/>
      </c>
      <c r="EI204" s="66" t="str">
        <f t="shared" si="3341"/>
        <v/>
      </c>
      <c r="EJ204" s="66" t="str">
        <f t="shared" si="3341"/>
        <v/>
      </c>
      <c r="EK204" s="66" t="str">
        <f t="shared" si="3341"/>
        <v/>
      </c>
      <c r="EL204" s="66" t="str">
        <f t="shared" si="3341"/>
        <v/>
      </c>
      <c r="EM204" s="66" t="str">
        <f t="shared" si="3341"/>
        <v/>
      </c>
      <c r="EN204" s="66" t="str">
        <f t="shared" si="3341"/>
        <v/>
      </c>
      <c r="EO204" s="66" t="str">
        <f t="shared" si="3341"/>
        <v/>
      </c>
      <c r="EP204" s="66" t="str">
        <f t="shared" si="3341"/>
        <v/>
      </c>
      <c r="EQ204" s="66" t="str">
        <f t="shared" si="3341"/>
        <v/>
      </c>
      <c r="ER204" s="66" t="str">
        <f t="shared" si="3341"/>
        <v/>
      </c>
      <c r="ES204" s="66" t="str">
        <f t="shared" si="3341"/>
        <v/>
      </c>
      <c r="ET204" s="66" t="str">
        <f t="shared" si="3341"/>
        <v/>
      </c>
      <c r="EU204" s="66" t="str">
        <f t="shared" si="3341"/>
        <v/>
      </c>
      <c r="EV204" s="66" t="str">
        <f t="shared" si="3341"/>
        <v/>
      </c>
      <c r="EW204" s="66" t="str">
        <f t="shared" si="3341"/>
        <v/>
      </c>
      <c r="EX204" s="66" t="str">
        <f t="shared" si="3341"/>
        <v/>
      </c>
      <c r="EY204" s="66" t="str">
        <f t="shared" si="3341"/>
        <v/>
      </c>
      <c r="EZ204" s="66" t="str">
        <f t="shared" si="3341"/>
        <v/>
      </c>
      <c r="FA204" s="66" t="str">
        <f t="shared" si="3341"/>
        <v/>
      </c>
      <c r="FB204" s="66" t="str">
        <f t="shared" si="3341"/>
        <v/>
      </c>
      <c r="FC204" s="66" t="str">
        <f t="shared" si="3341"/>
        <v/>
      </c>
      <c r="FD204" s="66" t="str">
        <f t="shared" si="3341"/>
        <v/>
      </c>
      <c r="FE204" s="66" t="str">
        <f t="shared" si="3341"/>
        <v/>
      </c>
      <c r="FF204" s="66" t="str">
        <f t="shared" si="3341"/>
        <v/>
      </c>
      <c r="FG204" s="66" t="str">
        <f t="shared" si="3341"/>
        <v/>
      </c>
      <c r="FH204" s="66" t="str">
        <f t="shared" si="3341"/>
        <v/>
      </c>
      <c r="FI204" s="66" t="str">
        <f t="shared" si="3341"/>
        <v/>
      </c>
      <c r="FJ204" s="66" t="str">
        <f t="shared" si="3341"/>
        <v/>
      </c>
      <c r="FK204" s="66" t="str">
        <f t="shared" si="3341"/>
        <v/>
      </c>
      <c r="FL204" s="66" t="str">
        <f t="shared" si="3341"/>
        <v/>
      </c>
      <c r="FM204" s="66" t="str">
        <f t="shared" si="3341"/>
        <v/>
      </c>
      <c r="FN204" s="66" t="str">
        <f t="shared" ref="FN204:FS204" si="3342">IF(CH204="","","|n"&amp;FN$2&amp;"+"&amp;CH204&amp;FN$1)</f>
        <v/>
      </c>
      <c r="FO204" s="66" t="str">
        <f t="shared" si="3342"/>
        <v/>
      </c>
      <c r="FP204" s="66" t="str">
        <f t="shared" si="3342"/>
        <v/>
      </c>
      <c r="FQ204" s="66" t="str">
        <f t="shared" si="3342"/>
        <v/>
      </c>
      <c r="FR204" s="66" t="str">
        <f t="shared" si="3342"/>
        <v/>
      </c>
      <c r="FS204" s="66" t="str">
        <f t="shared" si="3342"/>
        <v/>
      </c>
    </row>
    <row r="205" spans="1:175">
      <c r="A205" s="15"/>
      <c r="B205" s="27" t="s">
        <v>721</v>
      </c>
      <c r="C205" s="28" t="s">
        <v>722</v>
      </c>
      <c r="T205" s="29" t="s">
        <v>723</v>
      </c>
      <c r="U205" s="77" t="str">
        <f t="shared" ref="U205:U213" si="3343">"ReplaceableTextures\\CommandButtons\\BTN"&amp;B205&amp;".blp"</f>
        <v>ReplaceableTextures\\CommandButtons\\BTNIB01.blp</v>
      </c>
      <c r="CN205" s="36" t="str">
        <f t="shared" si="3336"/>
        <v>InitUnitState('IB01',,,,,,,,,,)</v>
      </c>
      <c r="CO205" s="36" t="str">
        <f t="shared" si="3337"/>
        <v>InitUnitNormal('IB01',,,,,,,,,,)</v>
      </c>
      <c r="CP205" s="36" t="str">
        <f t="shared" si="3338"/>
        <v>InitUnitMagic('IB01',,,,,,,,,,)</v>
      </c>
      <c r="CQ205" s="36" t="str">
        <f t="shared" si="3339"/>
        <v>InitUnitAdd('IB01',,,,,,,,,,)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InitEquipData('IB01',,"",,,,,'','','','','','',"ReplaceableTextures\\CommandButtons\\BTNIB02.blp")</v>
      </c>
      <c r="CU205" s="88" t="str">
        <f t="shared" ref="CU205:CU213" si="334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19" t="str">
        <f t="shared" ref="CV205:CV213" si="3345">T205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5" s="33"/>
      <c r="CX205" s="33"/>
      <c r="CY205" s="33"/>
      <c r="CZ205" s="33"/>
      <c r="DA205" s="33"/>
      <c r="DB205" s="66" t="str">
        <f t="shared" ref="DB205:DB212" si="3346">IF(V205="","","|n"&amp;DB$2&amp;"+"&amp;V205&amp;DB$1)</f>
        <v/>
      </c>
      <c r="DC205" s="66" t="str">
        <f t="shared" ref="DC205:DC212" si="3347">IF(W205="","","|n"&amp;DC$2&amp;"+"&amp;W205&amp;DC$1)</f>
        <v/>
      </c>
      <c r="DD205" s="66" t="str">
        <f t="shared" ref="DD205:DD212" si="3348">IF(X205="","","|n"&amp;DD$2&amp;"+"&amp;X205&amp;DD$1)</f>
        <v/>
      </c>
      <c r="DE205" s="66" t="str">
        <f t="shared" ref="DE205:DE212" si="3349">IF(Y205="","","|n"&amp;DE$2&amp;"+"&amp;Y205&amp;DE$1)</f>
        <v/>
      </c>
      <c r="DF205" s="66" t="str">
        <f t="shared" ref="DF205:DF212" si="3350">IF(Z205="","","|n"&amp;DF$2&amp;"+"&amp;Z205&amp;DF$1)</f>
        <v/>
      </c>
      <c r="DG205" s="66" t="str">
        <f t="shared" ref="DG205:DG212" si="3351">IF(AA205="","","|n"&amp;DG$2&amp;"+"&amp;AA205&amp;DG$1)</f>
        <v/>
      </c>
      <c r="DH205" s="66" t="str">
        <f t="shared" ref="DH205:DH212" si="3352">IF(AB205="","","|n"&amp;DH$2&amp;"+"&amp;AB205&amp;DH$1)</f>
        <v/>
      </c>
      <c r="DI205" s="66" t="str">
        <f t="shared" ref="DI205:DI212" si="3353">IF(AC205="","","|n"&amp;DI$2&amp;"+"&amp;AC205&amp;DI$1)</f>
        <v/>
      </c>
      <c r="DJ205" s="66" t="str">
        <f t="shared" ref="DJ205:DJ212" si="3354">IF(AD205="","","|n"&amp;DJ$2&amp;"+"&amp;AD205&amp;DJ$1)</f>
        <v/>
      </c>
      <c r="DK205" s="66" t="str">
        <f t="shared" ref="DK205:DK212" si="3355">IF(AE205="","","|n"&amp;DK$2&amp;"+"&amp;AE205&amp;DK$1)</f>
        <v/>
      </c>
      <c r="DL205" s="66" t="str">
        <f t="shared" ref="DL205:DL212" si="3356">IF(AF205="","","|n"&amp;DL$2&amp;"+"&amp;AF205&amp;DL$1)</f>
        <v/>
      </c>
      <c r="DM205" s="66" t="str">
        <f t="shared" ref="DM205:DM212" si="3357">IF(AG205="","","|n"&amp;DM$2&amp;"+"&amp;AG205&amp;DM$1)</f>
        <v/>
      </c>
      <c r="DN205" s="66" t="str">
        <f t="shared" ref="DN205:DN212" si="3358">IF(AH205="","","|n"&amp;DN$2&amp;"+"&amp;AH205&amp;DN$1)</f>
        <v/>
      </c>
      <c r="DO205" s="66" t="str">
        <f t="shared" ref="DO205:DO212" si="3359">IF(AI205="","","|n"&amp;DO$2&amp;"+"&amp;AI205&amp;DO$1)</f>
        <v/>
      </c>
      <c r="DP205" s="66" t="str">
        <f t="shared" ref="DP205:DP212" si="3360">IF(AJ205="","","|n"&amp;DP$2&amp;"+"&amp;AJ205&amp;DP$1)</f>
        <v/>
      </c>
      <c r="DQ205" s="66" t="str">
        <f t="shared" ref="DQ205:DQ212" si="3361">IF(AK205="","","|n"&amp;DQ$2&amp;"+"&amp;AK205&amp;DQ$1)</f>
        <v/>
      </c>
      <c r="DR205" s="66" t="str">
        <f t="shared" ref="DR205:DR212" si="3362">IF(AL205="","","|n"&amp;DR$2&amp;"+"&amp;AL205&amp;DR$1)</f>
        <v/>
      </c>
      <c r="DS205" s="66" t="str">
        <f t="shared" ref="DS205:DS212" si="3363">IF(AM205="","","|n"&amp;DS$2&amp;"+"&amp;AM205&amp;DS$1)</f>
        <v/>
      </c>
      <c r="DT205" s="66" t="str">
        <f t="shared" ref="DT205:DT212" si="3364">IF(AN205="","","|n"&amp;DT$2&amp;"+"&amp;AN205&amp;DT$1)</f>
        <v/>
      </c>
      <c r="DU205" s="66" t="str">
        <f t="shared" ref="DU205:DU212" si="3365">IF(AO205="","","|n"&amp;DU$2&amp;"+"&amp;AO205&amp;DU$1)</f>
        <v/>
      </c>
      <c r="DV205" s="66" t="str">
        <f t="shared" ref="DV205:DV212" si="3366">IF(AP205="","","|n"&amp;DV$2&amp;"+"&amp;AP205&amp;DV$1)</f>
        <v/>
      </c>
      <c r="DW205" s="66" t="str">
        <f t="shared" ref="DW205:DW212" si="3367">IF(AQ205="","","|n"&amp;DW$2&amp;"+"&amp;AQ205&amp;DW$1)</f>
        <v/>
      </c>
      <c r="DX205" s="66" t="str">
        <f t="shared" ref="DX205:DX212" si="3368">IF(AR205="","","|n"&amp;DX$2&amp;"+"&amp;AR205&amp;DX$1)</f>
        <v/>
      </c>
      <c r="DY205" s="66" t="str">
        <f t="shared" ref="DY205:DY212" si="3369">IF(AS205="","","|n"&amp;DY$2&amp;"+"&amp;AS205&amp;DY$1)</f>
        <v/>
      </c>
      <c r="DZ205" s="66" t="str">
        <f t="shared" ref="DZ205:DZ212" si="3370">IF(AT205="","","|n"&amp;DZ$2&amp;"+"&amp;AT205&amp;DZ$1)</f>
        <v/>
      </c>
      <c r="EA205" s="66" t="str">
        <f t="shared" ref="EA205:EA212" si="3371">IF(AU205="","","|n"&amp;EA$2&amp;"+"&amp;AU205&amp;EA$1)</f>
        <v/>
      </c>
      <c r="EB205" s="66" t="str">
        <f t="shared" ref="EB205:EB212" si="3372">IF(AV205="","","|n"&amp;EB$2&amp;"+"&amp;AV205&amp;EB$1)</f>
        <v/>
      </c>
      <c r="EC205" s="66" t="str">
        <f t="shared" ref="EC205:EC212" si="3373">IF(AW205="","","|n"&amp;EC$2&amp;"+"&amp;AW205&amp;EC$1)</f>
        <v/>
      </c>
      <c r="ED205" s="66" t="str">
        <f t="shared" ref="ED205:ED212" si="3374">IF(AX205="","","|n"&amp;ED$2&amp;"+"&amp;AX205&amp;ED$1)</f>
        <v/>
      </c>
      <c r="EE205" s="66" t="str">
        <f t="shared" ref="EE205:EE212" si="3375">IF(AY205="","","|n"&amp;EE$2&amp;"+"&amp;AY205&amp;EE$1)</f>
        <v/>
      </c>
      <c r="EF205" s="66" t="str">
        <f t="shared" ref="EF205:EF212" si="3376">IF(AZ205="","","|n"&amp;EF$2&amp;"+"&amp;AZ205&amp;EF$1)</f>
        <v/>
      </c>
      <c r="EG205" s="66" t="str">
        <f t="shared" ref="EG205:EG212" si="3377">IF(BA205="","","|n"&amp;EG$2&amp;"+"&amp;BA205&amp;EG$1)</f>
        <v/>
      </c>
      <c r="EH205" s="66" t="str">
        <f t="shared" ref="EH205:EH212" si="3378">IF(BB205="","","|n"&amp;EH$2&amp;"+"&amp;BB205&amp;EH$1)</f>
        <v/>
      </c>
      <c r="EI205" s="66" t="str">
        <f t="shared" ref="EI205:EI212" si="3379">IF(BC205="","","|n"&amp;EI$2&amp;"+"&amp;BC205&amp;EI$1)</f>
        <v/>
      </c>
      <c r="EJ205" s="66" t="str">
        <f t="shared" ref="EJ205:EJ212" si="3380">IF(BD205="","","|n"&amp;EJ$2&amp;"+"&amp;BD205&amp;EJ$1)</f>
        <v/>
      </c>
      <c r="EK205" s="66" t="str">
        <f t="shared" ref="EK205:EK212" si="3381">IF(BE205="","","|n"&amp;EK$2&amp;"+"&amp;BE205&amp;EK$1)</f>
        <v/>
      </c>
      <c r="EL205" s="66" t="str">
        <f t="shared" ref="EL205:EL212" si="3382">IF(BF205="","","|n"&amp;EL$2&amp;"+"&amp;BF205&amp;EL$1)</f>
        <v/>
      </c>
      <c r="EM205" s="66" t="str">
        <f t="shared" ref="EM205:EM212" si="3383">IF(BG205="","","|n"&amp;EM$2&amp;"+"&amp;BG205&amp;EM$1)</f>
        <v/>
      </c>
      <c r="EN205" s="66" t="str">
        <f t="shared" ref="EN205:EN212" si="3384">IF(BH205="","","|n"&amp;EN$2&amp;"+"&amp;BH205&amp;EN$1)</f>
        <v/>
      </c>
      <c r="EO205" s="66" t="str">
        <f t="shared" ref="EO205:EO212" si="3385">IF(BI205="","","|n"&amp;EO$2&amp;"+"&amp;BI205&amp;EO$1)</f>
        <v/>
      </c>
      <c r="EP205" s="66" t="str">
        <f t="shared" ref="EP205:EP212" si="3386">IF(BJ205="","","|n"&amp;EP$2&amp;"+"&amp;BJ205&amp;EP$1)</f>
        <v/>
      </c>
      <c r="EQ205" s="66" t="str">
        <f t="shared" ref="EQ205:EQ212" si="3387">IF(BK205="","","|n"&amp;EQ$2&amp;"+"&amp;BK205&amp;EQ$1)</f>
        <v/>
      </c>
      <c r="ER205" s="66" t="str">
        <f t="shared" ref="ER205:ER212" si="3388">IF(BL205="","","|n"&amp;ER$2&amp;"+"&amp;BL205&amp;ER$1)</f>
        <v/>
      </c>
      <c r="ES205" s="66" t="str">
        <f t="shared" ref="ES205:ES212" si="3389">IF(BM205="","","|n"&amp;ES$2&amp;"+"&amp;BM205&amp;ES$1)</f>
        <v/>
      </c>
      <c r="ET205" s="66" t="str">
        <f t="shared" ref="ET205:ET212" si="3390">IF(BN205="","","|n"&amp;ET$2&amp;"+"&amp;BN205&amp;ET$1)</f>
        <v/>
      </c>
      <c r="EU205" s="66" t="str">
        <f t="shared" ref="EU205:EU212" si="3391">IF(BO205="","","|n"&amp;EU$2&amp;"+"&amp;BO205&amp;EU$1)</f>
        <v/>
      </c>
      <c r="EV205" s="66" t="str">
        <f t="shared" ref="EV205:EV212" si="3392">IF(BP205="","","|n"&amp;EV$2&amp;"+"&amp;BP205&amp;EV$1)</f>
        <v/>
      </c>
      <c r="EW205" s="66" t="str">
        <f t="shared" ref="EW205:EW212" si="3393">IF(BQ205="","","|n"&amp;EW$2&amp;"+"&amp;BQ205&amp;EW$1)</f>
        <v/>
      </c>
      <c r="EX205" s="66" t="str">
        <f t="shared" ref="EX205:EX212" si="3394">IF(BR205="","","|n"&amp;EX$2&amp;"+"&amp;BR205&amp;EX$1)</f>
        <v/>
      </c>
      <c r="EY205" s="66" t="str">
        <f t="shared" ref="EY205:EY212" si="3395">IF(BS205="","","|n"&amp;EY$2&amp;"+"&amp;BS205&amp;EY$1)</f>
        <v/>
      </c>
      <c r="EZ205" s="66" t="str">
        <f t="shared" ref="EZ205:EZ212" si="3396">IF(BT205="","","|n"&amp;EZ$2&amp;"+"&amp;BT205&amp;EZ$1)</f>
        <v/>
      </c>
      <c r="FA205" s="66" t="str">
        <f t="shared" ref="FA205:FA212" si="3397">IF(BU205="","","|n"&amp;FA$2&amp;"+"&amp;BU205&amp;FA$1)</f>
        <v/>
      </c>
      <c r="FB205" s="66" t="str">
        <f t="shared" ref="FB205:FB212" si="3398">IF(BV205="","","|n"&amp;FB$2&amp;"+"&amp;BV205&amp;FB$1)</f>
        <v/>
      </c>
      <c r="FC205" s="66" t="str">
        <f t="shared" ref="FC205:FC212" si="3399">IF(BW205="","","|n"&amp;FC$2&amp;"+"&amp;BW205&amp;FC$1)</f>
        <v/>
      </c>
      <c r="FD205" s="66" t="str">
        <f t="shared" ref="FD205:FD212" si="3400">IF(BX205="","","|n"&amp;FD$2&amp;"+"&amp;BX205&amp;FD$1)</f>
        <v/>
      </c>
      <c r="FE205" s="66" t="str">
        <f t="shared" ref="FE205:FE212" si="3401">IF(BY205="","","|n"&amp;FE$2&amp;"+"&amp;BY205&amp;FE$1)</f>
        <v/>
      </c>
      <c r="FF205" s="66" t="str">
        <f t="shared" ref="FF205:FF212" si="3402">IF(BZ205="","","|n"&amp;FF$2&amp;"+"&amp;BZ205&amp;FF$1)</f>
        <v/>
      </c>
      <c r="FG205" s="66" t="str">
        <f t="shared" ref="FG205:FG212" si="3403">IF(CA205="","","|n"&amp;FG$2&amp;"+"&amp;CA205&amp;FG$1)</f>
        <v/>
      </c>
      <c r="FH205" s="66" t="str">
        <f t="shared" ref="FH205:FH212" si="3404">IF(CB205="","","|n"&amp;FH$2&amp;"+"&amp;CB205&amp;FH$1)</f>
        <v/>
      </c>
      <c r="FI205" s="66" t="str">
        <f t="shared" ref="FI205:FI212" si="3405">IF(CC205="","","|n"&amp;FI$2&amp;"+"&amp;CC205&amp;FI$1)</f>
        <v/>
      </c>
      <c r="FJ205" s="66" t="str">
        <f t="shared" ref="FJ205:FJ212" si="3406">IF(CD205="","","|n"&amp;FJ$2&amp;"+"&amp;CD205&amp;FJ$1)</f>
        <v/>
      </c>
      <c r="FK205" s="66" t="str">
        <f t="shared" ref="FK205:FK212" si="3407">IF(CE205="","","|n"&amp;FK$2&amp;"+"&amp;CE205&amp;FK$1)</f>
        <v/>
      </c>
      <c r="FL205" s="66" t="str">
        <f t="shared" ref="FL205:FL212" si="3408">IF(CF205="","","|n"&amp;FL$2&amp;"+"&amp;CF205&amp;FL$1)</f>
        <v/>
      </c>
      <c r="FM205" s="66" t="str">
        <f t="shared" ref="FM205:FM212" si="3409">IF(CG205="","","|n"&amp;FM$2&amp;"+"&amp;CG205&amp;FM$1)</f>
        <v/>
      </c>
      <c r="FN205" s="66" t="str">
        <f t="shared" ref="FN205:FN212" si="3410">IF(CH205="","","|n"&amp;FN$2&amp;"+"&amp;CH205&amp;FN$1)</f>
        <v/>
      </c>
      <c r="FO205" s="66" t="str">
        <f t="shared" ref="FO205:FO212" si="3411">IF(CI205="","","|n"&amp;FO$2&amp;"+"&amp;CI205&amp;FO$1)</f>
        <v/>
      </c>
      <c r="FP205" s="66" t="str">
        <f t="shared" ref="FP205:FP212" si="3412">IF(CJ205="","","|n"&amp;FP$2&amp;"+"&amp;CJ205&amp;FP$1)</f>
        <v/>
      </c>
      <c r="FQ205" s="66" t="str">
        <f t="shared" ref="FQ205:FQ212" si="3413">IF(CK205="","","|n"&amp;FQ$2&amp;"+"&amp;CK205&amp;FQ$1)</f>
        <v/>
      </c>
      <c r="FR205" s="66" t="str">
        <f t="shared" ref="FR205:FR212" si="3414">IF(CL205="","","|n"&amp;FR$2&amp;"+"&amp;CL205&amp;FR$1)</f>
        <v/>
      </c>
      <c r="FS205" s="66" t="str">
        <f t="shared" ref="FS205:FS212" si="3415">IF(CM205="","","|n"&amp;FS$2&amp;"+"&amp;CM205&amp;FS$1)</f>
        <v/>
      </c>
    </row>
    <row r="206" spans="1:175">
      <c r="A206" s="15"/>
      <c r="B206" s="27" t="s">
        <v>724</v>
      </c>
      <c r="C206" s="28" t="s">
        <v>725</v>
      </c>
      <c r="T206" s="29" t="s">
        <v>726</v>
      </c>
      <c r="U206" s="77" t="str">
        <f t="shared" si="3343"/>
        <v>ReplaceableTextures\\CommandButtons\\BTNIB02.blp</v>
      </c>
      <c r="CN206" s="36" t="str">
        <f t="shared" si="3336"/>
        <v>InitUnitState('IB02',,,,,,,,,,)</v>
      </c>
      <c r="CO206" s="36" t="str">
        <f t="shared" si="3337"/>
        <v>InitUnitNormal('IB02',,,,,,,,,,)</v>
      </c>
      <c r="CP206" s="36" t="str">
        <f t="shared" si="3338"/>
        <v>InitUnitMagic('IB02',,,,,,,,,,)</v>
      </c>
      <c r="CQ206" s="36" t="str">
        <f t="shared" si="3339"/>
        <v>InitUnitAdd('IB02',,,,,,,,,,)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InitEquipData('IB02',,"",,,,,'','','','','','',"ReplaceableTextures\\CommandButtons\\BTNIB03.blp")</v>
      </c>
      <c r="CU206" s="88" t="str">
        <f t="shared" si="3344"/>
        <v>|n</v>
      </c>
      <c r="CV206" s="19" t="str">
        <f t="shared" si="3345"/>
        <v>加入《|cff00ffcc全民封神|r》官方QQ群，即可获得入群礼包码！|n|n输入礼包码即可获得：|n|cff00ff7f招魂幡Lv2|r</v>
      </c>
      <c r="CW206" s="33"/>
      <c r="CX206" s="33"/>
      <c r="CY206" s="33"/>
      <c r="CZ206" s="33"/>
      <c r="DA206" s="33"/>
      <c r="DB206" s="66" t="str">
        <f t="shared" si="3346"/>
        <v/>
      </c>
      <c r="DC206" s="66" t="str">
        <f t="shared" si="3347"/>
        <v/>
      </c>
      <c r="DD206" s="66" t="str">
        <f t="shared" si="3348"/>
        <v/>
      </c>
      <c r="DE206" s="66" t="str">
        <f t="shared" si="3349"/>
        <v/>
      </c>
      <c r="DF206" s="66" t="str">
        <f t="shared" si="3350"/>
        <v/>
      </c>
      <c r="DG206" s="66" t="str">
        <f t="shared" si="3351"/>
        <v/>
      </c>
      <c r="DH206" s="66" t="str">
        <f t="shared" si="3352"/>
        <v/>
      </c>
      <c r="DI206" s="66" t="str">
        <f t="shared" si="3353"/>
        <v/>
      </c>
      <c r="DJ206" s="66" t="str">
        <f t="shared" si="3354"/>
        <v/>
      </c>
      <c r="DK206" s="66" t="str">
        <f t="shared" si="3355"/>
        <v/>
      </c>
      <c r="DL206" s="66" t="str">
        <f t="shared" si="3356"/>
        <v/>
      </c>
      <c r="DM206" s="66" t="str">
        <f t="shared" si="3357"/>
        <v/>
      </c>
      <c r="DN206" s="66" t="str">
        <f t="shared" si="3358"/>
        <v/>
      </c>
      <c r="DO206" s="66" t="str">
        <f t="shared" si="3359"/>
        <v/>
      </c>
      <c r="DP206" s="66" t="str">
        <f t="shared" si="3360"/>
        <v/>
      </c>
      <c r="DQ206" s="66" t="str">
        <f t="shared" si="3361"/>
        <v/>
      </c>
      <c r="DR206" s="66" t="str">
        <f t="shared" si="3362"/>
        <v/>
      </c>
      <c r="DS206" s="66" t="str">
        <f t="shared" si="3363"/>
        <v/>
      </c>
      <c r="DT206" s="66" t="str">
        <f t="shared" si="3364"/>
        <v/>
      </c>
      <c r="DU206" s="66" t="str">
        <f t="shared" si="3365"/>
        <v/>
      </c>
      <c r="DV206" s="66" t="str">
        <f t="shared" si="3366"/>
        <v/>
      </c>
      <c r="DW206" s="66" t="str">
        <f t="shared" si="3367"/>
        <v/>
      </c>
      <c r="DX206" s="66" t="str">
        <f t="shared" si="3368"/>
        <v/>
      </c>
      <c r="DY206" s="66" t="str">
        <f t="shared" si="3369"/>
        <v/>
      </c>
      <c r="DZ206" s="66" t="str">
        <f t="shared" si="3370"/>
        <v/>
      </c>
      <c r="EA206" s="66" t="str">
        <f t="shared" si="3371"/>
        <v/>
      </c>
      <c r="EB206" s="66" t="str">
        <f t="shared" si="3372"/>
        <v/>
      </c>
      <c r="EC206" s="66" t="str">
        <f t="shared" si="3373"/>
        <v/>
      </c>
      <c r="ED206" s="66" t="str">
        <f t="shared" si="3374"/>
        <v/>
      </c>
      <c r="EE206" s="66" t="str">
        <f t="shared" si="3375"/>
        <v/>
      </c>
      <c r="EF206" s="66" t="str">
        <f t="shared" si="3376"/>
        <v/>
      </c>
      <c r="EG206" s="66" t="str">
        <f t="shared" si="3377"/>
        <v/>
      </c>
      <c r="EH206" s="66" t="str">
        <f t="shared" si="3378"/>
        <v/>
      </c>
      <c r="EI206" s="66" t="str">
        <f t="shared" si="3379"/>
        <v/>
      </c>
      <c r="EJ206" s="66" t="str">
        <f t="shared" si="3380"/>
        <v/>
      </c>
      <c r="EK206" s="66" t="str">
        <f t="shared" si="3381"/>
        <v/>
      </c>
      <c r="EL206" s="66" t="str">
        <f t="shared" si="3382"/>
        <v/>
      </c>
      <c r="EM206" s="66" t="str">
        <f t="shared" si="3383"/>
        <v/>
      </c>
      <c r="EN206" s="66" t="str">
        <f t="shared" si="3384"/>
        <v/>
      </c>
      <c r="EO206" s="66" t="str">
        <f t="shared" si="3385"/>
        <v/>
      </c>
      <c r="EP206" s="66" t="str">
        <f t="shared" si="3386"/>
        <v/>
      </c>
      <c r="EQ206" s="66" t="str">
        <f t="shared" si="3387"/>
        <v/>
      </c>
      <c r="ER206" s="66" t="str">
        <f t="shared" si="3388"/>
        <v/>
      </c>
      <c r="ES206" s="66" t="str">
        <f t="shared" si="3389"/>
        <v/>
      </c>
      <c r="ET206" s="66" t="str">
        <f t="shared" si="3390"/>
        <v/>
      </c>
      <c r="EU206" s="66" t="str">
        <f t="shared" si="3391"/>
        <v/>
      </c>
      <c r="EV206" s="66" t="str">
        <f t="shared" si="3392"/>
        <v/>
      </c>
      <c r="EW206" s="66" t="str">
        <f t="shared" si="3393"/>
        <v/>
      </c>
      <c r="EX206" s="66" t="str">
        <f t="shared" si="3394"/>
        <v/>
      </c>
      <c r="EY206" s="66" t="str">
        <f t="shared" si="3395"/>
        <v/>
      </c>
      <c r="EZ206" s="66" t="str">
        <f t="shared" si="3396"/>
        <v/>
      </c>
      <c r="FA206" s="66" t="str">
        <f t="shared" si="3397"/>
        <v/>
      </c>
      <c r="FB206" s="66" t="str">
        <f t="shared" si="3398"/>
        <v/>
      </c>
      <c r="FC206" s="66" t="str">
        <f t="shared" si="3399"/>
        <v/>
      </c>
      <c r="FD206" s="66" t="str">
        <f t="shared" si="3400"/>
        <v/>
      </c>
      <c r="FE206" s="66" t="str">
        <f t="shared" si="3401"/>
        <v/>
      </c>
      <c r="FF206" s="66" t="str">
        <f t="shared" si="3402"/>
        <v/>
      </c>
      <c r="FG206" s="66" t="str">
        <f t="shared" si="3403"/>
        <v/>
      </c>
      <c r="FH206" s="66" t="str">
        <f t="shared" si="3404"/>
        <v/>
      </c>
      <c r="FI206" s="66" t="str">
        <f t="shared" si="3405"/>
        <v/>
      </c>
      <c r="FJ206" s="66" t="str">
        <f t="shared" si="3406"/>
        <v/>
      </c>
      <c r="FK206" s="66" t="str">
        <f t="shared" si="3407"/>
        <v/>
      </c>
      <c r="FL206" s="66" t="str">
        <f t="shared" si="3408"/>
        <v/>
      </c>
      <c r="FM206" s="66" t="str">
        <f t="shared" si="3409"/>
        <v/>
      </c>
      <c r="FN206" s="66" t="str">
        <f t="shared" si="3410"/>
        <v/>
      </c>
      <c r="FO206" s="66" t="str">
        <f t="shared" si="3411"/>
        <v/>
      </c>
      <c r="FP206" s="66" t="str">
        <f t="shared" si="3412"/>
        <v/>
      </c>
      <c r="FQ206" s="66" t="str">
        <f t="shared" si="3413"/>
        <v/>
      </c>
      <c r="FR206" s="66" t="str">
        <f t="shared" si="3414"/>
        <v/>
      </c>
      <c r="FS206" s="66" t="str">
        <f t="shared" si="3415"/>
        <v/>
      </c>
    </row>
    <row r="207" spans="1:175">
      <c r="A207" s="15"/>
      <c r="B207" s="27" t="s">
        <v>727</v>
      </c>
      <c r="C207" s="28" t="s">
        <v>728</v>
      </c>
      <c r="T207" s="29" t="s">
        <v>729</v>
      </c>
      <c r="U207" s="77" t="str">
        <f t="shared" si="3343"/>
        <v>ReplaceableTextures\\CommandButtons\\BTNIB03.blp</v>
      </c>
      <c r="CN207" s="36" t="str">
        <f t="shared" si="3336"/>
        <v>InitUnitState('IB03',,,,,,,,,,)</v>
      </c>
      <c r="CO207" s="36" t="str">
        <f t="shared" si="3337"/>
        <v>InitUnitNormal('IB03',,,,,,,,,,)</v>
      </c>
      <c r="CP207" s="36" t="str">
        <f t="shared" si="3338"/>
        <v>InitUnitMagic('IB03',,,,,,,,,,)</v>
      </c>
      <c r="CQ207" s="36" t="str">
        <f t="shared" si="3339"/>
        <v>InitUnitAdd('IB03',,,,,,,,,,)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InitEquipData('IB03',,"",,,,,'','','','','','',"ReplaceableTextures\\CommandButtons\\BTNIB04.blp")</v>
      </c>
      <c r="CU207" s="88" t="str">
        <f t="shared" si="3344"/>
        <v>|n</v>
      </c>
      <c r="CV207" s="19" t="str">
        <f t="shared" si="3345"/>
        <v>|cff99ccff给与地图有效评论建议|r即可领取：|n|cffffff00杀敌生命+5+3*通行证等级|n杀敌业力+1|n|n|r|cff808080地图等级达到3级可领取|r</v>
      </c>
      <c r="CW207" s="33"/>
      <c r="CX207" s="33"/>
      <c r="CY207" s="33"/>
      <c r="CZ207" s="33"/>
      <c r="DA207" s="33"/>
      <c r="DB207" s="66" t="str">
        <f t="shared" si="3346"/>
        <v/>
      </c>
      <c r="DC207" s="66" t="str">
        <f t="shared" si="3347"/>
        <v/>
      </c>
      <c r="DD207" s="66" t="str">
        <f t="shared" si="3348"/>
        <v/>
      </c>
      <c r="DE207" s="66" t="str">
        <f t="shared" si="3349"/>
        <v/>
      </c>
      <c r="DF207" s="66" t="str">
        <f t="shared" si="3350"/>
        <v/>
      </c>
      <c r="DG207" s="66" t="str">
        <f t="shared" si="3351"/>
        <v/>
      </c>
      <c r="DH207" s="66" t="str">
        <f t="shared" si="3352"/>
        <v/>
      </c>
      <c r="DI207" s="66" t="str">
        <f t="shared" si="3353"/>
        <v/>
      </c>
      <c r="DJ207" s="66" t="str">
        <f t="shared" si="3354"/>
        <v/>
      </c>
      <c r="DK207" s="66" t="str">
        <f t="shared" si="3355"/>
        <v/>
      </c>
      <c r="DL207" s="66" t="str">
        <f t="shared" si="3356"/>
        <v/>
      </c>
      <c r="DM207" s="66" t="str">
        <f t="shared" si="3357"/>
        <v/>
      </c>
      <c r="DN207" s="66" t="str">
        <f t="shared" si="3358"/>
        <v/>
      </c>
      <c r="DO207" s="66" t="str">
        <f t="shared" si="3359"/>
        <v/>
      </c>
      <c r="DP207" s="66" t="str">
        <f t="shared" si="3360"/>
        <v/>
      </c>
      <c r="DQ207" s="66" t="str">
        <f t="shared" si="3361"/>
        <v/>
      </c>
      <c r="DR207" s="66" t="str">
        <f t="shared" si="3362"/>
        <v/>
      </c>
      <c r="DS207" s="66" t="str">
        <f t="shared" si="3363"/>
        <v/>
      </c>
      <c r="DT207" s="66" t="str">
        <f t="shared" si="3364"/>
        <v/>
      </c>
      <c r="DU207" s="66" t="str">
        <f t="shared" si="3365"/>
        <v/>
      </c>
      <c r="DV207" s="66" t="str">
        <f t="shared" si="3366"/>
        <v/>
      </c>
      <c r="DW207" s="66" t="str">
        <f t="shared" si="3367"/>
        <v/>
      </c>
      <c r="DX207" s="66" t="str">
        <f t="shared" si="3368"/>
        <v/>
      </c>
      <c r="DY207" s="66" t="str">
        <f t="shared" si="3369"/>
        <v/>
      </c>
      <c r="DZ207" s="66" t="str">
        <f t="shared" si="3370"/>
        <v/>
      </c>
      <c r="EA207" s="66" t="str">
        <f t="shared" si="3371"/>
        <v/>
      </c>
      <c r="EB207" s="66" t="str">
        <f t="shared" si="3372"/>
        <v/>
      </c>
      <c r="EC207" s="66" t="str">
        <f t="shared" si="3373"/>
        <v/>
      </c>
      <c r="ED207" s="66" t="str">
        <f t="shared" si="3374"/>
        <v/>
      </c>
      <c r="EE207" s="66" t="str">
        <f t="shared" si="3375"/>
        <v/>
      </c>
      <c r="EF207" s="66" t="str">
        <f t="shared" si="3376"/>
        <v/>
      </c>
      <c r="EG207" s="66" t="str">
        <f t="shared" si="3377"/>
        <v/>
      </c>
      <c r="EH207" s="66" t="str">
        <f t="shared" si="3378"/>
        <v/>
      </c>
      <c r="EI207" s="66" t="str">
        <f t="shared" si="3379"/>
        <v/>
      </c>
      <c r="EJ207" s="66" t="str">
        <f t="shared" si="3380"/>
        <v/>
      </c>
      <c r="EK207" s="66" t="str">
        <f t="shared" si="3381"/>
        <v/>
      </c>
      <c r="EL207" s="66" t="str">
        <f t="shared" si="3382"/>
        <v/>
      </c>
      <c r="EM207" s="66" t="str">
        <f t="shared" si="3383"/>
        <v/>
      </c>
      <c r="EN207" s="66" t="str">
        <f t="shared" si="3384"/>
        <v/>
      </c>
      <c r="EO207" s="66" t="str">
        <f t="shared" si="3385"/>
        <v/>
      </c>
      <c r="EP207" s="66" t="str">
        <f t="shared" si="3386"/>
        <v/>
      </c>
      <c r="EQ207" s="66" t="str">
        <f t="shared" si="3387"/>
        <v/>
      </c>
      <c r="ER207" s="66" t="str">
        <f t="shared" si="3388"/>
        <v/>
      </c>
      <c r="ES207" s="66" t="str">
        <f t="shared" si="3389"/>
        <v/>
      </c>
      <c r="ET207" s="66" t="str">
        <f t="shared" si="3390"/>
        <v/>
      </c>
      <c r="EU207" s="66" t="str">
        <f t="shared" si="3391"/>
        <v/>
      </c>
      <c r="EV207" s="66" t="str">
        <f t="shared" si="3392"/>
        <v/>
      </c>
      <c r="EW207" s="66" t="str">
        <f t="shared" si="3393"/>
        <v/>
      </c>
      <c r="EX207" s="66" t="str">
        <f t="shared" si="3394"/>
        <v/>
      </c>
      <c r="EY207" s="66" t="str">
        <f t="shared" si="3395"/>
        <v/>
      </c>
      <c r="EZ207" s="66" t="str">
        <f t="shared" si="3396"/>
        <v/>
      </c>
      <c r="FA207" s="66" t="str">
        <f t="shared" si="3397"/>
        <v/>
      </c>
      <c r="FB207" s="66" t="str">
        <f t="shared" si="3398"/>
        <v/>
      </c>
      <c r="FC207" s="66" t="str">
        <f t="shared" si="3399"/>
        <v/>
      </c>
      <c r="FD207" s="66" t="str">
        <f t="shared" si="3400"/>
        <v/>
      </c>
      <c r="FE207" s="66" t="str">
        <f t="shared" si="3401"/>
        <v/>
      </c>
      <c r="FF207" s="66" t="str">
        <f t="shared" si="3402"/>
        <v/>
      </c>
      <c r="FG207" s="66" t="str">
        <f t="shared" si="3403"/>
        <v/>
      </c>
      <c r="FH207" s="66" t="str">
        <f t="shared" si="3404"/>
        <v/>
      </c>
      <c r="FI207" s="66" t="str">
        <f t="shared" si="3405"/>
        <v/>
      </c>
      <c r="FJ207" s="66" t="str">
        <f t="shared" si="3406"/>
        <v/>
      </c>
      <c r="FK207" s="66" t="str">
        <f t="shared" si="3407"/>
        <v/>
      </c>
      <c r="FL207" s="66" t="str">
        <f t="shared" si="3408"/>
        <v/>
      </c>
      <c r="FM207" s="66" t="str">
        <f t="shared" si="3409"/>
        <v/>
      </c>
      <c r="FN207" s="66" t="str">
        <f t="shared" si="3410"/>
        <v/>
      </c>
      <c r="FO207" s="66" t="str">
        <f t="shared" si="3411"/>
        <v/>
      </c>
      <c r="FP207" s="66" t="str">
        <f t="shared" si="3412"/>
        <v/>
      </c>
      <c r="FQ207" s="66" t="str">
        <f t="shared" si="3413"/>
        <v/>
      </c>
      <c r="FR207" s="66" t="str">
        <f t="shared" si="3414"/>
        <v/>
      </c>
      <c r="FS207" s="66" t="str">
        <f t="shared" si="3415"/>
        <v/>
      </c>
    </row>
    <row r="208" spans="1:175">
      <c r="A208" s="15"/>
      <c r="B208" s="27" t="s">
        <v>730</v>
      </c>
      <c r="C208" s="28" t="s">
        <v>731</v>
      </c>
      <c r="T208" s="29" t="s">
        <v>732</v>
      </c>
      <c r="U208" s="77" t="str">
        <f t="shared" si="3343"/>
        <v>ReplaceableTextures\\CommandButtons\\BTNIB04.blp</v>
      </c>
      <c r="CN208" s="36" t="str">
        <f t="shared" ref="CN208:CN214" si="3416">"InitUnitState('"&amp;B208&amp;"',"&amp;V208&amp;","&amp;W208&amp;","&amp;X208&amp;","&amp;Y208&amp;","&amp;Z208&amp;","&amp;AA208&amp;","&amp;AB208&amp;","&amp;AC208&amp;","&amp;AD208&amp;","&amp;AE208&amp;")"</f>
        <v>InitUnitState('IB04',,,,,,,,,,)</v>
      </c>
      <c r="CO208" s="36" t="str">
        <f t="shared" ref="CO208:CO214" si="3417">"InitUnitNormal('"&amp;B208&amp;"',"&amp;AF208&amp;","&amp;AG208&amp;","&amp;AH208&amp;","&amp;AI208&amp;","&amp;AJ208&amp;","&amp;AK208&amp;","&amp;AL208&amp;","&amp;AM208&amp;","&amp;AN208&amp;","&amp;AO208&amp;")"</f>
        <v>InitUnitNormal('IB04',,,,,,,,,,)</v>
      </c>
      <c r="CP208" s="36" t="str">
        <f t="shared" ref="CP208:CP214" si="3418">"InitUnitMagic('"&amp;B208&amp;"',"&amp;AP208&amp;","&amp;AQ208&amp;","&amp;AR208&amp;","&amp;AS208&amp;","&amp;AT208&amp;","&amp;AU208&amp;","&amp;AV208&amp;","&amp;AW208&amp;","&amp;BI208&amp;","&amp;BJ208&amp;")"</f>
        <v>InitUnitMagic('IB04',,,,,,,,,,)</v>
      </c>
      <c r="CQ208" s="36" t="str">
        <f t="shared" ref="CQ208:CQ214" si="3419">"InitUnitAdd('"&amp;B208&amp;"',"&amp;BK208&amp;","&amp;BL208&amp;","&amp;BM208&amp;","&amp;BN208&amp;","&amp;BO208&amp;","&amp;BP208&amp;","&amp;BQ208&amp;","&amp;BR208&amp;","&amp;BS208&amp;","&amp;BT208&amp;")"</f>
        <v>InitUnitAdd('IB04',,,,,,,,,,)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InitEquipData('IB04',,"",,,,,'','','','','','',"ReplaceableTextures\\CommandButtons\\BTNIB05.blp")</v>
      </c>
      <c r="CU208" s="88" t="str">
        <f t="shared" si="3344"/>
        <v>|n</v>
      </c>
      <c r="CV208" s="19" t="str">
        <f t="shared" si="3345"/>
        <v>|cff99ccff房间大厅界面点击右上角《|r|cffcc99ff收藏|r|cff99ccff》后可领取该礼包。|n|n|r属性：|n|cffffcc33物理伤害+5%|n法术伤害+5%|r</v>
      </c>
      <c r="CW208" s="33"/>
      <c r="CX208" s="33"/>
      <c r="CY208" s="33"/>
      <c r="CZ208" s="33"/>
      <c r="DA208" s="33"/>
      <c r="DB208" s="66" t="str">
        <f t="shared" si="3346"/>
        <v/>
      </c>
      <c r="DC208" s="66" t="str">
        <f t="shared" si="3347"/>
        <v/>
      </c>
      <c r="DD208" s="66" t="str">
        <f t="shared" si="3348"/>
        <v/>
      </c>
      <c r="DE208" s="66" t="str">
        <f t="shared" si="3349"/>
        <v/>
      </c>
      <c r="DF208" s="66" t="str">
        <f t="shared" si="3350"/>
        <v/>
      </c>
      <c r="DG208" s="66" t="str">
        <f t="shared" si="3351"/>
        <v/>
      </c>
      <c r="DH208" s="66" t="str">
        <f t="shared" si="3352"/>
        <v/>
      </c>
      <c r="DI208" s="66" t="str">
        <f t="shared" si="3353"/>
        <v/>
      </c>
      <c r="DJ208" s="66" t="str">
        <f t="shared" si="3354"/>
        <v/>
      </c>
      <c r="DK208" s="66" t="str">
        <f t="shared" si="3355"/>
        <v/>
      </c>
      <c r="DL208" s="66" t="str">
        <f t="shared" si="3356"/>
        <v/>
      </c>
      <c r="DM208" s="66" t="str">
        <f t="shared" si="3357"/>
        <v/>
      </c>
      <c r="DN208" s="66" t="str">
        <f t="shared" si="3358"/>
        <v/>
      </c>
      <c r="DO208" s="66" t="str">
        <f t="shared" si="3359"/>
        <v/>
      </c>
      <c r="DP208" s="66" t="str">
        <f t="shared" si="3360"/>
        <v/>
      </c>
      <c r="DQ208" s="66" t="str">
        <f t="shared" si="3361"/>
        <v/>
      </c>
      <c r="DR208" s="66" t="str">
        <f t="shared" si="3362"/>
        <v/>
      </c>
      <c r="DS208" s="66" t="str">
        <f t="shared" si="3363"/>
        <v/>
      </c>
      <c r="DT208" s="66" t="str">
        <f t="shared" si="3364"/>
        <v/>
      </c>
      <c r="DU208" s="66" t="str">
        <f t="shared" si="3365"/>
        <v/>
      </c>
      <c r="DV208" s="66" t="str">
        <f t="shared" si="3366"/>
        <v/>
      </c>
      <c r="DW208" s="66" t="str">
        <f t="shared" si="3367"/>
        <v/>
      </c>
      <c r="DX208" s="66" t="str">
        <f t="shared" si="3368"/>
        <v/>
      </c>
      <c r="DY208" s="66" t="str">
        <f t="shared" si="3369"/>
        <v/>
      </c>
      <c r="DZ208" s="66" t="str">
        <f t="shared" si="3370"/>
        <v/>
      </c>
      <c r="EA208" s="66" t="str">
        <f t="shared" si="3371"/>
        <v/>
      </c>
      <c r="EB208" s="66" t="str">
        <f t="shared" si="3372"/>
        <v/>
      </c>
      <c r="EC208" s="66" t="str">
        <f t="shared" si="3373"/>
        <v/>
      </c>
      <c r="ED208" s="66" t="str">
        <f t="shared" si="3374"/>
        <v/>
      </c>
      <c r="EE208" s="66" t="str">
        <f t="shared" si="3375"/>
        <v/>
      </c>
      <c r="EF208" s="66" t="str">
        <f t="shared" si="3376"/>
        <v/>
      </c>
      <c r="EG208" s="66" t="str">
        <f t="shared" si="3377"/>
        <v/>
      </c>
      <c r="EH208" s="66" t="str">
        <f t="shared" si="3378"/>
        <v/>
      </c>
      <c r="EI208" s="66" t="str">
        <f t="shared" si="3379"/>
        <v/>
      </c>
      <c r="EJ208" s="66" t="str">
        <f t="shared" si="3380"/>
        <v/>
      </c>
      <c r="EK208" s="66" t="str">
        <f t="shared" si="3381"/>
        <v/>
      </c>
      <c r="EL208" s="66" t="str">
        <f t="shared" si="3382"/>
        <v/>
      </c>
      <c r="EM208" s="66" t="str">
        <f t="shared" si="3383"/>
        <v/>
      </c>
      <c r="EN208" s="66" t="str">
        <f t="shared" si="3384"/>
        <v/>
      </c>
      <c r="EO208" s="66" t="str">
        <f t="shared" si="3385"/>
        <v/>
      </c>
      <c r="EP208" s="66" t="str">
        <f t="shared" si="3386"/>
        <v/>
      </c>
      <c r="EQ208" s="66" t="str">
        <f t="shared" si="3387"/>
        <v/>
      </c>
      <c r="ER208" s="66" t="str">
        <f t="shared" si="3388"/>
        <v/>
      </c>
      <c r="ES208" s="66" t="str">
        <f t="shared" si="3389"/>
        <v/>
      </c>
      <c r="ET208" s="66" t="str">
        <f t="shared" si="3390"/>
        <v/>
      </c>
      <c r="EU208" s="66" t="str">
        <f t="shared" si="3391"/>
        <v/>
      </c>
      <c r="EV208" s="66" t="str">
        <f t="shared" si="3392"/>
        <v/>
      </c>
      <c r="EW208" s="66" t="str">
        <f t="shared" si="3393"/>
        <v/>
      </c>
      <c r="EX208" s="66" t="str">
        <f t="shared" si="3394"/>
        <v/>
      </c>
      <c r="EY208" s="66" t="str">
        <f t="shared" si="3395"/>
        <v/>
      </c>
      <c r="EZ208" s="66" t="str">
        <f t="shared" si="3396"/>
        <v/>
      </c>
      <c r="FA208" s="66" t="str">
        <f t="shared" si="3397"/>
        <v/>
      </c>
      <c r="FB208" s="66" t="str">
        <f t="shared" si="3398"/>
        <v/>
      </c>
      <c r="FC208" s="66" t="str">
        <f t="shared" si="3399"/>
        <v/>
      </c>
      <c r="FD208" s="66" t="str">
        <f t="shared" si="3400"/>
        <v/>
      </c>
      <c r="FE208" s="66" t="str">
        <f t="shared" si="3401"/>
        <v/>
      </c>
      <c r="FF208" s="66" t="str">
        <f t="shared" si="3402"/>
        <v/>
      </c>
      <c r="FG208" s="66" t="str">
        <f t="shared" si="3403"/>
        <v/>
      </c>
      <c r="FH208" s="66" t="str">
        <f t="shared" si="3404"/>
        <v/>
      </c>
      <c r="FI208" s="66" t="str">
        <f t="shared" si="3405"/>
        <v/>
      </c>
      <c r="FJ208" s="66" t="str">
        <f t="shared" si="3406"/>
        <v/>
      </c>
      <c r="FK208" s="66" t="str">
        <f t="shared" si="3407"/>
        <v/>
      </c>
      <c r="FL208" s="66" t="str">
        <f t="shared" si="3408"/>
        <v/>
      </c>
      <c r="FM208" s="66" t="str">
        <f t="shared" si="3409"/>
        <v/>
      </c>
      <c r="FN208" s="66" t="str">
        <f t="shared" si="3410"/>
        <v/>
      </c>
      <c r="FO208" s="66" t="str">
        <f t="shared" si="3411"/>
        <v/>
      </c>
      <c r="FP208" s="66" t="str">
        <f t="shared" si="3412"/>
        <v/>
      </c>
      <c r="FQ208" s="66" t="str">
        <f t="shared" si="3413"/>
        <v/>
      </c>
      <c r="FR208" s="66" t="str">
        <f t="shared" si="3414"/>
        <v/>
      </c>
      <c r="FS208" s="66" t="str">
        <f t="shared" si="3415"/>
        <v/>
      </c>
    </row>
    <row r="209" spans="1:175">
      <c r="A209" s="15"/>
      <c r="B209" s="27" t="s">
        <v>733</v>
      </c>
      <c r="C209" s="28" t="s">
        <v>734</v>
      </c>
      <c r="T209" s="29" t="s">
        <v>735</v>
      </c>
      <c r="U209" s="77" t="str">
        <f t="shared" si="3343"/>
        <v>ReplaceableTextures\\CommandButtons\\BTNIB05.blp</v>
      </c>
      <c r="CN209" s="36" t="str">
        <f t="shared" si="3416"/>
        <v>InitUnitState('IB05',,,,,,,,,,)</v>
      </c>
      <c r="CO209" s="36" t="str">
        <f t="shared" si="3417"/>
        <v>InitUnitNormal('IB05',,,,,,,,,,)</v>
      </c>
      <c r="CP209" s="36" t="str">
        <f t="shared" si="3418"/>
        <v>InitUnitMagic('IB05',,,,,,,,,,)</v>
      </c>
      <c r="CQ209" s="36" t="str">
        <f t="shared" si="3419"/>
        <v>InitUnitAdd('IB05',,,,,,,,,,)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232&amp;CR$1&amp;")"</f>
        <v>InitEquipData('IB05',,"",,,,,'','','','','','',"")</v>
      </c>
      <c r="CU209" s="88" t="str">
        <f t="shared" si="3344"/>
        <v>|n</v>
      </c>
      <c r="CV209" s="19" t="str">
        <f t="shared" si="3345"/>
        <v>|cff33ff00购买魔兽重制版可领取该礼包！|n|n|r属性：|n|cffffcc33金币+1000|n每秒攻击+2|n每秒业力+1|r</v>
      </c>
      <c r="CW209" s="33"/>
      <c r="CX209" s="33"/>
      <c r="CY209" s="33"/>
      <c r="CZ209" s="33"/>
      <c r="DA209" s="33"/>
      <c r="DB209" s="66" t="str">
        <f t="shared" si="3346"/>
        <v/>
      </c>
      <c r="DC209" s="66" t="str">
        <f t="shared" si="3347"/>
        <v/>
      </c>
      <c r="DD209" s="66" t="str">
        <f t="shared" si="3348"/>
        <v/>
      </c>
      <c r="DE209" s="66" t="str">
        <f t="shared" si="3349"/>
        <v/>
      </c>
      <c r="DF209" s="66" t="str">
        <f t="shared" si="3350"/>
        <v/>
      </c>
      <c r="DG209" s="66" t="str">
        <f t="shared" si="3351"/>
        <v/>
      </c>
      <c r="DH209" s="66" t="str">
        <f t="shared" si="3352"/>
        <v/>
      </c>
      <c r="DI209" s="66" t="str">
        <f t="shared" si="3353"/>
        <v/>
      </c>
      <c r="DJ209" s="66" t="str">
        <f t="shared" si="3354"/>
        <v/>
      </c>
      <c r="DK209" s="66" t="str">
        <f t="shared" si="3355"/>
        <v/>
      </c>
      <c r="DL209" s="66" t="str">
        <f t="shared" si="3356"/>
        <v/>
      </c>
      <c r="DM209" s="66" t="str">
        <f t="shared" si="3357"/>
        <v/>
      </c>
      <c r="DN209" s="66" t="str">
        <f t="shared" si="3358"/>
        <v/>
      </c>
      <c r="DO209" s="66" t="str">
        <f t="shared" si="3359"/>
        <v/>
      </c>
      <c r="DP209" s="66" t="str">
        <f t="shared" si="3360"/>
        <v/>
      </c>
      <c r="DQ209" s="66" t="str">
        <f t="shared" si="3361"/>
        <v/>
      </c>
      <c r="DR209" s="66" t="str">
        <f t="shared" si="3362"/>
        <v/>
      </c>
      <c r="DS209" s="66" t="str">
        <f t="shared" si="3363"/>
        <v/>
      </c>
      <c r="DT209" s="66" t="str">
        <f t="shared" si="3364"/>
        <v/>
      </c>
      <c r="DU209" s="66" t="str">
        <f t="shared" si="3365"/>
        <v/>
      </c>
      <c r="DV209" s="66" t="str">
        <f t="shared" si="3366"/>
        <v/>
      </c>
      <c r="DW209" s="66" t="str">
        <f t="shared" si="3367"/>
        <v/>
      </c>
      <c r="DX209" s="66" t="str">
        <f t="shared" si="3368"/>
        <v/>
      </c>
      <c r="DY209" s="66" t="str">
        <f t="shared" si="3369"/>
        <v/>
      </c>
      <c r="DZ209" s="66" t="str">
        <f t="shared" si="3370"/>
        <v/>
      </c>
      <c r="EA209" s="66" t="str">
        <f t="shared" si="3371"/>
        <v/>
      </c>
      <c r="EB209" s="66" t="str">
        <f t="shared" si="3372"/>
        <v/>
      </c>
      <c r="EC209" s="66" t="str">
        <f t="shared" si="3373"/>
        <v/>
      </c>
      <c r="ED209" s="66" t="str">
        <f t="shared" si="3374"/>
        <v/>
      </c>
      <c r="EE209" s="66" t="str">
        <f t="shared" si="3375"/>
        <v/>
      </c>
      <c r="EF209" s="66" t="str">
        <f t="shared" si="3376"/>
        <v/>
      </c>
      <c r="EG209" s="66" t="str">
        <f t="shared" si="3377"/>
        <v/>
      </c>
      <c r="EH209" s="66" t="str">
        <f t="shared" si="3378"/>
        <v/>
      </c>
      <c r="EI209" s="66" t="str">
        <f t="shared" si="3379"/>
        <v/>
      </c>
      <c r="EJ209" s="66" t="str">
        <f t="shared" si="3380"/>
        <v/>
      </c>
      <c r="EK209" s="66" t="str">
        <f t="shared" si="3381"/>
        <v/>
      </c>
      <c r="EL209" s="66" t="str">
        <f t="shared" si="3382"/>
        <v/>
      </c>
      <c r="EM209" s="66" t="str">
        <f t="shared" si="3383"/>
        <v/>
      </c>
      <c r="EN209" s="66" t="str">
        <f t="shared" si="3384"/>
        <v/>
      </c>
      <c r="EO209" s="66" t="str">
        <f t="shared" si="3385"/>
        <v/>
      </c>
      <c r="EP209" s="66" t="str">
        <f t="shared" si="3386"/>
        <v/>
      </c>
      <c r="EQ209" s="66" t="str">
        <f t="shared" si="3387"/>
        <v/>
      </c>
      <c r="ER209" s="66" t="str">
        <f t="shared" si="3388"/>
        <v/>
      </c>
      <c r="ES209" s="66" t="str">
        <f t="shared" si="3389"/>
        <v/>
      </c>
      <c r="ET209" s="66" t="str">
        <f t="shared" si="3390"/>
        <v/>
      </c>
      <c r="EU209" s="66" t="str">
        <f t="shared" si="3391"/>
        <v/>
      </c>
      <c r="EV209" s="66" t="str">
        <f t="shared" si="3392"/>
        <v/>
      </c>
      <c r="EW209" s="66" t="str">
        <f t="shared" si="3393"/>
        <v/>
      </c>
      <c r="EX209" s="66" t="str">
        <f t="shared" si="3394"/>
        <v/>
      </c>
      <c r="EY209" s="66" t="str">
        <f t="shared" si="3395"/>
        <v/>
      </c>
      <c r="EZ209" s="66" t="str">
        <f t="shared" si="3396"/>
        <v/>
      </c>
      <c r="FA209" s="66" t="str">
        <f t="shared" si="3397"/>
        <v/>
      </c>
      <c r="FB209" s="66" t="str">
        <f t="shared" si="3398"/>
        <v/>
      </c>
      <c r="FC209" s="66" t="str">
        <f t="shared" si="3399"/>
        <v/>
      </c>
      <c r="FD209" s="66" t="str">
        <f t="shared" si="3400"/>
        <v/>
      </c>
      <c r="FE209" s="66" t="str">
        <f t="shared" si="3401"/>
        <v/>
      </c>
      <c r="FF209" s="66" t="str">
        <f t="shared" si="3402"/>
        <v/>
      </c>
      <c r="FG209" s="66" t="str">
        <f t="shared" si="3403"/>
        <v/>
      </c>
      <c r="FH209" s="66" t="str">
        <f t="shared" si="3404"/>
        <v/>
      </c>
      <c r="FI209" s="66" t="str">
        <f t="shared" si="3405"/>
        <v/>
      </c>
      <c r="FJ209" s="66" t="str">
        <f t="shared" si="3406"/>
        <v/>
      </c>
      <c r="FK209" s="66" t="str">
        <f t="shared" si="3407"/>
        <v/>
      </c>
      <c r="FL209" s="66" t="str">
        <f t="shared" si="3408"/>
        <v/>
      </c>
      <c r="FM209" s="66" t="str">
        <f t="shared" si="3409"/>
        <v/>
      </c>
      <c r="FN209" s="66" t="str">
        <f t="shared" si="3410"/>
        <v/>
      </c>
      <c r="FO209" s="66" t="str">
        <f t="shared" si="3411"/>
        <v/>
      </c>
      <c r="FP209" s="66" t="str">
        <f t="shared" si="3412"/>
        <v/>
      </c>
      <c r="FQ209" s="66" t="str">
        <f t="shared" si="3413"/>
        <v/>
      </c>
      <c r="FR209" s="66" t="str">
        <f t="shared" si="3414"/>
        <v/>
      </c>
      <c r="FS209" s="66" t="str">
        <f t="shared" si="3415"/>
        <v/>
      </c>
    </row>
    <row r="210" spans="1:175">
      <c r="A210" s="15"/>
      <c r="B210" s="27" t="s">
        <v>736</v>
      </c>
      <c r="C210" s="28" t="s">
        <v>737</v>
      </c>
      <c r="T210" s="29" t="s">
        <v>738</v>
      </c>
      <c r="U210" s="77" t="str">
        <f t="shared" si="3343"/>
        <v>ReplaceableTextures\\CommandButtons\\BTNIB06.blp</v>
      </c>
      <c r="CN210" s="36" t="str">
        <f t="shared" si="3416"/>
        <v>InitUnitState('IB06',,,,,,,,,,)</v>
      </c>
      <c r="CO210" s="36" t="str">
        <f t="shared" si="3417"/>
        <v>InitUnitNormal('IB06',,,,,,,,,,)</v>
      </c>
      <c r="CP210" s="36" t="str">
        <f t="shared" si="3418"/>
        <v>InitUnitMagic('IB06',,,,,,,,,,)</v>
      </c>
      <c r="CQ210" s="36" t="str">
        <f t="shared" si="3419"/>
        <v>InitUnitAdd('IB06',,,,,,,,,,)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InitEquipData('IB06',,"",,,,,'','','','','','',"ReplaceableTextures\\CommandButtons\\BTNIB07.blp")</v>
      </c>
      <c r="CU210" s="88" t="str">
        <f t="shared" si="3344"/>
        <v>|n</v>
      </c>
      <c r="CV210" s="19" t="str">
        <f t="shared" si="334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0" s="33"/>
      <c r="CX210" s="33"/>
      <c r="CY210" s="33"/>
      <c r="CZ210" s="33"/>
      <c r="DA210" s="33"/>
      <c r="DB210" s="66" t="str">
        <f t="shared" si="3346"/>
        <v/>
      </c>
      <c r="DC210" s="66" t="str">
        <f t="shared" si="3347"/>
        <v/>
      </c>
      <c r="DD210" s="66" t="str">
        <f t="shared" si="3348"/>
        <v/>
      </c>
      <c r="DE210" s="66" t="str">
        <f t="shared" si="3349"/>
        <v/>
      </c>
      <c r="DF210" s="66" t="str">
        <f t="shared" si="3350"/>
        <v/>
      </c>
      <c r="DG210" s="66" t="str">
        <f t="shared" si="3351"/>
        <v/>
      </c>
      <c r="DH210" s="66" t="str">
        <f t="shared" si="3352"/>
        <v/>
      </c>
      <c r="DI210" s="66" t="str">
        <f t="shared" si="3353"/>
        <v/>
      </c>
      <c r="DJ210" s="66" t="str">
        <f t="shared" si="3354"/>
        <v/>
      </c>
      <c r="DK210" s="66" t="str">
        <f t="shared" si="3355"/>
        <v/>
      </c>
      <c r="DL210" s="66" t="str">
        <f t="shared" si="3356"/>
        <v/>
      </c>
      <c r="DM210" s="66" t="str">
        <f t="shared" si="3357"/>
        <v/>
      </c>
      <c r="DN210" s="66" t="str">
        <f t="shared" si="3358"/>
        <v/>
      </c>
      <c r="DO210" s="66" t="str">
        <f t="shared" si="3359"/>
        <v/>
      </c>
      <c r="DP210" s="66" t="str">
        <f t="shared" si="3360"/>
        <v/>
      </c>
      <c r="DQ210" s="66" t="str">
        <f t="shared" si="3361"/>
        <v/>
      </c>
      <c r="DR210" s="66" t="str">
        <f t="shared" si="3362"/>
        <v/>
      </c>
      <c r="DS210" s="66" t="str">
        <f t="shared" si="3363"/>
        <v/>
      </c>
      <c r="DT210" s="66" t="str">
        <f t="shared" si="3364"/>
        <v/>
      </c>
      <c r="DU210" s="66" t="str">
        <f t="shared" si="3365"/>
        <v/>
      </c>
      <c r="DV210" s="66" t="str">
        <f t="shared" si="3366"/>
        <v/>
      </c>
      <c r="DW210" s="66" t="str">
        <f t="shared" si="3367"/>
        <v/>
      </c>
      <c r="DX210" s="66" t="str">
        <f t="shared" si="3368"/>
        <v/>
      </c>
      <c r="DY210" s="66" t="str">
        <f t="shared" si="3369"/>
        <v/>
      </c>
      <c r="DZ210" s="66" t="str">
        <f t="shared" si="3370"/>
        <v/>
      </c>
      <c r="EA210" s="66" t="str">
        <f t="shared" si="3371"/>
        <v/>
      </c>
      <c r="EB210" s="66" t="str">
        <f t="shared" si="3372"/>
        <v/>
      </c>
      <c r="EC210" s="66" t="str">
        <f t="shared" si="3373"/>
        <v/>
      </c>
      <c r="ED210" s="66" t="str">
        <f t="shared" si="3374"/>
        <v/>
      </c>
      <c r="EE210" s="66" t="str">
        <f t="shared" si="3375"/>
        <v/>
      </c>
      <c r="EF210" s="66" t="str">
        <f t="shared" si="3376"/>
        <v/>
      </c>
      <c r="EG210" s="66" t="str">
        <f t="shared" si="3377"/>
        <v/>
      </c>
      <c r="EH210" s="66" t="str">
        <f t="shared" si="3378"/>
        <v/>
      </c>
      <c r="EI210" s="66" t="str">
        <f t="shared" si="3379"/>
        <v/>
      </c>
      <c r="EJ210" s="66" t="str">
        <f t="shared" si="3380"/>
        <v/>
      </c>
      <c r="EK210" s="66" t="str">
        <f t="shared" si="3381"/>
        <v/>
      </c>
      <c r="EL210" s="66" t="str">
        <f t="shared" si="3382"/>
        <v/>
      </c>
      <c r="EM210" s="66" t="str">
        <f t="shared" si="3383"/>
        <v/>
      </c>
      <c r="EN210" s="66" t="str">
        <f t="shared" si="3384"/>
        <v/>
      </c>
      <c r="EO210" s="66" t="str">
        <f t="shared" si="3385"/>
        <v/>
      </c>
      <c r="EP210" s="66" t="str">
        <f t="shared" si="3386"/>
        <v/>
      </c>
      <c r="EQ210" s="66" t="str">
        <f t="shared" si="3387"/>
        <v/>
      </c>
      <c r="ER210" s="66" t="str">
        <f t="shared" si="3388"/>
        <v/>
      </c>
      <c r="ES210" s="66" t="str">
        <f t="shared" si="3389"/>
        <v/>
      </c>
      <c r="ET210" s="66" t="str">
        <f t="shared" si="3390"/>
        <v/>
      </c>
      <c r="EU210" s="66" t="str">
        <f t="shared" si="3391"/>
        <v/>
      </c>
      <c r="EV210" s="66" t="str">
        <f t="shared" si="3392"/>
        <v/>
      </c>
      <c r="EW210" s="66" t="str">
        <f t="shared" si="3393"/>
        <v/>
      </c>
      <c r="EX210" s="66" t="str">
        <f t="shared" si="3394"/>
        <v/>
      </c>
      <c r="EY210" s="66" t="str">
        <f t="shared" si="3395"/>
        <v/>
      </c>
      <c r="EZ210" s="66" t="str">
        <f t="shared" si="3396"/>
        <v/>
      </c>
      <c r="FA210" s="66" t="str">
        <f t="shared" si="3397"/>
        <v/>
      </c>
      <c r="FB210" s="66" t="str">
        <f t="shared" si="3398"/>
        <v/>
      </c>
      <c r="FC210" s="66" t="str">
        <f t="shared" si="3399"/>
        <v/>
      </c>
      <c r="FD210" s="66" t="str">
        <f t="shared" si="3400"/>
        <v/>
      </c>
      <c r="FE210" s="66" t="str">
        <f t="shared" si="3401"/>
        <v/>
      </c>
      <c r="FF210" s="66" t="str">
        <f t="shared" si="3402"/>
        <v/>
      </c>
      <c r="FG210" s="66" t="str">
        <f t="shared" si="3403"/>
        <v/>
      </c>
      <c r="FH210" s="66" t="str">
        <f t="shared" si="3404"/>
        <v/>
      </c>
      <c r="FI210" s="66" t="str">
        <f t="shared" si="3405"/>
        <v/>
      </c>
      <c r="FJ210" s="66" t="str">
        <f t="shared" si="3406"/>
        <v/>
      </c>
      <c r="FK210" s="66" t="str">
        <f t="shared" si="3407"/>
        <v/>
      </c>
      <c r="FL210" s="66" t="str">
        <f t="shared" si="3408"/>
        <v/>
      </c>
      <c r="FM210" s="66" t="str">
        <f t="shared" si="3409"/>
        <v/>
      </c>
      <c r="FN210" s="66" t="str">
        <f t="shared" si="3410"/>
        <v/>
      </c>
      <c r="FO210" s="66" t="str">
        <f t="shared" si="3411"/>
        <v/>
      </c>
      <c r="FP210" s="66" t="str">
        <f t="shared" si="3412"/>
        <v/>
      </c>
      <c r="FQ210" s="66" t="str">
        <f t="shared" si="3413"/>
        <v/>
      </c>
      <c r="FR210" s="66" t="str">
        <f t="shared" si="3414"/>
        <v/>
      </c>
      <c r="FS210" s="66" t="str">
        <f t="shared" si="3415"/>
        <v/>
      </c>
    </row>
    <row r="211" spans="1:175">
      <c r="A211" s="15"/>
      <c r="B211" s="27" t="s">
        <v>739</v>
      </c>
      <c r="C211" s="28" t="s">
        <v>740</v>
      </c>
      <c r="T211" s="29" t="s">
        <v>741</v>
      </c>
      <c r="U211" s="77" t="str">
        <f t="shared" si="3343"/>
        <v>ReplaceableTextures\\CommandButtons\\BTNIB07.blp</v>
      </c>
      <c r="CN211" s="36" t="str">
        <f t="shared" si="3416"/>
        <v>InitUnitState('IB07',,,,,,,,,,)</v>
      </c>
      <c r="CO211" s="36" t="str">
        <f t="shared" si="3417"/>
        <v>InitUnitNormal('IB07',,,,,,,,,,)</v>
      </c>
      <c r="CP211" s="36" t="str">
        <f t="shared" si="3418"/>
        <v>InitUnitMagic('IB07',,,,,,,,,,)</v>
      </c>
      <c r="CQ211" s="36" t="str">
        <f t="shared" si="3419"/>
        <v>InitUnitAdd('IB07',,,,,,,,,,)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InitEquipData('IB07',,"",,,,,'','','','','','',"ReplaceableTextures\\CommandButtons\\BTNIB08.blp")</v>
      </c>
      <c r="CU211" s="88" t="str">
        <f t="shared" si="3344"/>
        <v>|n</v>
      </c>
      <c r="CV211" s="19" t="str">
        <f t="shared" si="334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1" s="33"/>
      <c r="CX211" s="33"/>
      <c r="CY211" s="33"/>
      <c r="CZ211" s="33"/>
      <c r="DA211" s="33"/>
      <c r="DB211" s="66" t="str">
        <f t="shared" si="3346"/>
        <v/>
      </c>
      <c r="DC211" s="66" t="str">
        <f t="shared" si="3347"/>
        <v/>
      </c>
      <c r="DD211" s="66" t="str">
        <f t="shared" si="3348"/>
        <v/>
      </c>
      <c r="DE211" s="66" t="str">
        <f t="shared" si="3349"/>
        <v/>
      </c>
      <c r="DF211" s="66" t="str">
        <f t="shared" si="3350"/>
        <v/>
      </c>
      <c r="DG211" s="66" t="str">
        <f t="shared" si="3351"/>
        <v/>
      </c>
      <c r="DH211" s="66" t="str">
        <f t="shared" si="3352"/>
        <v/>
      </c>
      <c r="DI211" s="66" t="str">
        <f t="shared" si="3353"/>
        <v/>
      </c>
      <c r="DJ211" s="66" t="str">
        <f t="shared" si="3354"/>
        <v/>
      </c>
      <c r="DK211" s="66" t="str">
        <f t="shared" si="3355"/>
        <v/>
      </c>
      <c r="DL211" s="66" t="str">
        <f t="shared" si="3356"/>
        <v/>
      </c>
      <c r="DM211" s="66" t="str">
        <f t="shared" si="3357"/>
        <v/>
      </c>
      <c r="DN211" s="66" t="str">
        <f t="shared" si="3358"/>
        <v/>
      </c>
      <c r="DO211" s="66" t="str">
        <f t="shared" si="3359"/>
        <v/>
      </c>
      <c r="DP211" s="66" t="str">
        <f t="shared" si="3360"/>
        <v/>
      </c>
      <c r="DQ211" s="66" t="str">
        <f t="shared" si="3361"/>
        <v/>
      </c>
      <c r="DR211" s="66" t="str">
        <f t="shared" si="3362"/>
        <v/>
      </c>
      <c r="DS211" s="66" t="str">
        <f t="shared" si="3363"/>
        <v/>
      </c>
      <c r="DT211" s="66" t="str">
        <f t="shared" si="3364"/>
        <v/>
      </c>
      <c r="DU211" s="66" t="str">
        <f t="shared" si="3365"/>
        <v/>
      </c>
      <c r="DV211" s="66" t="str">
        <f t="shared" si="3366"/>
        <v/>
      </c>
      <c r="DW211" s="66" t="str">
        <f t="shared" si="3367"/>
        <v/>
      </c>
      <c r="DX211" s="66" t="str">
        <f t="shared" si="3368"/>
        <v/>
      </c>
      <c r="DY211" s="66" t="str">
        <f t="shared" si="3369"/>
        <v/>
      </c>
      <c r="DZ211" s="66" t="str">
        <f t="shared" si="3370"/>
        <v/>
      </c>
      <c r="EA211" s="66" t="str">
        <f t="shared" si="3371"/>
        <v/>
      </c>
      <c r="EB211" s="66" t="str">
        <f t="shared" si="3372"/>
        <v/>
      </c>
      <c r="EC211" s="66" t="str">
        <f t="shared" si="3373"/>
        <v/>
      </c>
      <c r="ED211" s="66" t="str">
        <f t="shared" si="3374"/>
        <v/>
      </c>
      <c r="EE211" s="66" t="str">
        <f t="shared" si="3375"/>
        <v/>
      </c>
      <c r="EF211" s="66" t="str">
        <f t="shared" si="3376"/>
        <v/>
      </c>
      <c r="EG211" s="66" t="str">
        <f t="shared" si="3377"/>
        <v/>
      </c>
      <c r="EH211" s="66" t="str">
        <f t="shared" si="3378"/>
        <v/>
      </c>
      <c r="EI211" s="66" t="str">
        <f t="shared" si="3379"/>
        <v/>
      </c>
      <c r="EJ211" s="66" t="str">
        <f t="shared" si="3380"/>
        <v/>
      </c>
      <c r="EK211" s="66" t="str">
        <f t="shared" si="3381"/>
        <v/>
      </c>
      <c r="EL211" s="66" t="str">
        <f t="shared" si="3382"/>
        <v/>
      </c>
      <c r="EM211" s="66" t="str">
        <f t="shared" si="3383"/>
        <v/>
      </c>
      <c r="EN211" s="66" t="str">
        <f t="shared" si="3384"/>
        <v/>
      </c>
      <c r="EO211" s="66" t="str">
        <f t="shared" si="3385"/>
        <v/>
      </c>
      <c r="EP211" s="66" t="str">
        <f t="shared" si="3386"/>
        <v/>
      </c>
      <c r="EQ211" s="66" t="str">
        <f t="shared" si="3387"/>
        <v/>
      </c>
      <c r="ER211" s="66" t="str">
        <f t="shared" si="3388"/>
        <v/>
      </c>
      <c r="ES211" s="66" t="str">
        <f t="shared" si="3389"/>
        <v/>
      </c>
      <c r="ET211" s="66" t="str">
        <f t="shared" si="3390"/>
        <v/>
      </c>
      <c r="EU211" s="66" t="str">
        <f t="shared" si="3391"/>
        <v/>
      </c>
      <c r="EV211" s="66" t="str">
        <f t="shared" si="3392"/>
        <v/>
      </c>
      <c r="EW211" s="66" t="str">
        <f t="shared" si="3393"/>
        <v/>
      </c>
      <c r="EX211" s="66" t="str">
        <f t="shared" si="3394"/>
        <v/>
      </c>
      <c r="EY211" s="66" t="str">
        <f t="shared" si="3395"/>
        <v/>
      </c>
      <c r="EZ211" s="66" t="str">
        <f t="shared" si="3396"/>
        <v/>
      </c>
      <c r="FA211" s="66" t="str">
        <f t="shared" si="3397"/>
        <v/>
      </c>
      <c r="FB211" s="66" t="str">
        <f t="shared" si="3398"/>
        <v/>
      </c>
      <c r="FC211" s="66" t="str">
        <f t="shared" si="3399"/>
        <v/>
      </c>
      <c r="FD211" s="66" t="str">
        <f t="shared" si="3400"/>
        <v/>
      </c>
      <c r="FE211" s="66" t="str">
        <f t="shared" si="3401"/>
        <v/>
      </c>
      <c r="FF211" s="66" t="str">
        <f t="shared" si="3402"/>
        <v/>
      </c>
      <c r="FG211" s="66" t="str">
        <f t="shared" si="3403"/>
        <v/>
      </c>
      <c r="FH211" s="66" t="str">
        <f t="shared" si="3404"/>
        <v/>
      </c>
      <c r="FI211" s="66" t="str">
        <f t="shared" si="3405"/>
        <v/>
      </c>
      <c r="FJ211" s="66" t="str">
        <f t="shared" si="3406"/>
        <v/>
      </c>
      <c r="FK211" s="66" t="str">
        <f t="shared" si="3407"/>
        <v/>
      </c>
      <c r="FL211" s="66" t="str">
        <f t="shared" si="3408"/>
        <v/>
      </c>
      <c r="FM211" s="66" t="str">
        <f t="shared" si="3409"/>
        <v/>
      </c>
      <c r="FN211" s="66" t="str">
        <f t="shared" si="3410"/>
        <v/>
      </c>
      <c r="FO211" s="66" t="str">
        <f t="shared" si="3411"/>
        <v/>
      </c>
      <c r="FP211" s="66" t="str">
        <f t="shared" si="3412"/>
        <v/>
      </c>
      <c r="FQ211" s="66" t="str">
        <f t="shared" si="3413"/>
        <v/>
      </c>
      <c r="FR211" s="66" t="str">
        <f t="shared" si="3414"/>
        <v/>
      </c>
      <c r="FS211" s="66" t="str">
        <f t="shared" si="3415"/>
        <v/>
      </c>
    </row>
    <row r="212" spans="1:175">
      <c r="A212" s="15"/>
      <c r="B212" s="27" t="s">
        <v>742</v>
      </c>
      <c r="C212" s="28" t="s">
        <v>743</v>
      </c>
      <c r="T212" s="29" t="s">
        <v>744</v>
      </c>
      <c r="U212" s="77" t="str">
        <f t="shared" si="3343"/>
        <v>ReplaceableTextures\\CommandButtons\\BTNIB08.blp</v>
      </c>
      <c r="CN212" s="36" t="str">
        <f t="shared" si="3416"/>
        <v>InitUnitState('IB08',,,,,,,,,,)</v>
      </c>
      <c r="CO212" s="36" t="str">
        <f t="shared" si="3417"/>
        <v>InitUnitNormal('IB08',,,,,,,,,,)</v>
      </c>
      <c r="CP212" s="36" t="str">
        <f t="shared" si="3418"/>
        <v>InitUnitMagic('IB08',,,,,,,,,,)</v>
      </c>
      <c r="CQ212" s="36" t="str">
        <f t="shared" si="3419"/>
        <v>InitUnitAdd('IB08',,,,,,,,,,)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235&amp;CR$1&amp;")"</f>
        <v>InitEquipData('IB08',,"",,,,,'','','','','','',"")</v>
      </c>
      <c r="CU212" s="88" t="str">
        <f t="shared" si="3344"/>
        <v>|n</v>
      </c>
      <c r="CV212" s="19" t="str">
        <f t="shared" si="334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2" s="33"/>
      <c r="CX212" s="33"/>
      <c r="CY212" s="33"/>
      <c r="CZ212" s="33"/>
      <c r="DA212" s="33"/>
      <c r="DB212" s="66" t="str">
        <f t="shared" si="3346"/>
        <v/>
      </c>
      <c r="DC212" s="66" t="str">
        <f t="shared" si="3347"/>
        <v/>
      </c>
      <c r="DD212" s="66" t="str">
        <f t="shared" si="3348"/>
        <v/>
      </c>
      <c r="DE212" s="66" t="str">
        <f t="shared" si="3349"/>
        <v/>
      </c>
      <c r="DF212" s="66" t="str">
        <f t="shared" si="3350"/>
        <v/>
      </c>
      <c r="DG212" s="66" t="str">
        <f t="shared" si="3351"/>
        <v/>
      </c>
      <c r="DH212" s="66" t="str">
        <f t="shared" si="3352"/>
        <v/>
      </c>
      <c r="DI212" s="66" t="str">
        <f t="shared" si="3353"/>
        <v/>
      </c>
      <c r="DJ212" s="66" t="str">
        <f t="shared" si="3354"/>
        <v/>
      </c>
      <c r="DK212" s="66" t="str">
        <f t="shared" si="3355"/>
        <v/>
      </c>
      <c r="DL212" s="66" t="str">
        <f t="shared" si="3356"/>
        <v/>
      </c>
      <c r="DM212" s="66" t="str">
        <f t="shared" si="3357"/>
        <v/>
      </c>
      <c r="DN212" s="66" t="str">
        <f t="shared" si="3358"/>
        <v/>
      </c>
      <c r="DO212" s="66" t="str">
        <f t="shared" si="3359"/>
        <v/>
      </c>
      <c r="DP212" s="66" t="str">
        <f t="shared" si="3360"/>
        <v/>
      </c>
      <c r="DQ212" s="66" t="str">
        <f t="shared" si="3361"/>
        <v/>
      </c>
      <c r="DR212" s="66" t="str">
        <f t="shared" si="3362"/>
        <v/>
      </c>
      <c r="DS212" s="66" t="str">
        <f t="shared" si="3363"/>
        <v/>
      </c>
      <c r="DT212" s="66" t="str">
        <f t="shared" si="3364"/>
        <v/>
      </c>
      <c r="DU212" s="66" t="str">
        <f t="shared" si="3365"/>
        <v/>
      </c>
      <c r="DV212" s="66" t="str">
        <f t="shared" si="3366"/>
        <v/>
      </c>
      <c r="DW212" s="66" t="str">
        <f t="shared" si="3367"/>
        <v/>
      </c>
      <c r="DX212" s="66" t="str">
        <f t="shared" si="3368"/>
        <v/>
      </c>
      <c r="DY212" s="66" t="str">
        <f t="shared" si="3369"/>
        <v/>
      </c>
      <c r="DZ212" s="66" t="str">
        <f t="shared" si="3370"/>
        <v/>
      </c>
      <c r="EA212" s="66" t="str">
        <f t="shared" si="3371"/>
        <v/>
      </c>
      <c r="EB212" s="66" t="str">
        <f t="shared" si="3372"/>
        <v/>
      </c>
      <c r="EC212" s="66" t="str">
        <f t="shared" si="3373"/>
        <v/>
      </c>
      <c r="ED212" s="66" t="str">
        <f t="shared" si="3374"/>
        <v/>
      </c>
      <c r="EE212" s="66" t="str">
        <f t="shared" si="3375"/>
        <v/>
      </c>
      <c r="EF212" s="66" t="str">
        <f t="shared" si="3376"/>
        <v/>
      </c>
      <c r="EG212" s="66" t="str">
        <f t="shared" si="3377"/>
        <v/>
      </c>
      <c r="EH212" s="66" t="str">
        <f t="shared" si="3378"/>
        <v/>
      </c>
      <c r="EI212" s="66" t="str">
        <f t="shared" si="3379"/>
        <v/>
      </c>
      <c r="EJ212" s="66" t="str">
        <f t="shared" si="3380"/>
        <v/>
      </c>
      <c r="EK212" s="66" t="str">
        <f t="shared" si="3381"/>
        <v/>
      </c>
      <c r="EL212" s="66" t="str">
        <f t="shared" si="3382"/>
        <v/>
      </c>
      <c r="EM212" s="66" t="str">
        <f t="shared" si="3383"/>
        <v/>
      </c>
      <c r="EN212" s="66" t="str">
        <f t="shared" si="3384"/>
        <v/>
      </c>
      <c r="EO212" s="66" t="str">
        <f t="shared" si="3385"/>
        <v/>
      </c>
      <c r="EP212" s="66" t="str">
        <f t="shared" si="3386"/>
        <v/>
      </c>
      <c r="EQ212" s="66" t="str">
        <f t="shared" si="3387"/>
        <v/>
      </c>
      <c r="ER212" s="66" t="str">
        <f t="shared" si="3388"/>
        <v/>
      </c>
      <c r="ES212" s="66" t="str">
        <f t="shared" si="3389"/>
        <v/>
      </c>
      <c r="ET212" s="66" t="str">
        <f t="shared" si="3390"/>
        <v/>
      </c>
      <c r="EU212" s="66" t="str">
        <f t="shared" si="3391"/>
        <v/>
      </c>
      <c r="EV212" s="66" t="str">
        <f t="shared" si="3392"/>
        <v/>
      </c>
      <c r="EW212" s="66" t="str">
        <f t="shared" si="3393"/>
        <v/>
      </c>
      <c r="EX212" s="66" t="str">
        <f t="shared" si="3394"/>
        <v/>
      </c>
      <c r="EY212" s="66" t="str">
        <f t="shared" si="3395"/>
        <v/>
      </c>
      <c r="EZ212" s="66" t="str">
        <f t="shared" si="3396"/>
        <v/>
      </c>
      <c r="FA212" s="66" t="str">
        <f t="shared" si="3397"/>
        <v/>
      </c>
      <c r="FB212" s="66" t="str">
        <f t="shared" si="3398"/>
        <v/>
      </c>
      <c r="FC212" s="66" t="str">
        <f t="shared" si="3399"/>
        <v/>
      </c>
      <c r="FD212" s="66" t="str">
        <f t="shared" si="3400"/>
        <v/>
      </c>
      <c r="FE212" s="66" t="str">
        <f t="shared" si="3401"/>
        <v/>
      </c>
      <c r="FF212" s="66" t="str">
        <f t="shared" si="3402"/>
        <v/>
      </c>
      <c r="FG212" s="66" t="str">
        <f t="shared" si="3403"/>
        <v/>
      </c>
      <c r="FH212" s="66" t="str">
        <f t="shared" si="3404"/>
        <v/>
      </c>
      <c r="FI212" s="66" t="str">
        <f t="shared" si="3405"/>
        <v/>
      </c>
      <c r="FJ212" s="66" t="str">
        <f t="shared" si="3406"/>
        <v/>
      </c>
      <c r="FK212" s="66" t="str">
        <f t="shared" si="3407"/>
        <v/>
      </c>
      <c r="FL212" s="66" t="str">
        <f t="shared" si="3408"/>
        <v/>
      </c>
      <c r="FM212" s="66" t="str">
        <f t="shared" si="3409"/>
        <v/>
      </c>
      <c r="FN212" s="66" t="str">
        <f t="shared" si="3410"/>
        <v/>
      </c>
      <c r="FO212" s="66" t="str">
        <f t="shared" si="3411"/>
        <v/>
      </c>
      <c r="FP212" s="66" t="str">
        <f t="shared" si="3412"/>
        <v/>
      </c>
      <c r="FQ212" s="66" t="str">
        <f t="shared" si="3413"/>
        <v/>
      </c>
      <c r="FR212" s="66" t="str">
        <f t="shared" si="3414"/>
        <v/>
      </c>
      <c r="FS212" s="66" t="str">
        <f t="shared" si="3415"/>
        <v/>
      </c>
    </row>
    <row r="213" spans="1:175">
      <c r="A213" s="15"/>
      <c r="B213" s="27" t="s">
        <v>745</v>
      </c>
      <c r="C213" s="28" t="s">
        <v>746</v>
      </c>
      <c r="T213" s="28"/>
      <c r="U213" s="77" t="str">
        <f t="shared" si="3343"/>
        <v>ReplaceableTextures\\CommandButtons\\BTNIB09.blp</v>
      </c>
      <c r="CN213" s="36" t="str">
        <f t="shared" si="3416"/>
        <v>InitUnitState('IB09',,,,,,,,,,)</v>
      </c>
      <c r="CO213" s="36" t="str">
        <f t="shared" si="3417"/>
        <v>InitUnitNormal('IB09',,,,,,,,,,)</v>
      </c>
      <c r="CP213" s="36" t="str">
        <f t="shared" si="3418"/>
        <v>InitUnitMagic('IB09',,,,,,,,,,)</v>
      </c>
      <c r="CQ213" s="36" t="str">
        <f t="shared" si="3419"/>
        <v>InitUnitAdd('IB09',,,,,,,,,,)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236&amp;CR$1&amp;")"</f>
        <v>InitEquipData('IB09',,"",,,,,'','','','','','',"")</v>
      </c>
      <c r="CU213" s="88" t="str">
        <f t="shared" si="3344"/>
        <v>|n</v>
      </c>
      <c r="CV213" s="19">
        <f t="shared" si="3345"/>
        <v>0</v>
      </c>
      <c r="CW213" s="33"/>
      <c r="CX213" s="33"/>
      <c r="CY213" s="33"/>
      <c r="CZ213" s="33"/>
      <c r="DA213" s="33"/>
      <c r="DB213" s="66" t="str">
        <f t="shared" ref="DB213:FM213" si="3420">IF(V213="","","|n"&amp;DB$2&amp;"+"&amp;V213&amp;DB$1)</f>
        <v/>
      </c>
      <c r="DC213" s="66" t="str">
        <f t="shared" si="3420"/>
        <v/>
      </c>
      <c r="DD213" s="66" t="str">
        <f t="shared" si="3420"/>
        <v/>
      </c>
      <c r="DE213" s="66" t="str">
        <f t="shared" si="3420"/>
        <v/>
      </c>
      <c r="DF213" s="66" t="str">
        <f t="shared" si="3420"/>
        <v/>
      </c>
      <c r="DG213" s="66" t="str">
        <f t="shared" si="3420"/>
        <v/>
      </c>
      <c r="DH213" s="66" t="str">
        <f t="shared" si="3420"/>
        <v/>
      </c>
      <c r="DI213" s="66" t="str">
        <f t="shared" si="3420"/>
        <v/>
      </c>
      <c r="DJ213" s="66" t="str">
        <f t="shared" si="3420"/>
        <v/>
      </c>
      <c r="DK213" s="66" t="str">
        <f t="shared" si="3420"/>
        <v/>
      </c>
      <c r="DL213" s="66" t="str">
        <f t="shared" si="3420"/>
        <v/>
      </c>
      <c r="DM213" s="66" t="str">
        <f t="shared" si="3420"/>
        <v/>
      </c>
      <c r="DN213" s="66" t="str">
        <f t="shared" si="3420"/>
        <v/>
      </c>
      <c r="DO213" s="66" t="str">
        <f t="shared" si="3420"/>
        <v/>
      </c>
      <c r="DP213" s="66" t="str">
        <f t="shared" si="3420"/>
        <v/>
      </c>
      <c r="DQ213" s="66" t="str">
        <f t="shared" si="3420"/>
        <v/>
      </c>
      <c r="DR213" s="66" t="str">
        <f t="shared" si="3420"/>
        <v/>
      </c>
      <c r="DS213" s="66" t="str">
        <f t="shared" si="3420"/>
        <v/>
      </c>
      <c r="DT213" s="66" t="str">
        <f t="shared" si="3420"/>
        <v/>
      </c>
      <c r="DU213" s="66" t="str">
        <f t="shared" si="3420"/>
        <v/>
      </c>
      <c r="DV213" s="66" t="str">
        <f t="shared" si="3420"/>
        <v/>
      </c>
      <c r="DW213" s="66" t="str">
        <f t="shared" si="3420"/>
        <v/>
      </c>
      <c r="DX213" s="66" t="str">
        <f t="shared" si="3420"/>
        <v/>
      </c>
      <c r="DY213" s="66" t="str">
        <f t="shared" si="3420"/>
        <v/>
      </c>
      <c r="DZ213" s="66" t="str">
        <f t="shared" si="3420"/>
        <v/>
      </c>
      <c r="EA213" s="66" t="str">
        <f t="shared" si="3420"/>
        <v/>
      </c>
      <c r="EB213" s="66" t="str">
        <f t="shared" si="3420"/>
        <v/>
      </c>
      <c r="EC213" s="66" t="str">
        <f t="shared" si="3420"/>
        <v/>
      </c>
      <c r="ED213" s="66" t="str">
        <f t="shared" si="3420"/>
        <v/>
      </c>
      <c r="EE213" s="66" t="str">
        <f t="shared" si="3420"/>
        <v/>
      </c>
      <c r="EF213" s="66" t="str">
        <f t="shared" si="3420"/>
        <v/>
      </c>
      <c r="EG213" s="66" t="str">
        <f t="shared" si="3420"/>
        <v/>
      </c>
      <c r="EH213" s="66" t="str">
        <f t="shared" si="3420"/>
        <v/>
      </c>
      <c r="EI213" s="66" t="str">
        <f t="shared" si="3420"/>
        <v/>
      </c>
      <c r="EJ213" s="66" t="str">
        <f t="shared" si="3420"/>
        <v/>
      </c>
      <c r="EK213" s="66" t="str">
        <f t="shared" si="3420"/>
        <v/>
      </c>
      <c r="EL213" s="66" t="str">
        <f t="shared" si="3420"/>
        <v/>
      </c>
      <c r="EM213" s="66" t="str">
        <f t="shared" si="3420"/>
        <v/>
      </c>
      <c r="EN213" s="66" t="str">
        <f t="shared" si="3420"/>
        <v/>
      </c>
      <c r="EO213" s="66" t="str">
        <f t="shared" si="3420"/>
        <v/>
      </c>
      <c r="EP213" s="66" t="str">
        <f t="shared" si="3420"/>
        <v/>
      </c>
      <c r="EQ213" s="66" t="str">
        <f t="shared" si="3420"/>
        <v/>
      </c>
      <c r="ER213" s="66" t="str">
        <f t="shared" si="3420"/>
        <v/>
      </c>
      <c r="ES213" s="66" t="str">
        <f t="shared" si="3420"/>
        <v/>
      </c>
      <c r="ET213" s="66" t="str">
        <f t="shared" si="3420"/>
        <v/>
      </c>
      <c r="EU213" s="66" t="str">
        <f t="shared" si="3420"/>
        <v/>
      </c>
      <c r="EV213" s="66" t="str">
        <f t="shared" si="3420"/>
        <v/>
      </c>
      <c r="EW213" s="66" t="str">
        <f t="shared" si="3420"/>
        <v/>
      </c>
      <c r="EX213" s="66" t="str">
        <f t="shared" si="3420"/>
        <v/>
      </c>
      <c r="EY213" s="66" t="str">
        <f t="shared" si="3420"/>
        <v/>
      </c>
      <c r="EZ213" s="66" t="str">
        <f t="shared" si="3420"/>
        <v/>
      </c>
      <c r="FA213" s="66" t="str">
        <f t="shared" si="3420"/>
        <v/>
      </c>
      <c r="FB213" s="66" t="str">
        <f t="shared" si="3420"/>
        <v/>
      </c>
      <c r="FC213" s="66" t="str">
        <f t="shared" si="3420"/>
        <v/>
      </c>
      <c r="FD213" s="66" t="str">
        <f t="shared" si="3420"/>
        <v/>
      </c>
      <c r="FE213" s="66" t="str">
        <f t="shared" si="3420"/>
        <v/>
      </c>
      <c r="FF213" s="66" t="str">
        <f t="shared" si="3420"/>
        <v/>
      </c>
      <c r="FG213" s="66" t="str">
        <f t="shared" si="3420"/>
        <v/>
      </c>
      <c r="FH213" s="66" t="str">
        <f t="shared" si="3420"/>
        <v/>
      </c>
      <c r="FI213" s="66" t="str">
        <f t="shared" si="3420"/>
        <v/>
      </c>
      <c r="FJ213" s="66" t="str">
        <f t="shared" si="3420"/>
        <v/>
      </c>
      <c r="FK213" s="66" t="str">
        <f t="shared" si="3420"/>
        <v/>
      </c>
      <c r="FL213" s="66" t="str">
        <f t="shared" si="3420"/>
        <v/>
      </c>
      <c r="FM213" s="66" t="str">
        <f t="shared" si="3420"/>
        <v/>
      </c>
      <c r="FN213" s="66" t="str">
        <f t="shared" ref="FN213:FS213" si="3421">IF(CH213="","","|n"&amp;FN$2&amp;"+"&amp;CH213&amp;FN$1)</f>
        <v/>
      </c>
      <c r="FO213" s="66" t="str">
        <f t="shared" si="3421"/>
        <v/>
      </c>
      <c r="FP213" s="66" t="str">
        <f t="shared" si="3421"/>
        <v/>
      </c>
      <c r="FQ213" s="66" t="str">
        <f t="shared" si="3421"/>
        <v/>
      </c>
      <c r="FR213" s="66" t="str">
        <f t="shared" si="3421"/>
        <v/>
      </c>
      <c r="FS213" s="66" t="str">
        <f t="shared" si="3421"/>
        <v/>
      </c>
    </row>
    <row r="214" spans="1:175">
      <c r="A214" s="15"/>
      <c r="B214" s="27" t="s">
        <v>747</v>
      </c>
      <c r="C214" s="28" t="str">
        <f>"已领取"&amp;C205</f>
        <v>已领取公众号礼包</v>
      </c>
      <c r="T214" s="28" t="s">
        <v>748</v>
      </c>
      <c r="U214" s="10" t="s">
        <v>749</v>
      </c>
      <c r="CN214" s="36" t="str">
        <f t="shared" si="3416"/>
        <v>InitUnitState('IB51',,,,,,,,,,)</v>
      </c>
      <c r="CO214" s="36" t="str">
        <f t="shared" si="3417"/>
        <v>InitUnitNormal('IB51',,,,,,,,,,)</v>
      </c>
      <c r="CP214" s="36" t="str">
        <f t="shared" si="3418"/>
        <v>InitUnitMagic('IB51',,,,,,,,,,)</v>
      </c>
      <c r="CQ214" s="36" t="str">
        <f t="shared" si="3419"/>
        <v>InitUnitAdd('IB51',,,,,,,,,,)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InitEquipData('IB51',,"",,,,,'','','','','','',"ReplaceableTextures\\commandButtons\\BTNLBUI01.blp")</v>
      </c>
      <c r="CU214" s="88" t="str">
        <f t="shared" ref="CU214:CU222" si="3422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19" t="str">
        <f t="shared" ref="CV214:CV226" si="3423">T214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4" s="33"/>
      <c r="CX214" s="33"/>
      <c r="CY214" s="33"/>
      <c r="CZ214" s="33"/>
      <c r="DA214" s="33"/>
      <c r="DB214" s="66" t="str">
        <f t="shared" ref="DB214:DB220" si="3424">IF(V214="","","|n"&amp;DB$2&amp;"+"&amp;V214&amp;DB$1)</f>
        <v/>
      </c>
      <c r="DC214" s="66" t="str">
        <f t="shared" ref="DC214:DC220" si="3425">IF(W214="","","|n"&amp;DC$2&amp;"+"&amp;W214&amp;DC$1)</f>
        <v/>
      </c>
      <c r="DD214" s="66" t="str">
        <f t="shared" ref="DD214:DD220" si="3426">IF(X214="","","|n"&amp;DD$2&amp;"+"&amp;X214&amp;DD$1)</f>
        <v/>
      </c>
      <c r="DE214" s="66" t="str">
        <f t="shared" ref="DE214:DE220" si="3427">IF(Y214="","","|n"&amp;DE$2&amp;"+"&amp;Y214&amp;DE$1)</f>
        <v/>
      </c>
      <c r="DF214" s="66" t="str">
        <f t="shared" ref="DF214:DF220" si="3428">IF(Z214="","","|n"&amp;DF$2&amp;"+"&amp;Z214&amp;DF$1)</f>
        <v/>
      </c>
      <c r="DG214" s="66" t="str">
        <f t="shared" ref="DG214:DG220" si="3429">IF(AA214="","","|n"&amp;DG$2&amp;"+"&amp;AA214&amp;DG$1)</f>
        <v/>
      </c>
      <c r="DH214" s="66" t="str">
        <f t="shared" ref="DH214:DH220" si="3430">IF(AB214="","","|n"&amp;DH$2&amp;"+"&amp;AB214&amp;DH$1)</f>
        <v/>
      </c>
      <c r="DI214" s="66" t="str">
        <f t="shared" ref="DI214:DI220" si="3431">IF(AC214="","","|n"&amp;DI$2&amp;"+"&amp;AC214&amp;DI$1)</f>
        <v/>
      </c>
      <c r="DJ214" s="66" t="str">
        <f t="shared" ref="DJ214:DJ220" si="3432">IF(AD214="","","|n"&amp;DJ$2&amp;"+"&amp;AD214&amp;DJ$1)</f>
        <v/>
      </c>
      <c r="DK214" s="66" t="str">
        <f t="shared" ref="DK214:DK220" si="3433">IF(AE214="","","|n"&amp;DK$2&amp;"+"&amp;AE214&amp;DK$1)</f>
        <v/>
      </c>
      <c r="DL214" s="66" t="str">
        <f t="shared" ref="DL214:DL220" si="3434">IF(AF214="","","|n"&amp;DL$2&amp;"+"&amp;AF214&amp;DL$1)</f>
        <v/>
      </c>
      <c r="DM214" s="66" t="str">
        <f t="shared" ref="DM214:DM220" si="3435">IF(AG214="","","|n"&amp;DM$2&amp;"+"&amp;AG214&amp;DM$1)</f>
        <v/>
      </c>
      <c r="DN214" s="66" t="str">
        <f t="shared" ref="DN214:DN220" si="3436">IF(AH214="","","|n"&amp;DN$2&amp;"+"&amp;AH214&amp;DN$1)</f>
        <v/>
      </c>
      <c r="DO214" s="66" t="str">
        <f t="shared" ref="DO214:DO220" si="3437">IF(AI214="","","|n"&amp;DO$2&amp;"+"&amp;AI214&amp;DO$1)</f>
        <v/>
      </c>
      <c r="DP214" s="66" t="str">
        <f t="shared" ref="DP214:DP220" si="3438">IF(AJ214="","","|n"&amp;DP$2&amp;"+"&amp;AJ214&amp;DP$1)</f>
        <v/>
      </c>
      <c r="DQ214" s="66" t="str">
        <f t="shared" ref="DQ214:DQ220" si="3439">IF(AK214="","","|n"&amp;DQ$2&amp;"+"&amp;AK214&amp;DQ$1)</f>
        <v/>
      </c>
      <c r="DR214" s="66" t="str">
        <f t="shared" ref="DR214:DR220" si="3440">IF(AL214="","","|n"&amp;DR$2&amp;"+"&amp;AL214&amp;DR$1)</f>
        <v/>
      </c>
      <c r="DS214" s="66" t="str">
        <f t="shared" ref="DS214:DS220" si="3441">IF(AM214="","","|n"&amp;DS$2&amp;"+"&amp;AM214&amp;DS$1)</f>
        <v/>
      </c>
      <c r="DT214" s="66" t="str">
        <f t="shared" ref="DT214:DT220" si="3442">IF(AN214="","","|n"&amp;DT$2&amp;"+"&amp;AN214&amp;DT$1)</f>
        <v/>
      </c>
      <c r="DU214" s="66" t="str">
        <f t="shared" ref="DU214:DU220" si="3443">IF(AO214="","","|n"&amp;DU$2&amp;"+"&amp;AO214&amp;DU$1)</f>
        <v/>
      </c>
      <c r="DV214" s="66" t="str">
        <f t="shared" ref="DV214:DV220" si="3444">IF(AP214="","","|n"&amp;DV$2&amp;"+"&amp;AP214&amp;DV$1)</f>
        <v/>
      </c>
      <c r="DW214" s="66" t="str">
        <f t="shared" ref="DW214:DW220" si="3445">IF(AQ214="","","|n"&amp;DW$2&amp;"+"&amp;AQ214&amp;DW$1)</f>
        <v/>
      </c>
      <c r="DX214" s="66" t="str">
        <f t="shared" ref="DX214:DX220" si="3446">IF(AR214="","","|n"&amp;DX$2&amp;"+"&amp;AR214&amp;DX$1)</f>
        <v/>
      </c>
      <c r="DY214" s="66" t="str">
        <f t="shared" ref="DY214:DY220" si="3447">IF(AS214="","","|n"&amp;DY$2&amp;"+"&amp;AS214&amp;DY$1)</f>
        <v/>
      </c>
      <c r="DZ214" s="66" t="str">
        <f t="shared" ref="DZ214:DZ220" si="3448">IF(AT214="","","|n"&amp;DZ$2&amp;"+"&amp;AT214&amp;DZ$1)</f>
        <v/>
      </c>
      <c r="EA214" s="66" t="str">
        <f t="shared" ref="EA214:EA220" si="3449">IF(AU214="","","|n"&amp;EA$2&amp;"+"&amp;AU214&amp;EA$1)</f>
        <v/>
      </c>
      <c r="EB214" s="66" t="str">
        <f t="shared" ref="EB214:EB220" si="3450">IF(AV214="","","|n"&amp;EB$2&amp;"+"&amp;AV214&amp;EB$1)</f>
        <v/>
      </c>
      <c r="EC214" s="66" t="str">
        <f t="shared" ref="EC214:EC220" si="3451">IF(AW214="","","|n"&amp;EC$2&amp;"+"&amp;AW214&amp;EC$1)</f>
        <v/>
      </c>
      <c r="ED214" s="66" t="str">
        <f t="shared" ref="ED214:ED220" si="3452">IF(AX214="","","|n"&amp;ED$2&amp;"+"&amp;AX214&amp;ED$1)</f>
        <v/>
      </c>
      <c r="EE214" s="66" t="str">
        <f t="shared" ref="EE214:EE220" si="3453">IF(AY214="","","|n"&amp;EE$2&amp;"+"&amp;AY214&amp;EE$1)</f>
        <v/>
      </c>
      <c r="EF214" s="66" t="str">
        <f t="shared" ref="EF214:EF220" si="3454">IF(AZ214="","","|n"&amp;EF$2&amp;"+"&amp;AZ214&amp;EF$1)</f>
        <v/>
      </c>
      <c r="EG214" s="66" t="str">
        <f t="shared" ref="EG214:EG220" si="3455">IF(BA214="","","|n"&amp;EG$2&amp;"+"&amp;BA214&amp;EG$1)</f>
        <v/>
      </c>
      <c r="EH214" s="66" t="str">
        <f t="shared" ref="EH214:EH220" si="3456">IF(BB214="","","|n"&amp;EH$2&amp;"+"&amp;BB214&amp;EH$1)</f>
        <v/>
      </c>
      <c r="EI214" s="66" t="str">
        <f t="shared" ref="EI214:EI220" si="3457">IF(BC214="","","|n"&amp;EI$2&amp;"+"&amp;BC214&amp;EI$1)</f>
        <v/>
      </c>
      <c r="EJ214" s="66" t="str">
        <f t="shared" ref="EJ214:EJ220" si="3458">IF(BD214="","","|n"&amp;EJ$2&amp;"+"&amp;BD214&amp;EJ$1)</f>
        <v/>
      </c>
      <c r="EK214" s="66" t="str">
        <f t="shared" ref="EK214:EK220" si="3459">IF(BE214="","","|n"&amp;EK$2&amp;"+"&amp;BE214&amp;EK$1)</f>
        <v/>
      </c>
      <c r="EL214" s="66" t="str">
        <f t="shared" ref="EL214:EL220" si="3460">IF(BF214="","","|n"&amp;EL$2&amp;"+"&amp;BF214&amp;EL$1)</f>
        <v/>
      </c>
      <c r="EM214" s="66" t="str">
        <f t="shared" ref="EM214:EM220" si="3461">IF(BG214="","","|n"&amp;EM$2&amp;"+"&amp;BG214&amp;EM$1)</f>
        <v/>
      </c>
      <c r="EN214" s="66" t="str">
        <f t="shared" ref="EN214:EN220" si="3462">IF(BH214="","","|n"&amp;EN$2&amp;"+"&amp;BH214&amp;EN$1)</f>
        <v/>
      </c>
      <c r="EO214" s="66" t="str">
        <f t="shared" ref="EO214:EO220" si="3463">IF(BI214="","","|n"&amp;EO$2&amp;"+"&amp;BI214&amp;EO$1)</f>
        <v/>
      </c>
      <c r="EP214" s="66" t="str">
        <f t="shared" ref="EP214:EP220" si="3464">IF(BJ214="","","|n"&amp;EP$2&amp;"+"&amp;BJ214&amp;EP$1)</f>
        <v/>
      </c>
      <c r="EQ214" s="66" t="str">
        <f t="shared" ref="EQ214:EQ220" si="3465">IF(BK214="","","|n"&amp;EQ$2&amp;"+"&amp;BK214&amp;EQ$1)</f>
        <v/>
      </c>
      <c r="ER214" s="66" t="str">
        <f t="shared" ref="ER214:ER220" si="3466">IF(BL214="","","|n"&amp;ER$2&amp;"+"&amp;BL214&amp;ER$1)</f>
        <v/>
      </c>
      <c r="ES214" s="66" t="str">
        <f t="shared" ref="ES214:ES220" si="3467">IF(BM214="","","|n"&amp;ES$2&amp;"+"&amp;BM214&amp;ES$1)</f>
        <v/>
      </c>
      <c r="ET214" s="66" t="str">
        <f t="shared" ref="ET214:ET220" si="3468">IF(BN214="","","|n"&amp;ET$2&amp;"+"&amp;BN214&amp;ET$1)</f>
        <v/>
      </c>
      <c r="EU214" s="66" t="str">
        <f t="shared" ref="EU214:EU220" si="3469">IF(BO214="","","|n"&amp;EU$2&amp;"+"&amp;BO214&amp;EU$1)</f>
        <v/>
      </c>
      <c r="EV214" s="66" t="str">
        <f t="shared" ref="EV214:EV220" si="3470">IF(BP214="","","|n"&amp;EV$2&amp;"+"&amp;BP214&amp;EV$1)</f>
        <v/>
      </c>
      <c r="EW214" s="66" t="str">
        <f t="shared" ref="EW214:EW220" si="3471">IF(BQ214="","","|n"&amp;EW$2&amp;"+"&amp;BQ214&amp;EW$1)</f>
        <v/>
      </c>
      <c r="EX214" s="66" t="str">
        <f t="shared" ref="EX214:EX220" si="3472">IF(BR214="","","|n"&amp;EX$2&amp;"+"&amp;BR214&amp;EX$1)</f>
        <v/>
      </c>
      <c r="EY214" s="66" t="str">
        <f t="shared" ref="EY214:EY220" si="3473">IF(BS214="","","|n"&amp;EY$2&amp;"+"&amp;BS214&amp;EY$1)</f>
        <v/>
      </c>
      <c r="EZ214" s="66" t="str">
        <f t="shared" ref="EZ214:EZ220" si="3474">IF(BT214="","","|n"&amp;EZ$2&amp;"+"&amp;BT214&amp;EZ$1)</f>
        <v/>
      </c>
      <c r="FA214" s="66" t="str">
        <f t="shared" ref="FA214:FA220" si="3475">IF(BU214="","","|n"&amp;FA$2&amp;"+"&amp;BU214&amp;FA$1)</f>
        <v/>
      </c>
      <c r="FB214" s="66" t="str">
        <f t="shared" ref="FB214:FB220" si="3476">IF(BV214="","","|n"&amp;FB$2&amp;"+"&amp;BV214&amp;FB$1)</f>
        <v/>
      </c>
      <c r="FC214" s="66" t="str">
        <f t="shared" ref="FC214:FC220" si="3477">IF(BW214="","","|n"&amp;FC$2&amp;"+"&amp;BW214&amp;FC$1)</f>
        <v/>
      </c>
      <c r="FD214" s="66" t="str">
        <f t="shared" ref="FD214:FD220" si="3478">IF(BX214="","","|n"&amp;FD$2&amp;"+"&amp;BX214&amp;FD$1)</f>
        <v/>
      </c>
      <c r="FE214" s="66" t="str">
        <f t="shared" ref="FE214:FE220" si="3479">IF(BY214="","","|n"&amp;FE$2&amp;"+"&amp;BY214&amp;FE$1)</f>
        <v/>
      </c>
      <c r="FF214" s="66" t="str">
        <f t="shared" ref="FF214:FF220" si="3480">IF(BZ214="","","|n"&amp;FF$2&amp;"+"&amp;BZ214&amp;FF$1)</f>
        <v/>
      </c>
      <c r="FG214" s="66" t="str">
        <f t="shared" ref="FG214:FG220" si="3481">IF(CA214="","","|n"&amp;FG$2&amp;"+"&amp;CA214&amp;FG$1)</f>
        <v/>
      </c>
      <c r="FH214" s="66" t="str">
        <f t="shared" ref="FH214:FH220" si="3482">IF(CB214="","","|n"&amp;FH$2&amp;"+"&amp;CB214&amp;FH$1)</f>
        <v/>
      </c>
      <c r="FI214" s="66" t="str">
        <f t="shared" ref="FI214:FI220" si="3483">IF(CC214="","","|n"&amp;FI$2&amp;"+"&amp;CC214&amp;FI$1)</f>
        <v/>
      </c>
      <c r="FJ214" s="66" t="str">
        <f t="shared" ref="FJ214:FJ220" si="3484">IF(CD214="","","|n"&amp;FJ$2&amp;"+"&amp;CD214&amp;FJ$1)</f>
        <v/>
      </c>
      <c r="FK214" s="66" t="str">
        <f t="shared" ref="FK214:FK220" si="3485">IF(CE214="","","|n"&amp;FK$2&amp;"+"&amp;CE214&amp;FK$1)</f>
        <v/>
      </c>
      <c r="FL214" s="66" t="str">
        <f t="shared" ref="FL214:FL220" si="3486">IF(CF214="","","|n"&amp;FL$2&amp;"+"&amp;CF214&amp;FL$1)</f>
        <v/>
      </c>
      <c r="FM214" s="66" t="str">
        <f t="shared" ref="FM214:FM220" si="3487">IF(CG214="","","|n"&amp;FM$2&amp;"+"&amp;CG214&amp;FM$1)</f>
        <v/>
      </c>
      <c r="FN214" s="66" t="str">
        <f t="shared" ref="FN214:FN220" si="3488">IF(CH214="","","|n"&amp;FN$2&amp;"+"&amp;CH214&amp;FN$1)</f>
        <v/>
      </c>
      <c r="FO214" s="66" t="str">
        <f t="shared" ref="FO214:FO220" si="3489">IF(CI214="","","|n"&amp;FO$2&amp;"+"&amp;CI214&amp;FO$1)</f>
        <v/>
      </c>
      <c r="FP214" s="66" t="str">
        <f t="shared" ref="FP214:FP220" si="3490">IF(CJ214="","","|n"&amp;FP$2&amp;"+"&amp;CJ214&amp;FP$1)</f>
        <v/>
      </c>
      <c r="FQ214" s="66" t="str">
        <f t="shared" ref="FQ214:FQ220" si="3491">IF(CK214="","","|n"&amp;FQ$2&amp;"+"&amp;CK214&amp;FQ$1)</f>
        <v/>
      </c>
      <c r="FR214" s="66" t="str">
        <f t="shared" ref="FR214:FR220" si="3492">IF(CL214="","","|n"&amp;FR$2&amp;"+"&amp;CL214&amp;FR$1)</f>
        <v/>
      </c>
      <c r="FS214" s="66" t="str">
        <f t="shared" ref="FS214:FS220" si="3493">IF(CM214="","","|n"&amp;FS$2&amp;"+"&amp;CM214&amp;FS$1)</f>
        <v/>
      </c>
    </row>
    <row r="215" spans="1:175">
      <c r="A215" s="15"/>
      <c r="B215" s="27" t="s">
        <v>750</v>
      </c>
      <c r="C215" s="28" t="str">
        <f t="shared" ref="C215:C222" si="3494">"已领取"&amp;C206</f>
        <v>已领取入群礼包</v>
      </c>
      <c r="T215" s="28" t="s">
        <v>751</v>
      </c>
      <c r="U215" s="10" t="s">
        <v>749</v>
      </c>
      <c r="CN215" s="36" t="str">
        <f t="shared" ref="CN215:CN222" si="3495">"InitUnitState('"&amp;B215&amp;"',"&amp;V215&amp;","&amp;W215&amp;","&amp;X215&amp;","&amp;Y215&amp;","&amp;Z215&amp;","&amp;AA215&amp;","&amp;AB215&amp;","&amp;AC215&amp;","&amp;AD215&amp;","&amp;AE215&amp;")"</f>
        <v>InitUnitState('IB52',,,,,,,,,,)</v>
      </c>
      <c r="CO215" s="36" t="str">
        <f t="shared" ref="CO215:CO222" si="3496">"InitUnitNormal('"&amp;B215&amp;"',"&amp;AF215&amp;","&amp;AG215&amp;","&amp;AH215&amp;","&amp;AI215&amp;","&amp;AJ215&amp;","&amp;AK215&amp;","&amp;AL215&amp;","&amp;AM215&amp;","&amp;AN215&amp;","&amp;AO215&amp;")"</f>
        <v>InitUnitNormal('IB52',,,,,,,,,,)</v>
      </c>
      <c r="CP215" s="36" t="str">
        <f t="shared" ref="CP215:CP222" si="3497">"InitUnitMagic('"&amp;B215&amp;"',"&amp;AP215&amp;","&amp;AQ215&amp;","&amp;AR215&amp;","&amp;AS215&amp;","&amp;AT215&amp;","&amp;AU215&amp;","&amp;AV215&amp;","&amp;AW215&amp;","&amp;BI215&amp;","&amp;BJ215&amp;")"</f>
        <v>InitUnitMagic('IB52',,,,,,,,,,)</v>
      </c>
      <c r="CQ215" s="36" t="str">
        <f t="shared" ref="CQ215:CQ222" si="3498">"InitUnitAdd('"&amp;B215&amp;"',"&amp;BK215&amp;","&amp;BL215&amp;","&amp;BM215&amp;","&amp;BN215&amp;","&amp;BO215&amp;","&amp;BP215&amp;","&amp;BQ215&amp;","&amp;BR215&amp;","&amp;BS215&amp;","&amp;BT215&amp;")"</f>
        <v>InitUnitAdd('IB52',,,,,,,,,,)</v>
      </c>
      <c r="CR215" s="36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InitEquipData('IB52',,"",,,,,'','','','','','',"ReplaceableTextures\\commandButtons\\BTNLBUI01.blp")</v>
      </c>
      <c r="CU215" s="88" t="str">
        <f t="shared" si="3422"/>
        <v>|n</v>
      </c>
      <c r="CV215" s="19" t="str">
        <f t="shared" si="3423"/>
        <v>加入《|cff00ffcc全民封神|r》官方QQ群，即可获得入群礼包码！|n|n输入礼包码即可获得：|n|cff00ff7f招魂幡Lv2|r</v>
      </c>
      <c r="CW215" s="33"/>
      <c r="CX215" s="33"/>
      <c r="CY215" s="33"/>
      <c r="CZ215" s="33"/>
      <c r="DA215" s="33"/>
      <c r="DB215" s="66" t="str">
        <f t="shared" si="3424"/>
        <v/>
      </c>
      <c r="DC215" s="66" t="str">
        <f t="shared" si="3425"/>
        <v/>
      </c>
      <c r="DD215" s="66" t="str">
        <f t="shared" si="3426"/>
        <v/>
      </c>
      <c r="DE215" s="66" t="str">
        <f t="shared" si="3427"/>
        <v/>
      </c>
      <c r="DF215" s="66" t="str">
        <f t="shared" si="3428"/>
        <v/>
      </c>
      <c r="DG215" s="66" t="str">
        <f t="shared" si="3429"/>
        <v/>
      </c>
      <c r="DH215" s="66" t="str">
        <f t="shared" si="3430"/>
        <v/>
      </c>
      <c r="DI215" s="66" t="str">
        <f t="shared" si="3431"/>
        <v/>
      </c>
      <c r="DJ215" s="66" t="str">
        <f t="shared" si="3432"/>
        <v/>
      </c>
      <c r="DK215" s="66" t="str">
        <f t="shared" si="3433"/>
        <v/>
      </c>
      <c r="DL215" s="66" t="str">
        <f t="shared" si="3434"/>
        <v/>
      </c>
      <c r="DM215" s="66" t="str">
        <f t="shared" si="3435"/>
        <v/>
      </c>
      <c r="DN215" s="66" t="str">
        <f t="shared" si="3436"/>
        <v/>
      </c>
      <c r="DO215" s="66" t="str">
        <f t="shared" si="3437"/>
        <v/>
      </c>
      <c r="DP215" s="66" t="str">
        <f t="shared" si="3438"/>
        <v/>
      </c>
      <c r="DQ215" s="66" t="str">
        <f t="shared" si="3439"/>
        <v/>
      </c>
      <c r="DR215" s="66" t="str">
        <f t="shared" si="3440"/>
        <v/>
      </c>
      <c r="DS215" s="66" t="str">
        <f t="shared" si="3441"/>
        <v/>
      </c>
      <c r="DT215" s="66" t="str">
        <f t="shared" si="3442"/>
        <v/>
      </c>
      <c r="DU215" s="66" t="str">
        <f t="shared" si="3443"/>
        <v/>
      </c>
      <c r="DV215" s="66" t="str">
        <f t="shared" si="3444"/>
        <v/>
      </c>
      <c r="DW215" s="66" t="str">
        <f t="shared" si="3445"/>
        <v/>
      </c>
      <c r="DX215" s="66" t="str">
        <f t="shared" si="3446"/>
        <v/>
      </c>
      <c r="DY215" s="66" t="str">
        <f t="shared" si="3447"/>
        <v/>
      </c>
      <c r="DZ215" s="66" t="str">
        <f t="shared" si="3448"/>
        <v/>
      </c>
      <c r="EA215" s="66" t="str">
        <f t="shared" si="3449"/>
        <v/>
      </c>
      <c r="EB215" s="66" t="str">
        <f t="shared" si="3450"/>
        <v/>
      </c>
      <c r="EC215" s="66" t="str">
        <f t="shared" si="3451"/>
        <v/>
      </c>
      <c r="ED215" s="66" t="str">
        <f t="shared" si="3452"/>
        <v/>
      </c>
      <c r="EE215" s="66" t="str">
        <f t="shared" si="3453"/>
        <v/>
      </c>
      <c r="EF215" s="66" t="str">
        <f t="shared" si="3454"/>
        <v/>
      </c>
      <c r="EG215" s="66" t="str">
        <f t="shared" si="3455"/>
        <v/>
      </c>
      <c r="EH215" s="66" t="str">
        <f t="shared" si="3456"/>
        <v/>
      </c>
      <c r="EI215" s="66" t="str">
        <f t="shared" si="3457"/>
        <v/>
      </c>
      <c r="EJ215" s="66" t="str">
        <f t="shared" si="3458"/>
        <v/>
      </c>
      <c r="EK215" s="66" t="str">
        <f t="shared" si="3459"/>
        <v/>
      </c>
      <c r="EL215" s="66" t="str">
        <f t="shared" si="3460"/>
        <v/>
      </c>
      <c r="EM215" s="66" t="str">
        <f t="shared" si="3461"/>
        <v/>
      </c>
      <c r="EN215" s="66" t="str">
        <f t="shared" si="3462"/>
        <v/>
      </c>
      <c r="EO215" s="66" t="str">
        <f t="shared" si="3463"/>
        <v/>
      </c>
      <c r="EP215" s="66" t="str">
        <f t="shared" si="3464"/>
        <v/>
      </c>
      <c r="EQ215" s="66" t="str">
        <f t="shared" si="3465"/>
        <v/>
      </c>
      <c r="ER215" s="66" t="str">
        <f t="shared" si="3466"/>
        <v/>
      </c>
      <c r="ES215" s="66" t="str">
        <f t="shared" si="3467"/>
        <v/>
      </c>
      <c r="ET215" s="66" t="str">
        <f t="shared" si="3468"/>
        <v/>
      </c>
      <c r="EU215" s="66" t="str">
        <f t="shared" si="3469"/>
        <v/>
      </c>
      <c r="EV215" s="66" t="str">
        <f t="shared" si="3470"/>
        <v/>
      </c>
      <c r="EW215" s="66" t="str">
        <f t="shared" si="3471"/>
        <v/>
      </c>
      <c r="EX215" s="66" t="str">
        <f t="shared" si="3472"/>
        <v/>
      </c>
      <c r="EY215" s="66" t="str">
        <f t="shared" si="3473"/>
        <v/>
      </c>
      <c r="EZ215" s="66" t="str">
        <f t="shared" si="3474"/>
        <v/>
      </c>
      <c r="FA215" s="66" t="str">
        <f t="shared" si="3475"/>
        <v/>
      </c>
      <c r="FB215" s="66" t="str">
        <f t="shared" si="3476"/>
        <v/>
      </c>
      <c r="FC215" s="66" t="str">
        <f t="shared" si="3477"/>
        <v/>
      </c>
      <c r="FD215" s="66" t="str">
        <f t="shared" si="3478"/>
        <v/>
      </c>
      <c r="FE215" s="66" t="str">
        <f t="shared" si="3479"/>
        <v/>
      </c>
      <c r="FF215" s="66" t="str">
        <f t="shared" si="3480"/>
        <v/>
      </c>
      <c r="FG215" s="66" t="str">
        <f t="shared" si="3481"/>
        <v/>
      </c>
      <c r="FH215" s="66" t="str">
        <f t="shared" si="3482"/>
        <v/>
      </c>
      <c r="FI215" s="66" t="str">
        <f t="shared" si="3483"/>
        <v/>
      </c>
      <c r="FJ215" s="66" t="str">
        <f t="shared" si="3484"/>
        <v/>
      </c>
      <c r="FK215" s="66" t="str">
        <f t="shared" si="3485"/>
        <v/>
      </c>
      <c r="FL215" s="66" t="str">
        <f t="shared" si="3486"/>
        <v/>
      </c>
      <c r="FM215" s="66" t="str">
        <f t="shared" si="3487"/>
        <v/>
      </c>
      <c r="FN215" s="66" t="str">
        <f t="shared" si="3488"/>
        <v/>
      </c>
      <c r="FO215" s="66" t="str">
        <f t="shared" si="3489"/>
        <v/>
      </c>
      <c r="FP215" s="66" t="str">
        <f t="shared" si="3490"/>
        <v/>
      </c>
      <c r="FQ215" s="66" t="str">
        <f t="shared" si="3491"/>
        <v/>
      </c>
      <c r="FR215" s="66" t="str">
        <f t="shared" si="3492"/>
        <v/>
      </c>
      <c r="FS215" s="66" t="str">
        <f t="shared" si="3493"/>
        <v/>
      </c>
    </row>
    <row r="216" spans="1:175">
      <c r="A216" s="15"/>
      <c r="B216" s="27" t="s">
        <v>752</v>
      </c>
      <c r="C216" s="28" t="str">
        <f t="shared" si="3494"/>
        <v>已领取拜年礼包</v>
      </c>
      <c r="T216" s="28" t="s">
        <v>753</v>
      </c>
      <c r="U216" s="10" t="s">
        <v>749</v>
      </c>
      <c r="CN216" s="36" t="str">
        <f t="shared" si="3495"/>
        <v>InitUnitState('IB53',,,,,,,,,,)</v>
      </c>
      <c r="CO216" s="36" t="str">
        <f t="shared" si="3496"/>
        <v>InitUnitNormal('IB53',,,,,,,,,,)</v>
      </c>
      <c r="CP216" s="36" t="str">
        <f t="shared" si="3497"/>
        <v>InitUnitMagic('IB53',,,,,,,,,,)</v>
      </c>
      <c r="CQ216" s="36" t="str">
        <f t="shared" si="3498"/>
        <v>InitUnitAdd('IB53',,,,,,,,,,)</v>
      </c>
      <c r="CR216" s="36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InitEquipData('IB53',,"",,,,,'','','','','','',"ReplaceableTextures\\commandButtons\\BTNLBUI01.blp")</v>
      </c>
      <c r="CU216" s="88" t="str">
        <f t="shared" si="3422"/>
        <v>|n</v>
      </c>
      <c r="CV216" s="19" t="str">
        <f t="shared" si="3423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16" s="33"/>
      <c r="CX216" s="33"/>
      <c r="CY216" s="33"/>
      <c r="CZ216" s="33"/>
      <c r="DA216" s="33"/>
      <c r="DB216" s="66" t="str">
        <f t="shared" si="3424"/>
        <v/>
      </c>
      <c r="DC216" s="66" t="str">
        <f t="shared" si="3425"/>
        <v/>
      </c>
      <c r="DD216" s="66" t="str">
        <f t="shared" si="3426"/>
        <v/>
      </c>
      <c r="DE216" s="66" t="str">
        <f t="shared" si="3427"/>
        <v/>
      </c>
      <c r="DF216" s="66" t="str">
        <f t="shared" si="3428"/>
        <v/>
      </c>
      <c r="DG216" s="66" t="str">
        <f t="shared" si="3429"/>
        <v/>
      </c>
      <c r="DH216" s="66" t="str">
        <f t="shared" si="3430"/>
        <v/>
      </c>
      <c r="DI216" s="66" t="str">
        <f t="shared" si="3431"/>
        <v/>
      </c>
      <c r="DJ216" s="66" t="str">
        <f t="shared" si="3432"/>
        <v/>
      </c>
      <c r="DK216" s="66" t="str">
        <f t="shared" si="3433"/>
        <v/>
      </c>
      <c r="DL216" s="66" t="str">
        <f t="shared" si="3434"/>
        <v/>
      </c>
      <c r="DM216" s="66" t="str">
        <f t="shared" si="3435"/>
        <v/>
      </c>
      <c r="DN216" s="66" t="str">
        <f t="shared" si="3436"/>
        <v/>
      </c>
      <c r="DO216" s="66" t="str">
        <f t="shared" si="3437"/>
        <v/>
      </c>
      <c r="DP216" s="66" t="str">
        <f t="shared" si="3438"/>
        <v/>
      </c>
      <c r="DQ216" s="66" t="str">
        <f t="shared" si="3439"/>
        <v/>
      </c>
      <c r="DR216" s="66" t="str">
        <f t="shared" si="3440"/>
        <v/>
      </c>
      <c r="DS216" s="66" t="str">
        <f t="shared" si="3441"/>
        <v/>
      </c>
      <c r="DT216" s="66" t="str">
        <f t="shared" si="3442"/>
        <v/>
      </c>
      <c r="DU216" s="66" t="str">
        <f t="shared" si="3443"/>
        <v/>
      </c>
      <c r="DV216" s="66" t="str">
        <f t="shared" si="3444"/>
        <v/>
      </c>
      <c r="DW216" s="66" t="str">
        <f t="shared" si="3445"/>
        <v/>
      </c>
      <c r="DX216" s="66" t="str">
        <f t="shared" si="3446"/>
        <v/>
      </c>
      <c r="DY216" s="66" t="str">
        <f t="shared" si="3447"/>
        <v/>
      </c>
      <c r="DZ216" s="66" t="str">
        <f t="shared" si="3448"/>
        <v/>
      </c>
      <c r="EA216" s="66" t="str">
        <f t="shared" si="3449"/>
        <v/>
      </c>
      <c r="EB216" s="66" t="str">
        <f t="shared" si="3450"/>
        <v/>
      </c>
      <c r="EC216" s="66" t="str">
        <f t="shared" si="3451"/>
        <v/>
      </c>
      <c r="ED216" s="66" t="str">
        <f t="shared" si="3452"/>
        <v/>
      </c>
      <c r="EE216" s="66" t="str">
        <f t="shared" si="3453"/>
        <v/>
      </c>
      <c r="EF216" s="66" t="str">
        <f t="shared" si="3454"/>
        <v/>
      </c>
      <c r="EG216" s="66" t="str">
        <f t="shared" si="3455"/>
        <v/>
      </c>
      <c r="EH216" s="66" t="str">
        <f t="shared" si="3456"/>
        <v/>
      </c>
      <c r="EI216" s="66" t="str">
        <f t="shared" si="3457"/>
        <v/>
      </c>
      <c r="EJ216" s="66" t="str">
        <f t="shared" si="3458"/>
        <v/>
      </c>
      <c r="EK216" s="66" t="str">
        <f t="shared" si="3459"/>
        <v/>
      </c>
      <c r="EL216" s="66" t="str">
        <f t="shared" si="3460"/>
        <v/>
      </c>
      <c r="EM216" s="66" t="str">
        <f t="shared" si="3461"/>
        <v/>
      </c>
      <c r="EN216" s="66" t="str">
        <f t="shared" si="3462"/>
        <v/>
      </c>
      <c r="EO216" s="66" t="str">
        <f t="shared" si="3463"/>
        <v/>
      </c>
      <c r="EP216" s="66" t="str">
        <f t="shared" si="3464"/>
        <v/>
      </c>
      <c r="EQ216" s="66" t="str">
        <f t="shared" si="3465"/>
        <v/>
      </c>
      <c r="ER216" s="66" t="str">
        <f t="shared" si="3466"/>
        <v/>
      </c>
      <c r="ES216" s="66" t="str">
        <f t="shared" si="3467"/>
        <v/>
      </c>
      <c r="ET216" s="66" t="str">
        <f t="shared" si="3468"/>
        <v/>
      </c>
      <c r="EU216" s="66" t="str">
        <f t="shared" si="3469"/>
        <v/>
      </c>
      <c r="EV216" s="66" t="str">
        <f t="shared" si="3470"/>
        <v/>
      </c>
      <c r="EW216" s="66" t="str">
        <f t="shared" si="3471"/>
        <v/>
      </c>
      <c r="EX216" s="66" t="str">
        <f t="shared" si="3472"/>
        <v/>
      </c>
      <c r="EY216" s="66" t="str">
        <f t="shared" si="3473"/>
        <v/>
      </c>
      <c r="EZ216" s="66" t="str">
        <f t="shared" si="3474"/>
        <v/>
      </c>
      <c r="FA216" s="66" t="str">
        <f t="shared" si="3475"/>
        <v/>
      </c>
      <c r="FB216" s="66" t="str">
        <f t="shared" si="3476"/>
        <v/>
      </c>
      <c r="FC216" s="66" t="str">
        <f t="shared" si="3477"/>
        <v/>
      </c>
      <c r="FD216" s="66" t="str">
        <f t="shared" si="3478"/>
        <v/>
      </c>
      <c r="FE216" s="66" t="str">
        <f t="shared" si="3479"/>
        <v/>
      </c>
      <c r="FF216" s="66" t="str">
        <f t="shared" si="3480"/>
        <v/>
      </c>
      <c r="FG216" s="66" t="str">
        <f t="shared" si="3481"/>
        <v/>
      </c>
      <c r="FH216" s="66" t="str">
        <f t="shared" si="3482"/>
        <v/>
      </c>
      <c r="FI216" s="66" t="str">
        <f t="shared" si="3483"/>
        <v/>
      </c>
      <c r="FJ216" s="66" t="str">
        <f t="shared" si="3484"/>
        <v/>
      </c>
      <c r="FK216" s="66" t="str">
        <f t="shared" si="3485"/>
        <v/>
      </c>
      <c r="FL216" s="66" t="str">
        <f t="shared" si="3486"/>
        <v/>
      </c>
      <c r="FM216" s="66" t="str">
        <f t="shared" si="3487"/>
        <v/>
      </c>
      <c r="FN216" s="66" t="str">
        <f t="shared" si="3488"/>
        <v/>
      </c>
      <c r="FO216" s="66" t="str">
        <f t="shared" si="3489"/>
        <v/>
      </c>
      <c r="FP216" s="66" t="str">
        <f t="shared" si="3490"/>
        <v/>
      </c>
      <c r="FQ216" s="66" t="str">
        <f t="shared" si="3491"/>
        <v/>
      </c>
      <c r="FR216" s="66" t="str">
        <f t="shared" si="3492"/>
        <v/>
      </c>
      <c r="FS216" s="66" t="str">
        <f t="shared" si="3493"/>
        <v/>
      </c>
    </row>
    <row r="217" spans="1:175">
      <c r="A217" s="15"/>
      <c r="B217" s="27" t="s">
        <v>754</v>
      </c>
      <c r="C217" s="28" t="str">
        <f t="shared" si="3494"/>
        <v>已领取收藏礼包</v>
      </c>
      <c r="T217" s="28" t="s">
        <v>755</v>
      </c>
      <c r="U217" s="10" t="s">
        <v>749</v>
      </c>
      <c r="CN217" s="36" t="str">
        <f t="shared" si="3495"/>
        <v>InitUnitState('IB54',,,,,,,,,,)</v>
      </c>
      <c r="CO217" s="36" t="str">
        <f t="shared" si="3496"/>
        <v>InitUnitNormal('IB54',,,,,,,,,,)</v>
      </c>
      <c r="CP217" s="36" t="str">
        <f t="shared" si="3497"/>
        <v>InitUnitMagic('IB54',,,,,,,,,,)</v>
      </c>
      <c r="CQ217" s="36" t="str">
        <f t="shared" si="3498"/>
        <v>InitUnitAdd('IB54',,,,,,,,,,)</v>
      </c>
      <c r="CR217" s="36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InitEquipData('IB54',,"",,,,,'','','','','','',"ReplaceableTextures\\commandButtons\\BTNLBUI01.blp")</v>
      </c>
      <c r="CU217" s="88" t="str">
        <f t="shared" si="3422"/>
        <v>|n</v>
      </c>
      <c r="CV217" s="19" t="str">
        <f t="shared" si="3423"/>
        <v>|cff99ccff房间大厅界面点击右上角《|r|cffcc99ff收藏|r|cff99ccff》后可领取该礼包。|n|n|r属性：|n|cffffcc33物理伤害+5%|n法术伤害+5%|r</v>
      </c>
      <c r="CW217" s="33"/>
      <c r="CX217" s="33"/>
      <c r="CY217" s="33"/>
      <c r="CZ217" s="33"/>
      <c r="DA217" s="33"/>
      <c r="DB217" s="66" t="str">
        <f t="shared" si="3424"/>
        <v/>
      </c>
      <c r="DC217" s="66" t="str">
        <f t="shared" si="3425"/>
        <v/>
      </c>
      <c r="DD217" s="66" t="str">
        <f t="shared" si="3426"/>
        <v/>
      </c>
      <c r="DE217" s="66" t="str">
        <f t="shared" si="3427"/>
        <v/>
      </c>
      <c r="DF217" s="66" t="str">
        <f t="shared" si="3428"/>
        <v/>
      </c>
      <c r="DG217" s="66" t="str">
        <f t="shared" si="3429"/>
        <v/>
      </c>
      <c r="DH217" s="66" t="str">
        <f t="shared" si="3430"/>
        <v/>
      </c>
      <c r="DI217" s="66" t="str">
        <f t="shared" si="3431"/>
        <v/>
      </c>
      <c r="DJ217" s="66" t="str">
        <f t="shared" si="3432"/>
        <v/>
      </c>
      <c r="DK217" s="66" t="str">
        <f t="shared" si="3433"/>
        <v/>
      </c>
      <c r="DL217" s="66" t="str">
        <f t="shared" si="3434"/>
        <v/>
      </c>
      <c r="DM217" s="66" t="str">
        <f t="shared" si="3435"/>
        <v/>
      </c>
      <c r="DN217" s="66" t="str">
        <f t="shared" si="3436"/>
        <v/>
      </c>
      <c r="DO217" s="66" t="str">
        <f t="shared" si="3437"/>
        <v/>
      </c>
      <c r="DP217" s="66" t="str">
        <f t="shared" si="3438"/>
        <v/>
      </c>
      <c r="DQ217" s="66" t="str">
        <f t="shared" si="3439"/>
        <v/>
      </c>
      <c r="DR217" s="66" t="str">
        <f t="shared" si="3440"/>
        <v/>
      </c>
      <c r="DS217" s="66" t="str">
        <f t="shared" si="3441"/>
        <v/>
      </c>
      <c r="DT217" s="66" t="str">
        <f t="shared" si="3442"/>
        <v/>
      </c>
      <c r="DU217" s="66" t="str">
        <f t="shared" si="3443"/>
        <v/>
      </c>
      <c r="DV217" s="66" t="str">
        <f t="shared" si="3444"/>
        <v/>
      </c>
      <c r="DW217" s="66" t="str">
        <f t="shared" si="3445"/>
        <v/>
      </c>
      <c r="DX217" s="66" t="str">
        <f t="shared" si="3446"/>
        <v/>
      </c>
      <c r="DY217" s="66" t="str">
        <f t="shared" si="3447"/>
        <v/>
      </c>
      <c r="DZ217" s="66" t="str">
        <f t="shared" si="3448"/>
        <v/>
      </c>
      <c r="EA217" s="66" t="str">
        <f t="shared" si="3449"/>
        <v/>
      </c>
      <c r="EB217" s="66" t="str">
        <f t="shared" si="3450"/>
        <v/>
      </c>
      <c r="EC217" s="66" t="str">
        <f t="shared" si="3451"/>
        <v/>
      </c>
      <c r="ED217" s="66" t="str">
        <f t="shared" si="3452"/>
        <v/>
      </c>
      <c r="EE217" s="66" t="str">
        <f t="shared" si="3453"/>
        <v/>
      </c>
      <c r="EF217" s="66" t="str">
        <f t="shared" si="3454"/>
        <v/>
      </c>
      <c r="EG217" s="66" t="str">
        <f t="shared" si="3455"/>
        <v/>
      </c>
      <c r="EH217" s="66" t="str">
        <f t="shared" si="3456"/>
        <v/>
      </c>
      <c r="EI217" s="66" t="str">
        <f t="shared" si="3457"/>
        <v/>
      </c>
      <c r="EJ217" s="66" t="str">
        <f t="shared" si="3458"/>
        <v/>
      </c>
      <c r="EK217" s="66" t="str">
        <f t="shared" si="3459"/>
        <v/>
      </c>
      <c r="EL217" s="66" t="str">
        <f t="shared" si="3460"/>
        <v/>
      </c>
      <c r="EM217" s="66" t="str">
        <f t="shared" si="3461"/>
        <v/>
      </c>
      <c r="EN217" s="66" t="str">
        <f t="shared" si="3462"/>
        <v/>
      </c>
      <c r="EO217" s="66" t="str">
        <f t="shared" si="3463"/>
        <v/>
      </c>
      <c r="EP217" s="66" t="str">
        <f t="shared" si="3464"/>
        <v/>
      </c>
      <c r="EQ217" s="66" t="str">
        <f t="shared" si="3465"/>
        <v/>
      </c>
      <c r="ER217" s="66" t="str">
        <f t="shared" si="3466"/>
        <v/>
      </c>
      <c r="ES217" s="66" t="str">
        <f t="shared" si="3467"/>
        <v/>
      </c>
      <c r="ET217" s="66" t="str">
        <f t="shared" si="3468"/>
        <v/>
      </c>
      <c r="EU217" s="66" t="str">
        <f t="shared" si="3469"/>
        <v/>
      </c>
      <c r="EV217" s="66" t="str">
        <f t="shared" si="3470"/>
        <v/>
      </c>
      <c r="EW217" s="66" t="str">
        <f t="shared" si="3471"/>
        <v/>
      </c>
      <c r="EX217" s="66" t="str">
        <f t="shared" si="3472"/>
        <v/>
      </c>
      <c r="EY217" s="66" t="str">
        <f t="shared" si="3473"/>
        <v/>
      </c>
      <c r="EZ217" s="66" t="str">
        <f t="shared" si="3474"/>
        <v/>
      </c>
      <c r="FA217" s="66" t="str">
        <f t="shared" si="3475"/>
        <v/>
      </c>
      <c r="FB217" s="66" t="str">
        <f t="shared" si="3476"/>
        <v/>
      </c>
      <c r="FC217" s="66" t="str">
        <f t="shared" si="3477"/>
        <v/>
      </c>
      <c r="FD217" s="66" t="str">
        <f t="shared" si="3478"/>
        <v/>
      </c>
      <c r="FE217" s="66" t="str">
        <f t="shared" si="3479"/>
        <v/>
      </c>
      <c r="FF217" s="66" t="str">
        <f t="shared" si="3480"/>
        <v/>
      </c>
      <c r="FG217" s="66" t="str">
        <f t="shared" si="3481"/>
        <v/>
      </c>
      <c r="FH217" s="66" t="str">
        <f t="shared" si="3482"/>
        <v/>
      </c>
      <c r="FI217" s="66" t="str">
        <f t="shared" si="3483"/>
        <v/>
      </c>
      <c r="FJ217" s="66" t="str">
        <f t="shared" si="3484"/>
        <v/>
      </c>
      <c r="FK217" s="66" t="str">
        <f t="shared" si="3485"/>
        <v/>
      </c>
      <c r="FL217" s="66" t="str">
        <f t="shared" si="3486"/>
        <v/>
      </c>
      <c r="FM217" s="66" t="str">
        <f t="shared" si="3487"/>
        <v/>
      </c>
      <c r="FN217" s="66" t="str">
        <f t="shared" si="3488"/>
        <v/>
      </c>
      <c r="FO217" s="66" t="str">
        <f t="shared" si="3489"/>
        <v/>
      </c>
      <c r="FP217" s="66" t="str">
        <f t="shared" si="3490"/>
        <v/>
      </c>
      <c r="FQ217" s="66" t="str">
        <f t="shared" si="3491"/>
        <v/>
      </c>
      <c r="FR217" s="66" t="str">
        <f t="shared" si="3492"/>
        <v/>
      </c>
      <c r="FS217" s="66" t="str">
        <f t="shared" si="3493"/>
        <v/>
      </c>
    </row>
    <row r="218" spans="1:175">
      <c r="A218" s="15"/>
      <c r="B218" s="27" t="s">
        <v>756</v>
      </c>
      <c r="C218" s="28" t="str">
        <f t="shared" si="3494"/>
        <v>已领取重置版礼包</v>
      </c>
      <c r="T218" s="28" t="s">
        <v>757</v>
      </c>
      <c r="U218" s="10" t="s">
        <v>749</v>
      </c>
      <c r="CN218" s="36" t="str">
        <f t="shared" si="3495"/>
        <v>InitUnitState('IB55',,,,,,,,,,)</v>
      </c>
      <c r="CO218" s="36" t="str">
        <f t="shared" si="3496"/>
        <v>InitUnitNormal('IB55',,,,,,,,,,)</v>
      </c>
      <c r="CP218" s="36" t="str">
        <f t="shared" si="3497"/>
        <v>InitUnitMagic('IB55',,,,,,,,,,)</v>
      </c>
      <c r="CQ218" s="36" t="str">
        <f t="shared" si="3498"/>
        <v>InitUnitAdd('IB55',,,,,,,,,,)</v>
      </c>
      <c r="CR218" s="36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240&amp;CR$1&amp;")"</f>
        <v>InitEquipData('IB55',,"",,,,,'','','','','','',"")</v>
      </c>
      <c r="CU218" s="88" t="str">
        <f t="shared" si="3422"/>
        <v>|n</v>
      </c>
      <c r="CV218" s="19" t="str">
        <f t="shared" si="3423"/>
        <v>|cff33ff00购买魔兽重制版可领取该礼包！|n|n|r属性：|n|cffffcc33金币+1000|n每秒攻击+2|n每秒业力+1|r</v>
      </c>
      <c r="CW218" s="33"/>
      <c r="CX218" s="33"/>
      <c r="CY218" s="33"/>
      <c r="CZ218" s="33"/>
      <c r="DA218" s="33"/>
      <c r="DB218" s="66" t="str">
        <f t="shared" si="3424"/>
        <v/>
      </c>
      <c r="DC218" s="66" t="str">
        <f t="shared" si="3425"/>
        <v/>
      </c>
      <c r="DD218" s="66" t="str">
        <f t="shared" si="3426"/>
        <v/>
      </c>
      <c r="DE218" s="66" t="str">
        <f t="shared" si="3427"/>
        <v/>
      </c>
      <c r="DF218" s="66" t="str">
        <f t="shared" si="3428"/>
        <v/>
      </c>
      <c r="DG218" s="66" t="str">
        <f t="shared" si="3429"/>
        <v/>
      </c>
      <c r="DH218" s="66" t="str">
        <f t="shared" si="3430"/>
        <v/>
      </c>
      <c r="DI218" s="66" t="str">
        <f t="shared" si="3431"/>
        <v/>
      </c>
      <c r="DJ218" s="66" t="str">
        <f t="shared" si="3432"/>
        <v/>
      </c>
      <c r="DK218" s="66" t="str">
        <f t="shared" si="3433"/>
        <v/>
      </c>
      <c r="DL218" s="66" t="str">
        <f t="shared" si="3434"/>
        <v/>
      </c>
      <c r="DM218" s="66" t="str">
        <f t="shared" si="3435"/>
        <v/>
      </c>
      <c r="DN218" s="66" t="str">
        <f t="shared" si="3436"/>
        <v/>
      </c>
      <c r="DO218" s="66" t="str">
        <f t="shared" si="3437"/>
        <v/>
      </c>
      <c r="DP218" s="66" t="str">
        <f t="shared" si="3438"/>
        <v/>
      </c>
      <c r="DQ218" s="66" t="str">
        <f t="shared" si="3439"/>
        <v/>
      </c>
      <c r="DR218" s="66" t="str">
        <f t="shared" si="3440"/>
        <v/>
      </c>
      <c r="DS218" s="66" t="str">
        <f t="shared" si="3441"/>
        <v/>
      </c>
      <c r="DT218" s="66" t="str">
        <f t="shared" si="3442"/>
        <v/>
      </c>
      <c r="DU218" s="66" t="str">
        <f t="shared" si="3443"/>
        <v/>
      </c>
      <c r="DV218" s="66" t="str">
        <f t="shared" si="3444"/>
        <v/>
      </c>
      <c r="DW218" s="66" t="str">
        <f t="shared" si="3445"/>
        <v/>
      </c>
      <c r="DX218" s="66" t="str">
        <f t="shared" si="3446"/>
        <v/>
      </c>
      <c r="DY218" s="66" t="str">
        <f t="shared" si="3447"/>
        <v/>
      </c>
      <c r="DZ218" s="66" t="str">
        <f t="shared" si="3448"/>
        <v/>
      </c>
      <c r="EA218" s="66" t="str">
        <f t="shared" si="3449"/>
        <v/>
      </c>
      <c r="EB218" s="66" t="str">
        <f t="shared" si="3450"/>
        <v/>
      </c>
      <c r="EC218" s="66" t="str">
        <f t="shared" si="3451"/>
        <v/>
      </c>
      <c r="ED218" s="66" t="str">
        <f t="shared" si="3452"/>
        <v/>
      </c>
      <c r="EE218" s="66" t="str">
        <f t="shared" si="3453"/>
        <v/>
      </c>
      <c r="EF218" s="66" t="str">
        <f t="shared" si="3454"/>
        <v/>
      </c>
      <c r="EG218" s="66" t="str">
        <f t="shared" si="3455"/>
        <v/>
      </c>
      <c r="EH218" s="66" t="str">
        <f t="shared" si="3456"/>
        <v/>
      </c>
      <c r="EI218" s="66" t="str">
        <f t="shared" si="3457"/>
        <v/>
      </c>
      <c r="EJ218" s="66" t="str">
        <f t="shared" si="3458"/>
        <v/>
      </c>
      <c r="EK218" s="66" t="str">
        <f t="shared" si="3459"/>
        <v/>
      </c>
      <c r="EL218" s="66" t="str">
        <f t="shared" si="3460"/>
        <v/>
      </c>
      <c r="EM218" s="66" t="str">
        <f t="shared" si="3461"/>
        <v/>
      </c>
      <c r="EN218" s="66" t="str">
        <f t="shared" si="3462"/>
        <v/>
      </c>
      <c r="EO218" s="66" t="str">
        <f t="shared" si="3463"/>
        <v/>
      </c>
      <c r="EP218" s="66" t="str">
        <f t="shared" si="3464"/>
        <v/>
      </c>
      <c r="EQ218" s="66" t="str">
        <f t="shared" si="3465"/>
        <v/>
      </c>
      <c r="ER218" s="66" t="str">
        <f t="shared" si="3466"/>
        <v/>
      </c>
      <c r="ES218" s="66" t="str">
        <f t="shared" si="3467"/>
        <v/>
      </c>
      <c r="ET218" s="66" t="str">
        <f t="shared" si="3468"/>
        <v/>
      </c>
      <c r="EU218" s="66" t="str">
        <f t="shared" si="3469"/>
        <v/>
      </c>
      <c r="EV218" s="66" t="str">
        <f t="shared" si="3470"/>
        <v/>
      </c>
      <c r="EW218" s="66" t="str">
        <f t="shared" si="3471"/>
        <v/>
      </c>
      <c r="EX218" s="66" t="str">
        <f t="shared" si="3472"/>
        <v/>
      </c>
      <c r="EY218" s="66" t="str">
        <f t="shared" si="3473"/>
        <v/>
      </c>
      <c r="EZ218" s="66" t="str">
        <f t="shared" si="3474"/>
        <v/>
      </c>
      <c r="FA218" s="66" t="str">
        <f t="shared" si="3475"/>
        <v/>
      </c>
      <c r="FB218" s="66" t="str">
        <f t="shared" si="3476"/>
        <v/>
      </c>
      <c r="FC218" s="66" t="str">
        <f t="shared" si="3477"/>
        <v/>
      </c>
      <c r="FD218" s="66" t="str">
        <f t="shared" si="3478"/>
        <v/>
      </c>
      <c r="FE218" s="66" t="str">
        <f t="shared" si="3479"/>
        <v/>
      </c>
      <c r="FF218" s="66" t="str">
        <f t="shared" si="3480"/>
        <v/>
      </c>
      <c r="FG218" s="66" t="str">
        <f t="shared" si="3481"/>
        <v/>
      </c>
      <c r="FH218" s="66" t="str">
        <f t="shared" si="3482"/>
        <v/>
      </c>
      <c r="FI218" s="66" t="str">
        <f t="shared" si="3483"/>
        <v/>
      </c>
      <c r="FJ218" s="66" t="str">
        <f t="shared" si="3484"/>
        <v/>
      </c>
      <c r="FK218" s="66" t="str">
        <f t="shared" si="3485"/>
        <v/>
      </c>
      <c r="FL218" s="66" t="str">
        <f t="shared" si="3486"/>
        <v/>
      </c>
      <c r="FM218" s="66" t="str">
        <f t="shared" si="3487"/>
        <v/>
      </c>
      <c r="FN218" s="66" t="str">
        <f t="shared" si="3488"/>
        <v/>
      </c>
      <c r="FO218" s="66" t="str">
        <f t="shared" si="3489"/>
        <v/>
      </c>
      <c r="FP218" s="66" t="str">
        <f t="shared" si="3490"/>
        <v/>
      </c>
      <c r="FQ218" s="66" t="str">
        <f t="shared" si="3491"/>
        <v/>
      </c>
      <c r="FR218" s="66" t="str">
        <f t="shared" si="3492"/>
        <v/>
      </c>
      <c r="FS218" s="66" t="str">
        <f t="shared" si="3493"/>
        <v/>
      </c>
    </row>
    <row r="219" spans="1:175">
      <c r="A219" s="15"/>
      <c r="B219" s="27" t="s">
        <v>758</v>
      </c>
      <c r="C219" s="28" t="str">
        <f t="shared" si="3494"/>
        <v>已领取公会福利</v>
      </c>
      <c r="T219" s="28" t="s">
        <v>738</v>
      </c>
      <c r="U219" s="10" t="s">
        <v>749</v>
      </c>
      <c r="CN219" s="36" t="str">
        <f t="shared" si="3495"/>
        <v>InitUnitState('IB56',,,,,,,,,,)</v>
      </c>
      <c r="CO219" s="36" t="str">
        <f t="shared" si="3496"/>
        <v>InitUnitNormal('IB56',,,,,,,,,,)</v>
      </c>
      <c r="CP219" s="36" t="str">
        <f t="shared" si="3497"/>
        <v>InitUnitMagic('IB56',,,,,,,,,,)</v>
      </c>
      <c r="CQ219" s="36" t="str">
        <f t="shared" si="3498"/>
        <v>InitUnitAdd('IB56',,,,,,,,,,)</v>
      </c>
      <c r="CR219" s="36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InitEquipData('IB56',,"",,,,,'','','','','','',"ReplaceableTextures\\commandButtons\\BTNLBUI01.blp")</v>
      </c>
      <c r="CU219" s="88" t="str">
        <f t="shared" si="3422"/>
        <v>|n</v>
      </c>
      <c r="CV219" s="19" t="str">
        <f t="shared" si="342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9" s="33"/>
      <c r="CX219" s="33"/>
      <c r="CY219" s="33"/>
      <c r="CZ219" s="33"/>
      <c r="DA219" s="33"/>
      <c r="DB219" s="66" t="str">
        <f t="shared" si="3424"/>
        <v/>
      </c>
      <c r="DC219" s="66" t="str">
        <f t="shared" si="3425"/>
        <v/>
      </c>
      <c r="DD219" s="66" t="str">
        <f t="shared" si="3426"/>
        <v/>
      </c>
      <c r="DE219" s="66" t="str">
        <f t="shared" si="3427"/>
        <v/>
      </c>
      <c r="DF219" s="66" t="str">
        <f t="shared" si="3428"/>
        <v/>
      </c>
      <c r="DG219" s="66" t="str">
        <f t="shared" si="3429"/>
        <v/>
      </c>
      <c r="DH219" s="66" t="str">
        <f t="shared" si="3430"/>
        <v/>
      </c>
      <c r="DI219" s="66" t="str">
        <f t="shared" si="3431"/>
        <v/>
      </c>
      <c r="DJ219" s="66" t="str">
        <f t="shared" si="3432"/>
        <v/>
      </c>
      <c r="DK219" s="66" t="str">
        <f t="shared" si="3433"/>
        <v/>
      </c>
      <c r="DL219" s="66" t="str">
        <f t="shared" si="3434"/>
        <v/>
      </c>
      <c r="DM219" s="66" t="str">
        <f t="shared" si="3435"/>
        <v/>
      </c>
      <c r="DN219" s="66" t="str">
        <f t="shared" si="3436"/>
        <v/>
      </c>
      <c r="DO219" s="66" t="str">
        <f t="shared" si="3437"/>
        <v/>
      </c>
      <c r="DP219" s="66" t="str">
        <f t="shared" si="3438"/>
        <v/>
      </c>
      <c r="DQ219" s="66" t="str">
        <f t="shared" si="3439"/>
        <v/>
      </c>
      <c r="DR219" s="66" t="str">
        <f t="shared" si="3440"/>
        <v/>
      </c>
      <c r="DS219" s="66" t="str">
        <f t="shared" si="3441"/>
        <v/>
      </c>
      <c r="DT219" s="66" t="str">
        <f t="shared" si="3442"/>
        <v/>
      </c>
      <c r="DU219" s="66" t="str">
        <f t="shared" si="3443"/>
        <v/>
      </c>
      <c r="DV219" s="66" t="str">
        <f t="shared" si="3444"/>
        <v/>
      </c>
      <c r="DW219" s="66" t="str">
        <f t="shared" si="3445"/>
        <v/>
      </c>
      <c r="DX219" s="66" t="str">
        <f t="shared" si="3446"/>
        <v/>
      </c>
      <c r="DY219" s="66" t="str">
        <f t="shared" si="3447"/>
        <v/>
      </c>
      <c r="DZ219" s="66" t="str">
        <f t="shared" si="3448"/>
        <v/>
      </c>
      <c r="EA219" s="66" t="str">
        <f t="shared" si="3449"/>
        <v/>
      </c>
      <c r="EB219" s="66" t="str">
        <f t="shared" si="3450"/>
        <v/>
      </c>
      <c r="EC219" s="66" t="str">
        <f t="shared" si="3451"/>
        <v/>
      </c>
      <c r="ED219" s="66" t="str">
        <f t="shared" si="3452"/>
        <v/>
      </c>
      <c r="EE219" s="66" t="str">
        <f t="shared" si="3453"/>
        <v/>
      </c>
      <c r="EF219" s="66" t="str">
        <f t="shared" si="3454"/>
        <v/>
      </c>
      <c r="EG219" s="66" t="str">
        <f t="shared" si="3455"/>
        <v/>
      </c>
      <c r="EH219" s="66" t="str">
        <f t="shared" si="3456"/>
        <v/>
      </c>
      <c r="EI219" s="66" t="str">
        <f t="shared" si="3457"/>
        <v/>
      </c>
      <c r="EJ219" s="66" t="str">
        <f t="shared" si="3458"/>
        <v/>
      </c>
      <c r="EK219" s="66" t="str">
        <f t="shared" si="3459"/>
        <v/>
      </c>
      <c r="EL219" s="66" t="str">
        <f t="shared" si="3460"/>
        <v/>
      </c>
      <c r="EM219" s="66" t="str">
        <f t="shared" si="3461"/>
        <v/>
      </c>
      <c r="EN219" s="66" t="str">
        <f t="shared" si="3462"/>
        <v/>
      </c>
      <c r="EO219" s="66" t="str">
        <f t="shared" si="3463"/>
        <v/>
      </c>
      <c r="EP219" s="66" t="str">
        <f t="shared" si="3464"/>
        <v/>
      </c>
      <c r="EQ219" s="66" t="str">
        <f t="shared" si="3465"/>
        <v/>
      </c>
      <c r="ER219" s="66" t="str">
        <f t="shared" si="3466"/>
        <v/>
      </c>
      <c r="ES219" s="66" t="str">
        <f t="shared" si="3467"/>
        <v/>
      </c>
      <c r="ET219" s="66" t="str">
        <f t="shared" si="3468"/>
        <v/>
      </c>
      <c r="EU219" s="66" t="str">
        <f t="shared" si="3469"/>
        <v/>
      </c>
      <c r="EV219" s="66" t="str">
        <f t="shared" si="3470"/>
        <v/>
      </c>
      <c r="EW219" s="66" t="str">
        <f t="shared" si="3471"/>
        <v/>
      </c>
      <c r="EX219" s="66" t="str">
        <f t="shared" si="3472"/>
        <v/>
      </c>
      <c r="EY219" s="66" t="str">
        <f t="shared" si="3473"/>
        <v/>
      </c>
      <c r="EZ219" s="66" t="str">
        <f t="shared" si="3474"/>
        <v/>
      </c>
      <c r="FA219" s="66" t="str">
        <f t="shared" si="3475"/>
        <v/>
      </c>
      <c r="FB219" s="66" t="str">
        <f t="shared" si="3476"/>
        <v/>
      </c>
      <c r="FC219" s="66" t="str">
        <f t="shared" si="3477"/>
        <v/>
      </c>
      <c r="FD219" s="66" t="str">
        <f t="shared" si="3478"/>
        <v/>
      </c>
      <c r="FE219" s="66" t="str">
        <f t="shared" si="3479"/>
        <v/>
      </c>
      <c r="FF219" s="66" t="str">
        <f t="shared" si="3480"/>
        <v/>
      </c>
      <c r="FG219" s="66" t="str">
        <f t="shared" si="3481"/>
        <v/>
      </c>
      <c r="FH219" s="66" t="str">
        <f t="shared" si="3482"/>
        <v/>
      </c>
      <c r="FI219" s="66" t="str">
        <f t="shared" si="3483"/>
        <v/>
      </c>
      <c r="FJ219" s="66" t="str">
        <f t="shared" si="3484"/>
        <v/>
      </c>
      <c r="FK219" s="66" t="str">
        <f t="shared" si="3485"/>
        <v/>
      </c>
      <c r="FL219" s="66" t="str">
        <f t="shared" si="3486"/>
        <v/>
      </c>
      <c r="FM219" s="66" t="str">
        <f t="shared" si="3487"/>
        <v/>
      </c>
      <c r="FN219" s="66" t="str">
        <f t="shared" si="3488"/>
        <v/>
      </c>
      <c r="FO219" s="66" t="str">
        <f t="shared" si="3489"/>
        <v/>
      </c>
      <c r="FP219" s="66" t="str">
        <f t="shared" si="3490"/>
        <v/>
      </c>
      <c r="FQ219" s="66" t="str">
        <f t="shared" si="3491"/>
        <v/>
      </c>
      <c r="FR219" s="66" t="str">
        <f t="shared" si="3492"/>
        <v/>
      </c>
      <c r="FS219" s="66" t="str">
        <f t="shared" si="3493"/>
        <v/>
      </c>
    </row>
    <row r="220" spans="1:175">
      <c r="A220" s="15"/>
      <c r="B220" s="27" t="s">
        <v>759</v>
      </c>
      <c r="C220" s="28" t="str">
        <f t="shared" si="3494"/>
        <v>已领取星耀礼包</v>
      </c>
      <c r="T220" s="28" t="s">
        <v>760</v>
      </c>
      <c r="U220" s="10" t="s">
        <v>749</v>
      </c>
      <c r="CN220" s="36" t="str">
        <f t="shared" si="3495"/>
        <v>InitUnitState('IB57',,,,,,,,,,)</v>
      </c>
      <c r="CO220" s="36" t="str">
        <f t="shared" si="3496"/>
        <v>InitUnitNormal('IB57',,,,,,,,,,)</v>
      </c>
      <c r="CP220" s="36" t="str">
        <f t="shared" si="3497"/>
        <v>InitUnitMagic('IB57',,,,,,,,,,)</v>
      </c>
      <c r="CQ220" s="36" t="str">
        <f t="shared" si="3498"/>
        <v>InitUnitAdd('IB57',,,,,,,,,,)</v>
      </c>
      <c r="CR220" s="36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222&amp;CR$1&amp;")"</f>
        <v>InitEquipData('IB57',,"",,,,,'','','','','','',"ReplaceableTextures\\commandButtons\\BTNLBUI01.blp")</v>
      </c>
      <c r="CU220" s="88" t="str">
        <f t="shared" si="3422"/>
        <v>|n</v>
      </c>
      <c r="CV220" s="19" t="str">
        <f t="shared" si="342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0" s="33"/>
      <c r="CX220" s="33"/>
      <c r="CY220" s="33"/>
      <c r="CZ220" s="33"/>
      <c r="DA220" s="33"/>
      <c r="DB220" s="66" t="str">
        <f t="shared" si="3424"/>
        <v/>
      </c>
      <c r="DC220" s="66" t="str">
        <f t="shared" si="3425"/>
        <v/>
      </c>
      <c r="DD220" s="66" t="str">
        <f t="shared" si="3426"/>
        <v/>
      </c>
      <c r="DE220" s="66" t="str">
        <f t="shared" si="3427"/>
        <v/>
      </c>
      <c r="DF220" s="66" t="str">
        <f t="shared" si="3428"/>
        <v/>
      </c>
      <c r="DG220" s="66" t="str">
        <f t="shared" si="3429"/>
        <v/>
      </c>
      <c r="DH220" s="66" t="str">
        <f t="shared" si="3430"/>
        <v/>
      </c>
      <c r="DI220" s="66" t="str">
        <f t="shared" si="3431"/>
        <v/>
      </c>
      <c r="DJ220" s="66" t="str">
        <f t="shared" si="3432"/>
        <v/>
      </c>
      <c r="DK220" s="66" t="str">
        <f t="shared" si="3433"/>
        <v/>
      </c>
      <c r="DL220" s="66" t="str">
        <f t="shared" si="3434"/>
        <v/>
      </c>
      <c r="DM220" s="66" t="str">
        <f t="shared" si="3435"/>
        <v/>
      </c>
      <c r="DN220" s="66" t="str">
        <f t="shared" si="3436"/>
        <v/>
      </c>
      <c r="DO220" s="66" t="str">
        <f t="shared" si="3437"/>
        <v/>
      </c>
      <c r="DP220" s="66" t="str">
        <f t="shared" si="3438"/>
        <v/>
      </c>
      <c r="DQ220" s="66" t="str">
        <f t="shared" si="3439"/>
        <v/>
      </c>
      <c r="DR220" s="66" t="str">
        <f t="shared" si="3440"/>
        <v/>
      </c>
      <c r="DS220" s="66" t="str">
        <f t="shared" si="3441"/>
        <v/>
      </c>
      <c r="DT220" s="66" t="str">
        <f t="shared" si="3442"/>
        <v/>
      </c>
      <c r="DU220" s="66" t="str">
        <f t="shared" si="3443"/>
        <v/>
      </c>
      <c r="DV220" s="66" t="str">
        <f t="shared" si="3444"/>
        <v/>
      </c>
      <c r="DW220" s="66" t="str">
        <f t="shared" si="3445"/>
        <v/>
      </c>
      <c r="DX220" s="66" t="str">
        <f t="shared" si="3446"/>
        <v/>
      </c>
      <c r="DY220" s="66" t="str">
        <f t="shared" si="3447"/>
        <v/>
      </c>
      <c r="DZ220" s="66" t="str">
        <f t="shared" si="3448"/>
        <v/>
      </c>
      <c r="EA220" s="66" t="str">
        <f t="shared" si="3449"/>
        <v/>
      </c>
      <c r="EB220" s="66" t="str">
        <f t="shared" si="3450"/>
        <v/>
      </c>
      <c r="EC220" s="66" t="str">
        <f t="shared" si="3451"/>
        <v/>
      </c>
      <c r="ED220" s="66" t="str">
        <f t="shared" si="3452"/>
        <v/>
      </c>
      <c r="EE220" s="66" t="str">
        <f t="shared" si="3453"/>
        <v/>
      </c>
      <c r="EF220" s="66" t="str">
        <f t="shared" si="3454"/>
        <v/>
      </c>
      <c r="EG220" s="66" t="str">
        <f t="shared" si="3455"/>
        <v/>
      </c>
      <c r="EH220" s="66" t="str">
        <f t="shared" si="3456"/>
        <v/>
      </c>
      <c r="EI220" s="66" t="str">
        <f t="shared" si="3457"/>
        <v/>
      </c>
      <c r="EJ220" s="66" t="str">
        <f t="shared" si="3458"/>
        <v/>
      </c>
      <c r="EK220" s="66" t="str">
        <f t="shared" si="3459"/>
        <v/>
      </c>
      <c r="EL220" s="66" t="str">
        <f t="shared" si="3460"/>
        <v/>
      </c>
      <c r="EM220" s="66" t="str">
        <f t="shared" si="3461"/>
        <v/>
      </c>
      <c r="EN220" s="66" t="str">
        <f t="shared" si="3462"/>
        <v/>
      </c>
      <c r="EO220" s="66" t="str">
        <f t="shared" si="3463"/>
        <v/>
      </c>
      <c r="EP220" s="66" t="str">
        <f t="shared" si="3464"/>
        <v/>
      </c>
      <c r="EQ220" s="66" t="str">
        <f t="shared" si="3465"/>
        <v/>
      </c>
      <c r="ER220" s="66" t="str">
        <f t="shared" si="3466"/>
        <v/>
      </c>
      <c r="ES220" s="66" t="str">
        <f t="shared" si="3467"/>
        <v/>
      </c>
      <c r="ET220" s="66" t="str">
        <f t="shared" si="3468"/>
        <v/>
      </c>
      <c r="EU220" s="66" t="str">
        <f t="shared" si="3469"/>
        <v/>
      </c>
      <c r="EV220" s="66" t="str">
        <f t="shared" si="3470"/>
        <v/>
      </c>
      <c r="EW220" s="66" t="str">
        <f t="shared" si="3471"/>
        <v/>
      </c>
      <c r="EX220" s="66" t="str">
        <f t="shared" si="3472"/>
        <v/>
      </c>
      <c r="EY220" s="66" t="str">
        <f t="shared" si="3473"/>
        <v/>
      </c>
      <c r="EZ220" s="66" t="str">
        <f t="shared" si="3474"/>
        <v/>
      </c>
      <c r="FA220" s="66" t="str">
        <f t="shared" si="3475"/>
        <v/>
      </c>
      <c r="FB220" s="66" t="str">
        <f t="shared" si="3476"/>
        <v/>
      </c>
      <c r="FC220" s="66" t="str">
        <f t="shared" si="3477"/>
        <v/>
      </c>
      <c r="FD220" s="66" t="str">
        <f t="shared" si="3478"/>
        <v/>
      </c>
      <c r="FE220" s="66" t="str">
        <f t="shared" si="3479"/>
        <v/>
      </c>
      <c r="FF220" s="66" t="str">
        <f t="shared" si="3480"/>
        <v/>
      </c>
      <c r="FG220" s="66" t="str">
        <f t="shared" si="3481"/>
        <v/>
      </c>
      <c r="FH220" s="66" t="str">
        <f t="shared" si="3482"/>
        <v/>
      </c>
      <c r="FI220" s="66" t="str">
        <f t="shared" si="3483"/>
        <v/>
      </c>
      <c r="FJ220" s="66" t="str">
        <f t="shared" si="3484"/>
        <v/>
      </c>
      <c r="FK220" s="66" t="str">
        <f t="shared" si="3485"/>
        <v/>
      </c>
      <c r="FL220" s="66" t="str">
        <f t="shared" si="3486"/>
        <v/>
      </c>
      <c r="FM220" s="66" t="str">
        <f t="shared" si="3487"/>
        <v/>
      </c>
      <c r="FN220" s="66" t="str">
        <f t="shared" si="3488"/>
        <v/>
      </c>
      <c r="FO220" s="66" t="str">
        <f t="shared" si="3489"/>
        <v/>
      </c>
      <c r="FP220" s="66" t="str">
        <f t="shared" si="3490"/>
        <v/>
      </c>
      <c r="FQ220" s="66" t="str">
        <f t="shared" si="3491"/>
        <v/>
      </c>
      <c r="FR220" s="66" t="str">
        <f t="shared" si="3492"/>
        <v/>
      </c>
      <c r="FS220" s="66" t="str">
        <f t="shared" si="3493"/>
        <v/>
      </c>
    </row>
    <row r="221" spans="1:175">
      <c r="A221" s="15"/>
      <c r="B221" s="27" t="s">
        <v>761</v>
      </c>
      <c r="C221" s="28" t="str">
        <f t="shared" si="3494"/>
        <v>已领取魔芝RPG礼包</v>
      </c>
      <c r="T221" s="28" t="s">
        <v>762</v>
      </c>
      <c r="U221" s="10" t="s">
        <v>749</v>
      </c>
      <c r="CN221" s="36" t="str">
        <f t="shared" si="3495"/>
        <v>InitUnitState('IB58',,,,,,,,,,)</v>
      </c>
      <c r="CO221" s="36" t="str">
        <f t="shared" si="3496"/>
        <v>InitUnitNormal('IB58',,,,,,,,,,)</v>
      </c>
      <c r="CP221" s="36" t="str">
        <f t="shared" si="3497"/>
        <v>InitUnitMagic('IB58',,,,,,,,,,)</v>
      </c>
      <c r="CQ221" s="36" t="str">
        <f t="shared" si="3498"/>
        <v>InitUnitAdd('IB58',,,,,,,,,,)</v>
      </c>
      <c r="CR221" s="36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242&amp;CR$1&amp;")"</f>
        <v>InitEquipData('IB58',,"",,,,,'','','','','','',"")</v>
      </c>
      <c r="CU221" s="88" t="str">
        <f t="shared" si="3422"/>
        <v>|n</v>
      </c>
      <c r="CV221" s="19" t="str">
        <f t="shared" si="342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1" s="33"/>
      <c r="CX221" s="33"/>
      <c r="CY221" s="33"/>
      <c r="CZ221" s="33"/>
      <c r="DA221" s="33"/>
      <c r="DB221" s="66" t="str">
        <f t="shared" ref="DB221:FM221" si="3499">IF(V221="","","|n"&amp;DB$2&amp;"+"&amp;V221&amp;DB$1)</f>
        <v/>
      </c>
      <c r="DC221" s="66" t="str">
        <f t="shared" si="3499"/>
        <v/>
      </c>
      <c r="DD221" s="66" t="str">
        <f t="shared" si="3499"/>
        <v/>
      </c>
      <c r="DE221" s="66" t="str">
        <f t="shared" si="3499"/>
        <v/>
      </c>
      <c r="DF221" s="66" t="str">
        <f t="shared" si="3499"/>
        <v/>
      </c>
      <c r="DG221" s="66" t="str">
        <f t="shared" si="3499"/>
        <v/>
      </c>
      <c r="DH221" s="66" t="str">
        <f t="shared" si="3499"/>
        <v/>
      </c>
      <c r="DI221" s="66" t="str">
        <f t="shared" si="3499"/>
        <v/>
      </c>
      <c r="DJ221" s="66" t="str">
        <f t="shared" si="3499"/>
        <v/>
      </c>
      <c r="DK221" s="66" t="str">
        <f t="shared" si="3499"/>
        <v/>
      </c>
      <c r="DL221" s="66" t="str">
        <f t="shared" si="3499"/>
        <v/>
      </c>
      <c r="DM221" s="66" t="str">
        <f t="shared" si="3499"/>
        <v/>
      </c>
      <c r="DN221" s="66" t="str">
        <f t="shared" si="3499"/>
        <v/>
      </c>
      <c r="DO221" s="66" t="str">
        <f t="shared" si="3499"/>
        <v/>
      </c>
      <c r="DP221" s="66" t="str">
        <f t="shared" si="3499"/>
        <v/>
      </c>
      <c r="DQ221" s="66" t="str">
        <f t="shared" si="3499"/>
        <v/>
      </c>
      <c r="DR221" s="66" t="str">
        <f t="shared" si="3499"/>
        <v/>
      </c>
      <c r="DS221" s="66" t="str">
        <f t="shared" si="3499"/>
        <v/>
      </c>
      <c r="DT221" s="66" t="str">
        <f t="shared" si="3499"/>
        <v/>
      </c>
      <c r="DU221" s="66" t="str">
        <f t="shared" si="3499"/>
        <v/>
      </c>
      <c r="DV221" s="66" t="str">
        <f t="shared" si="3499"/>
        <v/>
      </c>
      <c r="DW221" s="66" t="str">
        <f t="shared" si="3499"/>
        <v/>
      </c>
      <c r="DX221" s="66" t="str">
        <f t="shared" si="3499"/>
        <v/>
      </c>
      <c r="DY221" s="66" t="str">
        <f t="shared" si="3499"/>
        <v/>
      </c>
      <c r="DZ221" s="66" t="str">
        <f t="shared" si="3499"/>
        <v/>
      </c>
      <c r="EA221" s="66" t="str">
        <f t="shared" si="3499"/>
        <v/>
      </c>
      <c r="EB221" s="66" t="str">
        <f t="shared" si="3499"/>
        <v/>
      </c>
      <c r="EC221" s="66" t="str">
        <f t="shared" si="3499"/>
        <v/>
      </c>
      <c r="ED221" s="66" t="str">
        <f t="shared" si="3499"/>
        <v/>
      </c>
      <c r="EE221" s="66" t="str">
        <f t="shared" si="3499"/>
        <v/>
      </c>
      <c r="EF221" s="66" t="str">
        <f t="shared" si="3499"/>
        <v/>
      </c>
      <c r="EG221" s="66" t="str">
        <f t="shared" si="3499"/>
        <v/>
      </c>
      <c r="EH221" s="66" t="str">
        <f t="shared" si="3499"/>
        <v/>
      </c>
      <c r="EI221" s="66" t="str">
        <f t="shared" si="3499"/>
        <v/>
      </c>
      <c r="EJ221" s="66" t="str">
        <f t="shared" si="3499"/>
        <v/>
      </c>
      <c r="EK221" s="66" t="str">
        <f t="shared" si="3499"/>
        <v/>
      </c>
      <c r="EL221" s="66" t="str">
        <f t="shared" si="3499"/>
        <v/>
      </c>
      <c r="EM221" s="66" t="str">
        <f t="shared" si="3499"/>
        <v/>
      </c>
      <c r="EN221" s="66" t="str">
        <f t="shared" si="3499"/>
        <v/>
      </c>
      <c r="EO221" s="66" t="str">
        <f t="shared" si="3499"/>
        <v/>
      </c>
      <c r="EP221" s="66" t="str">
        <f t="shared" si="3499"/>
        <v/>
      </c>
      <c r="EQ221" s="66" t="str">
        <f t="shared" si="3499"/>
        <v/>
      </c>
      <c r="ER221" s="66" t="str">
        <f t="shared" si="3499"/>
        <v/>
      </c>
      <c r="ES221" s="66" t="str">
        <f t="shared" si="3499"/>
        <v/>
      </c>
      <c r="ET221" s="66" t="str">
        <f t="shared" si="3499"/>
        <v/>
      </c>
      <c r="EU221" s="66" t="str">
        <f t="shared" si="3499"/>
        <v/>
      </c>
      <c r="EV221" s="66" t="str">
        <f t="shared" si="3499"/>
        <v/>
      </c>
      <c r="EW221" s="66" t="str">
        <f t="shared" si="3499"/>
        <v/>
      </c>
      <c r="EX221" s="66" t="str">
        <f t="shared" si="3499"/>
        <v/>
      </c>
      <c r="EY221" s="66" t="str">
        <f t="shared" si="3499"/>
        <v/>
      </c>
      <c r="EZ221" s="66" t="str">
        <f t="shared" si="3499"/>
        <v/>
      </c>
      <c r="FA221" s="66" t="str">
        <f t="shared" si="3499"/>
        <v/>
      </c>
      <c r="FB221" s="66" t="str">
        <f t="shared" si="3499"/>
        <v/>
      </c>
      <c r="FC221" s="66" t="str">
        <f t="shared" si="3499"/>
        <v/>
      </c>
      <c r="FD221" s="66" t="str">
        <f t="shared" si="3499"/>
        <v/>
      </c>
      <c r="FE221" s="66" t="str">
        <f t="shared" si="3499"/>
        <v/>
      </c>
      <c r="FF221" s="66" t="str">
        <f t="shared" si="3499"/>
        <v/>
      </c>
      <c r="FG221" s="66" t="str">
        <f t="shared" si="3499"/>
        <v/>
      </c>
      <c r="FH221" s="66" t="str">
        <f t="shared" si="3499"/>
        <v/>
      </c>
      <c r="FI221" s="66" t="str">
        <f t="shared" si="3499"/>
        <v/>
      </c>
      <c r="FJ221" s="66" t="str">
        <f t="shared" si="3499"/>
        <v/>
      </c>
      <c r="FK221" s="66" t="str">
        <f t="shared" si="3499"/>
        <v/>
      </c>
      <c r="FL221" s="66" t="str">
        <f t="shared" si="3499"/>
        <v/>
      </c>
      <c r="FM221" s="66" t="str">
        <f t="shared" si="3499"/>
        <v/>
      </c>
      <c r="FN221" s="66" t="str">
        <f t="shared" ref="FN221:FS221" si="3500">IF(CH221="","","|n"&amp;FN$2&amp;"+"&amp;CH221&amp;FN$1)</f>
        <v/>
      </c>
      <c r="FO221" s="66" t="str">
        <f t="shared" si="3500"/>
        <v/>
      </c>
      <c r="FP221" s="66" t="str">
        <f t="shared" si="3500"/>
        <v/>
      </c>
      <c r="FQ221" s="66" t="str">
        <f t="shared" si="3500"/>
        <v/>
      </c>
      <c r="FR221" s="66" t="str">
        <f t="shared" si="3500"/>
        <v/>
      </c>
      <c r="FS221" s="66" t="str">
        <f t="shared" si="3500"/>
        <v/>
      </c>
    </row>
    <row r="222" spans="1:175">
      <c r="A222" s="15"/>
      <c r="B222" s="27" t="s">
        <v>763</v>
      </c>
      <c r="C222" s="28" t="str">
        <f t="shared" si="3494"/>
        <v>已领取老铁礼包</v>
      </c>
      <c r="T222" s="28" t="s">
        <v>764</v>
      </c>
      <c r="U222" s="10" t="s">
        <v>749</v>
      </c>
      <c r="CN222" s="36" t="str">
        <f t="shared" si="3495"/>
        <v>InitUnitState('IB59',,,,,,,,,,)</v>
      </c>
      <c r="CO222" s="36" t="str">
        <f t="shared" si="3496"/>
        <v>InitUnitNormal('IB59',,,,,,,,,,)</v>
      </c>
      <c r="CP222" s="36" t="str">
        <f t="shared" si="3497"/>
        <v>InitUnitMagic('IB59',,,,,,,,,,)</v>
      </c>
      <c r="CQ222" s="36" t="str">
        <f t="shared" si="3498"/>
        <v>InitUnitAdd('IB59',,,,,,,,,,)</v>
      </c>
      <c r="CR222" s="36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243&amp;CR$1&amp;")"</f>
        <v>InitEquipData('IB59',,"",,,,,'','','','','','',"")</v>
      </c>
      <c r="CU222" s="88" t="str">
        <f t="shared" si="3422"/>
        <v>|n</v>
      </c>
      <c r="CV222" s="19" t="str">
        <f t="shared" si="3423"/>
        <v>已领取老铁礼包</v>
      </c>
      <c r="CW222" s="33"/>
      <c r="CX222" s="33"/>
      <c r="CY222" s="33"/>
      <c r="CZ222" s="33"/>
      <c r="DA222" s="33"/>
      <c r="DB222" s="66" t="str">
        <f t="shared" ref="DB222:FM225" si="3501">IF(V222="","","|n"&amp;DB$2&amp;"+"&amp;V222&amp;DB$1)</f>
        <v/>
      </c>
      <c r="DC222" s="66" t="str">
        <f t="shared" si="3501"/>
        <v/>
      </c>
      <c r="DD222" s="66" t="str">
        <f t="shared" si="3501"/>
        <v/>
      </c>
      <c r="DE222" s="66" t="str">
        <f t="shared" si="3501"/>
        <v/>
      </c>
      <c r="DF222" s="66" t="str">
        <f t="shared" si="3501"/>
        <v/>
      </c>
      <c r="DG222" s="66" t="str">
        <f t="shared" si="3501"/>
        <v/>
      </c>
      <c r="DH222" s="66" t="str">
        <f t="shared" si="3501"/>
        <v/>
      </c>
      <c r="DI222" s="66" t="str">
        <f t="shared" si="3501"/>
        <v/>
      </c>
      <c r="DJ222" s="66" t="str">
        <f t="shared" si="3501"/>
        <v/>
      </c>
      <c r="DK222" s="66" t="str">
        <f t="shared" si="3501"/>
        <v/>
      </c>
      <c r="DL222" s="66" t="str">
        <f t="shared" si="3501"/>
        <v/>
      </c>
      <c r="DM222" s="66" t="str">
        <f t="shared" si="3501"/>
        <v/>
      </c>
      <c r="DN222" s="66" t="str">
        <f t="shared" si="3501"/>
        <v/>
      </c>
      <c r="DO222" s="66" t="str">
        <f t="shared" si="3501"/>
        <v/>
      </c>
      <c r="DP222" s="66" t="str">
        <f t="shared" si="3501"/>
        <v/>
      </c>
      <c r="DQ222" s="66" t="str">
        <f t="shared" si="3501"/>
        <v/>
      </c>
      <c r="DR222" s="66" t="str">
        <f t="shared" si="3501"/>
        <v/>
      </c>
      <c r="DS222" s="66" t="str">
        <f t="shared" si="3501"/>
        <v/>
      </c>
      <c r="DT222" s="66" t="str">
        <f t="shared" si="3501"/>
        <v/>
      </c>
      <c r="DU222" s="66" t="str">
        <f t="shared" si="3501"/>
        <v/>
      </c>
      <c r="DV222" s="66" t="str">
        <f t="shared" si="3501"/>
        <v/>
      </c>
      <c r="DW222" s="66" t="str">
        <f t="shared" si="3501"/>
        <v/>
      </c>
      <c r="DX222" s="66" t="str">
        <f t="shared" si="3501"/>
        <v/>
      </c>
      <c r="DY222" s="66" t="str">
        <f t="shared" si="3501"/>
        <v/>
      </c>
      <c r="DZ222" s="66" t="str">
        <f t="shared" si="3501"/>
        <v/>
      </c>
      <c r="EA222" s="66" t="str">
        <f t="shared" si="3501"/>
        <v/>
      </c>
      <c r="EB222" s="66" t="str">
        <f t="shared" si="3501"/>
        <v/>
      </c>
      <c r="EC222" s="66" t="str">
        <f t="shared" si="3501"/>
        <v/>
      </c>
      <c r="ED222" s="66" t="str">
        <f t="shared" si="3501"/>
        <v/>
      </c>
      <c r="EE222" s="66" t="str">
        <f t="shared" si="3501"/>
        <v/>
      </c>
      <c r="EF222" s="66" t="str">
        <f t="shared" si="3501"/>
        <v/>
      </c>
      <c r="EG222" s="66" t="str">
        <f t="shared" si="3501"/>
        <v/>
      </c>
      <c r="EH222" s="66" t="str">
        <f t="shared" si="3501"/>
        <v/>
      </c>
      <c r="EI222" s="66" t="str">
        <f t="shared" si="3501"/>
        <v/>
      </c>
      <c r="EJ222" s="66" t="str">
        <f t="shared" si="3501"/>
        <v/>
      </c>
      <c r="EK222" s="66" t="str">
        <f t="shared" si="3501"/>
        <v/>
      </c>
      <c r="EL222" s="66" t="str">
        <f t="shared" si="3501"/>
        <v/>
      </c>
      <c r="EM222" s="66" t="str">
        <f t="shared" si="3501"/>
        <v/>
      </c>
      <c r="EN222" s="66" t="str">
        <f t="shared" si="3501"/>
        <v/>
      </c>
      <c r="EO222" s="66" t="str">
        <f t="shared" si="3501"/>
        <v/>
      </c>
      <c r="EP222" s="66" t="str">
        <f t="shared" si="3501"/>
        <v/>
      </c>
      <c r="EQ222" s="66" t="str">
        <f t="shared" si="3501"/>
        <v/>
      </c>
      <c r="ER222" s="66" t="str">
        <f t="shared" si="3501"/>
        <v/>
      </c>
      <c r="ES222" s="66" t="str">
        <f t="shared" si="3501"/>
        <v/>
      </c>
      <c r="ET222" s="66" t="str">
        <f t="shared" si="3501"/>
        <v/>
      </c>
      <c r="EU222" s="66" t="str">
        <f t="shared" si="3501"/>
        <v/>
      </c>
      <c r="EV222" s="66" t="str">
        <f t="shared" si="3501"/>
        <v/>
      </c>
      <c r="EW222" s="66" t="str">
        <f t="shared" si="3501"/>
        <v/>
      </c>
      <c r="EX222" s="66" t="str">
        <f t="shared" si="3501"/>
        <v/>
      </c>
      <c r="EY222" s="66" t="str">
        <f t="shared" si="3501"/>
        <v/>
      </c>
      <c r="EZ222" s="66" t="str">
        <f t="shared" si="3501"/>
        <v/>
      </c>
      <c r="FA222" s="66" t="str">
        <f t="shared" si="3501"/>
        <v/>
      </c>
      <c r="FB222" s="66" t="str">
        <f t="shared" si="3501"/>
        <v/>
      </c>
      <c r="FC222" s="66" t="str">
        <f t="shared" si="3501"/>
        <v/>
      </c>
      <c r="FD222" s="66" t="str">
        <f t="shared" si="3501"/>
        <v/>
      </c>
      <c r="FE222" s="66" t="str">
        <f t="shared" si="3501"/>
        <v/>
      </c>
      <c r="FF222" s="66" t="str">
        <f t="shared" si="3501"/>
        <v/>
      </c>
      <c r="FG222" s="66" t="str">
        <f t="shared" si="3501"/>
        <v/>
      </c>
      <c r="FH222" s="66" t="str">
        <f t="shared" si="3501"/>
        <v/>
      </c>
      <c r="FI222" s="66" t="str">
        <f t="shared" si="3501"/>
        <v/>
      </c>
      <c r="FJ222" s="66" t="str">
        <f t="shared" si="3501"/>
        <v/>
      </c>
      <c r="FK222" s="66" t="str">
        <f t="shared" si="3501"/>
        <v/>
      </c>
      <c r="FL222" s="66" t="str">
        <f t="shared" si="3501"/>
        <v/>
      </c>
      <c r="FM222" s="66" t="str">
        <f t="shared" si="3501"/>
        <v/>
      </c>
      <c r="FN222" s="66" t="str">
        <f t="shared" ref="FN222:FS225" si="3502">IF(CH222="","","|n"&amp;FN$2&amp;"+"&amp;CH222&amp;FN$1)</f>
        <v/>
      </c>
      <c r="FO222" s="66" t="str">
        <f t="shared" si="3502"/>
        <v/>
      </c>
      <c r="FP222" s="66" t="str">
        <f t="shared" si="3502"/>
        <v/>
      </c>
      <c r="FQ222" s="66" t="str">
        <f t="shared" si="3502"/>
        <v/>
      </c>
      <c r="FR222" s="66" t="str">
        <f t="shared" si="3502"/>
        <v/>
      </c>
      <c r="FS222" s="66" t="str">
        <f t="shared" si="3502"/>
        <v/>
      </c>
    </row>
    <row r="223" spans="1:175" ht="16.5">
      <c r="A223" s="2"/>
      <c r="B223" s="112" t="s">
        <v>765</v>
      </c>
      <c r="C223" s="112" t="s">
        <v>766</v>
      </c>
      <c r="E223" s="91"/>
      <c r="F223" s="43"/>
      <c r="G223" s="39"/>
      <c r="H223" s="39"/>
      <c r="I223" s="39"/>
      <c r="J223" s="39"/>
      <c r="K223" s="39"/>
      <c r="L223" s="39"/>
      <c r="M223" s="39"/>
      <c r="N223" s="39"/>
      <c r="O223" s="39"/>
      <c r="P223" s="92"/>
      <c r="Q223" s="92"/>
      <c r="R223" s="92"/>
      <c r="S223" s="96"/>
      <c r="T223" s="29" t="s">
        <v>767</v>
      </c>
      <c r="U223" s="77" t="str">
        <f>"ReplaceableTextures\\CommandButtons\\BTNR"&amp;RIGHT(B223,3)&amp;".blp"</f>
        <v>ReplaceableTextures\\CommandButtons\\BTNRY1C.blp</v>
      </c>
      <c r="V223" s="10"/>
      <c r="Z223" s="10"/>
      <c r="AG223" s="99"/>
      <c r="AL223" s="99"/>
      <c r="BC223" s="100"/>
      <c r="BD223" s="100"/>
      <c r="CU223" s="88" t="str">
        <f t="shared" ref="CU223:CU225" si="3503">CONCATENATE(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&amp;"|n")</f>
        <v>|n</v>
      </c>
      <c r="CV223" s="19" t="str">
        <f t="shared" si="3423"/>
        <v>代码生成</v>
      </c>
      <c r="CW223" s="33"/>
      <c r="CX223" s="33"/>
      <c r="CY223" s="33"/>
      <c r="CZ223" s="33"/>
      <c r="DA223" s="33"/>
      <c r="DB223" s="66" t="str">
        <f t="shared" si="3501"/>
        <v/>
      </c>
      <c r="DC223" s="66" t="str">
        <f t="shared" si="3501"/>
        <v/>
      </c>
      <c r="DD223" s="66" t="str">
        <f t="shared" si="3501"/>
        <v/>
      </c>
      <c r="DE223" s="66" t="str">
        <f t="shared" si="3501"/>
        <v/>
      </c>
      <c r="DF223" s="66" t="str">
        <f t="shared" si="3501"/>
        <v/>
      </c>
      <c r="DG223" s="66" t="str">
        <f t="shared" si="3501"/>
        <v/>
      </c>
      <c r="DH223" s="66" t="str">
        <f t="shared" si="3501"/>
        <v/>
      </c>
      <c r="DI223" s="66" t="str">
        <f t="shared" si="3501"/>
        <v/>
      </c>
      <c r="DJ223" s="66" t="str">
        <f t="shared" si="3501"/>
        <v/>
      </c>
      <c r="DK223" s="66" t="str">
        <f t="shared" si="3501"/>
        <v/>
      </c>
      <c r="DL223" s="66" t="str">
        <f t="shared" si="3501"/>
        <v/>
      </c>
      <c r="DM223" s="66" t="str">
        <f t="shared" si="3501"/>
        <v/>
      </c>
      <c r="DN223" s="66" t="str">
        <f t="shared" si="3501"/>
        <v/>
      </c>
      <c r="DO223" s="66" t="str">
        <f t="shared" si="3501"/>
        <v/>
      </c>
      <c r="DP223" s="66" t="str">
        <f t="shared" si="3501"/>
        <v/>
      </c>
      <c r="DQ223" s="66" t="str">
        <f t="shared" si="3501"/>
        <v/>
      </c>
      <c r="DR223" s="66" t="str">
        <f t="shared" si="3501"/>
        <v/>
      </c>
      <c r="DS223" s="66" t="str">
        <f t="shared" si="3501"/>
        <v/>
      </c>
      <c r="DT223" s="66" t="str">
        <f t="shared" si="3501"/>
        <v/>
      </c>
      <c r="DU223" s="66" t="str">
        <f t="shared" si="3501"/>
        <v/>
      </c>
      <c r="DV223" s="66" t="str">
        <f t="shared" si="3501"/>
        <v/>
      </c>
      <c r="DW223" s="66" t="str">
        <f t="shared" si="3501"/>
        <v/>
      </c>
      <c r="DX223" s="66" t="str">
        <f t="shared" si="3501"/>
        <v/>
      </c>
      <c r="DY223" s="66" t="str">
        <f t="shared" si="3501"/>
        <v/>
      </c>
      <c r="DZ223" s="66" t="str">
        <f t="shared" si="3501"/>
        <v/>
      </c>
      <c r="EA223" s="66" t="str">
        <f t="shared" si="3501"/>
        <v/>
      </c>
      <c r="EB223" s="66" t="str">
        <f t="shared" si="3501"/>
        <v/>
      </c>
      <c r="EC223" s="66" t="str">
        <f t="shared" si="3501"/>
        <v/>
      </c>
      <c r="ED223" s="66" t="str">
        <f t="shared" si="3501"/>
        <v/>
      </c>
      <c r="EE223" s="66" t="str">
        <f t="shared" si="3501"/>
        <v/>
      </c>
      <c r="EF223" s="66" t="str">
        <f t="shared" si="3501"/>
        <v/>
      </c>
      <c r="EG223" s="66" t="str">
        <f t="shared" si="3501"/>
        <v/>
      </c>
      <c r="EH223" s="66" t="str">
        <f t="shared" si="3501"/>
        <v/>
      </c>
      <c r="EI223" s="66" t="str">
        <f t="shared" si="3501"/>
        <v/>
      </c>
      <c r="EJ223" s="66" t="str">
        <f t="shared" si="3501"/>
        <v/>
      </c>
      <c r="EK223" s="66" t="str">
        <f t="shared" si="3501"/>
        <v/>
      </c>
      <c r="EL223" s="66" t="str">
        <f t="shared" si="3501"/>
        <v/>
      </c>
      <c r="EM223" s="66" t="str">
        <f t="shared" si="3501"/>
        <v/>
      </c>
      <c r="EN223" s="66" t="str">
        <f t="shared" si="3501"/>
        <v/>
      </c>
      <c r="EO223" s="66" t="str">
        <f t="shared" si="3501"/>
        <v/>
      </c>
      <c r="EP223" s="66" t="str">
        <f t="shared" si="3501"/>
        <v/>
      </c>
      <c r="EQ223" s="66" t="str">
        <f t="shared" si="3501"/>
        <v/>
      </c>
      <c r="ER223" s="66" t="str">
        <f t="shared" si="3501"/>
        <v/>
      </c>
      <c r="ES223" s="66" t="str">
        <f t="shared" si="3501"/>
        <v/>
      </c>
      <c r="ET223" s="66" t="str">
        <f t="shared" si="3501"/>
        <v/>
      </c>
      <c r="EU223" s="66" t="str">
        <f t="shared" si="3501"/>
        <v/>
      </c>
      <c r="EV223" s="66" t="str">
        <f t="shared" si="3501"/>
        <v/>
      </c>
      <c r="EW223" s="66" t="str">
        <f t="shared" si="3501"/>
        <v/>
      </c>
      <c r="EX223" s="66" t="str">
        <f t="shared" si="3501"/>
        <v/>
      </c>
      <c r="EY223" s="66" t="str">
        <f t="shared" si="3501"/>
        <v/>
      </c>
      <c r="EZ223" s="66" t="str">
        <f t="shared" si="3501"/>
        <v/>
      </c>
      <c r="FA223" s="66" t="str">
        <f t="shared" si="3501"/>
        <v/>
      </c>
      <c r="FB223" s="66" t="str">
        <f t="shared" si="3501"/>
        <v/>
      </c>
      <c r="FC223" s="66" t="str">
        <f t="shared" si="3501"/>
        <v/>
      </c>
      <c r="FD223" s="66" t="str">
        <f t="shared" si="3501"/>
        <v/>
      </c>
      <c r="FE223" s="66" t="str">
        <f t="shared" si="3501"/>
        <v/>
      </c>
      <c r="FF223" s="66" t="str">
        <f t="shared" si="3501"/>
        <v/>
      </c>
      <c r="FG223" s="66" t="str">
        <f t="shared" si="3501"/>
        <v/>
      </c>
      <c r="FH223" s="66" t="str">
        <f t="shared" si="3501"/>
        <v/>
      </c>
      <c r="FI223" s="66" t="str">
        <f t="shared" si="3501"/>
        <v/>
      </c>
      <c r="FJ223" s="66" t="str">
        <f t="shared" si="3501"/>
        <v/>
      </c>
      <c r="FK223" s="66" t="str">
        <f t="shared" si="3501"/>
        <v/>
      </c>
      <c r="FL223" s="66" t="str">
        <f t="shared" si="3501"/>
        <v/>
      </c>
      <c r="FM223" s="66" t="str">
        <f t="shared" si="3501"/>
        <v/>
      </c>
      <c r="FN223" s="66" t="str">
        <f t="shared" si="3502"/>
        <v/>
      </c>
      <c r="FO223" s="66" t="str">
        <f t="shared" si="3502"/>
        <v/>
      </c>
      <c r="FP223" s="66" t="str">
        <f t="shared" si="3502"/>
        <v/>
      </c>
      <c r="FQ223" s="66" t="str">
        <f t="shared" si="3502"/>
        <v/>
      </c>
      <c r="FR223" s="66" t="str">
        <f t="shared" si="3502"/>
        <v/>
      </c>
      <c r="FS223" s="66" t="str">
        <f t="shared" si="3502"/>
        <v/>
      </c>
    </row>
    <row r="224" spans="1:175" ht="17.25">
      <c r="A224" s="2"/>
      <c r="B224" s="113" t="s">
        <v>768</v>
      </c>
      <c r="C224" s="114" t="s">
        <v>769</v>
      </c>
      <c r="E224" s="91"/>
      <c r="F224" s="43"/>
      <c r="G224" s="39"/>
      <c r="H224" s="39"/>
      <c r="I224" s="39"/>
      <c r="J224" s="39"/>
      <c r="K224" s="39"/>
      <c r="L224" s="39"/>
      <c r="M224" s="39"/>
      <c r="N224" s="39"/>
      <c r="O224" s="39"/>
      <c r="P224" s="92"/>
      <c r="Q224" s="92"/>
      <c r="R224" s="92"/>
      <c r="S224" s="96"/>
      <c r="T224" s="29" t="s">
        <v>767</v>
      </c>
      <c r="U224" s="77" t="str">
        <f>"ReplaceableTextures\\CommandButtons\\BTNR"&amp;RIGHT(B224,3)&amp;".blp"</f>
        <v>ReplaceableTextures\\CommandButtons\\BTNRY2C.blp</v>
      </c>
      <c r="V224" s="10"/>
      <c r="Z224" s="10"/>
      <c r="AG224" s="99"/>
      <c r="AL224" s="99"/>
      <c r="BC224" s="100"/>
      <c r="BD224" s="100"/>
      <c r="CU224" s="88" t="str">
        <f t="shared" ref="CU224" si="3504">CONCATENATE(DB224,DC224,DD224,DE224,DF224,DG224,DH224,DI224,DJ224,DK224,DL224,DM224,DN224,DO224,DP224,DQ224,DR224,DS224,DT224,DU224,DV224,DW224,DX224,DY224,DZ224,EA224,EB224,EC224,ED224,EE224,EF224,EG224,EH224,EI224,EJ224,EK224,EL224,EM224,EN224,EO224,EP224,EQ224,ER224,ES224,ET224,EU224,EV224,EW224,EX224,EY224,EZ224,FA224,FB224,FC224,FD224,FE224,FF224,FG224,FH224,FI224,FJ224,FK224,FL224,FM224,FN224,FO224,FP224,FQ224,FR224,FS224&amp;"|n")</f>
        <v>|n</v>
      </c>
      <c r="CV224" s="19" t="str">
        <f t="shared" si="3423"/>
        <v>代码生成</v>
      </c>
      <c r="CW224" s="33"/>
      <c r="CX224" s="33"/>
      <c r="CY224" s="33"/>
      <c r="CZ224" s="33"/>
      <c r="DA224" s="33"/>
      <c r="DB224" s="66" t="str">
        <f t="shared" ref="DB224" si="3505">IF(V224="","","|n"&amp;DB$2&amp;"+"&amp;V224&amp;DB$1)</f>
        <v/>
      </c>
      <c r="DC224" s="66" t="str">
        <f t="shared" ref="DC224" si="3506">IF(W224="","","|n"&amp;DC$2&amp;"+"&amp;W224&amp;DC$1)</f>
        <v/>
      </c>
      <c r="DD224" s="66" t="str">
        <f t="shared" ref="DD224" si="3507">IF(X224="","","|n"&amp;DD$2&amp;"+"&amp;X224&amp;DD$1)</f>
        <v/>
      </c>
      <c r="DE224" s="66" t="str">
        <f t="shared" ref="DE224" si="3508">IF(Y224="","","|n"&amp;DE$2&amp;"+"&amp;Y224&amp;DE$1)</f>
        <v/>
      </c>
      <c r="DF224" s="66" t="str">
        <f t="shared" ref="DF224" si="3509">IF(Z224="","","|n"&amp;DF$2&amp;"+"&amp;Z224&amp;DF$1)</f>
        <v/>
      </c>
      <c r="DG224" s="66" t="str">
        <f t="shared" ref="DG224" si="3510">IF(AA224="","","|n"&amp;DG$2&amp;"+"&amp;AA224&amp;DG$1)</f>
        <v/>
      </c>
      <c r="DH224" s="66" t="str">
        <f t="shared" ref="DH224" si="3511">IF(AB224="","","|n"&amp;DH$2&amp;"+"&amp;AB224&amp;DH$1)</f>
        <v/>
      </c>
      <c r="DI224" s="66" t="str">
        <f t="shared" ref="DI224" si="3512">IF(AC224="","","|n"&amp;DI$2&amp;"+"&amp;AC224&amp;DI$1)</f>
        <v/>
      </c>
      <c r="DJ224" s="66" t="str">
        <f t="shared" ref="DJ224" si="3513">IF(AD224="","","|n"&amp;DJ$2&amp;"+"&amp;AD224&amp;DJ$1)</f>
        <v/>
      </c>
      <c r="DK224" s="66" t="str">
        <f t="shared" ref="DK224" si="3514">IF(AE224="","","|n"&amp;DK$2&amp;"+"&amp;AE224&amp;DK$1)</f>
        <v/>
      </c>
      <c r="DL224" s="66" t="str">
        <f t="shared" ref="DL224" si="3515">IF(AF224="","","|n"&amp;DL$2&amp;"+"&amp;AF224&amp;DL$1)</f>
        <v/>
      </c>
      <c r="DM224" s="66" t="str">
        <f t="shared" ref="DM224" si="3516">IF(AG224="","","|n"&amp;DM$2&amp;"+"&amp;AG224&amp;DM$1)</f>
        <v/>
      </c>
      <c r="DN224" s="66" t="str">
        <f t="shared" ref="DN224" si="3517">IF(AH224="","","|n"&amp;DN$2&amp;"+"&amp;AH224&amp;DN$1)</f>
        <v/>
      </c>
      <c r="DO224" s="66" t="str">
        <f t="shared" ref="DO224" si="3518">IF(AI224="","","|n"&amp;DO$2&amp;"+"&amp;AI224&amp;DO$1)</f>
        <v/>
      </c>
      <c r="DP224" s="66" t="str">
        <f t="shared" ref="DP224" si="3519">IF(AJ224="","","|n"&amp;DP$2&amp;"+"&amp;AJ224&amp;DP$1)</f>
        <v/>
      </c>
      <c r="DQ224" s="66" t="str">
        <f t="shared" ref="DQ224" si="3520">IF(AK224="","","|n"&amp;DQ$2&amp;"+"&amp;AK224&amp;DQ$1)</f>
        <v/>
      </c>
      <c r="DR224" s="66" t="str">
        <f t="shared" ref="DR224" si="3521">IF(AL224="","","|n"&amp;DR$2&amp;"+"&amp;AL224&amp;DR$1)</f>
        <v/>
      </c>
      <c r="DS224" s="66" t="str">
        <f t="shared" ref="DS224" si="3522">IF(AM224="","","|n"&amp;DS$2&amp;"+"&amp;AM224&amp;DS$1)</f>
        <v/>
      </c>
      <c r="DT224" s="66" t="str">
        <f t="shared" ref="DT224" si="3523">IF(AN224="","","|n"&amp;DT$2&amp;"+"&amp;AN224&amp;DT$1)</f>
        <v/>
      </c>
      <c r="DU224" s="66" t="str">
        <f t="shared" ref="DU224" si="3524">IF(AO224="","","|n"&amp;DU$2&amp;"+"&amp;AO224&amp;DU$1)</f>
        <v/>
      </c>
      <c r="DV224" s="66" t="str">
        <f t="shared" ref="DV224" si="3525">IF(AP224="","","|n"&amp;DV$2&amp;"+"&amp;AP224&amp;DV$1)</f>
        <v/>
      </c>
      <c r="DW224" s="66" t="str">
        <f t="shared" ref="DW224" si="3526">IF(AQ224="","","|n"&amp;DW$2&amp;"+"&amp;AQ224&amp;DW$1)</f>
        <v/>
      </c>
      <c r="DX224" s="66" t="str">
        <f t="shared" ref="DX224" si="3527">IF(AR224="","","|n"&amp;DX$2&amp;"+"&amp;AR224&amp;DX$1)</f>
        <v/>
      </c>
      <c r="DY224" s="66" t="str">
        <f t="shared" ref="DY224" si="3528">IF(AS224="","","|n"&amp;DY$2&amp;"+"&amp;AS224&amp;DY$1)</f>
        <v/>
      </c>
      <c r="DZ224" s="66" t="str">
        <f t="shared" ref="DZ224" si="3529">IF(AT224="","","|n"&amp;DZ$2&amp;"+"&amp;AT224&amp;DZ$1)</f>
        <v/>
      </c>
      <c r="EA224" s="66" t="str">
        <f t="shared" ref="EA224" si="3530">IF(AU224="","","|n"&amp;EA$2&amp;"+"&amp;AU224&amp;EA$1)</f>
        <v/>
      </c>
      <c r="EB224" s="66" t="str">
        <f t="shared" ref="EB224" si="3531">IF(AV224="","","|n"&amp;EB$2&amp;"+"&amp;AV224&amp;EB$1)</f>
        <v/>
      </c>
      <c r="EC224" s="66" t="str">
        <f t="shared" ref="EC224" si="3532">IF(AW224="","","|n"&amp;EC$2&amp;"+"&amp;AW224&amp;EC$1)</f>
        <v/>
      </c>
      <c r="ED224" s="66" t="str">
        <f t="shared" ref="ED224" si="3533">IF(AX224="","","|n"&amp;ED$2&amp;"+"&amp;AX224&amp;ED$1)</f>
        <v/>
      </c>
      <c r="EE224" s="66" t="str">
        <f t="shared" ref="EE224" si="3534">IF(AY224="","","|n"&amp;EE$2&amp;"+"&amp;AY224&amp;EE$1)</f>
        <v/>
      </c>
      <c r="EF224" s="66" t="str">
        <f t="shared" ref="EF224" si="3535">IF(AZ224="","","|n"&amp;EF$2&amp;"+"&amp;AZ224&amp;EF$1)</f>
        <v/>
      </c>
      <c r="EG224" s="66" t="str">
        <f t="shared" ref="EG224" si="3536">IF(BA224="","","|n"&amp;EG$2&amp;"+"&amp;BA224&amp;EG$1)</f>
        <v/>
      </c>
      <c r="EH224" s="66" t="str">
        <f t="shared" ref="EH224" si="3537">IF(BB224="","","|n"&amp;EH$2&amp;"+"&amp;BB224&amp;EH$1)</f>
        <v/>
      </c>
      <c r="EI224" s="66" t="str">
        <f t="shared" ref="EI224" si="3538">IF(BC224="","","|n"&amp;EI$2&amp;"+"&amp;BC224&amp;EI$1)</f>
        <v/>
      </c>
      <c r="EJ224" s="66" t="str">
        <f t="shared" ref="EJ224" si="3539">IF(BD224="","","|n"&amp;EJ$2&amp;"+"&amp;BD224&amp;EJ$1)</f>
        <v/>
      </c>
      <c r="EK224" s="66" t="str">
        <f t="shared" ref="EK224" si="3540">IF(BE224="","","|n"&amp;EK$2&amp;"+"&amp;BE224&amp;EK$1)</f>
        <v/>
      </c>
      <c r="EL224" s="66" t="str">
        <f t="shared" ref="EL224" si="3541">IF(BF224="","","|n"&amp;EL$2&amp;"+"&amp;BF224&amp;EL$1)</f>
        <v/>
      </c>
      <c r="EM224" s="66" t="str">
        <f t="shared" ref="EM224" si="3542">IF(BG224="","","|n"&amp;EM$2&amp;"+"&amp;BG224&amp;EM$1)</f>
        <v/>
      </c>
      <c r="EN224" s="66" t="str">
        <f t="shared" ref="EN224" si="3543">IF(BH224="","","|n"&amp;EN$2&amp;"+"&amp;BH224&amp;EN$1)</f>
        <v/>
      </c>
      <c r="EO224" s="66" t="str">
        <f t="shared" ref="EO224" si="3544">IF(BI224="","","|n"&amp;EO$2&amp;"+"&amp;BI224&amp;EO$1)</f>
        <v/>
      </c>
      <c r="EP224" s="66" t="str">
        <f t="shared" ref="EP224" si="3545">IF(BJ224="","","|n"&amp;EP$2&amp;"+"&amp;BJ224&amp;EP$1)</f>
        <v/>
      </c>
      <c r="EQ224" s="66" t="str">
        <f t="shared" ref="EQ224" si="3546">IF(BK224="","","|n"&amp;EQ$2&amp;"+"&amp;BK224&amp;EQ$1)</f>
        <v/>
      </c>
      <c r="ER224" s="66" t="str">
        <f t="shared" ref="ER224" si="3547">IF(BL224="","","|n"&amp;ER$2&amp;"+"&amp;BL224&amp;ER$1)</f>
        <v/>
      </c>
      <c r="ES224" s="66" t="str">
        <f t="shared" ref="ES224" si="3548">IF(BM224="","","|n"&amp;ES$2&amp;"+"&amp;BM224&amp;ES$1)</f>
        <v/>
      </c>
      <c r="ET224" s="66" t="str">
        <f t="shared" ref="ET224" si="3549">IF(BN224="","","|n"&amp;ET$2&amp;"+"&amp;BN224&amp;ET$1)</f>
        <v/>
      </c>
      <c r="EU224" s="66" t="str">
        <f t="shared" ref="EU224" si="3550">IF(BO224="","","|n"&amp;EU$2&amp;"+"&amp;BO224&amp;EU$1)</f>
        <v/>
      </c>
      <c r="EV224" s="66" t="str">
        <f t="shared" ref="EV224" si="3551">IF(BP224="","","|n"&amp;EV$2&amp;"+"&amp;BP224&amp;EV$1)</f>
        <v/>
      </c>
      <c r="EW224" s="66" t="str">
        <f t="shared" ref="EW224" si="3552">IF(BQ224="","","|n"&amp;EW$2&amp;"+"&amp;BQ224&amp;EW$1)</f>
        <v/>
      </c>
      <c r="EX224" s="66" t="str">
        <f t="shared" ref="EX224" si="3553">IF(BR224="","","|n"&amp;EX$2&amp;"+"&amp;BR224&amp;EX$1)</f>
        <v/>
      </c>
      <c r="EY224" s="66" t="str">
        <f t="shared" ref="EY224" si="3554">IF(BS224="","","|n"&amp;EY$2&amp;"+"&amp;BS224&amp;EY$1)</f>
        <v/>
      </c>
      <c r="EZ224" s="66" t="str">
        <f t="shared" ref="EZ224" si="3555">IF(BT224="","","|n"&amp;EZ$2&amp;"+"&amp;BT224&amp;EZ$1)</f>
        <v/>
      </c>
      <c r="FA224" s="66" t="str">
        <f t="shared" ref="FA224" si="3556">IF(BU224="","","|n"&amp;FA$2&amp;"+"&amp;BU224&amp;FA$1)</f>
        <v/>
      </c>
      <c r="FB224" s="66" t="str">
        <f t="shared" ref="FB224" si="3557">IF(BV224="","","|n"&amp;FB$2&amp;"+"&amp;BV224&amp;FB$1)</f>
        <v/>
      </c>
      <c r="FC224" s="66" t="str">
        <f t="shared" ref="FC224" si="3558">IF(BW224="","","|n"&amp;FC$2&amp;"+"&amp;BW224&amp;FC$1)</f>
        <v/>
      </c>
      <c r="FD224" s="66" t="str">
        <f t="shared" ref="FD224" si="3559">IF(BX224="","","|n"&amp;FD$2&amp;"+"&amp;BX224&amp;FD$1)</f>
        <v/>
      </c>
      <c r="FE224" s="66" t="str">
        <f t="shared" ref="FE224" si="3560">IF(BY224="","","|n"&amp;FE$2&amp;"+"&amp;BY224&amp;FE$1)</f>
        <v/>
      </c>
      <c r="FF224" s="66" t="str">
        <f t="shared" ref="FF224" si="3561">IF(BZ224="","","|n"&amp;FF$2&amp;"+"&amp;BZ224&amp;FF$1)</f>
        <v/>
      </c>
      <c r="FG224" s="66" t="str">
        <f t="shared" ref="FG224" si="3562">IF(CA224="","","|n"&amp;FG$2&amp;"+"&amp;CA224&amp;FG$1)</f>
        <v/>
      </c>
      <c r="FH224" s="66" t="str">
        <f t="shared" ref="FH224" si="3563">IF(CB224="","","|n"&amp;FH$2&amp;"+"&amp;CB224&amp;FH$1)</f>
        <v/>
      </c>
      <c r="FI224" s="66" t="str">
        <f t="shared" ref="FI224" si="3564">IF(CC224="","","|n"&amp;FI$2&amp;"+"&amp;CC224&amp;FI$1)</f>
        <v/>
      </c>
      <c r="FJ224" s="66" t="str">
        <f t="shared" ref="FJ224" si="3565">IF(CD224="","","|n"&amp;FJ$2&amp;"+"&amp;CD224&amp;FJ$1)</f>
        <v/>
      </c>
      <c r="FK224" s="66" t="str">
        <f t="shared" ref="FK224" si="3566">IF(CE224="","","|n"&amp;FK$2&amp;"+"&amp;CE224&amp;FK$1)</f>
        <v/>
      </c>
      <c r="FL224" s="66" t="str">
        <f t="shared" ref="FL224" si="3567">IF(CF224="","","|n"&amp;FL$2&amp;"+"&amp;CF224&amp;FL$1)</f>
        <v/>
      </c>
      <c r="FM224" s="66" t="str">
        <f t="shared" ref="FM224" si="3568">IF(CG224="","","|n"&amp;FM$2&amp;"+"&amp;CG224&amp;FM$1)</f>
        <v/>
      </c>
      <c r="FN224" s="66" t="str">
        <f t="shared" ref="FN224" si="3569">IF(CH224="","","|n"&amp;FN$2&amp;"+"&amp;CH224&amp;FN$1)</f>
        <v/>
      </c>
      <c r="FO224" s="66" t="str">
        <f t="shared" ref="FO224" si="3570">IF(CI224="","","|n"&amp;FO$2&amp;"+"&amp;CI224&amp;FO$1)</f>
        <v/>
      </c>
      <c r="FP224" s="66" t="str">
        <f t="shared" ref="FP224" si="3571">IF(CJ224="","","|n"&amp;FP$2&amp;"+"&amp;CJ224&amp;FP$1)</f>
        <v/>
      </c>
      <c r="FQ224" s="66" t="str">
        <f t="shared" ref="FQ224" si="3572">IF(CK224="","","|n"&amp;FQ$2&amp;"+"&amp;CK224&amp;FQ$1)</f>
        <v/>
      </c>
      <c r="FR224" s="66" t="str">
        <f t="shared" ref="FR224" si="3573">IF(CL224="","","|n"&amp;FR$2&amp;"+"&amp;CL224&amp;FR$1)</f>
        <v/>
      </c>
      <c r="FS224" s="66" t="str">
        <f t="shared" ref="FS224" si="3574">IF(CM224="","","|n"&amp;FS$2&amp;"+"&amp;CM224&amp;FS$1)</f>
        <v/>
      </c>
    </row>
    <row r="225" spans="1:175" ht="16.5">
      <c r="A225" s="2"/>
      <c r="B225" s="113" t="s">
        <v>770</v>
      </c>
      <c r="C225" s="113" t="s">
        <v>771</v>
      </c>
      <c r="E225" s="91"/>
      <c r="F225" s="43"/>
      <c r="G225" s="39"/>
      <c r="H225" s="39"/>
      <c r="I225" s="39"/>
      <c r="J225" s="39"/>
      <c r="K225" s="39"/>
      <c r="L225" s="39"/>
      <c r="M225" s="39"/>
      <c r="N225" s="39"/>
      <c r="O225" s="39"/>
      <c r="P225" s="92"/>
      <c r="Q225" s="92"/>
      <c r="R225" s="92"/>
      <c r="S225" s="96"/>
      <c r="T225" s="29" t="s">
        <v>767</v>
      </c>
      <c r="U225" s="77" t="str">
        <f>"ReplaceableTextures\\CommandButtons\\BTNR"&amp;RIGHT(B225,3)&amp;".blp"</f>
        <v>ReplaceableTextures\\CommandButtons\\BTNRY3C.blp</v>
      </c>
      <c r="V225" s="10"/>
      <c r="Z225" s="10"/>
      <c r="AG225" s="99"/>
      <c r="AL225" s="99"/>
      <c r="BC225" s="100"/>
      <c r="BD225" s="100"/>
      <c r="CU225" s="88" t="str">
        <f t="shared" si="3503"/>
        <v>|n</v>
      </c>
      <c r="CV225" s="19" t="str">
        <f t="shared" si="3423"/>
        <v>代码生成</v>
      </c>
      <c r="CW225" s="33"/>
      <c r="CX225" s="33"/>
      <c r="CY225" s="33"/>
      <c r="CZ225" s="33"/>
      <c r="DA225" s="33"/>
      <c r="DB225" s="66" t="str">
        <f t="shared" si="3501"/>
        <v/>
      </c>
      <c r="DC225" s="66" t="str">
        <f t="shared" si="3501"/>
        <v/>
      </c>
      <c r="DD225" s="66" t="str">
        <f t="shared" si="3501"/>
        <v/>
      </c>
      <c r="DE225" s="66" t="str">
        <f t="shared" si="3501"/>
        <v/>
      </c>
      <c r="DF225" s="66" t="str">
        <f t="shared" si="3501"/>
        <v/>
      </c>
      <c r="DG225" s="66" t="str">
        <f t="shared" si="3501"/>
        <v/>
      </c>
      <c r="DH225" s="66" t="str">
        <f t="shared" si="3501"/>
        <v/>
      </c>
      <c r="DI225" s="66" t="str">
        <f t="shared" si="3501"/>
        <v/>
      </c>
      <c r="DJ225" s="66" t="str">
        <f t="shared" si="3501"/>
        <v/>
      </c>
      <c r="DK225" s="66" t="str">
        <f t="shared" si="3501"/>
        <v/>
      </c>
      <c r="DL225" s="66" t="str">
        <f t="shared" si="3501"/>
        <v/>
      </c>
      <c r="DM225" s="66" t="str">
        <f t="shared" si="3501"/>
        <v/>
      </c>
      <c r="DN225" s="66" t="str">
        <f t="shared" si="3501"/>
        <v/>
      </c>
      <c r="DO225" s="66" t="str">
        <f t="shared" si="3501"/>
        <v/>
      </c>
      <c r="DP225" s="66" t="str">
        <f t="shared" si="3501"/>
        <v/>
      </c>
      <c r="DQ225" s="66" t="str">
        <f t="shared" si="3501"/>
        <v/>
      </c>
      <c r="DR225" s="66" t="str">
        <f t="shared" si="3501"/>
        <v/>
      </c>
      <c r="DS225" s="66" t="str">
        <f t="shared" si="3501"/>
        <v/>
      </c>
      <c r="DT225" s="66" t="str">
        <f t="shared" si="3501"/>
        <v/>
      </c>
      <c r="DU225" s="66" t="str">
        <f t="shared" si="3501"/>
        <v/>
      </c>
      <c r="DV225" s="66" t="str">
        <f t="shared" si="3501"/>
        <v/>
      </c>
      <c r="DW225" s="66" t="str">
        <f t="shared" si="3501"/>
        <v/>
      </c>
      <c r="DX225" s="66" t="str">
        <f t="shared" si="3501"/>
        <v/>
      </c>
      <c r="DY225" s="66" t="str">
        <f t="shared" si="3501"/>
        <v/>
      </c>
      <c r="DZ225" s="66" t="str">
        <f t="shared" si="3501"/>
        <v/>
      </c>
      <c r="EA225" s="66" t="str">
        <f t="shared" si="3501"/>
        <v/>
      </c>
      <c r="EB225" s="66" t="str">
        <f t="shared" si="3501"/>
        <v/>
      </c>
      <c r="EC225" s="66" t="str">
        <f t="shared" si="3501"/>
        <v/>
      </c>
      <c r="ED225" s="66" t="str">
        <f t="shared" si="3501"/>
        <v/>
      </c>
      <c r="EE225" s="66" t="str">
        <f t="shared" si="3501"/>
        <v/>
      </c>
      <c r="EF225" s="66" t="str">
        <f t="shared" si="3501"/>
        <v/>
      </c>
      <c r="EG225" s="66" t="str">
        <f t="shared" si="3501"/>
        <v/>
      </c>
      <c r="EH225" s="66" t="str">
        <f t="shared" si="3501"/>
        <v/>
      </c>
      <c r="EI225" s="66" t="str">
        <f t="shared" si="3501"/>
        <v/>
      </c>
      <c r="EJ225" s="66" t="str">
        <f t="shared" si="3501"/>
        <v/>
      </c>
      <c r="EK225" s="66" t="str">
        <f t="shared" si="3501"/>
        <v/>
      </c>
      <c r="EL225" s="66" t="str">
        <f t="shared" si="3501"/>
        <v/>
      </c>
      <c r="EM225" s="66" t="str">
        <f t="shared" si="3501"/>
        <v/>
      </c>
      <c r="EN225" s="66" t="str">
        <f t="shared" si="3501"/>
        <v/>
      </c>
      <c r="EO225" s="66" t="str">
        <f t="shared" si="3501"/>
        <v/>
      </c>
      <c r="EP225" s="66" t="str">
        <f t="shared" si="3501"/>
        <v/>
      </c>
      <c r="EQ225" s="66" t="str">
        <f t="shared" si="3501"/>
        <v/>
      </c>
      <c r="ER225" s="66" t="str">
        <f t="shared" si="3501"/>
        <v/>
      </c>
      <c r="ES225" s="66" t="str">
        <f t="shared" si="3501"/>
        <v/>
      </c>
      <c r="ET225" s="66" t="str">
        <f t="shared" si="3501"/>
        <v/>
      </c>
      <c r="EU225" s="66" t="str">
        <f t="shared" si="3501"/>
        <v/>
      </c>
      <c r="EV225" s="66" t="str">
        <f t="shared" si="3501"/>
        <v/>
      </c>
      <c r="EW225" s="66" t="str">
        <f t="shared" si="3501"/>
        <v/>
      </c>
      <c r="EX225" s="66" t="str">
        <f t="shared" si="3501"/>
        <v/>
      </c>
      <c r="EY225" s="66" t="str">
        <f t="shared" si="3501"/>
        <v/>
      </c>
      <c r="EZ225" s="66" t="str">
        <f t="shared" si="3501"/>
        <v/>
      </c>
      <c r="FA225" s="66" t="str">
        <f t="shared" si="3501"/>
        <v/>
      </c>
      <c r="FB225" s="66" t="str">
        <f t="shared" si="3501"/>
        <v/>
      </c>
      <c r="FC225" s="66" t="str">
        <f t="shared" si="3501"/>
        <v/>
      </c>
      <c r="FD225" s="66" t="str">
        <f t="shared" si="3501"/>
        <v/>
      </c>
      <c r="FE225" s="66" t="str">
        <f t="shared" si="3501"/>
        <v/>
      </c>
      <c r="FF225" s="66" t="str">
        <f t="shared" si="3501"/>
        <v/>
      </c>
      <c r="FG225" s="66" t="str">
        <f t="shared" si="3501"/>
        <v/>
      </c>
      <c r="FH225" s="66" t="str">
        <f t="shared" si="3501"/>
        <v/>
      </c>
      <c r="FI225" s="66" t="str">
        <f t="shared" si="3501"/>
        <v/>
      </c>
      <c r="FJ225" s="66" t="str">
        <f t="shared" si="3501"/>
        <v/>
      </c>
      <c r="FK225" s="66" t="str">
        <f t="shared" si="3501"/>
        <v/>
      </c>
      <c r="FL225" s="66" t="str">
        <f t="shared" si="3501"/>
        <v/>
      </c>
      <c r="FM225" s="66" t="str">
        <f t="shared" si="3501"/>
        <v/>
      </c>
      <c r="FN225" s="66" t="str">
        <f t="shared" si="3502"/>
        <v/>
      </c>
      <c r="FO225" s="66" t="str">
        <f t="shared" si="3502"/>
        <v/>
      </c>
      <c r="FP225" s="66" t="str">
        <f t="shared" si="3502"/>
        <v/>
      </c>
      <c r="FQ225" s="66" t="str">
        <f t="shared" si="3502"/>
        <v/>
      </c>
      <c r="FR225" s="66" t="str">
        <f t="shared" si="3502"/>
        <v/>
      </c>
      <c r="FS225" s="66" t="str">
        <f t="shared" si="3502"/>
        <v/>
      </c>
    </row>
    <row r="226" spans="1:175" ht="16.5">
      <c r="A226" s="2"/>
      <c r="B226" s="113" t="s">
        <v>772</v>
      </c>
      <c r="C226" s="113" t="s">
        <v>773</v>
      </c>
      <c r="E226" s="91"/>
      <c r="F226" s="43"/>
      <c r="G226" s="39"/>
      <c r="H226" s="39"/>
      <c r="I226" s="39"/>
      <c r="J226" s="39"/>
      <c r="K226" s="39"/>
      <c r="L226" s="39"/>
      <c r="M226" s="39"/>
      <c r="N226" s="39"/>
      <c r="O226" s="39"/>
      <c r="P226" s="92"/>
      <c r="Q226" s="92"/>
      <c r="R226" s="92"/>
      <c r="S226" s="96"/>
      <c r="T226" s="29" t="s">
        <v>767</v>
      </c>
      <c r="U226" s="77" t="str">
        <f>"ReplaceableTextures\\CommandButtons\\BTNR"&amp;RIGHT(B226,3)&amp;".blp"</f>
        <v>ReplaceableTextures\\CommandButtons\\BTNRY4C.blp</v>
      </c>
      <c r="V226" s="10"/>
      <c r="Z226" s="10"/>
      <c r="AG226" s="99"/>
      <c r="AL226" s="99"/>
      <c r="BC226" s="100"/>
      <c r="BD226" s="100"/>
      <c r="CU226" s="88" t="str">
        <f t="shared" ref="CU226" si="3575">CONCATENATE(DB226,DC226,DD226,DE226,DF226,DG226,DH226,DI226,DJ226,DK226,DL226,DM226,DN226,DO226,DP226,DQ226,DR226,DS226,DT226,DU226,DV226,DW226,DX226,DY226,DZ226,EA226,EB226,EC226,ED226,EE226,EF226,EG226,EH226,EI226,EJ226,EK226,EL226,EM226,EN226,EO226,EP226,EQ226,ER226,ES226,ET226,EU226,EV226,EW226,EX226,EY226,EZ226,FA226,FB226,FC226,FD226,FE226,FF226,FG226,FH226,FI226,FJ226,FK226,FL226,FM226,FN226,FO226,FP226,FQ226,FR226,FS226&amp;"|n")</f>
        <v>|n</v>
      </c>
      <c r="CV226" s="19" t="str">
        <f t="shared" si="3423"/>
        <v>代码生成</v>
      </c>
      <c r="CW226" s="33"/>
      <c r="CX226" s="33"/>
      <c r="CY226" s="33"/>
      <c r="CZ226" s="33"/>
      <c r="DA226" s="33"/>
      <c r="DB226" s="66" t="str">
        <f t="shared" ref="DB226" si="3576">IF(V226="","","|n"&amp;DB$2&amp;"+"&amp;V226&amp;DB$1)</f>
        <v/>
      </c>
      <c r="DC226" s="66" t="str">
        <f t="shared" ref="DC226" si="3577">IF(W226="","","|n"&amp;DC$2&amp;"+"&amp;W226&amp;DC$1)</f>
        <v/>
      </c>
      <c r="DD226" s="66" t="str">
        <f t="shared" ref="DD226" si="3578">IF(X226="","","|n"&amp;DD$2&amp;"+"&amp;X226&amp;DD$1)</f>
        <v/>
      </c>
      <c r="DE226" s="66" t="str">
        <f t="shared" ref="DE226" si="3579">IF(Y226="","","|n"&amp;DE$2&amp;"+"&amp;Y226&amp;DE$1)</f>
        <v/>
      </c>
      <c r="DF226" s="66" t="str">
        <f t="shared" ref="DF226" si="3580">IF(Z226="","","|n"&amp;DF$2&amp;"+"&amp;Z226&amp;DF$1)</f>
        <v/>
      </c>
      <c r="DG226" s="66" t="str">
        <f t="shared" ref="DG226" si="3581">IF(AA226="","","|n"&amp;DG$2&amp;"+"&amp;AA226&amp;DG$1)</f>
        <v/>
      </c>
      <c r="DH226" s="66" t="str">
        <f t="shared" ref="DH226" si="3582">IF(AB226="","","|n"&amp;DH$2&amp;"+"&amp;AB226&amp;DH$1)</f>
        <v/>
      </c>
      <c r="DI226" s="66" t="str">
        <f t="shared" ref="DI226" si="3583">IF(AC226="","","|n"&amp;DI$2&amp;"+"&amp;AC226&amp;DI$1)</f>
        <v/>
      </c>
      <c r="DJ226" s="66" t="str">
        <f t="shared" ref="DJ226" si="3584">IF(AD226="","","|n"&amp;DJ$2&amp;"+"&amp;AD226&amp;DJ$1)</f>
        <v/>
      </c>
      <c r="DK226" s="66" t="str">
        <f t="shared" ref="DK226" si="3585">IF(AE226="","","|n"&amp;DK$2&amp;"+"&amp;AE226&amp;DK$1)</f>
        <v/>
      </c>
      <c r="DL226" s="66" t="str">
        <f t="shared" ref="DL226" si="3586">IF(AF226="","","|n"&amp;DL$2&amp;"+"&amp;AF226&amp;DL$1)</f>
        <v/>
      </c>
      <c r="DM226" s="66" t="str">
        <f t="shared" ref="DM226" si="3587">IF(AG226="","","|n"&amp;DM$2&amp;"+"&amp;AG226&amp;DM$1)</f>
        <v/>
      </c>
      <c r="DN226" s="66" t="str">
        <f t="shared" ref="DN226" si="3588">IF(AH226="","","|n"&amp;DN$2&amp;"+"&amp;AH226&amp;DN$1)</f>
        <v/>
      </c>
      <c r="DO226" s="66" t="str">
        <f t="shared" ref="DO226" si="3589">IF(AI226="","","|n"&amp;DO$2&amp;"+"&amp;AI226&amp;DO$1)</f>
        <v/>
      </c>
      <c r="DP226" s="66" t="str">
        <f t="shared" ref="DP226" si="3590">IF(AJ226="","","|n"&amp;DP$2&amp;"+"&amp;AJ226&amp;DP$1)</f>
        <v/>
      </c>
      <c r="DQ226" s="66" t="str">
        <f t="shared" ref="DQ226" si="3591">IF(AK226="","","|n"&amp;DQ$2&amp;"+"&amp;AK226&amp;DQ$1)</f>
        <v/>
      </c>
      <c r="DR226" s="66" t="str">
        <f t="shared" ref="DR226" si="3592">IF(AL226="","","|n"&amp;DR$2&amp;"+"&amp;AL226&amp;DR$1)</f>
        <v/>
      </c>
      <c r="DS226" s="66" t="str">
        <f t="shared" ref="DS226" si="3593">IF(AM226="","","|n"&amp;DS$2&amp;"+"&amp;AM226&amp;DS$1)</f>
        <v/>
      </c>
      <c r="DT226" s="66" t="str">
        <f t="shared" ref="DT226" si="3594">IF(AN226="","","|n"&amp;DT$2&amp;"+"&amp;AN226&amp;DT$1)</f>
        <v/>
      </c>
      <c r="DU226" s="66" t="str">
        <f t="shared" ref="DU226" si="3595">IF(AO226="","","|n"&amp;DU$2&amp;"+"&amp;AO226&amp;DU$1)</f>
        <v/>
      </c>
      <c r="DV226" s="66" t="str">
        <f t="shared" ref="DV226" si="3596">IF(AP226="","","|n"&amp;DV$2&amp;"+"&amp;AP226&amp;DV$1)</f>
        <v/>
      </c>
      <c r="DW226" s="66" t="str">
        <f t="shared" ref="DW226" si="3597">IF(AQ226="","","|n"&amp;DW$2&amp;"+"&amp;AQ226&amp;DW$1)</f>
        <v/>
      </c>
      <c r="DX226" s="66" t="str">
        <f t="shared" ref="DX226" si="3598">IF(AR226="","","|n"&amp;DX$2&amp;"+"&amp;AR226&amp;DX$1)</f>
        <v/>
      </c>
      <c r="DY226" s="66" t="str">
        <f t="shared" ref="DY226" si="3599">IF(AS226="","","|n"&amp;DY$2&amp;"+"&amp;AS226&amp;DY$1)</f>
        <v/>
      </c>
      <c r="DZ226" s="66" t="str">
        <f t="shared" ref="DZ226" si="3600">IF(AT226="","","|n"&amp;DZ$2&amp;"+"&amp;AT226&amp;DZ$1)</f>
        <v/>
      </c>
      <c r="EA226" s="66" t="str">
        <f t="shared" ref="EA226" si="3601">IF(AU226="","","|n"&amp;EA$2&amp;"+"&amp;AU226&amp;EA$1)</f>
        <v/>
      </c>
      <c r="EB226" s="66" t="str">
        <f t="shared" ref="EB226" si="3602">IF(AV226="","","|n"&amp;EB$2&amp;"+"&amp;AV226&amp;EB$1)</f>
        <v/>
      </c>
      <c r="EC226" s="66" t="str">
        <f t="shared" ref="EC226" si="3603">IF(AW226="","","|n"&amp;EC$2&amp;"+"&amp;AW226&amp;EC$1)</f>
        <v/>
      </c>
      <c r="ED226" s="66" t="str">
        <f t="shared" ref="ED226" si="3604">IF(AX226="","","|n"&amp;ED$2&amp;"+"&amp;AX226&amp;ED$1)</f>
        <v/>
      </c>
      <c r="EE226" s="66" t="str">
        <f t="shared" ref="EE226" si="3605">IF(AY226="","","|n"&amp;EE$2&amp;"+"&amp;AY226&amp;EE$1)</f>
        <v/>
      </c>
      <c r="EF226" s="66" t="str">
        <f t="shared" ref="EF226" si="3606">IF(AZ226="","","|n"&amp;EF$2&amp;"+"&amp;AZ226&amp;EF$1)</f>
        <v/>
      </c>
      <c r="EG226" s="66" t="str">
        <f t="shared" ref="EG226" si="3607">IF(BA226="","","|n"&amp;EG$2&amp;"+"&amp;BA226&amp;EG$1)</f>
        <v/>
      </c>
      <c r="EH226" s="66" t="str">
        <f t="shared" ref="EH226" si="3608">IF(BB226="","","|n"&amp;EH$2&amp;"+"&amp;BB226&amp;EH$1)</f>
        <v/>
      </c>
      <c r="EI226" s="66" t="str">
        <f t="shared" ref="EI226" si="3609">IF(BC226="","","|n"&amp;EI$2&amp;"+"&amp;BC226&amp;EI$1)</f>
        <v/>
      </c>
      <c r="EJ226" s="66" t="str">
        <f t="shared" ref="EJ226" si="3610">IF(BD226="","","|n"&amp;EJ$2&amp;"+"&amp;BD226&amp;EJ$1)</f>
        <v/>
      </c>
      <c r="EK226" s="66" t="str">
        <f t="shared" ref="EK226" si="3611">IF(BE226="","","|n"&amp;EK$2&amp;"+"&amp;BE226&amp;EK$1)</f>
        <v/>
      </c>
      <c r="EL226" s="66" t="str">
        <f t="shared" ref="EL226" si="3612">IF(BF226="","","|n"&amp;EL$2&amp;"+"&amp;BF226&amp;EL$1)</f>
        <v/>
      </c>
      <c r="EM226" s="66" t="str">
        <f t="shared" ref="EM226" si="3613">IF(BG226="","","|n"&amp;EM$2&amp;"+"&amp;BG226&amp;EM$1)</f>
        <v/>
      </c>
      <c r="EN226" s="66" t="str">
        <f t="shared" ref="EN226" si="3614">IF(BH226="","","|n"&amp;EN$2&amp;"+"&amp;BH226&amp;EN$1)</f>
        <v/>
      </c>
      <c r="EO226" s="66" t="str">
        <f t="shared" ref="EO226" si="3615">IF(BI226="","","|n"&amp;EO$2&amp;"+"&amp;BI226&amp;EO$1)</f>
        <v/>
      </c>
      <c r="EP226" s="66" t="str">
        <f t="shared" ref="EP226" si="3616">IF(BJ226="","","|n"&amp;EP$2&amp;"+"&amp;BJ226&amp;EP$1)</f>
        <v/>
      </c>
      <c r="EQ226" s="66" t="str">
        <f t="shared" ref="EQ226" si="3617">IF(BK226="","","|n"&amp;EQ$2&amp;"+"&amp;BK226&amp;EQ$1)</f>
        <v/>
      </c>
      <c r="ER226" s="66" t="str">
        <f t="shared" ref="ER226" si="3618">IF(BL226="","","|n"&amp;ER$2&amp;"+"&amp;BL226&amp;ER$1)</f>
        <v/>
      </c>
      <c r="ES226" s="66" t="str">
        <f t="shared" ref="ES226" si="3619">IF(BM226="","","|n"&amp;ES$2&amp;"+"&amp;BM226&amp;ES$1)</f>
        <v/>
      </c>
      <c r="ET226" s="66" t="str">
        <f t="shared" ref="ET226" si="3620">IF(BN226="","","|n"&amp;ET$2&amp;"+"&amp;BN226&amp;ET$1)</f>
        <v/>
      </c>
      <c r="EU226" s="66" t="str">
        <f t="shared" ref="EU226" si="3621">IF(BO226="","","|n"&amp;EU$2&amp;"+"&amp;BO226&amp;EU$1)</f>
        <v/>
      </c>
      <c r="EV226" s="66" t="str">
        <f t="shared" ref="EV226" si="3622">IF(BP226="","","|n"&amp;EV$2&amp;"+"&amp;BP226&amp;EV$1)</f>
        <v/>
      </c>
      <c r="EW226" s="66" t="str">
        <f t="shared" ref="EW226" si="3623">IF(BQ226="","","|n"&amp;EW$2&amp;"+"&amp;BQ226&amp;EW$1)</f>
        <v/>
      </c>
      <c r="EX226" s="66" t="str">
        <f t="shared" ref="EX226" si="3624">IF(BR226="","","|n"&amp;EX$2&amp;"+"&amp;BR226&amp;EX$1)</f>
        <v/>
      </c>
      <c r="EY226" s="66" t="str">
        <f t="shared" ref="EY226" si="3625">IF(BS226="","","|n"&amp;EY$2&amp;"+"&amp;BS226&amp;EY$1)</f>
        <v/>
      </c>
      <c r="EZ226" s="66" t="str">
        <f t="shared" ref="EZ226" si="3626">IF(BT226="","","|n"&amp;EZ$2&amp;"+"&amp;BT226&amp;EZ$1)</f>
        <v/>
      </c>
      <c r="FA226" s="66" t="str">
        <f t="shared" ref="FA226" si="3627">IF(BU226="","","|n"&amp;FA$2&amp;"+"&amp;BU226&amp;FA$1)</f>
        <v/>
      </c>
      <c r="FB226" s="66" t="str">
        <f t="shared" ref="FB226" si="3628">IF(BV226="","","|n"&amp;FB$2&amp;"+"&amp;BV226&amp;FB$1)</f>
        <v/>
      </c>
      <c r="FC226" s="66" t="str">
        <f t="shared" ref="FC226" si="3629">IF(BW226="","","|n"&amp;FC$2&amp;"+"&amp;BW226&amp;FC$1)</f>
        <v/>
      </c>
      <c r="FD226" s="66" t="str">
        <f t="shared" ref="FD226" si="3630">IF(BX226="","","|n"&amp;FD$2&amp;"+"&amp;BX226&amp;FD$1)</f>
        <v/>
      </c>
      <c r="FE226" s="66" t="str">
        <f t="shared" ref="FE226" si="3631">IF(BY226="","","|n"&amp;FE$2&amp;"+"&amp;BY226&amp;FE$1)</f>
        <v/>
      </c>
      <c r="FF226" s="66" t="str">
        <f t="shared" ref="FF226" si="3632">IF(BZ226="","","|n"&amp;FF$2&amp;"+"&amp;BZ226&amp;FF$1)</f>
        <v/>
      </c>
      <c r="FG226" s="66" t="str">
        <f t="shared" ref="FG226" si="3633">IF(CA226="","","|n"&amp;FG$2&amp;"+"&amp;CA226&amp;FG$1)</f>
        <v/>
      </c>
      <c r="FH226" s="66" t="str">
        <f t="shared" ref="FH226" si="3634">IF(CB226="","","|n"&amp;FH$2&amp;"+"&amp;CB226&amp;FH$1)</f>
        <v/>
      </c>
      <c r="FI226" s="66" t="str">
        <f t="shared" ref="FI226" si="3635">IF(CC226="","","|n"&amp;FI$2&amp;"+"&amp;CC226&amp;FI$1)</f>
        <v/>
      </c>
      <c r="FJ226" s="66" t="str">
        <f t="shared" ref="FJ226" si="3636">IF(CD226="","","|n"&amp;FJ$2&amp;"+"&amp;CD226&amp;FJ$1)</f>
        <v/>
      </c>
      <c r="FK226" s="66" t="str">
        <f t="shared" ref="FK226" si="3637">IF(CE226="","","|n"&amp;FK$2&amp;"+"&amp;CE226&amp;FK$1)</f>
        <v/>
      </c>
      <c r="FL226" s="66" t="str">
        <f t="shared" ref="FL226" si="3638">IF(CF226="","","|n"&amp;FL$2&amp;"+"&amp;CF226&amp;FL$1)</f>
        <v/>
      </c>
      <c r="FM226" s="66" t="str">
        <f t="shared" ref="FM226" si="3639">IF(CG226="","","|n"&amp;FM$2&amp;"+"&amp;CG226&amp;FM$1)</f>
        <v/>
      </c>
      <c r="FN226" s="66" t="str">
        <f t="shared" ref="FN226" si="3640">IF(CH226="","","|n"&amp;FN$2&amp;"+"&amp;CH226&amp;FN$1)</f>
        <v/>
      </c>
      <c r="FO226" s="66" t="str">
        <f t="shared" ref="FO226" si="3641">IF(CI226="","","|n"&amp;FO$2&amp;"+"&amp;CI226&amp;FO$1)</f>
        <v/>
      </c>
      <c r="FP226" s="66" t="str">
        <f t="shared" ref="FP226" si="3642">IF(CJ226="","","|n"&amp;FP$2&amp;"+"&amp;CJ226&amp;FP$1)</f>
        <v/>
      </c>
      <c r="FQ226" s="66" t="str">
        <f t="shared" ref="FQ226" si="3643">IF(CK226="","","|n"&amp;FQ$2&amp;"+"&amp;CK226&amp;FQ$1)</f>
        <v/>
      </c>
      <c r="FR226" s="66" t="str">
        <f t="shared" ref="FR226" si="3644">IF(CL226="","","|n"&amp;FR$2&amp;"+"&amp;CL226&amp;FR$1)</f>
        <v/>
      </c>
      <c r="FS226" s="66" t="str">
        <f t="shared" ref="FS226" si="3645">IF(CM226="","","|n"&amp;FS$2&amp;"+"&amp;CM226&amp;FS$1)</f>
        <v/>
      </c>
    </row>
    <row r="227" spans="1:175" ht="16.5">
      <c r="A227" s="115"/>
      <c r="B227" s="27" t="s">
        <v>774</v>
      </c>
      <c r="C227" s="29" t="s">
        <v>775</v>
      </c>
      <c r="T227" s="117"/>
      <c r="U227" s="77"/>
      <c r="CN227" s="36" t="str">
        <f t="shared" ref="CN227:CN253" si="3646">"InitUnitState('"&amp;B227&amp;"',"&amp;V227&amp;","&amp;W227&amp;","&amp;X227&amp;","&amp;Y227&amp;","&amp;Z227&amp;","&amp;AA227&amp;","&amp;AB227&amp;","&amp;AC227&amp;","&amp;AD227&amp;","&amp;AE227&amp;")"</f>
        <v>InitUnitState('IF01',,,,,,,,,,)</v>
      </c>
      <c r="CO227" s="36" t="str">
        <f t="shared" ref="CO227:CO253" si="3647">"InitUnitNormal('"&amp;B227&amp;"',"&amp;AF227&amp;","&amp;AG227&amp;","&amp;AH227&amp;","&amp;AI227&amp;","&amp;AJ227&amp;","&amp;AK227&amp;","&amp;AL227&amp;","&amp;AM227&amp;","&amp;AN227&amp;","&amp;AO227&amp;")"</f>
        <v>InitUnitNormal('IF01',,,,,,,,,,)</v>
      </c>
      <c r="CP227" s="36" t="str">
        <f t="shared" ref="CP227:CP253" si="3648">"InitUnitMagic('"&amp;B227&amp;"',"&amp;AP227&amp;","&amp;AQ227&amp;","&amp;AR227&amp;","&amp;AS227&amp;","&amp;AT227&amp;","&amp;AU227&amp;","&amp;AV227&amp;","&amp;AW227&amp;","&amp;BI227&amp;","&amp;BJ227&amp;")"</f>
        <v>InitUnitMagic('IF01',,,,,,,,,,)</v>
      </c>
      <c r="CQ227" s="36" t="str">
        <f t="shared" ref="CQ227:CQ253" si="3649">"InitUnitAdd('"&amp;B227&amp;"',"&amp;BK227&amp;","&amp;BL227&amp;","&amp;BM227&amp;","&amp;BN227&amp;","&amp;BO227&amp;","&amp;BP227&amp;","&amp;BQ227&amp;","&amp;BR227&amp;","&amp;BS227&amp;","&amp;BT227&amp;")"</f>
        <v>InitUnitAdd('IF01',,,,,,,,,,)</v>
      </c>
      <c r="CR227" s="36" t="str">
        <f t="shared" ref="CR227:CR269" si="3650"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InitEquipData('IF01',,"",,,,,'','','','','','',"")</v>
      </c>
      <c r="CU227" s="88" t="str">
        <f t="shared" ref="CU227:CU249" si="365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W227" s="33"/>
      <c r="CX227" s="33"/>
      <c r="CY227" s="33"/>
      <c r="CZ227" s="33"/>
      <c r="DA227" s="33"/>
      <c r="DB227" s="66" t="str">
        <f t="shared" ref="DB227:DB249" si="3652">IF(V227="","","|n"&amp;DB$2&amp;"+"&amp;V227&amp;DB$1)</f>
        <v/>
      </c>
      <c r="DC227" s="66" t="str">
        <f t="shared" ref="DC227:DC249" si="3653">IF(W227="","","|n"&amp;DC$2&amp;"+"&amp;W227&amp;DC$1)</f>
        <v/>
      </c>
      <c r="DD227" s="66" t="str">
        <f t="shared" ref="DD227:DD249" si="3654">IF(X227="","","|n"&amp;DD$2&amp;"+"&amp;X227&amp;DD$1)</f>
        <v/>
      </c>
      <c r="DE227" s="66" t="str">
        <f t="shared" ref="DE227:DE249" si="3655">IF(Y227="","","|n"&amp;DE$2&amp;"+"&amp;Y227&amp;DE$1)</f>
        <v/>
      </c>
      <c r="DF227" s="66" t="str">
        <f t="shared" ref="DF227:DF249" si="3656">IF(Z227="","","|n"&amp;DF$2&amp;"+"&amp;Z227&amp;DF$1)</f>
        <v/>
      </c>
      <c r="DG227" s="66" t="str">
        <f t="shared" ref="DG227:DG249" si="3657">IF(AA227="","","|n"&amp;DG$2&amp;"+"&amp;AA227&amp;DG$1)</f>
        <v/>
      </c>
      <c r="DH227" s="66" t="str">
        <f t="shared" ref="DH227:DH249" si="3658">IF(AB227="","","|n"&amp;DH$2&amp;"+"&amp;AB227&amp;DH$1)</f>
        <v/>
      </c>
      <c r="DI227" s="66" t="str">
        <f t="shared" ref="DI227:DI249" si="3659">IF(AC227="","","|n"&amp;DI$2&amp;"+"&amp;AC227&amp;DI$1)</f>
        <v/>
      </c>
      <c r="DJ227" s="66" t="str">
        <f t="shared" ref="DJ227:DJ249" si="3660">IF(AD227="","","|n"&amp;DJ$2&amp;"+"&amp;AD227&amp;DJ$1)</f>
        <v/>
      </c>
      <c r="DK227" s="66" t="str">
        <f t="shared" ref="DK227:DK249" si="3661">IF(AE227="","","|n"&amp;DK$2&amp;"+"&amp;AE227&amp;DK$1)</f>
        <v/>
      </c>
      <c r="DL227" s="66" t="str">
        <f t="shared" ref="DL227:DL249" si="3662">IF(AF227="","","|n"&amp;DL$2&amp;"+"&amp;AF227&amp;DL$1)</f>
        <v/>
      </c>
      <c r="DM227" s="66" t="str">
        <f t="shared" ref="DM227:DM249" si="3663">IF(AG227="","","|n"&amp;DM$2&amp;"+"&amp;AG227&amp;DM$1)</f>
        <v/>
      </c>
      <c r="DN227" s="66" t="str">
        <f t="shared" ref="DN227:DN249" si="3664">IF(AH227="","","|n"&amp;DN$2&amp;"+"&amp;AH227&amp;DN$1)</f>
        <v/>
      </c>
      <c r="DO227" s="66" t="str">
        <f t="shared" ref="DO227:DO249" si="3665">IF(AI227="","","|n"&amp;DO$2&amp;"+"&amp;AI227&amp;DO$1)</f>
        <v/>
      </c>
      <c r="DP227" s="66" t="str">
        <f t="shared" ref="DP227:DP249" si="3666">IF(AJ227="","","|n"&amp;DP$2&amp;"+"&amp;AJ227&amp;DP$1)</f>
        <v/>
      </c>
      <c r="DQ227" s="66" t="str">
        <f t="shared" ref="DQ227:DQ249" si="3667">IF(AK227="","","|n"&amp;DQ$2&amp;"+"&amp;AK227&amp;DQ$1)</f>
        <v/>
      </c>
      <c r="DR227" s="66" t="str">
        <f t="shared" ref="DR227:DR249" si="3668">IF(AL227="","","|n"&amp;DR$2&amp;"+"&amp;AL227&amp;DR$1)</f>
        <v/>
      </c>
      <c r="DS227" s="66" t="str">
        <f t="shared" ref="DS227:DS249" si="3669">IF(AM227="","","|n"&amp;DS$2&amp;"+"&amp;AM227&amp;DS$1)</f>
        <v/>
      </c>
      <c r="DT227" s="66" t="str">
        <f t="shared" ref="DT227:DT249" si="3670">IF(AN227="","","|n"&amp;DT$2&amp;"+"&amp;AN227&amp;DT$1)</f>
        <v/>
      </c>
      <c r="DU227" s="66" t="str">
        <f t="shared" ref="DU227:DU249" si="3671">IF(AO227="","","|n"&amp;DU$2&amp;"+"&amp;AO227&amp;DU$1)</f>
        <v/>
      </c>
      <c r="DV227" s="66" t="str">
        <f t="shared" ref="DV227:DV249" si="3672">IF(AP227="","","|n"&amp;DV$2&amp;"+"&amp;AP227&amp;DV$1)</f>
        <v/>
      </c>
      <c r="DW227" s="66" t="str">
        <f t="shared" ref="DW227:DW249" si="3673">IF(AQ227="","","|n"&amp;DW$2&amp;"+"&amp;AQ227&amp;DW$1)</f>
        <v/>
      </c>
      <c r="DX227" s="66" t="str">
        <f t="shared" ref="DX227:DX249" si="3674">IF(AR227="","","|n"&amp;DX$2&amp;"+"&amp;AR227&amp;DX$1)</f>
        <v/>
      </c>
      <c r="DY227" s="66" t="str">
        <f t="shared" ref="DY227:DY249" si="3675">IF(AS227="","","|n"&amp;DY$2&amp;"+"&amp;AS227&amp;DY$1)</f>
        <v/>
      </c>
      <c r="DZ227" s="66" t="str">
        <f t="shared" ref="DZ227:DZ249" si="3676">IF(AT227="","","|n"&amp;DZ$2&amp;"+"&amp;AT227&amp;DZ$1)</f>
        <v/>
      </c>
      <c r="EA227" s="66" t="str">
        <f t="shared" ref="EA227:EA249" si="3677">IF(AU227="","","|n"&amp;EA$2&amp;"+"&amp;AU227&amp;EA$1)</f>
        <v/>
      </c>
      <c r="EB227" s="66" t="str">
        <f t="shared" ref="EB227:EB249" si="3678">IF(AV227="","","|n"&amp;EB$2&amp;"+"&amp;AV227&amp;EB$1)</f>
        <v/>
      </c>
      <c r="EC227" s="66" t="str">
        <f t="shared" ref="EC227:EC249" si="3679">IF(AW227="","","|n"&amp;EC$2&amp;"+"&amp;AW227&amp;EC$1)</f>
        <v/>
      </c>
      <c r="ED227" s="66" t="str">
        <f t="shared" ref="ED227:ED249" si="3680">IF(AX227="","","|n"&amp;ED$2&amp;"+"&amp;AX227&amp;ED$1)</f>
        <v/>
      </c>
      <c r="EE227" s="66" t="str">
        <f t="shared" ref="EE227:EE249" si="3681">IF(AY227="","","|n"&amp;EE$2&amp;"+"&amp;AY227&amp;EE$1)</f>
        <v/>
      </c>
      <c r="EF227" s="66" t="str">
        <f t="shared" ref="EF227:EF249" si="3682">IF(AZ227="","","|n"&amp;EF$2&amp;"+"&amp;AZ227&amp;EF$1)</f>
        <v/>
      </c>
      <c r="EG227" s="66" t="str">
        <f t="shared" ref="EG227:EG249" si="3683">IF(BA227="","","|n"&amp;EG$2&amp;"+"&amp;BA227&amp;EG$1)</f>
        <v/>
      </c>
      <c r="EH227" s="66" t="str">
        <f t="shared" ref="EH227:EH249" si="3684">IF(BB227="","","|n"&amp;EH$2&amp;"+"&amp;BB227&amp;EH$1)</f>
        <v/>
      </c>
      <c r="EI227" s="66" t="str">
        <f t="shared" ref="EI227:EI249" si="3685">IF(BC227="","","|n"&amp;EI$2&amp;"+"&amp;BC227&amp;EI$1)</f>
        <v/>
      </c>
      <c r="EJ227" s="66" t="str">
        <f t="shared" ref="EJ227:EJ249" si="3686">IF(BD227="","","|n"&amp;EJ$2&amp;"+"&amp;BD227&amp;EJ$1)</f>
        <v/>
      </c>
      <c r="EK227" s="66" t="str">
        <f t="shared" ref="EK227:EK249" si="3687">IF(BE227="","","|n"&amp;EK$2&amp;"+"&amp;BE227&amp;EK$1)</f>
        <v/>
      </c>
      <c r="EL227" s="66" t="str">
        <f t="shared" ref="EL227:EL249" si="3688">IF(BF227="","","|n"&amp;EL$2&amp;"+"&amp;BF227&amp;EL$1)</f>
        <v/>
      </c>
      <c r="EM227" s="66" t="str">
        <f t="shared" ref="EM227:EM249" si="3689">IF(BG227="","","|n"&amp;EM$2&amp;"+"&amp;BG227&amp;EM$1)</f>
        <v/>
      </c>
      <c r="EN227" s="66" t="str">
        <f t="shared" ref="EN227:EN249" si="3690">IF(BH227="","","|n"&amp;EN$2&amp;"+"&amp;BH227&amp;EN$1)</f>
        <v/>
      </c>
      <c r="EO227" s="66" t="str">
        <f t="shared" ref="EO227:EO249" si="3691">IF(BI227="","","|n"&amp;EO$2&amp;"+"&amp;BI227&amp;EO$1)</f>
        <v/>
      </c>
      <c r="EP227" s="66" t="str">
        <f t="shared" ref="EP227:EP249" si="3692">IF(BJ227="","","|n"&amp;EP$2&amp;"+"&amp;BJ227&amp;EP$1)</f>
        <v/>
      </c>
      <c r="EQ227" s="66" t="str">
        <f t="shared" ref="EQ227:EQ249" si="3693">IF(BK227="","","|n"&amp;EQ$2&amp;"+"&amp;BK227&amp;EQ$1)</f>
        <v/>
      </c>
      <c r="ER227" s="66" t="str">
        <f t="shared" ref="ER227:ER249" si="3694">IF(BL227="","","|n"&amp;ER$2&amp;"+"&amp;BL227&amp;ER$1)</f>
        <v/>
      </c>
      <c r="ES227" s="66" t="str">
        <f t="shared" ref="ES227:ES249" si="3695">IF(BM227="","","|n"&amp;ES$2&amp;"+"&amp;BM227&amp;ES$1)</f>
        <v/>
      </c>
      <c r="ET227" s="66" t="str">
        <f t="shared" ref="ET227:ET249" si="3696">IF(BN227="","","|n"&amp;ET$2&amp;"+"&amp;BN227&amp;ET$1)</f>
        <v/>
      </c>
      <c r="EU227" s="66" t="str">
        <f t="shared" ref="EU227:EU249" si="3697">IF(BO227="","","|n"&amp;EU$2&amp;"+"&amp;BO227&amp;EU$1)</f>
        <v/>
      </c>
      <c r="EV227" s="66" t="str">
        <f t="shared" ref="EV227:EV249" si="3698">IF(BP227="","","|n"&amp;EV$2&amp;"+"&amp;BP227&amp;EV$1)</f>
        <v/>
      </c>
      <c r="EW227" s="66" t="str">
        <f t="shared" ref="EW227:EW249" si="3699">IF(BQ227="","","|n"&amp;EW$2&amp;"+"&amp;BQ227&amp;EW$1)</f>
        <v/>
      </c>
      <c r="EX227" s="66" t="str">
        <f t="shared" ref="EX227:EX249" si="3700">IF(BR227="","","|n"&amp;EX$2&amp;"+"&amp;BR227&amp;EX$1)</f>
        <v/>
      </c>
      <c r="EY227" s="66" t="str">
        <f t="shared" ref="EY227:EY249" si="3701">IF(BS227="","","|n"&amp;EY$2&amp;"+"&amp;BS227&amp;EY$1)</f>
        <v/>
      </c>
      <c r="EZ227" s="66" t="str">
        <f t="shared" ref="EZ227:EZ249" si="3702">IF(BT227="","","|n"&amp;EZ$2&amp;"+"&amp;BT227&amp;EZ$1)</f>
        <v/>
      </c>
      <c r="FA227" s="66" t="str">
        <f t="shared" ref="FA227:FA249" si="3703">IF(BU227="","","|n"&amp;FA$2&amp;"+"&amp;BU227&amp;FA$1)</f>
        <v/>
      </c>
      <c r="FB227" s="66" t="str">
        <f t="shared" ref="FB227:FB249" si="3704">IF(BV227="","","|n"&amp;FB$2&amp;"+"&amp;BV227&amp;FB$1)</f>
        <v/>
      </c>
      <c r="FC227" s="66" t="str">
        <f t="shared" ref="FC227:FC249" si="3705">IF(BW227="","","|n"&amp;FC$2&amp;"+"&amp;BW227&amp;FC$1)</f>
        <v/>
      </c>
      <c r="FD227" s="66" t="str">
        <f t="shared" ref="FD227:FD249" si="3706">IF(BX227="","","|n"&amp;FD$2&amp;"+"&amp;BX227&amp;FD$1)</f>
        <v/>
      </c>
      <c r="FE227" s="66" t="str">
        <f t="shared" ref="FE227:FE249" si="3707">IF(BY227="","","|n"&amp;FE$2&amp;"+"&amp;BY227&amp;FE$1)</f>
        <v/>
      </c>
      <c r="FF227" s="66" t="str">
        <f t="shared" ref="FF227:FF249" si="3708">IF(BZ227="","","|n"&amp;FF$2&amp;"+"&amp;BZ227&amp;FF$1)</f>
        <v/>
      </c>
      <c r="FG227" s="66" t="str">
        <f t="shared" ref="FG227:FG249" si="3709">IF(CA227="","","|n"&amp;FG$2&amp;"+"&amp;CA227&amp;FG$1)</f>
        <v/>
      </c>
      <c r="FH227" s="66" t="str">
        <f t="shared" ref="FH227:FH249" si="3710">IF(CB227="","","|n"&amp;FH$2&amp;"+"&amp;CB227&amp;FH$1)</f>
        <v/>
      </c>
      <c r="FI227" s="66" t="str">
        <f t="shared" ref="FI227:FI249" si="3711">IF(CC227="","","|n"&amp;FI$2&amp;"+"&amp;CC227&amp;FI$1)</f>
        <v/>
      </c>
      <c r="FJ227" s="66" t="str">
        <f t="shared" ref="FJ227:FJ249" si="3712">IF(CD227="","","|n"&amp;FJ$2&amp;"+"&amp;CD227&amp;FJ$1)</f>
        <v/>
      </c>
      <c r="FK227" s="66" t="str">
        <f t="shared" ref="FK227:FK249" si="3713">IF(CE227="","","|n"&amp;FK$2&amp;"+"&amp;CE227&amp;FK$1)</f>
        <v/>
      </c>
      <c r="FL227" s="66" t="str">
        <f t="shared" ref="FL227:FL249" si="3714">IF(CF227="","","|n"&amp;FL$2&amp;"+"&amp;CF227&amp;FL$1)</f>
        <v/>
      </c>
      <c r="FM227" s="66" t="str">
        <f t="shared" ref="FM227:FM249" si="3715">IF(CG227="","","|n"&amp;FM$2&amp;"+"&amp;CG227&amp;FM$1)</f>
        <v/>
      </c>
      <c r="FN227" s="66" t="str">
        <f t="shared" ref="FN227:FN249" si="3716">IF(CH227="","","|n"&amp;FN$2&amp;"+"&amp;CH227&amp;FN$1)</f>
        <v/>
      </c>
      <c r="FO227" s="66" t="str">
        <f t="shared" ref="FO227:FO249" si="3717">IF(CI227="","","|n"&amp;FO$2&amp;"+"&amp;CI227&amp;FO$1)</f>
        <v/>
      </c>
      <c r="FP227" s="66" t="str">
        <f t="shared" ref="FP227:FP249" si="3718">IF(CJ227="","","|n"&amp;FP$2&amp;"+"&amp;CJ227&amp;FP$1)</f>
        <v/>
      </c>
      <c r="FQ227" s="66" t="str">
        <f t="shared" ref="FQ227:FQ249" si="3719">IF(CK227="","","|n"&amp;FQ$2&amp;"+"&amp;CK227&amp;FQ$1)</f>
        <v/>
      </c>
      <c r="FR227" s="66" t="str">
        <f t="shared" ref="FR227:FR249" si="3720">IF(CL227="","","|n"&amp;FR$2&amp;"+"&amp;CL227&amp;FR$1)</f>
        <v/>
      </c>
      <c r="FS227" s="66" t="str">
        <f t="shared" ref="FS227:FS249" si="3721">IF(CM227="","","|n"&amp;FS$2&amp;"+"&amp;CM227&amp;FS$1)</f>
        <v/>
      </c>
    </row>
    <row r="228" spans="1:175" ht="16.5">
      <c r="A228" s="115"/>
      <c r="B228" s="27" t="s">
        <v>776</v>
      </c>
      <c r="C228" s="29" t="s">
        <v>775</v>
      </c>
      <c r="T228" s="117"/>
      <c r="U228" s="77"/>
      <c r="CN228" s="36" t="str">
        <f t="shared" si="3646"/>
        <v>InitUnitState('IF02',,,,,,,,,,)</v>
      </c>
      <c r="CO228" s="36" t="str">
        <f t="shared" si="3647"/>
        <v>InitUnitNormal('IF02',,,,,,,,,,)</v>
      </c>
      <c r="CP228" s="36" t="str">
        <f t="shared" si="3648"/>
        <v>InitUnitMagic('IF02',,,,,,,,,,)</v>
      </c>
      <c r="CQ228" s="36" t="str">
        <f t="shared" si="3649"/>
        <v>InitUnitAdd('IF02',,,,,,,,,,)</v>
      </c>
      <c r="CR228" s="36" t="str">
        <f t="shared" si="3650"/>
        <v>InitEquipData('IF02',,"",,,,,'','','','','','',"")</v>
      </c>
      <c r="CU228" s="88" t="str">
        <f t="shared" si="3651"/>
        <v>|n</v>
      </c>
      <c r="CW228" s="33"/>
      <c r="CX228" s="33"/>
      <c r="CY228" s="33"/>
      <c r="CZ228" s="33"/>
      <c r="DA228" s="33"/>
      <c r="DB228" s="66" t="str">
        <f t="shared" si="3652"/>
        <v/>
      </c>
      <c r="DC228" s="66" t="str">
        <f t="shared" si="3653"/>
        <v/>
      </c>
      <c r="DD228" s="66" t="str">
        <f t="shared" si="3654"/>
        <v/>
      </c>
      <c r="DE228" s="66" t="str">
        <f t="shared" si="3655"/>
        <v/>
      </c>
      <c r="DF228" s="66" t="str">
        <f t="shared" si="3656"/>
        <v/>
      </c>
      <c r="DG228" s="66" t="str">
        <f t="shared" si="3657"/>
        <v/>
      </c>
      <c r="DH228" s="66" t="str">
        <f t="shared" si="3658"/>
        <v/>
      </c>
      <c r="DI228" s="66" t="str">
        <f t="shared" si="3659"/>
        <v/>
      </c>
      <c r="DJ228" s="66" t="str">
        <f t="shared" si="3660"/>
        <v/>
      </c>
      <c r="DK228" s="66" t="str">
        <f t="shared" si="3661"/>
        <v/>
      </c>
      <c r="DL228" s="66" t="str">
        <f t="shared" si="3662"/>
        <v/>
      </c>
      <c r="DM228" s="66" t="str">
        <f t="shared" si="3663"/>
        <v/>
      </c>
      <c r="DN228" s="66" t="str">
        <f t="shared" si="3664"/>
        <v/>
      </c>
      <c r="DO228" s="66" t="str">
        <f t="shared" si="3665"/>
        <v/>
      </c>
      <c r="DP228" s="66" t="str">
        <f t="shared" si="3666"/>
        <v/>
      </c>
      <c r="DQ228" s="66" t="str">
        <f t="shared" si="3667"/>
        <v/>
      </c>
      <c r="DR228" s="66" t="str">
        <f t="shared" si="3668"/>
        <v/>
      </c>
      <c r="DS228" s="66" t="str">
        <f t="shared" si="3669"/>
        <v/>
      </c>
      <c r="DT228" s="66" t="str">
        <f t="shared" si="3670"/>
        <v/>
      </c>
      <c r="DU228" s="66" t="str">
        <f t="shared" si="3671"/>
        <v/>
      </c>
      <c r="DV228" s="66" t="str">
        <f t="shared" si="3672"/>
        <v/>
      </c>
      <c r="DW228" s="66" t="str">
        <f t="shared" si="3673"/>
        <v/>
      </c>
      <c r="DX228" s="66" t="str">
        <f t="shared" si="3674"/>
        <v/>
      </c>
      <c r="DY228" s="66" t="str">
        <f t="shared" si="3675"/>
        <v/>
      </c>
      <c r="DZ228" s="66" t="str">
        <f t="shared" si="3676"/>
        <v/>
      </c>
      <c r="EA228" s="66" t="str">
        <f t="shared" si="3677"/>
        <v/>
      </c>
      <c r="EB228" s="66" t="str">
        <f t="shared" si="3678"/>
        <v/>
      </c>
      <c r="EC228" s="66" t="str">
        <f t="shared" si="3679"/>
        <v/>
      </c>
      <c r="ED228" s="66" t="str">
        <f t="shared" si="3680"/>
        <v/>
      </c>
      <c r="EE228" s="66" t="str">
        <f t="shared" si="3681"/>
        <v/>
      </c>
      <c r="EF228" s="66" t="str">
        <f t="shared" si="3682"/>
        <v/>
      </c>
      <c r="EG228" s="66" t="str">
        <f t="shared" si="3683"/>
        <v/>
      </c>
      <c r="EH228" s="66" t="str">
        <f t="shared" si="3684"/>
        <v/>
      </c>
      <c r="EI228" s="66" t="str">
        <f t="shared" si="3685"/>
        <v/>
      </c>
      <c r="EJ228" s="66" t="str">
        <f t="shared" si="3686"/>
        <v/>
      </c>
      <c r="EK228" s="66" t="str">
        <f t="shared" si="3687"/>
        <v/>
      </c>
      <c r="EL228" s="66" t="str">
        <f t="shared" si="3688"/>
        <v/>
      </c>
      <c r="EM228" s="66" t="str">
        <f t="shared" si="3689"/>
        <v/>
      </c>
      <c r="EN228" s="66" t="str">
        <f t="shared" si="3690"/>
        <v/>
      </c>
      <c r="EO228" s="66" t="str">
        <f t="shared" si="3691"/>
        <v/>
      </c>
      <c r="EP228" s="66" t="str">
        <f t="shared" si="3692"/>
        <v/>
      </c>
      <c r="EQ228" s="66" t="str">
        <f t="shared" si="3693"/>
        <v/>
      </c>
      <c r="ER228" s="66" t="str">
        <f t="shared" si="3694"/>
        <v/>
      </c>
      <c r="ES228" s="66" t="str">
        <f t="shared" si="3695"/>
        <v/>
      </c>
      <c r="ET228" s="66" t="str">
        <f t="shared" si="3696"/>
        <v/>
      </c>
      <c r="EU228" s="66" t="str">
        <f t="shared" si="3697"/>
        <v/>
      </c>
      <c r="EV228" s="66" t="str">
        <f t="shared" si="3698"/>
        <v/>
      </c>
      <c r="EW228" s="66" t="str">
        <f t="shared" si="3699"/>
        <v/>
      </c>
      <c r="EX228" s="66" t="str">
        <f t="shared" si="3700"/>
        <v/>
      </c>
      <c r="EY228" s="66" t="str">
        <f t="shared" si="3701"/>
        <v/>
      </c>
      <c r="EZ228" s="66" t="str">
        <f t="shared" si="3702"/>
        <v/>
      </c>
      <c r="FA228" s="66" t="str">
        <f t="shared" si="3703"/>
        <v/>
      </c>
      <c r="FB228" s="66" t="str">
        <f t="shared" si="3704"/>
        <v/>
      </c>
      <c r="FC228" s="66" t="str">
        <f t="shared" si="3705"/>
        <v/>
      </c>
      <c r="FD228" s="66" t="str">
        <f t="shared" si="3706"/>
        <v/>
      </c>
      <c r="FE228" s="66" t="str">
        <f t="shared" si="3707"/>
        <v/>
      </c>
      <c r="FF228" s="66" t="str">
        <f t="shared" si="3708"/>
        <v/>
      </c>
      <c r="FG228" s="66" t="str">
        <f t="shared" si="3709"/>
        <v/>
      </c>
      <c r="FH228" s="66" t="str">
        <f t="shared" si="3710"/>
        <v/>
      </c>
      <c r="FI228" s="66" t="str">
        <f t="shared" si="3711"/>
        <v/>
      </c>
      <c r="FJ228" s="66" t="str">
        <f t="shared" si="3712"/>
        <v/>
      </c>
      <c r="FK228" s="66" t="str">
        <f t="shared" si="3713"/>
        <v/>
      </c>
      <c r="FL228" s="66" t="str">
        <f t="shared" si="3714"/>
        <v/>
      </c>
      <c r="FM228" s="66" t="str">
        <f t="shared" si="3715"/>
        <v/>
      </c>
      <c r="FN228" s="66" t="str">
        <f t="shared" si="3716"/>
        <v/>
      </c>
      <c r="FO228" s="66" t="str">
        <f t="shared" si="3717"/>
        <v/>
      </c>
      <c r="FP228" s="66" t="str">
        <f t="shared" si="3718"/>
        <v/>
      </c>
      <c r="FQ228" s="66" t="str">
        <f t="shared" si="3719"/>
        <v/>
      </c>
      <c r="FR228" s="66" t="str">
        <f t="shared" si="3720"/>
        <v/>
      </c>
      <c r="FS228" s="66" t="str">
        <f t="shared" si="3721"/>
        <v/>
      </c>
    </row>
    <row r="229" spans="1:175" ht="16.5">
      <c r="A229" s="116"/>
      <c r="B229" s="27" t="s">
        <v>777</v>
      </c>
      <c r="C229" s="29" t="s">
        <v>775</v>
      </c>
      <c r="T229" s="118"/>
      <c r="U229" s="77"/>
      <c r="CN229" s="36" t="str">
        <f t="shared" si="3646"/>
        <v>InitUnitState('IF03',,,,,,,,,,)</v>
      </c>
      <c r="CO229" s="36" t="str">
        <f t="shared" si="3647"/>
        <v>InitUnitNormal('IF03',,,,,,,,,,)</v>
      </c>
      <c r="CP229" s="36" t="str">
        <f t="shared" si="3648"/>
        <v>InitUnitMagic('IF03',,,,,,,,,,)</v>
      </c>
      <c r="CQ229" s="36" t="str">
        <f t="shared" si="3649"/>
        <v>InitUnitAdd('IF03',,,,,,,,,,)</v>
      </c>
      <c r="CR229" s="36" t="str">
        <f t="shared" si="3650"/>
        <v>InitEquipData('IF03',,"",,,,,'','','','','','',"")</v>
      </c>
      <c r="CU229" s="88" t="str">
        <f t="shared" si="3651"/>
        <v>|n</v>
      </c>
      <c r="CW229" s="33"/>
      <c r="CX229" s="33"/>
      <c r="CY229" s="33"/>
      <c r="CZ229" s="33"/>
      <c r="DA229" s="33"/>
      <c r="DB229" s="66" t="str">
        <f t="shared" si="3652"/>
        <v/>
      </c>
      <c r="DC229" s="66" t="str">
        <f t="shared" si="3653"/>
        <v/>
      </c>
      <c r="DD229" s="66" t="str">
        <f t="shared" si="3654"/>
        <v/>
      </c>
      <c r="DE229" s="66" t="str">
        <f t="shared" si="3655"/>
        <v/>
      </c>
      <c r="DF229" s="66" t="str">
        <f t="shared" si="3656"/>
        <v/>
      </c>
      <c r="DG229" s="66" t="str">
        <f t="shared" si="3657"/>
        <v/>
      </c>
      <c r="DH229" s="66" t="str">
        <f t="shared" si="3658"/>
        <v/>
      </c>
      <c r="DI229" s="66" t="str">
        <f t="shared" si="3659"/>
        <v/>
      </c>
      <c r="DJ229" s="66" t="str">
        <f t="shared" si="3660"/>
        <v/>
      </c>
      <c r="DK229" s="66" t="str">
        <f t="shared" si="3661"/>
        <v/>
      </c>
      <c r="DL229" s="66" t="str">
        <f t="shared" si="3662"/>
        <v/>
      </c>
      <c r="DM229" s="66" t="str">
        <f t="shared" si="3663"/>
        <v/>
      </c>
      <c r="DN229" s="66" t="str">
        <f t="shared" si="3664"/>
        <v/>
      </c>
      <c r="DO229" s="66" t="str">
        <f t="shared" si="3665"/>
        <v/>
      </c>
      <c r="DP229" s="66" t="str">
        <f t="shared" si="3666"/>
        <v/>
      </c>
      <c r="DQ229" s="66" t="str">
        <f t="shared" si="3667"/>
        <v/>
      </c>
      <c r="DR229" s="66" t="str">
        <f t="shared" si="3668"/>
        <v/>
      </c>
      <c r="DS229" s="66" t="str">
        <f t="shared" si="3669"/>
        <v/>
      </c>
      <c r="DT229" s="66" t="str">
        <f t="shared" si="3670"/>
        <v/>
      </c>
      <c r="DU229" s="66" t="str">
        <f t="shared" si="3671"/>
        <v/>
      </c>
      <c r="DV229" s="66" t="str">
        <f t="shared" si="3672"/>
        <v/>
      </c>
      <c r="DW229" s="66" t="str">
        <f t="shared" si="3673"/>
        <v/>
      </c>
      <c r="DX229" s="66" t="str">
        <f t="shared" si="3674"/>
        <v/>
      </c>
      <c r="DY229" s="66" t="str">
        <f t="shared" si="3675"/>
        <v/>
      </c>
      <c r="DZ229" s="66" t="str">
        <f t="shared" si="3676"/>
        <v/>
      </c>
      <c r="EA229" s="66" t="str">
        <f t="shared" si="3677"/>
        <v/>
      </c>
      <c r="EB229" s="66" t="str">
        <f t="shared" si="3678"/>
        <v/>
      </c>
      <c r="EC229" s="66" t="str">
        <f t="shared" si="3679"/>
        <v/>
      </c>
      <c r="ED229" s="66" t="str">
        <f t="shared" si="3680"/>
        <v/>
      </c>
      <c r="EE229" s="66" t="str">
        <f t="shared" si="3681"/>
        <v/>
      </c>
      <c r="EF229" s="66" t="str">
        <f t="shared" si="3682"/>
        <v/>
      </c>
      <c r="EG229" s="66" t="str">
        <f t="shared" si="3683"/>
        <v/>
      </c>
      <c r="EH229" s="66" t="str">
        <f t="shared" si="3684"/>
        <v/>
      </c>
      <c r="EI229" s="66" t="str">
        <f t="shared" si="3685"/>
        <v/>
      </c>
      <c r="EJ229" s="66" t="str">
        <f t="shared" si="3686"/>
        <v/>
      </c>
      <c r="EK229" s="66" t="str">
        <f t="shared" si="3687"/>
        <v/>
      </c>
      <c r="EL229" s="66" t="str">
        <f t="shared" si="3688"/>
        <v/>
      </c>
      <c r="EM229" s="66" t="str">
        <f t="shared" si="3689"/>
        <v/>
      </c>
      <c r="EN229" s="66" t="str">
        <f t="shared" si="3690"/>
        <v/>
      </c>
      <c r="EO229" s="66" t="str">
        <f t="shared" si="3691"/>
        <v/>
      </c>
      <c r="EP229" s="66" t="str">
        <f t="shared" si="3692"/>
        <v/>
      </c>
      <c r="EQ229" s="66" t="str">
        <f t="shared" si="3693"/>
        <v/>
      </c>
      <c r="ER229" s="66" t="str">
        <f t="shared" si="3694"/>
        <v/>
      </c>
      <c r="ES229" s="66" t="str">
        <f t="shared" si="3695"/>
        <v/>
      </c>
      <c r="ET229" s="66" t="str">
        <f t="shared" si="3696"/>
        <v/>
      </c>
      <c r="EU229" s="66" t="str">
        <f t="shared" si="3697"/>
        <v/>
      </c>
      <c r="EV229" s="66" t="str">
        <f t="shared" si="3698"/>
        <v/>
      </c>
      <c r="EW229" s="66" t="str">
        <f t="shared" si="3699"/>
        <v/>
      </c>
      <c r="EX229" s="66" t="str">
        <f t="shared" si="3700"/>
        <v/>
      </c>
      <c r="EY229" s="66" t="str">
        <f t="shared" si="3701"/>
        <v/>
      </c>
      <c r="EZ229" s="66" t="str">
        <f t="shared" si="3702"/>
        <v/>
      </c>
      <c r="FA229" s="66" t="str">
        <f t="shared" si="3703"/>
        <v/>
      </c>
      <c r="FB229" s="66" t="str">
        <f t="shared" si="3704"/>
        <v/>
      </c>
      <c r="FC229" s="66" t="str">
        <f t="shared" si="3705"/>
        <v/>
      </c>
      <c r="FD229" s="66" t="str">
        <f t="shared" si="3706"/>
        <v/>
      </c>
      <c r="FE229" s="66" t="str">
        <f t="shared" si="3707"/>
        <v/>
      </c>
      <c r="FF229" s="66" t="str">
        <f t="shared" si="3708"/>
        <v/>
      </c>
      <c r="FG229" s="66" t="str">
        <f t="shared" si="3709"/>
        <v/>
      </c>
      <c r="FH229" s="66" t="str">
        <f t="shared" si="3710"/>
        <v/>
      </c>
      <c r="FI229" s="66" t="str">
        <f t="shared" si="3711"/>
        <v/>
      </c>
      <c r="FJ229" s="66" t="str">
        <f t="shared" si="3712"/>
        <v/>
      </c>
      <c r="FK229" s="66" t="str">
        <f t="shared" si="3713"/>
        <v/>
      </c>
      <c r="FL229" s="66" t="str">
        <f t="shared" si="3714"/>
        <v/>
      </c>
      <c r="FM229" s="66" t="str">
        <f t="shared" si="3715"/>
        <v/>
      </c>
      <c r="FN229" s="66" t="str">
        <f t="shared" si="3716"/>
        <v/>
      </c>
      <c r="FO229" s="66" t="str">
        <f t="shared" si="3717"/>
        <v/>
      </c>
      <c r="FP229" s="66" t="str">
        <f t="shared" si="3718"/>
        <v/>
      </c>
      <c r="FQ229" s="66" t="str">
        <f t="shared" si="3719"/>
        <v/>
      </c>
      <c r="FR229" s="66" t="str">
        <f t="shared" si="3720"/>
        <v/>
      </c>
      <c r="FS229" s="66" t="str">
        <f t="shared" si="3721"/>
        <v/>
      </c>
    </row>
    <row r="230" spans="1:175" ht="16.5">
      <c r="A230" s="116"/>
      <c r="B230" s="27" t="s">
        <v>778</v>
      </c>
      <c r="C230" s="29" t="s">
        <v>775</v>
      </c>
      <c r="T230" s="118"/>
      <c r="U230" s="77"/>
      <c r="CN230" s="36" t="str">
        <f t="shared" si="3646"/>
        <v>InitUnitState('IF04',,,,,,,,,,)</v>
      </c>
      <c r="CO230" s="36" t="str">
        <f t="shared" si="3647"/>
        <v>InitUnitNormal('IF04',,,,,,,,,,)</v>
      </c>
      <c r="CP230" s="36" t="str">
        <f t="shared" si="3648"/>
        <v>InitUnitMagic('IF04',,,,,,,,,,)</v>
      </c>
      <c r="CQ230" s="36" t="str">
        <f t="shared" si="3649"/>
        <v>InitUnitAdd('IF04',,,,,,,,,,)</v>
      </c>
      <c r="CR230" s="36" t="str">
        <f t="shared" si="3650"/>
        <v>InitEquipData('IF04',,"",,,,,'','','','','','',"")</v>
      </c>
      <c r="CU230" s="88" t="str">
        <f t="shared" si="3651"/>
        <v>|n</v>
      </c>
      <c r="CW230" s="33"/>
      <c r="CX230" s="33"/>
      <c r="CY230" s="33"/>
      <c r="CZ230" s="33"/>
      <c r="DA230" s="33"/>
      <c r="DB230" s="66" t="str">
        <f t="shared" si="3652"/>
        <v/>
      </c>
      <c r="DC230" s="66" t="str">
        <f t="shared" si="3653"/>
        <v/>
      </c>
      <c r="DD230" s="66" t="str">
        <f t="shared" si="3654"/>
        <v/>
      </c>
      <c r="DE230" s="66" t="str">
        <f t="shared" si="3655"/>
        <v/>
      </c>
      <c r="DF230" s="66" t="str">
        <f t="shared" si="3656"/>
        <v/>
      </c>
      <c r="DG230" s="66" t="str">
        <f t="shared" si="3657"/>
        <v/>
      </c>
      <c r="DH230" s="66" t="str">
        <f t="shared" si="3658"/>
        <v/>
      </c>
      <c r="DI230" s="66" t="str">
        <f t="shared" si="3659"/>
        <v/>
      </c>
      <c r="DJ230" s="66" t="str">
        <f t="shared" si="3660"/>
        <v/>
      </c>
      <c r="DK230" s="66" t="str">
        <f t="shared" si="3661"/>
        <v/>
      </c>
      <c r="DL230" s="66" t="str">
        <f t="shared" si="3662"/>
        <v/>
      </c>
      <c r="DM230" s="66" t="str">
        <f t="shared" si="3663"/>
        <v/>
      </c>
      <c r="DN230" s="66" t="str">
        <f t="shared" si="3664"/>
        <v/>
      </c>
      <c r="DO230" s="66" t="str">
        <f t="shared" si="3665"/>
        <v/>
      </c>
      <c r="DP230" s="66" t="str">
        <f t="shared" si="3666"/>
        <v/>
      </c>
      <c r="DQ230" s="66" t="str">
        <f t="shared" si="3667"/>
        <v/>
      </c>
      <c r="DR230" s="66" t="str">
        <f t="shared" si="3668"/>
        <v/>
      </c>
      <c r="DS230" s="66" t="str">
        <f t="shared" si="3669"/>
        <v/>
      </c>
      <c r="DT230" s="66" t="str">
        <f t="shared" si="3670"/>
        <v/>
      </c>
      <c r="DU230" s="66" t="str">
        <f t="shared" si="3671"/>
        <v/>
      </c>
      <c r="DV230" s="66" t="str">
        <f t="shared" si="3672"/>
        <v/>
      </c>
      <c r="DW230" s="66" t="str">
        <f t="shared" si="3673"/>
        <v/>
      </c>
      <c r="DX230" s="66" t="str">
        <f t="shared" si="3674"/>
        <v/>
      </c>
      <c r="DY230" s="66" t="str">
        <f t="shared" si="3675"/>
        <v/>
      </c>
      <c r="DZ230" s="66" t="str">
        <f t="shared" si="3676"/>
        <v/>
      </c>
      <c r="EA230" s="66" t="str">
        <f t="shared" si="3677"/>
        <v/>
      </c>
      <c r="EB230" s="66" t="str">
        <f t="shared" si="3678"/>
        <v/>
      </c>
      <c r="EC230" s="66" t="str">
        <f t="shared" si="3679"/>
        <v/>
      </c>
      <c r="ED230" s="66" t="str">
        <f t="shared" si="3680"/>
        <v/>
      </c>
      <c r="EE230" s="66" t="str">
        <f t="shared" si="3681"/>
        <v/>
      </c>
      <c r="EF230" s="66" t="str">
        <f t="shared" si="3682"/>
        <v/>
      </c>
      <c r="EG230" s="66" t="str">
        <f t="shared" si="3683"/>
        <v/>
      </c>
      <c r="EH230" s="66" t="str">
        <f t="shared" si="3684"/>
        <v/>
      </c>
      <c r="EI230" s="66" t="str">
        <f t="shared" si="3685"/>
        <v/>
      </c>
      <c r="EJ230" s="66" t="str">
        <f t="shared" si="3686"/>
        <v/>
      </c>
      <c r="EK230" s="66" t="str">
        <f t="shared" si="3687"/>
        <v/>
      </c>
      <c r="EL230" s="66" t="str">
        <f t="shared" si="3688"/>
        <v/>
      </c>
      <c r="EM230" s="66" t="str">
        <f t="shared" si="3689"/>
        <v/>
      </c>
      <c r="EN230" s="66" t="str">
        <f t="shared" si="3690"/>
        <v/>
      </c>
      <c r="EO230" s="66" t="str">
        <f t="shared" si="3691"/>
        <v/>
      </c>
      <c r="EP230" s="66" t="str">
        <f t="shared" si="3692"/>
        <v/>
      </c>
      <c r="EQ230" s="66" t="str">
        <f t="shared" si="3693"/>
        <v/>
      </c>
      <c r="ER230" s="66" t="str">
        <f t="shared" si="3694"/>
        <v/>
      </c>
      <c r="ES230" s="66" t="str">
        <f t="shared" si="3695"/>
        <v/>
      </c>
      <c r="ET230" s="66" t="str">
        <f t="shared" si="3696"/>
        <v/>
      </c>
      <c r="EU230" s="66" t="str">
        <f t="shared" si="3697"/>
        <v/>
      </c>
      <c r="EV230" s="66" t="str">
        <f t="shared" si="3698"/>
        <v/>
      </c>
      <c r="EW230" s="66" t="str">
        <f t="shared" si="3699"/>
        <v/>
      </c>
      <c r="EX230" s="66" t="str">
        <f t="shared" si="3700"/>
        <v/>
      </c>
      <c r="EY230" s="66" t="str">
        <f t="shared" si="3701"/>
        <v/>
      </c>
      <c r="EZ230" s="66" t="str">
        <f t="shared" si="3702"/>
        <v/>
      </c>
      <c r="FA230" s="66" t="str">
        <f t="shared" si="3703"/>
        <v/>
      </c>
      <c r="FB230" s="66" t="str">
        <f t="shared" si="3704"/>
        <v/>
      </c>
      <c r="FC230" s="66" t="str">
        <f t="shared" si="3705"/>
        <v/>
      </c>
      <c r="FD230" s="66" t="str">
        <f t="shared" si="3706"/>
        <v/>
      </c>
      <c r="FE230" s="66" t="str">
        <f t="shared" si="3707"/>
        <v/>
      </c>
      <c r="FF230" s="66" t="str">
        <f t="shared" si="3708"/>
        <v/>
      </c>
      <c r="FG230" s="66" t="str">
        <f t="shared" si="3709"/>
        <v/>
      </c>
      <c r="FH230" s="66" t="str">
        <f t="shared" si="3710"/>
        <v/>
      </c>
      <c r="FI230" s="66" t="str">
        <f t="shared" si="3711"/>
        <v/>
      </c>
      <c r="FJ230" s="66" t="str">
        <f t="shared" si="3712"/>
        <v/>
      </c>
      <c r="FK230" s="66" t="str">
        <f t="shared" si="3713"/>
        <v/>
      </c>
      <c r="FL230" s="66" t="str">
        <f t="shared" si="3714"/>
        <v/>
      </c>
      <c r="FM230" s="66" t="str">
        <f t="shared" si="3715"/>
        <v/>
      </c>
      <c r="FN230" s="66" t="str">
        <f t="shared" si="3716"/>
        <v/>
      </c>
      <c r="FO230" s="66" t="str">
        <f t="shared" si="3717"/>
        <v/>
      </c>
      <c r="FP230" s="66" t="str">
        <f t="shared" si="3718"/>
        <v/>
      </c>
      <c r="FQ230" s="66" t="str">
        <f t="shared" si="3719"/>
        <v/>
      </c>
      <c r="FR230" s="66" t="str">
        <f t="shared" si="3720"/>
        <v/>
      </c>
      <c r="FS230" s="66" t="str">
        <f t="shared" si="3721"/>
        <v/>
      </c>
    </row>
    <row r="231" spans="1:175" ht="16.5">
      <c r="A231" s="116"/>
      <c r="B231" s="27" t="s">
        <v>779</v>
      </c>
      <c r="C231" s="29" t="s">
        <v>775</v>
      </c>
      <c r="T231" s="118"/>
      <c r="U231" s="77"/>
      <c r="CN231" s="36" t="str">
        <f t="shared" si="3646"/>
        <v>InitUnitState('IF05',,,,,,,,,,)</v>
      </c>
      <c r="CO231" s="36" t="str">
        <f t="shared" si="3647"/>
        <v>InitUnitNormal('IF05',,,,,,,,,,)</v>
      </c>
      <c r="CP231" s="36" t="str">
        <f t="shared" si="3648"/>
        <v>InitUnitMagic('IF05',,,,,,,,,,)</v>
      </c>
      <c r="CQ231" s="36" t="str">
        <f t="shared" si="3649"/>
        <v>InitUnitAdd('IF05',,,,,,,,,,)</v>
      </c>
      <c r="CR231" s="36" t="str">
        <f t="shared" si="3650"/>
        <v>InitEquipData('IF05',,"",,,,,'','','','','','',"")</v>
      </c>
      <c r="CU231" s="88" t="str">
        <f t="shared" si="3651"/>
        <v>|n</v>
      </c>
      <c r="CW231" s="33"/>
      <c r="CX231" s="33"/>
      <c r="CY231" s="33"/>
      <c r="CZ231" s="33"/>
      <c r="DA231" s="33"/>
      <c r="DB231" s="66" t="str">
        <f t="shared" si="3652"/>
        <v/>
      </c>
      <c r="DC231" s="66" t="str">
        <f t="shared" si="3653"/>
        <v/>
      </c>
      <c r="DD231" s="66" t="str">
        <f t="shared" si="3654"/>
        <v/>
      </c>
      <c r="DE231" s="66" t="str">
        <f t="shared" si="3655"/>
        <v/>
      </c>
      <c r="DF231" s="66" t="str">
        <f t="shared" si="3656"/>
        <v/>
      </c>
      <c r="DG231" s="66" t="str">
        <f t="shared" si="3657"/>
        <v/>
      </c>
      <c r="DH231" s="66" t="str">
        <f t="shared" si="3658"/>
        <v/>
      </c>
      <c r="DI231" s="66" t="str">
        <f t="shared" si="3659"/>
        <v/>
      </c>
      <c r="DJ231" s="66" t="str">
        <f t="shared" si="3660"/>
        <v/>
      </c>
      <c r="DK231" s="66" t="str">
        <f t="shared" si="3661"/>
        <v/>
      </c>
      <c r="DL231" s="66" t="str">
        <f t="shared" si="3662"/>
        <v/>
      </c>
      <c r="DM231" s="66" t="str">
        <f t="shared" si="3663"/>
        <v/>
      </c>
      <c r="DN231" s="66" t="str">
        <f t="shared" si="3664"/>
        <v/>
      </c>
      <c r="DO231" s="66" t="str">
        <f t="shared" si="3665"/>
        <v/>
      </c>
      <c r="DP231" s="66" t="str">
        <f t="shared" si="3666"/>
        <v/>
      </c>
      <c r="DQ231" s="66" t="str">
        <f t="shared" si="3667"/>
        <v/>
      </c>
      <c r="DR231" s="66" t="str">
        <f t="shared" si="3668"/>
        <v/>
      </c>
      <c r="DS231" s="66" t="str">
        <f t="shared" si="3669"/>
        <v/>
      </c>
      <c r="DT231" s="66" t="str">
        <f t="shared" si="3670"/>
        <v/>
      </c>
      <c r="DU231" s="66" t="str">
        <f t="shared" si="3671"/>
        <v/>
      </c>
      <c r="DV231" s="66" t="str">
        <f t="shared" si="3672"/>
        <v/>
      </c>
      <c r="DW231" s="66" t="str">
        <f t="shared" si="3673"/>
        <v/>
      </c>
      <c r="DX231" s="66" t="str">
        <f t="shared" si="3674"/>
        <v/>
      </c>
      <c r="DY231" s="66" t="str">
        <f t="shared" si="3675"/>
        <v/>
      </c>
      <c r="DZ231" s="66" t="str">
        <f t="shared" si="3676"/>
        <v/>
      </c>
      <c r="EA231" s="66" t="str">
        <f t="shared" si="3677"/>
        <v/>
      </c>
      <c r="EB231" s="66" t="str">
        <f t="shared" si="3678"/>
        <v/>
      </c>
      <c r="EC231" s="66" t="str">
        <f t="shared" si="3679"/>
        <v/>
      </c>
      <c r="ED231" s="66" t="str">
        <f t="shared" si="3680"/>
        <v/>
      </c>
      <c r="EE231" s="66" t="str">
        <f t="shared" si="3681"/>
        <v/>
      </c>
      <c r="EF231" s="66" t="str">
        <f t="shared" si="3682"/>
        <v/>
      </c>
      <c r="EG231" s="66" t="str">
        <f t="shared" si="3683"/>
        <v/>
      </c>
      <c r="EH231" s="66" t="str">
        <f t="shared" si="3684"/>
        <v/>
      </c>
      <c r="EI231" s="66" t="str">
        <f t="shared" si="3685"/>
        <v/>
      </c>
      <c r="EJ231" s="66" t="str">
        <f t="shared" si="3686"/>
        <v/>
      </c>
      <c r="EK231" s="66" t="str">
        <f t="shared" si="3687"/>
        <v/>
      </c>
      <c r="EL231" s="66" t="str">
        <f t="shared" si="3688"/>
        <v/>
      </c>
      <c r="EM231" s="66" t="str">
        <f t="shared" si="3689"/>
        <v/>
      </c>
      <c r="EN231" s="66" t="str">
        <f t="shared" si="3690"/>
        <v/>
      </c>
      <c r="EO231" s="66" t="str">
        <f t="shared" si="3691"/>
        <v/>
      </c>
      <c r="EP231" s="66" t="str">
        <f t="shared" si="3692"/>
        <v/>
      </c>
      <c r="EQ231" s="66" t="str">
        <f t="shared" si="3693"/>
        <v/>
      </c>
      <c r="ER231" s="66" t="str">
        <f t="shared" si="3694"/>
        <v/>
      </c>
      <c r="ES231" s="66" t="str">
        <f t="shared" si="3695"/>
        <v/>
      </c>
      <c r="ET231" s="66" t="str">
        <f t="shared" si="3696"/>
        <v/>
      </c>
      <c r="EU231" s="66" t="str">
        <f t="shared" si="3697"/>
        <v/>
      </c>
      <c r="EV231" s="66" t="str">
        <f t="shared" si="3698"/>
        <v/>
      </c>
      <c r="EW231" s="66" t="str">
        <f t="shared" si="3699"/>
        <v/>
      </c>
      <c r="EX231" s="66" t="str">
        <f t="shared" si="3700"/>
        <v/>
      </c>
      <c r="EY231" s="66" t="str">
        <f t="shared" si="3701"/>
        <v/>
      </c>
      <c r="EZ231" s="66" t="str">
        <f t="shared" si="3702"/>
        <v/>
      </c>
      <c r="FA231" s="66" t="str">
        <f t="shared" si="3703"/>
        <v/>
      </c>
      <c r="FB231" s="66" t="str">
        <f t="shared" si="3704"/>
        <v/>
      </c>
      <c r="FC231" s="66" t="str">
        <f t="shared" si="3705"/>
        <v/>
      </c>
      <c r="FD231" s="66" t="str">
        <f t="shared" si="3706"/>
        <v/>
      </c>
      <c r="FE231" s="66" t="str">
        <f t="shared" si="3707"/>
        <v/>
      </c>
      <c r="FF231" s="66" t="str">
        <f t="shared" si="3708"/>
        <v/>
      </c>
      <c r="FG231" s="66" t="str">
        <f t="shared" si="3709"/>
        <v/>
      </c>
      <c r="FH231" s="66" t="str">
        <f t="shared" si="3710"/>
        <v/>
      </c>
      <c r="FI231" s="66" t="str">
        <f t="shared" si="3711"/>
        <v/>
      </c>
      <c r="FJ231" s="66" t="str">
        <f t="shared" si="3712"/>
        <v/>
      </c>
      <c r="FK231" s="66" t="str">
        <f t="shared" si="3713"/>
        <v/>
      </c>
      <c r="FL231" s="66" t="str">
        <f t="shared" si="3714"/>
        <v/>
      </c>
      <c r="FM231" s="66" t="str">
        <f t="shared" si="3715"/>
        <v/>
      </c>
      <c r="FN231" s="66" t="str">
        <f t="shared" si="3716"/>
        <v/>
      </c>
      <c r="FO231" s="66" t="str">
        <f t="shared" si="3717"/>
        <v/>
      </c>
      <c r="FP231" s="66" t="str">
        <f t="shared" si="3718"/>
        <v/>
      </c>
      <c r="FQ231" s="66" t="str">
        <f t="shared" si="3719"/>
        <v/>
      </c>
      <c r="FR231" s="66" t="str">
        <f t="shared" si="3720"/>
        <v/>
      </c>
      <c r="FS231" s="66" t="str">
        <f t="shared" si="3721"/>
        <v/>
      </c>
    </row>
    <row r="232" spans="1:175" ht="16.5">
      <c r="A232" s="116"/>
      <c r="B232" s="27" t="s">
        <v>780</v>
      </c>
      <c r="C232" s="29" t="s">
        <v>775</v>
      </c>
      <c r="T232" s="118"/>
      <c r="U232" s="77"/>
      <c r="CN232" s="36" t="str">
        <f t="shared" si="3646"/>
        <v>InitUnitState('IF06',,,,,,,,,,)</v>
      </c>
      <c r="CO232" s="36" t="str">
        <f t="shared" si="3647"/>
        <v>InitUnitNormal('IF06',,,,,,,,,,)</v>
      </c>
      <c r="CP232" s="36" t="str">
        <f t="shared" si="3648"/>
        <v>InitUnitMagic('IF06',,,,,,,,,,)</v>
      </c>
      <c r="CQ232" s="36" t="str">
        <f t="shared" si="3649"/>
        <v>InitUnitAdd('IF06',,,,,,,,,,)</v>
      </c>
      <c r="CR232" s="36" t="str">
        <f t="shared" si="3650"/>
        <v>InitEquipData('IF06',,"",,,,,'','','','','','',"")</v>
      </c>
      <c r="CU232" s="88" t="str">
        <f t="shared" si="3651"/>
        <v>|n</v>
      </c>
      <c r="CW232" s="33"/>
      <c r="CX232" s="33"/>
      <c r="CY232" s="33"/>
      <c r="CZ232" s="33"/>
      <c r="DA232" s="33"/>
      <c r="DB232" s="66" t="str">
        <f t="shared" si="3652"/>
        <v/>
      </c>
      <c r="DC232" s="66" t="str">
        <f t="shared" si="3653"/>
        <v/>
      </c>
      <c r="DD232" s="66" t="str">
        <f t="shared" si="3654"/>
        <v/>
      </c>
      <c r="DE232" s="66" t="str">
        <f t="shared" si="3655"/>
        <v/>
      </c>
      <c r="DF232" s="66" t="str">
        <f t="shared" si="3656"/>
        <v/>
      </c>
      <c r="DG232" s="66" t="str">
        <f t="shared" si="3657"/>
        <v/>
      </c>
      <c r="DH232" s="66" t="str">
        <f t="shared" si="3658"/>
        <v/>
      </c>
      <c r="DI232" s="66" t="str">
        <f t="shared" si="3659"/>
        <v/>
      </c>
      <c r="DJ232" s="66" t="str">
        <f t="shared" si="3660"/>
        <v/>
      </c>
      <c r="DK232" s="66" t="str">
        <f t="shared" si="3661"/>
        <v/>
      </c>
      <c r="DL232" s="66" t="str">
        <f t="shared" si="3662"/>
        <v/>
      </c>
      <c r="DM232" s="66" t="str">
        <f t="shared" si="3663"/>
        <v/>
      </c>
      <c r="DN232" s="66" t="str">
        <f t="shared" si="3664"/>
        <v/>
      </c>
      <c r="DO232" s="66" t="str">
        <f t="shared" si="3665"/>
        <v/>
      </c>
      <c r="DP232" s="66" t="str">
        <f t="shared" si="3666"/>
        <v/>
      </c>
      <c r="DQ232" s="66" t="str">
        <f t="shared" si="3667"/>
        <v/>
      </c>
      <c r="DR232" s="66" t="str">
        <f t="shared" si="3668"/>
        <v/>
      </c>
      <c r="DS232" s="66" t="str">
        <f t="shared" si="3669"/>
        <v/>
      </c>
      <c r="DT232" s="66" t="str">
        <f t="shared" si="3670"/>
        <v/>
      </c>
      <c r="DU232" s="66" t="str">
        <f t="shared" si="3671"/>
        <v/>
      </c>
      <c r="DV232" s="66" t="str">
        <f t="shared" si="3672"/>
        <v/>
      </c>
      <c r="DW232" s="66" t="str">
        <f t="shared" si="3673"/>
        <v/>
      </c>
      <c r="DX232" s="66" t="str">
        <f t="shared" si="3674"/>
        <v/>
      </c>
      <c r="DY232" s="66" t="str">
        <f t="shared" si="3675"/>
        <v/>
      </c>
      <c r="DZ232" s="66" t="str">
        <f t="shared" si="3676"/>
        <v/>
      </c>
      <c r="EA232" s="66" t="str">
        <f t="shared" si="3677"/>
        <v/>
      </c>
      <c r="EB232" s="66" t="str">
        <f t="shared" si="3678"/>
        <v/>
      </c>
      <c r="EC232" s="66" t="str">
        <f t="shared" si="3679"/>
        <v/>
      </c>
      <c r="ED232" s="66" t="str">
        <f t="shared" si="3680"/>
        <v/>
      </c>
      <c r="EE232" s="66" t="str">
        <f t="shared" si="3681"/>
        <v/>
      </c>
      <c r="EF232" s="66" t="str">
        <f t="shared" si="3682"/>
        <v/>
      </c>
      <c r="EG232" s="66" t="str">
        <f t="shared" si="3683"/>
        <v/>
      </c>
      <c r="EH232" s="66" t="str">
        <f t="shared" si="3684"/>
        <v/>
      </c>
      <c r="EI232" s="66" t="str">
        <f t="shared" si="3685"/>
        <v/>
      </c>
      <c r="EJ232" s="66" t="str">
        <f t="shared" si="3686"/>
        <v/>
      </c>
      <c r="EK232" s="66" t="str">
        <f t="shared" si="3687"/>
        <v/>
      </c>
      <c r="EL232" s="66" t="str">
        <f t="shared" si="3688"/>
        <v/>
      </c>
      <c r="EM232" s="66" t="str">
        <f t="shared" si="3689"/>
        <v/>
      </c>
      <c r="EN232" s="66" t="str">
        <f t="shared" si="3690"/>
        <v/>
      </c>
      <c r="EO232" s="66" t="str">
        <f t="shared" si="3691"/>
        <v/>
      </c>
      <c r="EP232" s="66" t="str">
        <f t="shared" si="3692"/>
        <v/>
      </c>
      <c r="EQ232" s="66" t="str">
        <f t="shared" si="3693"/>
        <v/>
      </c>
      <c r="ER232" s="66" t="str">
        <f t="shared" si="3694"/>
        <v/>
      </c>
      <c r="ES232" s="66" t="str">
        <f t="shared" si="3695"/>
        <v/>
      </c>
      <c r="ET232" s="66" t="str">
        <f t="shared" si="3696"/>
        <v/>
      </c>
      <c r="EU232" s="66" t="str">
        <f t="shared" si="3697"/>
        <v/>
      </c>
      <c r="EV232" s="66" t="str">
        <f t="shared" si="3698"/>
        <v/>
      </c>
      <c r="EW232" s="66" t="str">
        <f t="shared" si="3699"/>
        <v/>
      </c>
      <c r="EX232" s="66" t="str">
        <f t="shared" si="3700"/>
        <v/>
      </c>
      <c r="EY232" s="66" t="str">
        <f t="shared" si="3701"/>
        <v/>
      </c>
      <c r="EZ232" s="66" t="str">
        <f t="shared" si="3702"/>
        <v/>
      </c>
      <c r="FA232" s="66" t="str">
        <f t="shared" si="3703"/>
        <v/>
      </c>
      <c r="FB232" s="66" t="str">
        <f t="shared" si="3704"/>
        <v/>
      </c>
      <c r="FC232" s="66" t="str">
        <f t="shared" si="3705"/>
        <v/>
      </c>
      <c r="FD232" s="66" t="str">
        <f t="shared" si="3706"/>
        <v/>
      </c>
      <c r="FE232" s="66" t="str">
        <f t="shared" si="3707"/>
        <v/>
      </c>
      <c r="FF232" s="66" t="str">
        <f t="shared" si="3708"/>
        <v/>
      </c>
      <c r="FG232" s="66" t="str">
        <f t="shared" si="3709"/>
        <v/>
      </c>
      <c r="FH232" s="66" t="str">
        <f t="shared" si="3710"/>
        <v/>
      </c>
      <c r="FI232" s="66" t="str">
        <f t="shared" si="3711"/>
        <v/>
      </c>
      <c r="FJ232" s="66" t="str">
        <f t="shared" si="3712"/>
        <v/>
      </c>
      <c r="FK232" s="66" t="str">
        <f t="shared" si="3713"/>
        <v/>
      </c>
      <c r="FL232" s="66" t="str">
        <f t="shared" si="3714"/>
        <v/>
      </c>
      <c r="FM232" s="66" t="str">
        <f t="shared" si="3715"/>
        <v/>
      </c>
      <c r="FN232" s="66" t="str">
        <f t="shared" si="3716"/>
        <v/>
      </c>
      <c r="FO232" s="66" t="str">
        <f t="shared" si="3717"/>
        <v/>
      </c>
      <c r="FP232" s="66" t="str">
        <f t="shared" si="3718"/>
        <v/>
      </c>
      <c r="FQ232" s="66" t="str">
        <f t="shared" si="3719"/>
        <v/>
      </c>
      <c r="FR232" s="66" t="str">
        <f t="shared" si="3720"/>
        <v/>
      </c>
      <c r="FS232" s="66" t="str">
        <f t="shared" si="3721"/>
        <v/>
      </c>
    </row>
    <row r="233" spans="1:175" ht="16.5">
      <c r="A233" s="116"/>
      <c r="B233" s="27" t="s">
        <v>781</v>
      </c>
      <c r="C233" s="29" t="s">
        <v>775</v>
      </c>
      <c r="T233" s="118"/>
      <c r="U233" s="77"/>
      <c r="CN233" s="36" t="str">
        <f t="shared" si="3646"/>
        <v>InitUnitState('IF07',,,,,,,,,,)</v>
      </c>
      <c r="CO233" s="36" t="str">
        <f t="shared" si="3647"/>
        <v>InitUnitNormal('IF07',,,,,,,,,,)</v>
      </c>
      <c r="CP233" s="36" t="str">
        <f t="shared" si="3648"/>
        <v>InitUnitMagic('IF07',,,,,,,,,,)</v>
      </c>
      <c r="CQ233" s="36" t="str">
        <f t="shared" si="3649"/>
        <v>InitUnitAdd('IF07',,,,,,,,,,)</v>
      </c>
      <c r="CR233" s="36" t="str">
        <f t="shared" si="3650"/>
        <v>InitEquipData('IF07',,"",,,,,'','','','','','',"")</v>
      </c>
      <c r="CU233" s="88" t="str">
        <f t="shared" si="3651"/>
        <v>|n</v>
      </c>
      <c r="CW233" s="33"/>
      <c r="CX233" s="33"/>
      <c r="CY233" s="33"/>
      <c r="CZ233" s="33"/>
      <c r="DA233" s="33"/>
      <c r="DB233" s="66" t="str">
        <f t="shared" si="3652"/>
        <v/>
      </c>
      <c r="DC233" s="66" t="str">
        <f t="shared" si="3653"/>
        <v/>
      </c>
      <c r="DD233" s="66" t="str">
        <f t="shared" si="3654"/>
        <v/>
      </c>
      <c r="DE233" s="66" t="str">
        <f t="shared" si="3655"/>
        <v/>
      </c>
      <c r="DF233" s="66" t="str">
        <f t="shared" si="3656"/>
        <v/>
      </c>
      <c r="DG233" s="66" t="str">
        <f t="shared" si="3657"/>
        <v/>
      </c>
      <c r="DH233" s="66" t="str">
        <f t="shared" si="3658"/>
        <v/>
      </c>
      <c r="DI233" s="66" t="str">
        <f t="shared" si="3659"/>
        <v/>
      </c>
      <c r="DJ233" s="66" t="str">
        <f t="shared" si="3660"/>
        <v/>
      </c>
      <c r="DK233" s="66" t="str">
        <f t="shared" si="3661"/>
        <v/>
      </c>
      <c r="DL233" s="66" t="str">
        <f t="shared" si="3662"/>
        <v/>
      </c>
      <c r="DM233" s="66" t="str">
        <f t="shared" si="3663"/>
        <v/>
      </c>
      <c r="DN233" s="66" t="str">
        <f t="shared" si="3664"/>
        <v/>
      </c>
      <c r="DO233" s="66" t="str">
        <f t="shared" si="3665"/>
        <v/>
      </c>
      <c r="DP233" s="66" t="str">
        <f t="shared" si="3666"/>
        <v/>
      </c>
      <c r="DQ233" s="66" t="str">
        <f t="shared" si="3667"/>
        <v/>
      </c>
      <c r="DR233" s="66" t="str">
        <f t="shared" si="3668"/>
        <v/>
      </c>
      <c r="DS233" s="66" t="str">
        <f t="shared" si="3669"/>
        <v/>
      </c>
      <c r="DT233" s="66" t="str">
        <f t="shared" si="3670"/>
        <v/>
      </c>
      <c r="DU233" s="66" t="str">
        <f t="shared" si="3671"/>
        <v/>
      </c>
      <c r="DV233" s="66" t="str">
        <f t="shared" si="3672"/>
        <v/>
      </c>
      <c r="DW233" s="66" t="str">
        <f t="shared" si="3673"/>
        <v/>
      </c>
      <c r="DX233" s="66" t="str">
        <f t="shared" si="3674"/>
        <v/>
      </c>
      <c r="DY233" s="66" t="str">
        <f t="shared" si="3675"/>
        <v/>
      </c>
      <c r="DZ233" s="66" t="str">
        <f t="shared" si="3676"/>
        <v/>
      </c>
      <c r="EA233" s="66" t="str">
        <f t="shared" si="3677"/>
        <v/>
      </c>
      <c r="EB233" s="66" t="str">
        <f t="shared" si="3678"/>
        <v/>
      </c>
      <c r="EC233" s="66" t="str">
        <f t="shared" si="3679"/>
        <v/>
      </c>
      <c r="ED233" s="66" t="str">
        <f t="shared" si="3680"/>
        <v/>
      </c>
      <c r="EE233" s="66" t="str">
        <f t="shared" si="3681"/>
        <v/>
      </c>
      <c r="EF233" s="66" t="str">
        <f t="shared" si="3682"/>
        <v/>
      </c>
      <c r="EG233" s="66" t="str">
        <f t="shared" si="3683"/>
        <v/>
      </c>
      <c r="EH233" s="66" t="str">
        <f t="shared" si="3684"/>
        <v/>
      </c>
      <c r="EI233" s="66" t="str">
        <f t="shared" si="3685"/>
        <v/>
      </c>
      <c r="EJ233" s="66" t="str">
        <f t="shared" si="3686"/>
        <v/>
      </c>
      <c r="EK233" s="66" t="str">
        <f t="shared" si="3687"/>
        <v/>
      </c>
      <c r="EL233" s="66" t="str">
        <f t="shared" si="3688"/>
        <v/>
      </c>
      <c r="EM233" s="66" t="str">
        <f t="shared" si="3689"/>
        <v/>
      </c>
      <c r="EN233" s="66" t="str">
        <f t="shared" si="3690"/>
        <v/>
      </c>
      <c r="EO233" s="66" t="str">
        <f t="shared" si="3691"/>
        <v/>
      </c>
      <c r="EP233" s="66" t="str">
        <f t="shared" si="3692"/>
        <v/>
      </c>
      <c r="EQ233" s="66" t="str">
        <f t="shared" si="3693"/>
        <v/>
      </c>
      <c r="ER233" s="66" t="str">
        <f t="shared" si="3694"/>
        <v/>
      </c>
      <c r="ES233" s="66" t="str">
        <f t="shared" si="3695"/>
        <v/>
      </c>
      <c r="ET233" s="66" t="str">
        <f t="shared" si="3696"/>
        <v/>
      </c>
      <c r="EU233" s="66" t="str">
        <f t="shared" si="3697"/>
        <v/>
      </c>
      <c r="EV233" s="66" t="str">
        <f t="shared" si="3698"/>
        <v/>
      </c>
      <c r="EW233" s="66" t="str">
        <f t="shared" si="3699"/>
        <v/>
      </c>
      <c r="EX233" s="66" t="str">
        <f t="shared" si="3700"/>
        <v/>
      </c>
      <c r="EY233" s="66" t="str">
        <f t="shared" si="3701"/>
        <v/>
      </c>
      <c r="EZ233" s="66" t="str">
        <f t="shared" si="3702"/>
        <v/>
      </c>
      <c r="FA233" s="66" t="str">
        <f t="shared" si="3703"/>
        <v/>
      </c>
      <c r="FB233" s="66" t="str">
        <f t="shared" si="3704"/>
        <v/>
      </c>
      <c r="FC233" s="66" t="str">
        <f t="shared" si="3705"/>
        <v/>
      </c>
      <c r="FD233" s="66" t="str">
        <f t="shared" si="3706"/>
        <v/>
      </c>
      <c r="FE233" s="66" t="str">
        <f t="shared" si="3707"/>
        <v/>
      </c>
      <c r="FF233" s="66" t="str">
        <f t="shared" si="3708"/>
        <v/>
      </c>
      <c r="FG233" s="66" t="str">
        <f t="shared" si="3709"/>
        <v/>
      </c>
      <c r="FH233" s="66" t="str">
        <f t="shared" si="3710"/>
        <v/>
      </c>
      <c r="FI233" s="66" t="str">
        <f t="shared" si="3711"/>
        <v/>
      </c>
      <c r="FJ233" s="66" t="str">
        <f t="shared" si="3712"/>
        <v/>
      </c>
      <c r="FK233" s="66" t="str">
        <f t="shared" si="3713"/>
        <v/>
      </c>
      <c r="FL233" s="66" t="str">
        <f t="shared" si="3714"/>
        <v/>
      </c>
      <c r="FM233" s="66" t="str">
        <f t="shared" si="3715"/>
        <v/>
      </c>
      <c r="FN233" s="66" t="str">
        <f t="shared" si="3716"/>
        <v/>
      </c>
      <c r="FO233" s="66" t="str">
        <f t="shared" si="3717"/>
        <v/>
      </c>
      <c r="FP233" s="66" t="str">
        <f t="shared" si="3718"/>
        <v/>
      </c>
      <c r="FQ233" s="66" t="str">
        <f t="shared" si="3719"/>
        <v/>
      </c>
      <c r="FR233" s="66" t="str">
        <f t="shared" si="3720"/>
        <v/>
      </c>
      <c r="FS233" s="66" t="str">
        <f t="shared" si="3721"/>
        <v/>
      </c>
    </row>
    <row r="234" spans="1:175" ht="16.5">
      <c r="A234" s="116"/>
      <c r="B234" s="27" t="s">
        <v>782</v>
      </c>
      <c r="C234" s="29" t="s">
        <v>775</v>
      </c>
      <c r="T234" s="118"/>
      <c r="U234" s="77"/>
      <c r="CN234" s="36" t="str">
        <f t="shared" si="3646"/>
        <v>InitUnitState('IF08',,,,,,,,,,)</v>
      </c>
      <c r="CO234" s="36" t="str">
        <f t="shared" si="3647"/>
        <v>InitUnitNormal('IF08',,,,,,,,,,)</v>
      </c>
      <c r="CP234" s="36" t="str">
        <f t="shared" si="3648"/>
        <v>InitUnitMagic('IF08',,,,,,,,,,)</v>
      </c>
      <c r="CQ234" s="36" t="str">
        <f t="shared" si="3649"/>
        <v>InitUnitAdd('IF08',,,,,,,,,,)</v>
      </c>
      <c r="CR234" s="36" t="str">
        <f t="shared" si="3650"/>
        <v>InitEquipData('IF08',,"",,,,,'','','','','','',"")</v>
      </c>
      <c r="CU234" s="88" t="str">
        <f t="shared" si="3651"/>
        <v>|n</v>
      </c>
      <c r="CW234" s="33"/>
      <c r="CX234" s="33"/>
      <c r="CY234" s="33"/>
      <c r="CZ234" s="33"/>
      <c r="DA234" s="33"/>
      <c r="DB234" s="66" t="str">
        <f t="shared" si="3652"/>
        <v/>
      </c>
      <c r="DC234" s="66" t="str">
        <f t="shared" si="3653"/>
        <v/>
      </c>
      <c r="DD234" s="66" t="str">
        <f t="shared" si="3654"/>
        <v/>
      </c>
      <c r="DE234" s="66" t="str">
        <f t="shared" si="3655"/>
        <v/>
      </c>
      <c r="DF234" s="66" t="str">
        <f t="shared" si="3656"/>
        <v/>
      </c>
      <c r="DG234" s="66" t="str">
        <f t="shared" si="3657"/>
        <v/>
      </c>
      <c r="DH234" s="66" t="str">
        <f t="shared" si="3658"/>
        <v/>
      </c>
      <c r="DI234" s="66" t="str">
        <f t="shared" si="3659"/>
        <v/>
      </c>
      <c r="DJ234" s="66" t="str">
        <f t="shared" si="3660"/>
        <v/>
      </c>
      <c r="DK234" s="66" t="str">
        <f t="shared" si="3661"/>
        <v/>
      </c>
      <c r="DL234" s="66" t="str">
        <f t="shared" si="3662"/>
        <v/>
      </c>
      <c r="DM234" s="66" t="str">
        <f t="shared" si="3663"/>
        <v/>
      </c>
      <c r="DN234" s="66" t="str">
        <f t="shared" si="3664"/>
        <v/>
      </c>
      <c r="DO234" s="66" t="str">
        <f t="shared" si="3665"/>
        <v/>
      </c>
      <c r="DP234" s="66" t="str">
        <f t="shared" si="3666"/>
        <v/>
      </c>
      <c r="DQ234" s="66" t="str">
        <f t="shared" si="3667"/>
        <v/>
      </c>
      <c r="DR234" s="66" t="str">
        <f t="shared" si="3668"/>
        <v/>
      </c>
      <c r="DS234" s="66" t="str">
        <f t="shared" si="3669"/>
        <v/>
      </c>
      <c r="DT234" s="66" t="str">
        <f t="shared" si="3670"/>
        <v/>
      </c>
      <c r="DU234" s="66" t="str">
        <f t="shared" si="3671"/>
        <v/>
      </c>
      <c r="DV234" s="66" t="str">
        <f t="shared" si="3672"/>
        <v/>
      </c>
      <c r="DW234" s="66" t="str">
        <f t="shared" si="3673"/>
        <v/>
      </c>
      <c r="DX234" s="66" t="str">
        <f t="shared" si="3674"/>
        <v/>
      </c>
      <c r="DY234" s="66" t="str">
        <f t="shared" si="3675"/>
        <v/>
      </c>
      <c r="DZ234" s="66" t="str">
        <f t="shared" si="3676"/>
        <v/>
      </c>
      <c r="EA234" s="66" t="str">
        <f t="shared" si="3677"/>
        <v/>
      </c>
      <c r="EB234" s="66" t="str">
        <f t="shared" si="3678"/>
        <v/>
      </c>
      <c r="EC234" s="66" t="str">
        <f t="shared" si="3679"/>
        <v/>
      </c>
      <c r="ED234" s="66" t="str">
        <f t="shared" si="3680"/>
        <v/>
      </c>
      <c r="EE234" s="66" t="str">
        <f t="shared" si="3681"/>
        <v/>
      </c>
      <c r="EF234" s="66" t="str">
        <f t="shared" si="3682"/>
        <v/>
      </c>
      <c r="EG234" s="66" t="str">
        <f t="shared" si="3683"/>
        <v/>
      </c>
      <c r="EH234" s="66" t="str">
        <f t="shared" si="3684"/>
        <v/>
      </c>
      <c r="EI234" s="66" t="str">
        <f t="shared" si="3685"/>
        <v/>
      </c>
      <c r="EJ234" s="66" t="str">
        <f t="shared" si="3686"/>
        <v/>
      </c>
      <c r="EK234" s="66" t="str">
        <f t="shared" si="3687"/>
        <v/>
      </c>
      <c r="EL234" s="66" t="str">
        <f t="shared" si="3688"/>
        <v/>
      </c>
      <c r="EM234" s="66" t="str">
        <f t="shared" si="3689"/>
        <v/>
      </c>
      <c r="EN234" s="66" t="str">
        <f t="shared" si="3690"/>
        <v/>
      </c>
      <c r="EO234" s="66" t="str">
        <f t="shared" si="3691"/>
        <v/>
      </c>
      <c r="EP234" s="66" t="str">
        <f t="shared" si="3692"/>
        <v/>
      </c>
      <c r="EQ234" s="66" t="str">
        <f t="shared" si="3693"/>
        <v/>
      </c>
      <c r="ER234" s="66" t="str">
        <f t="shared" si="3694"/>
        <v/>
      </c>
      <c r="ES234" s="66" t="str">
        <f t="shared" si="3695"/>
        <v/>
      </c>
      <c r="ET234" s="66" t="str">
        <f t="shared" si="3696"/>
        <v/>
      </c>
      <c r="EU234" s="66" t="str">
        <f t="shared" si="3697"/>
        <v/>
      </c>
      <c r="EV234" s="66" t="str">
        <f t="shared" si="3698"/>
        <v/>
      </c>
      <c r="EW234" s="66" t="str">
        <f t="shared" si="3699"/>
        <v/>
      </c>
      <c r="EX234" s="66" t="str">
        <f t="shared" si="3700"/>
        <v/>
      </c>
      <c r="EY234" s="66" t="str">
        <f t="shared" si="3701"/>
        <v/>
      </c>
      <c r="EZ234" s="66" t="str">
        <f t="shared" si="3702"/>
        <v/>
      </c>
      <c r="FA234" s="66" t="str">
        <f t="shared" si="3703"/>
        <v/>
      </c>
      <c r="FB234" s="66" t="str">
        <f t="shared" si="3704"/>
        <v/>
      </c>
      <c r="FC234" s="66" t="str">
        <f t="shared" si="3705"/>
        <v/>
      </c>
      <c r="FD234" s="66" t="str">
        <f t="shared" si="3706"/>
        <v/>
      </c>
      <c r="FE234" s="66" t="str">
        <f t="shared" si="3707"/>
        <v/>
      </c>
      <c r="FF234" s="66" t="str">
        <f t="shared" si="3708"/>
        <v/>
      </c>
      <c r="FG234" s="66" t="str">
        <f t="shared" si="3709"/>
        <v/>
      </c>
      <c r="FH234" s="66" t="str">
        <f t="shared" si="3710"/>
        <v/>
      </c>
      <c r="FI234" s="66" t="str">
        <f t="shared" si="3711"/>
        <v/>
      </c>
      <c r="FJ234" s="66" t="str">
        <f t="shared" si="3712"/>
        <v/>
      </c>
      <c r="FK234" s="66" t="str">
        <f t="shared" si="3713"/>
        <v/>
      </c>
      <c r="FL234" s="66" t="str">
        <f t="shared" si="3714"/>
        <v/>
      </c>
      <c r="FM234" s="66" t="str">
        <f t="shared" si="3715"/>
        <v/>
      </c>
      <c r="FN234" s="66" t="str">
        <f t="shared" si="3716"/>
        <v/>
      </c>
      <c r="FO234" s="66" t="str">
        <f t="shared" si="3717"/>
        <v/>
      </c>
      <c r="FP234" s="66" t="str">
        <f t="shared" si="3718"/>
        <v/>
      </c>
      <c r="FQ234" s="66" t="str">
        <f t="shared" si="3719"/>
        <v/>
      </c>
      <c r="FR234" s="66" t="str">
        <f t="shared" si="3720"/>
        <v/>
      </c>
      <c r="FS234" s="66" t="str">
        <f t="shared" si="3721"/>
        <v/>
      </c>
    </row>
    <row r="235" spans="1:175" ht="16.5">
      <c r="A235" s="116"/>
      <c r="B235" s="27" t="s">
        <v>783</v>
      </c>
      <c r="C235" s="29" t="s">
        <v>775</v>
      </c>
      <c r="T235" s="118"/>
      <c r="U235" s="77"/>
      <c r="CN235" s="36" t="str">
        <f t="shared" si="3646"/>
        <v>InitUnitState('IF09',,,,,,,,,,)</v>
      </c>
      <c r="CO235" s="36" t="str">
        <f t="shared" si="3647"/>
        <v>InitUnitNormal('IF09',,,,,,,,,,)</v>
      </c>
      <c r="CP235" s="36" t="str">
        <f t="shared" si="3648"/>
        <v>InitUnitMagic('IF09',,,,,,,,,,)</v>
      </c>
      <c r="CQ235" s="36" t="str">
        <f t="shared" si="3649"/>
        <v>InitUnitAdd('IF09',,,,,,,,,,)</v>
      </c>
      <c r="CR235" s="36" t="str">
        <f t="shared" si="3650"/>
        <v>InitEquipData('IF09',,"",,,,,'','','','','','',"")</v>
      </c>
      <c r="CU235" s="88" t="str">
        <f t="shared" si="3651"/>
        <v>|n</v>
      </c>
      <c r="CW235" s="33"/>
      <c r="CX235" s="33"/>
      <c r="CY235" s="33"/>
      <c r="CZ235" s="33"/>
      <c r="DA235" s="33"/>
      <c r="DB235" s="66" t="str">
        <f t="shared" si="3652"/>
        <v/>
      </c>
      <c r="DC235" s="66" t="str">
        <f t="shared" si="3653"/>
        <v/>
      </c>
      <c r="DD235" s="66" t="str">
        <f t="shared" si="3654"/>
        <v/>
      </c>
      <c r="DE235" s="66" t="str">
        <f t="shared" si="3655"/>
        <v/>
      </c>
      <c r="DF235" s="66" t="str">
        <f t="shared" si="3656"/>
        <v/>
      </c>
      <c r="DG235" s="66" t="str">
        <f t="shared" si="3657"/>
        <v/>
      </c>
      <c r="DH235" s="66" t="str">
        <f t="shared" si="3658"/>
        <v/>
      </c>
      <c r="DI235" s="66" t="str">
        <f t="shared" si="3659"/>
        <v/>
      </c>
      <c r="DJ235" s="66" t="str">
        <f t="shared" si="3660"/>
        <v/>
      </c>
      <c r="DK235" s="66" t="str">
        <f t="shared" si="3661"/>
        <v/>
      </c>
      <c r="DL235" s="66" t="str">
        <f t="shared" si="3662"/>
        <v/>
      </c>
      <c r="DM235" s="66" t="str">
        <f t="shared" si="3663"/>
        <v/>
      </c>
      <c r="DN235" s="66" t="str">
        <f t="shared" si="3664"/>
        <v/>
      </c>
      <c r="DO235" s="66" t="str">
        <f t="shared" si="3665"/>
        <v/>
      </c>
      <c r="DP235" s="66" t="str">
        <f t="shared" si="3666"/>
        <v/>
      </c>
      <c r="DQ235" s="66" t="str">
        <f t="shared" si="3667"/>
        <v/>
      </c>
      <c r="DR235" s="66" t="str">
        <f t="shared" si="3668"/>
        <v/>
      </c>
      <c r="DS235" s="66" t="str">
        <f t="shared" si="3669"/>
        <v/>
      </c>
      <c r="DT235" s="66" t="str">
        <f t="shared" si="3670"/>
        <v/>
      </c>
      <c r="DU235" s="66" t="str">
        <f t="shared" si="3671"/>
        <v/>
      </c>
      <c r="DV235" s="66" t="str">
        <f t="shared" si="3672"/>
        <v/>
      </c>
      <c r="DW235" s="66" t="str">
        <f t="shared" si="3673"/>
        <v/>
      </c>
      <c r="DX235" s="66" t="str">
        <f t="shared" si="3674"/>
        <v/>
      </c>
      <c r="DY235" s="66" t="str">
        <f t="shared" si="3675"/>
        <v/>
      </c>
      <c r="DZ235" s="66" t="str">
        <f t="shared" si="3676"/>
        <v/>
      </c>
      <c r="EA235" s="66" t="str">
        <f t="shared" si="3677"/>
        <v/>
      </c>
      <c r="EB235" s="66" t="str">
        <f t="shared" si="3678"/>
        <v/>
      </c>
      <c r="EC235" s="66" t="str">
        <f t="shared" si="3679"/>
        <v/>
      </c>
      <c r="ED235" s="66" t="str">
        <f t="shared" si="3680"/>
        <v/>
      </c>
      <c r="EE235" s="66" t="str">
        <f t="shared" si="3681"/>
        <v/>
      </c>
      <c r="EF235" s="66" t="str">
        <f t="shared" si="3682"/>
        <v/>
      </c>
      <c r="EG235" s="66" t="str">
        <f t="shared" si="3683"/>
        <v/>
      </c>
      <c r="EH235" s="66" t="str">
        <f t="shared" si="3684"/>
        <v/>
      </c>
      <c r="EI235" s="66" t="str">
        <f t="shared" si="3685"/>
        <v/>
      </c>
      <c r="EJ235" s="66" t="str">
        <f t="shared" si="3686"/>
        <v/>
      </c>
      <c r="EK235" s="66" t="str">
        <f t="shared" si="3687"/>
        <v/>
      </c>
      <c r="EL235" s="66" t="str">
        <f t="shared" si="3688"/>
        <v/>
      </c>
      <c r="EM235" s="66" t="str">
        <f t="shared" si="3689"/>
        <v/>
      </c>
      <c r="EN235" s="66" t="str">
        <f t="shared" si="3690"/>
        <v/>
      </c>
      <c r="EO235" s="66" t="str">
        <f t="shared" si="3691"/>
        <v/>
      </c>
      <c r="EP235" s="66" t="str">
        <f t="shared" si="3692"/>
        <v/>
      </c>
      <c r="EQ235" s="66" t="str">
        <f t="shared" si="3693"/>
        <v/>
      </c>
      <c r="ER235" s="66" t="str">
        <f t="shared" si="3694"/>
        <v/>
      </c>
      <c r="ES235" s="66" t="str">
        <f t="shared" si="3695"/>
        <v/>
      </c>
      <c r="ET235" s="66" t="str">
        <f t="shared" si="3696"/>
        <v/>
      </c>
      <c r="EU235" s="66" t="str">
        <f t="shared" si="3697"/>
        <v/>
      </c>
      <c r="EV235" s="66" t="str">
        <f t="shared" si="3698"/>
        <v/>
      </c>
      <c r="EW235" s="66" t="str">
        <f t="shared" si="3699"/>
        <v/>
      </c>
      <c r="EX235" s="66" t="str">
        <f t="shared" si="3700"/>
        <v/>
      </c>
      <c r="EY235" s="66" t="str">
        <f t="shared" si="3701"/>
        <v/>
      </c>
      <c r="EZ235" s="66" t="str">
        <f t="shared" si="3702"/>
        <v/>
      </c>
      <c r="FA235" s="66" t="str">
        <f t="shared" si="3703"/>
        <v/>
      </c>
      <c r="FB235" s="66" t="str">
        <f t="shared" si="3704"/>
        <v/>
      </c>
      <c r="FC235" s="66" t="str">
        <f t="shared" si="3705"/>
        <v/>
      </c>
      <c r="FD235" s="66" t="str">
        <f t="shared" si="3706"/>
        <v/>
      </c>
      <c r="FE235" s="66" t="str">
        <f t="shared" si="3707"/>
        <v/>
      </c>
      <c r="FF235" s="66" t="str">
        <f t="shared" si="3708"/>
        <v/>
      </c>
      <c r="FG235" s="66" t="str">
        <f t="shared" si="3709"/>
        <v/>
      </c>
      <c r="FH235" s="66" t="str">
        <f t="shared" si="3710"/>
        <v/>
      </c>
      <c r="FI235" s="66" t="str">
        <f t="shared" si="3711"/>
        <v/>
      </c>
      <c r="FJ235" s="66" t="str">
        <f t="shared" si="3712"/>
        <v/>
      </c>
      <c r="FK235" s="66" t="str">
        <f t="shared" si="3713"/>
        <v/>
      </c>
      <c r="FL235" s="66" t="str">
        <f t="shared" si="3714"/>
        <v/>
      </c>
      <c r="FM235" s="66" t="str">
        <f t="shared" si="3715"/>
        <v/>
      </c>
      <c r="FN235" s="66" t="str">
        <f t="shared" si="3716"/>
        <v/>
      </c>
      <c r="FO235" s="66" t="str">
        <f t="shared" si="3717"/>
        <v/>
      </c>
      <c r="FP235" s="66" t="str">
        <f t="shared" si="3718"/>
        <v/>
      </c>
      <c r="FQ235" s="66" t="str">
        <f t="shared" si="3719"/>
        <v/>
      </c>
      <c r="FR235" s="66" t="str">
        <f t="shared" si="3720"/>
        <v/>
      </c>
      <c r="FS235" s="66" t="str">
        <f t="shared" si="3721"/>
        <v/>
      </c>
    </row>
    <row r="236" spans="1:175" ht="16.5">
      <c r="A236" s="116"/>
      <c r="B236" s="27" t="s">
        <v>784</v>
      </c>
      <c r="C236" s="29" t="s">
        <v>775</v>
      </c>
      <c r="T236" s="118"/>
      <c r="U236" s="77"/>
      <c r="CN236" s="36" t="str">
        <f t="shared" si="3646"/>
        <v>InitUnitState('IF10',,,,,,,,,,)</v>
      </c>
      <c r="CO236" s="36" t="str">
        <f t="shared" si="3647"/>
        <v>InitUnitNormal('IF10',,,,,,,,,,)</v>
      </c>
      <c r="CP236" s="36" t="str">
        <f t="shared" si="3648"/>
        <v>InitUnitMagic('IF10',,,,,,,,,,)</v>
      </c>
      <c r="CQ236" s="36" t="str">
        <f t="shared" si="3649"/>
        <v>InitUnitAdd('IF10',,,,,,,,,,)</v>
      </c>
      <c r="CR236" s="36" t="str">
        <f t="shared" si="3650"/>
        <v>InitEquipData('IF10',,"",,,,,'','','','','','',"")</v>
      </c>
      <c r="CU236" s="88" t="str">
        <f t="shared" si="3651"/>
        <v>|n</v>
      </c>
      <c r="CW236" s="33"/>
      <c r="CX236" s="33"/>
      <c r="CY236" s="33"/>
      <c r="CZ236" s="33"/>
      <c r="DA236" s="33"/>
      <c r="DB236" s="66" t="str">
        <f t="shared" si="3652"/>
        <v/>
      </c>
      <c r="DC236" s="66" t="str">
        <f t="shared" si="3653"/>
        <v/>
      </c>
      <c r="DD236" s="66" t="str">
        <f t="shared" si="3654"/>
        <v/>
      </c>
      <c r="DE236" s="66" t="str">
        <f t="shared" si="3655"/>
        <v/>
      </c>
      <c r="DF236" s="66" t="str">
        <f t="shared" si="3656"/>
        <v/>
      </c>
      <c r="DG236" s="66" t="str">
        <f t="shared" si="3657"/>
        <v/>
      </c>
      <c r="DH236" s="66" t="str">
        <f t="shared" si="3658"/>
        <v/>
      </c>
      <c r="DI236" s="66" t="str">
        <f t="shared" si="3659"/>
        <v/>
      </c>
      <c r="DJ236" s="66" t="str">
        <f t="shared" si="3660"/>
        <v/>
      </c>
      <c r="DK236" s="66" t="str">
        <f t="shared" si="3661"/>
        <v/>
      </c>
      <c r="DL236" s="66" t="str">
        <f t="shared" si="3662"/>
        <v/>
      </c>
      <c r="DM236" s="66" t="str">
        <f t="shared" si="3663"/>
        <v/>
      </c>
      <c r="DN236" s="66" t="str">
        <f t="shared" si="3664"/>
        <v/>
      </c>
      <c r="DO236" s="66" t="str">
        <f t="shared" si="3665"/>
        <v/>
      </c>
      <c r="DP236" s="66" t="str">
        <f t="shared" si="3666"/>
        <v/>
      </c>
      <c r="DQ236" s="66" t="str">
        <f t="shared" si="3667"/>
        <v/>
      </c>
      <c r="DR236" s="66" t="str">
        <f t="shared" si="3668"/>
        <v/>
      </c>
      <c r="DS236" s="66" t="str">
        <f t="shared" si="3669"/>
        <v/>
      </c>
      <c r="DT236" s="66" t="str">
        <f t="shared" si="3670"/>
        <v/>
      </c>
      <c r="DU236" s="66" t="str">
        <f t="shared" si="3671"/>
        <v/>
      </c>
      <c r="DV236" s="66" t="str">
        <f t="shared" si="3672"/>
        <v/>
      </c>
      <c r="DW236" s="66" t="str">
        <f t="shared" si="3673"/>
        <v/>
      </c>
      <c r="DX236" s="66" t="str">
        <f t="shared" si="3674"/>
        <v/>
      </c>
      <c r="DY236" s="66" t="str">
        <f t="shared" si="3675"/>
        <v/>
      </c>
      <c r="DZ236" s="66" t="str">
        <f t="shared" si="3676"/>
        <v/>
      </c>
      <c r="EA236" s="66" t="str">
        <f t="shared" si="3677"/>
        <v/>
      </c>
      <c r="EB236" s="66" t="str">
        <f t="shared" si="3678"/>
        <v/>
      </c>
      <c r="EC236" s="66" t="str">
        <f t="shared" si="3679"/>
        <v/>
      </c>
      <c r="ED236" s="66" t="str">
        <f t="shared" si="3680"/>
        <v/>
      </c>
      <c r="EE236" s="66" t="str">
        <f t="shared" si="3681"/>
        <v/>
      </c>
      <c r="EF236" s="66" t="str">
        <f t="shared" si="3682"/>
        <v/>
      </c>
      <c r="EG236" s="66" t="str">
        <f t="shared" si="3683"/>
        <v/>
      </c>
      <c r="EH236" s="66" t="str">
        <f t="shared" si="3684"/>
        <v/>
      </c>
      <c r="EI236" s="66" t="str">
        <f t="shared" si="3685"/>
        <v/>
      </c>
      <c r="EJ236" s="66" t="str">
        <f t="shared" si="3686"/>
        <v/>
      </c>
      <c r="EK236" s="66" t="str">
        <f t="shared" si="3687"/>
        <v/>
      </c>
      <c r="EL236" s="66" t="str">
        <f t="shared" si="3688"/>
        <v/>
      </c>
      <c r="EM236" s="66" t="str">
        <f t="shared" si="3689"/>
        <v/>
      </c>
      <c r="EN236" s="66" t="str">
        <f t="shared" si="3690"/>
        <v/>
      </c>
      <c r="EO236" s="66" t="str">
        <f t="shared" si="3691"/>
        <v/>
      </c>
      <c r="EP236" s="66" t="str">
        <f t="shared" si="3692"/>
        <v/>
      </c>
      <c r="EQ236" s="66" t="str">
        <f t="shared" si="3693"/>
        <v/>
      </c>
      <c r="ER236" s="66" t="str">
        <f t="shared" si="3694"/>
        <v/>
      </c>
      <c r="ES236" s="66" t="str">
        <f t="shared" si="3695"/>
        <v/>
      </c>
      <c r="ET236" s="66" t="str">
        <f t="shared" si="3696"/>
        <v/>
      </c>
      <c r="EU236" s="66" t="str">
        <f t="shared" si="3697"/>
        <v/>
      </c>
      <c r="EV236" s="66" t="str">
        <f t="shared" si="3698"/>
        <v/>
      </c>
      <c r="EW236" s="66" t="str">
        <f t="shared" si="3699"/>
        <v/>
      </c>
      <c r="EX236" s="66" t="str">
        <f t="shared" si="3700"/>
        <v/>
      </c>
      <c r="EY236" s="66" t="str">
        <f t="shared" si="3701"/>
        <v/>
      </c>
      <c r="EZ236" s="66" t="str">
        <f t="shared" si="3702"/>
        <v/>
      </c>
      <c r="FA236" s="66" t="str">
        <f t="shared" si="3703"/>
        <v/>
      </c>
      <c r="FB236" s="66" t="str">
        <f t="shared" si="3704"/>
        <v/>
      </c>
      <c r="FC236" s="66" t="str">
        <f t="shared" si="3705"/>
        <v/>
      </c>
      <c r="FD236" s="66" t="str">
        <f t="shared" si="3706"/>
        <v/>
      </c>
      <c r="FE236" s="66" t="str">
        <f t="shared" si="3707"/>
        <v/>
      </c>
      <c r="FF236" s="66" t="str">
        <f t="shared" si="3708"/>
        <v/>
      </c>
      <c r="FG236" s="66" t="str">
        <f t="shared" si="3709"/>
        <v/>
      </c>
      <c r="FH236" s="66" t="str">
        <f t="shared" si="3710"/>
        <v/>
      </c>
      <c r="FI236" s="66" t="str">
        <f t="shared" si="3711"/>
        <v/>
      </c>
      <c r="FJ236" s="66" t="str">
        <f t="shared" si="3712"/>
        <v/>
      </c>
      <c r="FK236" s="66" t="str">
        <f t="shared" si="3713"/>
        <v/>
      </c>
      <c r="FL236" s="66" t="str">
        <f t="shared" si="3714"/>
        <v/>
      </c>
      <c r="FM236" s="66" t="str">
        <f t="shared" si="3715"/>
        <v/>
      </c>
      <c r="FN236" s="66" t="str">
        <f t="shared" si="3716"/>
        <v/>
      </c>
      <c r="FO236" s="66" t="str">
        <f t="shared" si="3717"/>
        <v/>
      </c>
      <c r="FP236" s="66" t="str">
        <f t="shared" si="3718"/>
        <v/>
      </c>
      <c r="FQ236" s="66" t="str">
        <f t="shared" si="3719"/>
        <v/>
      </c>
      <c r="FR236" s="66" t="str">
        <f t="shared" si="3720"/>
        <v/>
      </c>
      <c r="FS236" s="66" t="str">
        <f t="shared" si="3721"/>
        <v/>
      </c>
    </row>
    <row r="237" spans="1:175" ht="16.5">
      <c r="A237" s="116"/>
      <c r="B237" s="27" t="s">
        <v>785</v>
      </c>
      <c r="C237" s="29" t="s">
        <v>775</v>
      </c>
      <c r="T237" s="118"/>
      <c r="U237" s="77"/>
      <c r="CN237" s="36" t="str">
        <f t="shared" si="3646"/>
        <v>InitUnitState('IF11',,,,,,,,,,)</v>
      </c>
      <c r="CO237" s="36" t="str">
        <f t="shared" si="3647"/>
        <v>InitUnitNormal('IF11',,,,,,,,,,)</v>
      </c>
      <c r="CP237" s="36" t="str">
        <f t="shared" si="3648"/>
        <v>InitUnitMagic('IF11',,,,,,,,,,)</v>
      </c>
      <c r="CQ237" s="36" t="str">
        <f t="shared" si="3649"/>
        <v>InitUnitAdd('IF11',,,,,,,,,,)</v>
      </c>
      <c r="CR237" s="36" t="str">
        <f t="shared" si="3650"/>
        <v>InitEquipData('IF11',,"",,,,,'','','','','','',"")</v>
      </c>
      <c r="CU237" s="88" t="str">
        <f t="shared" si="3651"/>
        <v>|n</v>
      </c>
      <c r="CW237" s="33"/>
      <c r="CX237" s="33"/>
      <c r="CY237" s="33"/>
      <c r="CZ237" s="33"/>
      <c r="DA237" s="33"/>
      <c r="DB237" s="66" t="str">
        <f t="shared" si="3652"/>
        <v/>
      </c>
      <c r="DC237" s="66" t="str">
        <f t="shared" si="3653"/>
        <v/>
      </c>
      <c r="DD237" s="66" t="str">
        <f t="shared" si="3654"/>
        <v/>
      </c>
      <c r="DE237" s="66" t="str">
        <f t="shared" si="3655"/>
        <v/>
      </c>
      <c r="DF237" s="66" t="str">
        <f t="shared" si="3656"/>
        <v/>
      </c>
      <c r="DG237" s="66" t="str">
        <f t="shared" si="3657"/>
        <v/>
      </c>
      <c r="DH237" s="66" t="str">
        <f t="shared" si="3658"/>
        <v/>
      </c>
      <c r="DI237" s="66" t="str">
        <f t="shared" si="3659"/>
        <v/>
      </c>
      <c r="DJ237" s="66" t="str">
        <f t="shared" si="3660"/>
        <v/>
      </c>
      <c r="DK237" s="66" t="str">
        <f t="shared" si="3661"/>
        <v/>
      </c>
      <c r="DL237" s="66" t="str">
        <f t="shared" si="3662"/>
        <v/>
      </c>
      <c r="DM237" s="66" t="str">
        <f t="shared" si="3663"/>
        <v/>
      </c>
      <c r="DN237" s="66" t="str">
        <f t="shared" si="3664"/>
        <v/>
      </c>
      <c r="DO237" s="66" t="str">
        <f t="shared" si="3665"/>
        <v/>
      </c>
      <c r="DP237" s="66" t="str">
        <f t="shared" si="3666"/>
        <v/>
      </c>
      <c r="DQ237" s="66" t="str">
        <f t="shared" si="3667"/>
        <v/>
      </c>
      <c r="DR237" s="66" t="str">
        <f t="shared" si="3668"/>
        <v/>
      </c>
      <c r="DS237" s="66" t="str">
        <f t="shared" si="3669"/>
        <v/>
      </c>
      <c r="DT237" s="66" t="str">
        <f t="shared" si="3670"/>
        <v/>
      </c>
      <c r="DU237" s="66" t="str">
        <f t="shared" si="3671"/>
        <v/>
      </c>
      <c r="DV237" s="66" t="str">
        <f t="shared" si="3672"/>
        <v/>
      </c>
      <c r="DW237" s="66" t="str">
        <f t="shared" si="3673"/>
        <v/>
      </c>
      <c r="DX237" s="66" t="str">
        <f t="shared" si="3674"/>
        <v/>
      </c>
      <c r="DY237" s="66" t="str">
        <f t="shared" si="3675"/>
        <v/>
      </c>
      <c r="DZ237" s="66" t="str">
        <f t="shared" si="3676"/>
        <v/>
      </c>
      <c r="EA237" s="66" t="str">
        <f t="shared" si="3677"/>
        <v/>
      </c>
      <c r="EB237" s="66" t="str">
        <f t="shared" si="3678"/>
        <v/>
      </c>
      <c r="EC237" s="66" t="str">
        <f t="shared" si="3679"/>
        <v/>
      </c>
      <c r="ED237" s="66" t="str">
        <f t="shared" si="3680"/>
        <v/>
      </c>
      <c r="EE237" s="66" t="str">
        <f t="shared" si="3681"/>
        <v/>
      </c>
      <c r="EF237" s="66" t="str">
        <f t="shared" si="3682"/>
        <v/>
      </c>
      <c r="EG237" s="66" t="str">
        <f t="shared" si="3683"/>
        <v/>
      </c>
      <c r="EH237" s="66" t="str">
        <f t="shared" si="3684"/>
        <v/>
      </c>
      <c r="EI237" s="66" t="str">
        <f t="shared" si="3685"/>
        <v/>
      </c>
      <c r="EJ237" s="66" t="str">
        <f t="shared" si="3686"/>
        <v/>
      </c>
      <c r="EK237" s="66" t="str">
        <f t="shared" si="3687"/>
        <v/>
      </c>
      <c r="EL237" s="66" t="str">
        <f t="shared" si="3688"/>
        <v/>
      </c>
      <c r="EM237" s="66" t="str">
        <f t="shared" si="3689"/>
        <v/>
      </c>
      <c r="EN237" s="66" t="str">
        <f t="shared" si="3690"/>
        <v/>
      </c>
      <c r="EO237" s="66" t="str">
        <f t="shared" si="3691"/>
        <v/>
      </c>
      <c r="EP237" s="66" t="str">
        <f t="shared" si="3692"/>
        <v/>
      </c>
      <c r="EQ237" s="66" t="str">
        <f t="shared" si="3693"/>
        <v/>
      </c>
      <c r="ER237" s="66" t="str">
        <f t="shared" si="3694"/>
        <v/>
      </c>
      <c r="ES237" s="66" t="str">
        <f t="shared" si="3695"/>
        <v/>
      </c>
      <c r="ET237" s="66" t="str">
        <f t="shared" si="3696"/>
        <v/>
      </c>
      <c r="EU237" s="66" t="str">
        <f t="shared" si="3697"/>
        <v/>
      </c>
      <c r="EV237" s="66" t="str">
        <f t="shared" si="3698"/>
        <v/>
      </c>
      <c r="EW237" s="66" t="str">
        <f t="shared" si="3699"/>
        <v/>
      </c>
      <c r="EX237" s="66" t="str">
        <f t="shared" si="3700"/>
        <v/>
      </c>
      <c r="EY237" s="66" t="str">
        <f t="shared" si="3701"/>
        <v/>
      </c>
      <c r="EZ237" s="66" t="str">
        <f t="shared" si="3702"/>
        <v/>
      </c>
      <c r="FA237" s="66" t="str">
        <f t="shared" si="3703"/>
        <v/>
      </c>
      <c r="FB237" s="66" t="str">
        <f t="shared" si="3704"/>
        <v/>
      </c>
      <c r="FC237" s="66" t="str">
        <f t="shared" si="3705"/>
        <v/>
      </c>
      <c r="FD237" s="66" t="str">
        <f t="shared" si="3706"/>
        <v/>
      </c>
      <c r="FE237" s="66" t="str">
        <f t="shared" si="3707"/>
        <v/>
      </c>
      <c r="FF237" s="66" t="str">
        <f t="shared" si="3708"/>
        <v/>
      </c>
      <c r="FG237" s="66" t="str">
        <f t="shared" si="3709"/>
        <v/>
      </c>
      <c r="FH237" s="66" t="str">
        <f t="shared" si="3710"/>
        <v/>
      </c>
      <c r="FI237" s="66" t="str">
        <f t="shared" si="3711"/>
        <v/>
      </c>
      <c r="FJ237" s="66" t="str">
        <f t="shared" si="3712"/>
        <v/>
      </c>
      <c r="FK237" s="66" t="str">
        <f t="shared" si="3713"/>
        <v/>
      </c>
      <c r="FL237" s="66" t="str">
        <f t="shared" si="3714"/>
        <v/>
      </c>
      <c r="FM237" s="66" t="str">
        <f t="shared" si="3715"/>
        <v/>
      </c>
      <c r="FN237" s="66" t="str">
        <f t="shared" si="3716"/>
        <v/>
      </c>
      <c r="FO237" s="66" t="str">
        <f t="shared" si="3717"/>
        <v/>
      </c>
      <c r="FP237" s="66" t="str">
        <f t="shared" si="3718"/>
        <v/>
      </c>
      <c r="FQ237" s="66" t="str">
        <f t="shared" si="3719"/>
        <v/>
      </c>
      <c r="FR237" s="66" t="str">
        <f t="shared" si="3720"/>
        <v/>
      </c>
      <c r="FS237" s="66" t="str">
        <f t="shared" si="3721"/>
        <v/>
      </c>
    </row>
    <row r="238" spans="1:175" ht="16.5">
      <c r="A238" s="115"/>
      <c r="B238" s="27" t="s">
        <v>786</v>
      </c>
      <c r="C238" s="29" t="s">
        <v>775</v>
      </c>
      <c r="T238" s="119"/>
      <c r="U238" s="77"/>
      <c r="CN238" s="36" t="str">
        <f t="shared" si="3646"/>
        <v>InitUnitState('IF12',,,,,,,,,,)</v>
      </c>
      <c r="CO238" s="36" t="str">
        <f t="shared" si="3647"/>
        <v>InitUnitNormal('IF12',,,,,,,,,,)</v>
      </c>
      <c r="CP238" s="36" t="str">
        <f t="shared" si="3648"/>
        <v>InitUnitMagic('IF12',,,,,,,,,,)</v>
      </c>
      <c r="CQ238" s="36" t="str">
        <f t="shared" si="3649"/>
        <v>InitUnitAdd('IF12',,,,,,,,,,)</v>
      </c>
      <c r="CR238" s="36" t="str">
        <f t="shared" si="3650"/>
        <v>InitEquipData('IF12',,"",,,,,'','','','','','',"")</v>
      </c>
      <c r="CU238" s="88" t="str">
        <f t="shared" si="3651"/>
        <v>|n</v>
      </c>
      <c r="CW238" s="33"/>
      <c r="CX238" s="33"/>
      <c r="CY238" s="33"/>
      <c r="CZ238" s="33"/>
      <c r="DA238" s="33"/>
      <c r="DB238" s="66" t="str">
        <f t="shared" si="3652"/>
        <v/>
      </c>
      <c r="DC238" s="66" t="str">
        <f t="shared" si="3653"/>
        <v/>
      </c>
      <c r="DD238" s="66" t="str">
        <f t="shared" si="3654"/>
        <v/>
      </c>
      <c r="DE238" s="66" t="str">
        <f t="shared" si="3655"/>
        <v/>
      </c>
      <c r="DF238" s="66" t="str">
        <f t="shared" si="3656"/>
        <v/>
      </c>
      <c r="DG238" s="66" t="str">
        <f t="shared" si="3657"/>
        <v/>
      </c>
      <c r="DH238" s="66" t="str">
        <f t="shared" si="3658"/>
        <v/>
      </c>
      <c r="DI238" s="66" t="str">
        <f t="shared" si="3659"/>
        <v/>
      </c>
      <c r="DJ238" s="66" t="str">
        <f t="shared" si="3660"/>
        <v/>
      </c>
      <c r="DK238" s="66" t="str">
        <f t="shared" si="3661"/>
        <v/>
      </c>
      <c r="DL238" s="66" t="str">
        <f t="shared" si="3662"/>
        <v/>
      </c>
      <c r="DM238" s="66" t="str">
        <f t="shared" si="3663"/>
        <v/>
      </c>
      <c r="DN238" s="66" t="str">
        <f t="shared" si="3664"/>
        <v/>
      </c>
      <c r="DO238" s="66" t="str">
        <f t="shared" si="3665"/>
        <v/>
      </c>
      <c r="DP238" s="66" t="str">
        <f t="shared" si="3666"/>
        <v/>
      </c>
      <c r="DQ238" s="66" t="str">
        <f t="shared" si="3667"/>
        <v/>
      </c>
      <c r="DR238" s="66" t="str">
        <f t="shared" si="3668"/>
        <v/>
      </c>
      <c r="DS238" s="66" t="str">
        <f t="shared" si="3669"/>
        <v/>
      </c>
      <c r="DT238" s="66" t="str">
        <f t="shared" si="3670"/>
        <v/>
      </c>
      <c r="DU238" s="66" t="str">
        <f t="shared" si="3671"/>
        <v/>
      </c>
      <c r="DV238" s="66" t="str">
        <f t="shared" si="3672"/>
        <v/>
      </c>
      <c r="DW238" s="66" t="str">
        <f t="shared" si="3673"/>
        <v/>
      </c>
      <c r="DX238" s="66" t="str">
        <f t="shared" si="3674"/>
        <v/>
      </c>
      <c r="DY238" s="66" t="str">
        <f t="shared" si="3675"/>
        <v/>
      </c>
      <c r="DZ238" s="66" t="str">
        <f t="shared" si="3676"/>
        <v/>
      </c>
      <c r="EA238" s="66" t="str">
        <f t="shared" si="3677"/>
        <v/>
      </c>
      <c r="EB238" s="66" t="str">
        <f t="shared" si="3678"/>
        <v/>
      </c>
      <c r="EC238" s="66" t="str">
        <f t="shared" si="3679"/>
        <v/>
      </c>
      <c r="ED238" s="66" t="str">
        <f t="shared" si="3680"/>
        <v/>
      </c>
      <c r="EE238" s="66" t="str">
        <f t="shared" si="3681"/>
        <v/>
      </c>
      <c r="EF238" s="66" t="str">
        <f t="shared" si="3682"/>
        <v/>
      </c>
      <c r="EG238" s="66" t="str">
        <f t="shared" si="3683"/>
        <v/>
      </c>
      <c r="EH238" s="66" t="str">
        <f t="shared" si="3684"/>
        <v/>
      </c>
      <c r="EI238" s="66" t="str">
        <f t="shared" si="3685"/>
        <v/>
      </c>
      <c r="EJ238" s="66" t="str">
        <f t="shared" si="3686"/>
        <v/>
      </c>
      <c r="EK238" s="66" t="str">
        <f t="shared" si="3687"/>
        <v/>
      </c>
      <c r="EL238" s="66" t="str">
        <f t="shared" si="3688"/>
        <v/>
      </c>
      <c r="EM238" s="66" t="str">
        <f t="shared" si="3689"/>
        <v/>
      </c>
      <c r="EN238" s="66" t="str">
        <f t="shared" si="3690"/>
        <v/>
      </c>
      <c r="EO238" s="66" t="str">
        <f t="shared" si="3691"/>
        <v/>
      </c>
      <c r="EP238" s="66" t="str">
        <f t="shared" si="3692"/>
        <v/>
      </c>
      <c r="EQ238" s="66" t="str">
        <f t="shared" si="3693"/>
        <v/>
      </c>
      <c r="ER238" s="66" t="str">
        <f t="shared" si="3694"/>
        <v/>
      </c>
      <c r="ES238" s="66" t="str">
        <f t="shared" si="3695"/>
        <v/>
      </c>
      <c r="ET238" s="66" t="str">
        <f t="shared" si="3696"/>
        <v/>
      </c>
      <c r="EU238" s="66" t="str">
        <f t="shared" si="3697"/>
        <v/>
      </c>
      <c r="EV238" s="66" t="str">
        <f t="shared" si="3698"/>
        <v/>
      </c>
      <c r="EW238" s="66" t="str">
        <f t="shared" si="3699"/>
        <v/>
      </c>
      <c r="EX238" s="66" t="str">
        <f t="shared" si="3700"/>
        <v/>
      </c>
      <c r="EY238" s="66" t="str">
        <f t="shared" si="3701"/>
        <v/>
      </c>
      <c r="EZ238" s="66" t="str">
        <f t="shared" si="3702"/>
        <v/>
      </c>
      <c r="FA238" s="66" t="str">
        <f t="shared" si="3703"/>
        <v/>
      </c>
      <c r="FB238" s="66" t="str">
        <f t="shared" si="3704"/>
        <v/>
      </c>
      <c r="FC238" s="66" t="str">
        <f t="shared" si="3705"/>
        <v/>
      </c>
      <c r="FD238" s="66" t="str">
        <f t="shared" si="3706"/>
        <v/>
      </c>
      <c r="FE238" s="66" t="str">
        <f t="shared" si="3707"/>
        <v/>
      </c>
      <c r="FF238" s="66" t="str">
        <f t="shared" si="3708"/>
        <v/>
      </c>
      <c r="FG238" s="66" t="str">
        <f t="shared" si="3709"/>
        <v/>
      </c>
      <c r="FH238" s="66" t="str">
        <f t="shared" si="3710"/>
        <v/>
      </c>
      <c r="FI238" s="66" t="str">
        <f t="shared" si="3711"/>
        <v/>
      </c>
      <c r="FJ238" s="66" t="str">
        <f t="shared" si="3712"/>
        <v/>
      </c>
      <c r="FK238" s="66" t="str">
        <f t="shared" si="3713"/>
        <v/>
      </c>
      <c r="FL238" s="66" t="str">
        <f t="shared" si="3714"/>
        <v/>
      </c>
      <c r="FM238" s="66" t="str">
        <f t="shared" si="3715"/>
        <v/>
      </c>
      <c r="FN238" s="66" t="str">
        <f t="shared" si="3716"/>
        <v/>
      </c>
      <c r="FO238" s="66" t="str">
        <f t="shared" si="3717"/>
        <v/>
      </c>
      <c r="FP238" s="66" t="str">
        <f t="shared" si="3718"/>
        <v/>
      </c>
      <c r="FQ238" s="66" t="str">
        <f t="shared" si="3719"/>
        <v/>
      </c>
      <c r="FR238" s="66" t="str">
        <f t="shared" si="3720"/>
        <v/>
      </c>
      <c r="FS238" s="66" t="str">
        <f t="shared" si="3721"/>
        <v/>
      </c>
    </row>
    <row r="239" spans="1:175" ht="16.5">
      <c r="A239" s="115"/>
      <c r="B239" s="27" t="s">
        <v>787</v>
      </c>
      <c r="C239" s="29" t="s">
        <v>775</v>
      </c>
      <c r="T239" s="119"/>
      <c r="U239" s="77"/>
      <c r="CN239" s="36" t="str">
        <f t="shared" si="3646"/>
        <v>InitUnitState('IF13',,,,,,,,,,)</v>
      </c>
      <c r="CO239" s="36" t="str">
        <f t="shared" si="3647"/>
        <v>InitUnitNormal('IF13',,,,,,,,,,)</v>
      </c>
      <c r="CP239" s="36" t="str">
        <f t="shared" si="3648"/>
        <v>InitUnitMagic('IF13',,,,,,,,,,)</v>
      </c>
      <c r="CQ239" s="36" t="str">
        <f t="shared" si="3649"/>
        <v>InitUnitAdd('IF13',,,,,,,,,,)</v>
      </c>
      <c r="CR239" s="36" t="str">
        <f t="shared" si="3650"/>
        <v>InitEquipData('IF13',,"",,,,,'','','','','','',"")</v>
      </c>
      <c r="CU239" s="88" t="str">
        <f t="shared" si="3651"/>
        <v>|n</v>
      </c>
      <c r="CW239" s="33"/>
      <c r="CX239" s="33"/>
      <c r="CY239" s="33"/>
      <c r="CZ239" s="33"/>
      <c r="DA239" s="33"/>
      <c r="DB239" s="66" t="str">
        <f t="shared" si="3652"/>
        <v/>
      </c>
      <c r="DC239" s="66" t="str">
        <f t="shared" si="3653"/>
        <v/>
      </c>
      <c r="DD239" s="66" t="str">
        <f t="shared" si="3654"/>
        <v/>
      </c>
      <c r="DE239" s="66" t="str">
        <f t="shared" si="3655"/>
        <v/>
      </c>
      <c r="DF239" s="66" t="str">
        <f t="shared" si="3656"/>
        <v/>
      </c>
      <c r="DG239" s="66" t="str">
        <f t="shared" si="3657"/>
        <v/>
      </c>
      <c r="DH239" s="66" t="str">
        <f t="shared" si="3658"/>
        <v/>
      </c>
      <c r="DI239" s="66" t="str">
        <f t="shared" si="3659"/>
        <v/>
      </c>
      <c r="DJ239" s="66" t="str">
        <f t="shared" si="3660"/>
        <v/>
      </c>
      <c r="DK239" s="66" t="str">
        <f t="shared" si="3661"/>
        <v/>
      </c>
      <c r="DL239" s="66" t="str">
        <f t="shared" si="3662"/>
        <v/>
      </c>
      <c r="DM239" s="66" t="str">
        <f t="shared" si="3663"/>
        <v/>
      </c>
      <c r="DN239" s="66" t="str">
        <f t="shared" si="3664"/>
        <v/>
      </c>
      <c r="DO239" s="66" t="str">
        <f t="shared" si="3665"/>
        <v/>
      </c>
      <c r="DP239" s="66" t="str">
        <f t="shared" si="3666"/>
        <v/>
      </c>
      <c r="DQ239" s="66" t="str">
        <f t="shared" si="3667"/>
        <v/>
      </c>
      <c r="DR239" s="66" t="str">
        <f t="shared" si="3668"/>
        <v/>
      </c>
      <c r="DS239" s="66" t="str">
        <f t="shared" si="3669"/>
        <v/>
      </c>
      <c r="DT239" s="66" t="str">
        <f t="shared" si="3670"/>
        <v/>
      </c>
      <c r="DU239" s="66" t="str">
        <f t="shared" si="3671"/>
        <v/>
      </c>
      <c r="DV239" s="66" t="str">
        <f t="shared" si="3672"/>
        <v/>
      </c>
      <c r="DW239" s="66" t="str">
        <f t="shared" si="3673"/>
        <v/>
      </c>
      <c r="DX239" s="66" t="str">
        <f t="shared" si="3674"/>
        <v/>
      </c>
      <c r="DY239" s="66" t="str">
        <f t="shared" si="3675"/>
        <v/>
      </c>
      <c r="DZ239" s="66" t="str">
        <f t="shared" si="3676"/>
        <v/>
      </c>
      <c r="EA239" s="66" t="str">
        <f t="shared" si="3677"/>
        <v/>
      </c>
      <c r="EB239" s="66" t="str">
        <f t="shared" si="3678"/>
        <v/>
      </c>
      <c r="EC239" s="66" t="str">
        <f t="shared" si="3679"/>
        <v/>
      </c>
      <c r="ED239" s="66" t="str">
        <f t="shared" si="3680"/>
        <v/>
      </c>
      <c r="EE239" s="66" t="str">
        <f t="shared" si="3681"/>
        <v/>
      </c>
      <c r="EF239" s="66" t="str">
        <f t="shared" si="3682"/>
        <v/>
      </c>
      <c r="EG239" s="66" t="str">
        <f t="shared" si="3683"/>
        <v/>
      </c>
      <c r="EH239" s="66" t="str">
        <f t="shared" si="3684"/>
        <v/>
      </c>
      <c r="EI239" s="66" t="str">
        <f t="shared" si="3685"/>
        <v/>
      </c>
      <c r="EJ239" s="66" t="str">
        <f t="shared" si="3686"/>
        <v/>
      </c>
      <c r="EK239" s="66" t="str">
        <f t="shared" si="3687"/>
        <v/>
      </c>
      <c r="EL239" s="66" t="str">
        <f t="shared" si="3688"/>
        <v/>
      </c>
      <c r="EM239" s="66" t="str">
        <f t="shared" si="3689"/>
        <v/>
      </c>
      <c r="EN239" s="66" t="str">
        <f t="shared" si="3690"/>
        <v/>
      </c>
      <c r="EO239" s="66" t="str">
        <f t="shared" si="3691"/>
        <v/>
      </c>
      <c r="EP239" s="66" t="str">
        <f t="shared" si="3692"/>
        <v/>
      </c>
      <c r="EQ239" s="66" t="str">
        <f t="shared" si="3693"/>
        <v/>
      </c>
      <c r="ER239" s="66" t="str">
        <f t="shared" si="3694"/>
        <v/>
      </c>
      <c r="ES239" s="66" t="str">
        <f t="shared" si="3695"/>
        <v/>
      </c>
      <c r="ET239" s="66" t="str">
        <f t="shared" si="3696"/>
        <v/>
      </c>
      <c r="EU239" s="66" t="str">
        <f t="shared" si="3697"/>
        <v/>
      </c>
      <c r="EV239" s="66" t="str">
        <f t="shared" si="3698"/>
        <v/>
      </c>
      <c r="EW239" s="66" t="str">
        <f t="shared" si="3699"/>
        <v/>
      </c>
      <c r="EX239" s="66" t="str">
        <f t="shared" si="3700"/>
        <v/>
      </c>
      <c r="EY239" s="66" t="str">
        <f t="shared" si="3701"/>
        <v/>
      </c>
      <c r="EZ239" s="66" t="str">
        <f t="shared" si="3702"/>
        <v/>
      </c>
      <c r="FA239" s="66" t="str">
        <f t="shared" si="3703"/>
        <v/>
      </c>
      <c r="FB239" s="66" t="str">
        <f t="shared" si="3704"/>
        <v/>
      </c>
      <c r="FC239" s="66" t="str">
        <f t="shared" si="3705"/>
        <v/>
      </c>
      <c r="FD239" s="66" t="str">
        <f t="shared" si="3706"/>
        <v/>
      </c>
      <c r="FE239" s="66" t="str">
        <f t="shared" si="3707"/>
        <v/>
      </c>
      <c r="FF239" s="66" t="str">
        <f t="shared" si="3708"/>
        <v/>
      </c>
      <c r="FG239" s="66" t="str">
        <f t="shared" si="3709"/>
        <v/>
      </c>
      <c r="FH239" s="66" t="str">
        <f t="shared" si="3710"/>
        <v/>
      </c>
      <c r="FI239" s="66" t="str">
        <f t="shared" si="3711"/>
        <v/>
      </c>
      <c r="FJ239" s="66" t="str">
        <f t="shared" si="3712"/>
        <v/>
      </c>
      <c r="FK239" s="66" t="str">
        <f t="shared" si="3713"/>
        <v/>
      </c>
      <c r="FL239" s="66" t="str">
        <f t="shared" si="3714"/>
        <v/>
      </c>
      <c r="FM239" s="66" t="str">
        <f t="shared" si="3715"/>
        <v/>
      </c>
      <c r="FN239" s="66" t="str">
        <f t="shared" si="3716"/>
        <v/>
      </c>
      <c r="FO239" s="66" t="str">
        <f t="shared" si="3717"/>
        <v/>
      </c>
      <c r="FP239" s="66" t="str">
        <f t="shared" si="3718"/>
        <v/>
      </c>
      <c r="FQ239" s="66" t="str">
        <f t="shared" si="3719"/>
        <v/>
      </c>
      <c r="FR239" s="66" t="str">
        <f t="shared" si="3720"/>
        <v/>
      </c>
      <c r="FS239" s="66" t="str">
        <f t="shared" si="3721"/>
        <v/>
      </c>
    </row>
    <row r="240" spans="1:175" ht="16.5">
      <c r="A240" s="115"/>
      <c r="B240" s="27" t="s">
        <v>788</v>
      </c>
      <c r="C240" s="29" t="s">
        <v>775</v>
      </c>
      <c r="T240" s="119"/>
      <c r="U240" s="77"/>
      <c r="CN240" s="36" t="str">
        <f t="shared" si="3646"/>
        <v>InitUnitState('IF14',,,,,,,,,,)</v>
      </c>
      <c r="CO240" s="36" t="str">
        <f t="shared" si="3647"/>
        <v>InitUnitNormal('IF14',,,,,,,,,,)</v>
      </c>
      <c r="CP240" s="36" t="str">
        <f t="shared" si="3648"/>
        <v>InitUnitMagic('IF14',,,,,,,,,,)</v>
      </c>
      <c r="CQ240" s="36" t="str">
        <f t="shared" si="3649"/>
        <v>InitUnitAdd('IF14',,,,,,,,,,)</v>
      </c>
      <c r="CR240" s="36" t="str">
        <f t="shared" si="3650"/>
        <v>InitEquipData('IF14',,"",,,,,'','','','','','',"")</v>
      </c>
      <c r="CU240" s="88" t="str">
        <f t="shared" si="3651"/>
        <v>|n</v>
      </c>
      <c r="CW240" s="33"/>
      <c r="CX240" s="33"/>
      <c r="CY240" s="33"/>
      <c r="CZ240" s="33"/>
      <c r="DA240" s="33"/>
      <c r="DB240" s="66" t="str">
        <f t="shared" si="3652"/>
        <v/>
      </c>
      <c r="DC240" s="66" t="str">
        <f t="shared" si="3653"/>
        <v/>
      </c>
      <c r="DD240" s="66" t="str">
        <f t="shared" si="3654"/>
        <v/>
      </c>
      <c r="DE240" s="66" t="str">
        <f t="shared" si="3655"/>
        <v/>
      </c>
      <c r="DF240" s="66" t="str">
        <f t="shared" si="3656"/>
        <v/>
      </c>
      <c r="DG240" s="66" t="str">
        <f t="shared" si="3657"/>
        <v/>
      </c>
      <c r="DH240" s="66" t="str">
        <f t="shared" si="3658"/>
        <v/>
      </c>
      <c r="DI240" s="66" t="str">
        <f t="shared" si="3659"/>
        <v/>
      </c>
      <c r="DJ240" s="66" t="str">
        <f t="shared" si="3660"/>
        <v/>
      </c>
      <c r="DK240" s="66" t="str">
        <f t="shared" si="3661"/>
        <v/>
      </c>
      <c r="DL240" s="66" t="str">
        <f t="shared" si="3662"/>
        <v/>
      </c>
      <c r="DM240" s="66" t="str">
        <f t="shared" si="3663"/>
        <v/>
      </c>
      <c r="DN240" s="66" t="str">
        <f t="shared" si="3664"/>
        <v/>
      </c>
      <c r="DO240" s="66" t="str">
        <f t="shared" si="3665"/>
        <v/>
      </c>
      <c r="DP240" s="66" t="str">
        <f t="shared" si="3666"/>
        <v/>
      </c>
      <c r="DQ240" s="66" t="str">
        <f t="shared" si="3667"/>
        <v/>
      </c>
      <c r="DR240" s="66" t="str">
        <f t="shared" si="3668"/>
        <v/>
      </c>
      <c r="DS240" s="66" t="str">
        <f t="shared" si="3669"/>
        <v/>
      </c>
      <c r="DT240" s="66" t="str">
        <f t="shared" si="3670"/>
        <v/>
      </c>
      <c r="DU240" s="66" t="str">
        <f t="shared" si="3671"/>
        <v/>
      </c>
      <c r="DV240" s="66" t="str">
        <f t="shared" si="3672"/>
        <v/>
      </c>
      <c r="DW240" s="66" t="str">
        <f t="shared" si="3673"/>
        <v/>
      </c>
      <c r="DX240" s="66" t="str">
        <f t="shared" si="3674"/>
        <v/>
      </c>
      <c r="DY240" s="66" t="str">
        <f t="shared" si="3675"/>
        <v/>
      </c>
      <c r="DZ240" s="66" t="str">
        <f t="shared" si="3676"/>
        <v/>
      </c>
      <c r="EA240" s="66" t="str">
        <f t="shared" si="3677"/>
        <v/>
      </c>
      <c r="EB240" s="66" t="str">
        <f t="shared" si="3678"/>
        <v/>
      </c>
      <c r="EC240" s="66" t="str">
        <f t="shared" si="3679"/>
        <v/>
      </c>
      <c r="ED240" s="66" t="str">
        <f t="shared" si="3680"/>
        <v/>
      </c>
      <c r="EE240" s="66" t="str">
        <f t="shared" si="3681"/>
        <v/>
      </c>
      <c r="EF240" s="66" t="str">
        <f t="shared" si="3682"/>
        <v/>
      </c>
      <c r="EG240" s="66" t="str">
        <f t="shared" si="3683"/>
        <v/>
      </c>
      <c r="EH240" s="66" t="str">
        <f t="shared" si="3684"/>
        <v/>
      </c>
      <c r="EI240" s="66" t="str">
        <f t="shared" si="3685"/>
        <v/>
      </c>
      <c r="EJ240" s="66" t="str">
        <f t="shared" si="3686"/>
        <v/>
      </c>
      <c r="EK240" s="66" t="str">
        <f t="shared" si="3687"/>
        <v/>
      </c>
      <c r="EL240" s="66" t="str">
        <f t="shared" si="3688"/>
        <v/>
      </c>
      <c r="EM240" s="66" t="str">
        <f t="shared" si="3689"/>
        <v/>
      </c>
      <c r="EN240" s="66" t="str">
        <f t="shared" si="3690"/>
        <v/>
      </c>
      <c r="EO240" s="66" t="str">
        <f t="shared" si="3691"/>
        <v/>
      </c>
      <c r="EP240" s="66" t="str">
        <f t="shared" si="3692"/>
        <v/>
      </c>
      <c r="EQ240" s="66" t="str">
        <f t="shared" si="3693"/>
        <v/>
      </c>
      <c r="ER240" s="66" t="str">
        <f t="shared" si="3694"/>
        <v/>
      </c>
      <c r="ES240" s="66" t="str">
        <f t="shared" si="3695"/>
        <v/>
      </c>
      <c r="ET240" s="66" t="str">
        <f t="shared" si="3696"/>
        <v/>
      </c>
      <c r="EU240" s="66" t="str">
        <f t="shared" si="3697"/>
        <v/>
      </c>
      <c r="EV240" s="66" t="str">
        <f t="shared" si="3698"/>
        <v/>
      </c>
      <c r="EW240" s="66" t="str">
        <f t="shared" si="3699"/>
        <v/>
      </c>
      <c r="EX240" s="66" t="str">
        <f t="shared" si="3700"/>
        <v/>
      </c>
      <c r="EY240" s="66" t="str">
        <f t="shared" si="3701"/>
        <v/>
      </c>
      <c r="EZ240" s="66" t="str">
        <f t="shared" si="3702"/>
        <v/>
      </c>
      <c r="FA240" s="66" t="str">
        <f t="shared" si="3703"/>
        <v/>
      </c>
      <c r="FB240" s="66" t="str">
        <f t="shared" si="3704"/>
        <v/>
      </c>
      <c r="FC240" s="66" t="str">
        <f t="shared" si="3705"/>
        <v/>
      </c>
      <c r="FD240" s="66" t="str">
        <f t="shared" si="3706"/>
        <v/>
      </c>
      <c r="FE240" s="66" t="str">
        <f t="shared" si="3707"/>
        <v/>
      </c>
      <c r="FF240" s="66" t="str">
        <f t="shared" si="3708"/>
        <v/>
      </c>
      <c r="FG240" s="66" t="str">
        <f t="shared" si="3709"/>
        <v/>
      </c>
      <c r="FH240" s="66" t="str">
        <f t="shared" si="3710"/>
        <v/>
      </c>
      <c r="FI240" s="66" t="str">
        <f t="shared" si="3711"/>
        <v/>
      </c>
      <c r="FJ240" s="66" t="str">
        <f t="shared" si="3712"/>
        <v/>
      </c>
      <c r="FK240" s="66" t="str">
        <f t="shared" si="3713"/>
        <v/>
      </c>
      <c r="FL240" s="66" t="str">
        <f t="shared" si="3714"/>
        <v/>
      </c>
      <c r="FM240" s="66" t="str">
        <f t="shared" si="3715"/>
        <v/>
      </c>
      <c r="FN240" s="66" t="str">
        <f t="shared" si="3716"/>
        <v/>
      </c>
      <c r="FO240" s="66" t="str">
        <f t="shared" si="3717"/>
        <v/>
      </c>
      <c r="FP240" s="66" t="str">
        <f t="shared" si="3718"/>
        <v/>
      </c>
      <c r="FQ240" s="66" t="str">
        <f t="shared" si="3719"/>
        <v/>
      </c>
      <c r="FR240" s="66" t="str">
        <f t="shared" si="3720"/>
        <v/>
      </c>
      <c r="FS240" s="66" t="str">
        <f t="shared" si="3721"/>
        <v/>
      </c>
    </row>
    <row r="241" spans="1:175" ht="16.5">
      <c r="A241" s="115"/>
      <c r="B241" s="27" t="s">
        <v>789</v>
      </c>
      <c r="C241" s="29" t="s">
        <v>775</v>
      </c>
      <c r="T241" s="119"/>
      <c r="U241" s="77"/>
      <c r="CN241" s="36" t="str">
        <f t="shared" si="3646"/>
        <v>InitUnitState('IF15',,,,,,,,,,)</v>
      </c>
      <c r="CO241" s="36" t="str">
        <f t="shared" si="3647"/>
        <v>InitUnitNormal('IF15',,,,,,,,,,)</v>
      </c>
      <c r="CP241" s="36" t="str">
        <f t="shared" si="3648"/>
        <v>InitUnitMagic('IF15',,,,,,,,,,)</v>
      </c>
      <c r="CQ241" s="36" t="str">
        <f t="shared" si="3649"/>
        <v>InitUnitAdd('IF15',,,,,,,,,,)</v>
      </c>
      <c r="CR241" s="36" t="str">
        <f t="shared" si="3650"/>
        <v>InitEquipData('IF15',,"",,,,,'','','','','','',"")</v>
      </c>
      <c r="CU241" s="88" t="str">
        <f t="shared" si="3651"/>
        <v>|n</v>
      </c>
      <c r="CW241" s="33"/>
      <c r="CX241" s="33"/>
      <c r="CY241" s="33"/>
      <c r="CZ241" s="33"/>
      <c r="DA241" s="33"/>
      <c r="DB241" s="66" t="str">
        <f t="shared" si="3652"/>
        <v/>
      </c>
      <c r="DC241" s="66" t="str">
        <f t="shared" si="3653"/>
        <v/>
      </c>
      <c r="DD241" s="66" t="str">
        <f t="shared" si="3654"/>
        <v/>
      </c>
      <c r="DE241" s="66" t="str">
        <f t="shared" si="3655"/>
        <v/>
      </c>
      <c r="DF241" s="66" t="str">
        <f t="shared" si="3656"/>
        <v/>
      </c>
      <c r="DG241" s="66" t="str">
        <f t="shared" si="3657"/>
        <v/>
      </c>
      <c r="DH241" s="66" t="str">
        <f t="shared" si="3658"/>
        <v/>
      </c>
      <c r="DI241" s="66" t="str">
        <f t="shared" si="3659"/>
        <v/>
      </c>
      <c r="DJ241" s="66" t="str">
        <f t="shared" si="3660"/>
        <v/>
      </c>
      <c r="DK241" s="66" t="str">
        <f t="shared" si="3661"/>
        <v/>
      </c>
      <c r="DL241" s="66" t="str">
        <f t="shared" si="3662"/>
        <v/>
      </c>
      <c r="DM241" s="66" t="str">
        <f t="shared" si="3663"/>
        <v/>
      </c>
      <c r="DN241" s="66" t="str">
        <f t="shared" si="3664"/>
        <v/>
      </c>
      <c r="DO241" s="66" t="str">
        <f t="shared" si="3665"/>
        <v/>
      </c>
      <c r="DP241" s="66" t="str">
        <f t="shared" si="3666"/>
        <v/>
      </c>
      <c r="DQ241" s="66" t="str">
        <f t="shared" si="3667"/>
        <v/>
      </c>
      <c r="DR241" s="66" t="str">
        <f t="shared" si="3668"/>
        <v/>
      </c>
      <c r="DS241" s="66" t="str">
        <f t="shared" si="3669"/>
        <v/>
      </c>
      <c r="DT241" s="66" t="str">
        <f t="shared" si="3670"/>
        <v/>
      </c>
      <c r="DU241" s="66" t="str">
        <f t="shared" si="3671"/>
        <v/>
      </c>
      <c r="DV241" s="66" t="str">
        <f t="shared" si="3672"/>
        <v/>
      </c>
      <c r="DW241" s="66" t="str">
        <f t="shared" si="3673"/>
        <v/>
      </c>
      <c r="DX241" s="66" t="str">
        <f t="shared" si="3674"/>
        <v/>
      </c>
      <c r="DY241" s="66" t="str">
        <f t="shared" si="3675"/>
        <v/>
      </c>
      <c r="DZ241" s="66" t="str">
        <f t="shared" si="3676"/>
        <v/>
      </c>
      <c r="EA241" s="66" t="str">
        <f t="shared" si="3677"/>
        <v/>
      </c>
      <c r="EB241" s="66" t="str">
        <f t="shared" si="3678"/>
        <v/>
      </c>
      <c r="EC241" s="66" t="str">
        <f t="shared" si="3679"/>
        <v/>
      </c>
      <c r="ED241" s="66" t="str">
        <f t="shared" si="3680"/>
        <v/>
      </c>
      <c r="EE241" s="66" t="str">
        <f t="shared" si="3681"/>
        <v/>
      </c>
      <c r="EF241" s="66" t="str">
        <f t="shared" si="3682"/>
        <v/>
      </c>
      <c r="EG241" s="66" t="str">
        <f t="shared" si="3683"/>
        <v/>
      </c>
      <c r="EH241" s="66" t="str">
        <f t="shared" si="3684"/>
        <v/>
      </c>
      <c r="EI241" s="66" t="str">
        <f t="shared" si="3685"/>
        <v/>
      </c>
      <c r="EJ241" s="66" t="str">
        <f t="shared" si="3686"/>
        <v/>
      </c>
      <c r="EK241" s="66" t="str">
        <f t="shared" si="3687"/>
        <v/>
      </c>
      <c r="EL241" s="66" t="str">
        <f t="shared" si="3688"/>
        <v/>
      </c>
      <c r="EM241" s="66" t="str">
        <f t="shared" si="3689"/>
        <v/>
      </c>
      <c r="EN241" s="66" t="str">
        <f t="shared" si="3690"/>
        <v/>
      </c>
      <c r="EO241" s="66" t="str">
        <f t="shared" si="3691"/>
        <v/>
      </c>
      <c r="EP241" s="66" t="str">
        <f t="shared" si="3692"/>
        <v/>
      </c>
      <c r="EQ241" s="66" t="str">
        <f t="shared" si="3693"/>
        <v/>
      </c>
      <c r="ER241" s="66" t="str">
        <f t="shared" si="3694"/>
        <v/>
      </c>
      <c r="ES241" s="66" t="str">
        <f t="shared" si="3695"/>
        <v/>
      </c>
      <c r="ET241" s="66" t="str">
        <f t="shared" si="3696"/>
        <v/>
      </c>
      <c r="EU241" s="66" t="str">
        <f t="shared" si="3697"/>
        <v/>
      </c>
      <c r="EV241" s="66" t="str">
        <f t="shared" si="3698"/>
        <v/>
      </c>
      <c r="EW241" s="66" t="str">
        <f t="shared" si="3699"/>
        <v/>
      </c>
      <c r="EX241" s="66" t="str">
        <f t="shared" si="3700"/>
        <v/>
      </c>
      <c r="EY241" s="66" t="str">
        <f t="shared" si="3701"/>
        <v/>
      </c>
      <c r="EZ241" s="66" t="str">
        <f t="shared" si="3702"/>
        <v/>
      </c>
      <c r="FA241" s="66" t="str">
        <f t="shared" si="3703"/>
        <v/>
      </c>
      <c r="FB241" s="66" t="str">
        <f t="shared" si="3704"/>
        <v/>
      </c>
      <c r="FC241" s="66" t="str">
        <f t="shared" si="3705"/>
        <v/>
      </c>
      <c r="FD241" s="66" t="str">
        <f t="shared" si="3706"/>
        <v/>
      </c>
      <c r="FE241" s="66" t="str">
        <f t="shared" si="3707"/>
        <v/>
      </c>
      <c r="FF241" s="66" t="str">
        <f t="shared" si="3708"/>
        <v/>
      </c>
      <c r="FG241" s="66" t="str">
        <f t="shared" si="3709"/>
        <v/>
      </c>
      <c r="FH241" s="66" t="str">
        <f t="shared" si="3710"/>
        <v/>
      </c>
      <c r="FI241" s="66" t="str">
        <f t="shared" si="3711"/>
        <v/>
      </c>
      <c r="FJ241" s="66" t="str">
        <f t="shared" si="3712"/>
        <v/>
      </c>
      <c r="FK241" s="66" t="str">
        <f t="shared" si="3713"/>
        <v/>
      </c>
      <c r="FL241" s="66" t="str">
        <f t="shared" si="3714"/>
        <v/>
      </c>
      <c r="FM241" s="66" t="str">
        <f t="shared" si="3715"/>
        <v/>
      </c>
      <c r="FN241" s="66" t="str">
        <f t="shared" si="3716"/>
        <v/>
      </c>
      <c r="FO241" s="66" t="str">
        <f t="shared" si="3717"/>
        <v/>
      </c>
      <c r="FP241" s="66" t="str">
        <f t="shared" si="3718"/>
        <v/>
      </c>
      <c r="FQ241" s="66" t="str">
        <f t="shared" si="3719"/>
        <v/>
      </c>
      <c r="FR241" s="66" t="str">
        <f t="shared" si="3720"/>
        <v/>
      </c>
      <c r="FS241" s="66" t="str">
        <f t="shared" si="3721"/>
        <v/>
      </c>
    </row>
    <row r="242" spans="1:175" ht="16.5">
      <c r="A242" s="115"/>
      <c r="B242" s="27" t="s">
        <v>790</v>
      </c>
      <c r="C242" s="29" t="s">
        <v>775</v>
      </c>
      <c r="T242" s="119"/>
      <c r="U242" s="77"/>
      <c r="CN242" s="36" t="str">
        <f t="shared" si="3646"/>
        <v>InitUnitState('IF16',,,,,,,,,,)</v>
      </c>
      <c r="CO242" s="36" t="str">
        <f t="shared" si="3647"/>
        <v>InitUnitNormal('IF16',,,,,,,,,,)</v>
      </c>
      <c r="CP242" s="36" t="str">
        <f t="shared" si="3648"/>
        <v>InitUnitMagic('IF16',,,,,,,,,,)</v>
      </c>
      <c r="CQ242" s="36" t="str">
        <f t="shared" si="3649"/>
        <v>InitUnitAdd('IF16',,,,,,,,,,)</v>
      </c>
      <c r="CR242" s="36" t="str">
        <f t="shared" si="3650"/>
        <v>InitEquipData('IF16',,"",,,,,'','','','','','',"")</v>
      </c>
      <c r="CU242" s="88" t="str">
        <f t="shared" si="3651"/>
        <v>|n</v>
      </c>
      <c r="CW242" s="33"/>
      <c r="CX242" s="33"/>
      <c r="CY242" s="33"/>
      <c r="CZ242" s="33"/>
      <c r="DA242" s="33"/>
      <c r="DB242" s="66" t="str">
        <f t="shared" si="3652"/>
        <v/>
      </c>
      <c r="DC242" s="66" t="str">
        <f t="shared" si="3653"/>
        <v/>
      </c>
      <c r="DD242" s="66" t="str">
        <f t="shared" si="3654"/>
        <v/>
      </c>
      <c r="DE242" s="66" t="str">
        <f t="shared" si="3655"/>
        <v/>
      </c>
      <c r="DF242" s="66" t="str">
        <f t="shared" si="3656"/>
        <v/>
      </c>
      <c r="DG242" s="66" t="str">
        <f t="shared" si="3657"/>
        <v/>
      </c>
      <c r="DH242" s="66" t="str">
        <f t="shared" si="3658"/>
        <v/>
      </c>
      <c r="DI242" s="66" t="str">
        <f t="shared" si="3659"/>
        <v/>
      </c>
      <c r="DJ242" s="66" t="str">
        <f t="shared" si="3660"/>
        <v/>
      </c>
      <c r="DK242" s="66" t="str">
        <f t="shared" si="3661"/>
        <v/>
      </c>
      <c r="DL242" s="66" t="str">
        <f t="shared" si="3662"/>
        <v/>
      </c>
      <c r="DM242" s="66" t="str">
        <f t="shared" si="3663"/>
        <v/>
      </c>
      <c r="DN242" s="66" t="str">
        <f t="shared" si="3664"/>
        <v/>
      </c>
      <c r="DO242" s="66" t="str">
        <f t="shared" si="3665"/>
        <v/>
      </c>
      <c r="DP242" s="66" t="str">
        <f t="shared" si="3666"/>
        <v/>
      </c>
      <c r="DQ242" s="66" t="str">
        <f t="shared" si="3667"/>
        <v/>
      </c>
      <c r="DR242" s="66" t="str">
        <f t="shared" si="3668"/>
        <v/>
      </c>
      <c r="DS242" s="66" t="str">
        <f t="shared" si="3669"/>
        <v/>
      </c>
      <c r="DT242" s="66" t="str">
        <f t="shared" si="3670"/>
        <v/>
      </c>
      <c r="DU242" s="66" t="str">
        <f t="shared" si="3671"/>
        <v/>
      </c>
      <c r="DV242" s="66" t="str">
        <f t="shared" si="3672"/>
        <v/>
      </c>
      <c r="DW242" s="66" t="str">
        <f t="shared" si="3673"/>
        <v/>
      </c>
      <c r="DX242" s="66" t="str">
        <f t="shared" si="3674"/>
        <v/>
      </c>
      <c r="DY242" s="66" t="str">
        <f t="shared" si="3675"/>
        <v/>
      </c>
      <c r="DZ242" s="66" t="str">
        <f t="shared" si="3676"/>
        <v/>
      </c>
      <c r="EA242" s="66" t="str">
        <f t="shared" si="3677"/>
        <v/>
      </c>
      <c r="EB242" s="66" t="str">
        <f t="shared" si="3678"/>
        <v/>
      </c>
      <c r="EC242" s="66" t="str">
        <f t="shared" si="3679"/>
        <v/>
      </c>
      <c r="ED242" s="66" t="str">
        <f t="shared" si="3680"/>
        <v/>
      </c>
      <c r="EE242" s="66" t="str">
        <f t="shared" si="3681"/>
        <v/>
      </c>
      <c r="EF242" s="66" t="str">
        <f t="shared" si="3682"/>
        <v/>
      </c>
      <c r="EG242" s="66" t="str">
        <f t="shared" si="3683"/>
        <v/>
      </c>
      <c r="EH242" s="66" t="str">
        <f t="shared" si="3684"/>
        <v/>
      </c>
      <c r="EI242" s="66" t="str">
        <f t="shared" si="3685"/>
        <v/>
      </c>
      <c r="EJ242" s="66" t="str">
        <f t="shared" si="3686"/>
        <v/>
      </c>
      <c r="EK242" s="66" t="str">
        <f t="shared" si="3687"/>
        <v/>
      </c>
      <c r="EL242" s="66" t="str">
        <f t="shared" si="3688"/>
        <v/>
      </c>
      <c r="EM242" s="66" t="str">
        <f t="shared" si="3689"/>
        <v/>
      </c>
      <c r="EN242" s="66" t="str">
        <f t="shared" si="3690"/>
        <v/>
      </c>
      <c r="EO242" s="66" t="str">
        <f t="shared" si="3691"/>
        <v/>
      </c>
      <c r="EP242" s="66" t="str">
        <f t="shared" si="3692"/>
        <v/>
      </c>
      <c r="EQ242" s="66" t="str">
        <f t="shared" si="3693"/>
        <v/>
      </c>
      <c r="ER242" s="66" t="str">
        <f t="shared" si="3694"/>
        <v/>
      </c>
      <c r="ES242" s="66" t="str">
        <f t="shared" si="3695"/>
        <v/>
      </c>
      <c r="ET242" s="66" t="str">
        <f t="shared" si="3696"/>
        <v/>
      </c>
      <c r="EU242" s="66" t="str">
        <f t="shared" si="3697"/>
        <v/>
      </c>
      <c r="EV242" s="66" t="str">
        <f t="shared" si="3698"/>
        <v/>
      </c>
      <c r="EW242" s="66" t="str">
        <f t="shared" si="3699"/>
        <v/>
      </c>
      <c r="EX242" s="66" t="str">
        <f t="shared" si="3700"/>
        <v/>
      </c>
      <c r="EY242" s="66" t="str">
        <f t="shared" si="3701"/>
        <v/>
      </c>
      <c r="EZ242" s="66" t="str">
        <f t="shared" si="3702"/>
        <v/>
      </c>
      <c r="FA242" s="66" t="str">
        <f t="shared" si="3703"/>
        <v/>
      </c>
      <c r="FB242" s="66" t="str">
        <f t="shared" si="3704"/>
        <v/>
      </c>
      <c r="FC242" s="66" t="str">
        <f t="shared" si="3705"/>
        <v/>
      </c>
      <c r="FD242" s="66" t="str">
        <f t="shared" si="3706"/>
        <v/>
      </c>
      <c r="FE242" s="66" t="str">
        <f t="shared" si="3707"/>
        <v/>
      </c>
      <c r="FF242" s="66" t="str">
        <f t="shared" si="3708"/>
        <v/>
      </c>
      <c r="FG242" s="66" t="str">
        <f t="shared" si="3709"/>
        <v/>
      </c>
      <c r="FH242" s="66" t="str">
        <f t="shared" si="3710"/>
        <v/>
      </c>
      <c r="FI242" s="66" t="str">
        <f t="shared" si="3711"/>
        <v/>
      </c>
      <c r="FJ242" s="66" t="str">
        <f t="shared" si="3712"/>
        <v/>
      </c>
      <c r="FK242" s="66" t="str">
        <f t="shared" si="3713"/>
        <v/>
      </c>
      <c r="FL242" s="66" t="str">
        <f t="shared" si="3714"/>
        <v/>
      </c>
      <c r="FM242" s="66" t="str">
        <f t="shared" si="3715"/>
        <v/>
      </c>
      <c r="FN242" s="66" t="str">
        <f t="shared" si="3716"/>
        <v/>
      </c>
      <c r="FO242" s="66" t="str">
        <f t="shared" si="3717"/>
        <v/>
      </c>
      <c r="FP242" s="66" t="str">
        <f t="shared" si="3718"/>
        <v/>
      </c>
      <c r="FQ242" s="66" t="str">
        <f t="shared" si="3719"/>
        <v/>
      </c>
      <c r="FR242" s="66" t="str">
        <f t="shared" si="3720"/>
        <v/>
      </c>
      <c r="FS242" s="66" t="str">
        <f t="shared" si="3721"/>
        <v/>
      </c>
    </row>
    <row r="243" spans="1:175" ht="16.5">
      <c r="A243" s="115"/>
      <c r="B243" s="27" t="s">
        <v>791</v>
      </c>
      <c r="C243" s="29" t="s">
        <v>775</v>
      </c>
      <c r="T243" s="119"/>
      <c r="U243" s="77"/>
      <c r="CN243" s="36" t="str">
        <f t="shared" si="3646"/>
        <v>InitUnitState('IF17',,,,,,,,,,)</v>
      </c>
      <c r="CO243" s="36" t="str">
        <f t="shared" si="3647"/>
        <v>InitUnitNormal('IF17',,,,,,,,,,)</v>
      </c>
      <c r="CP243" s="36" t="str">
        <f t="shared" si="3648"/>
        <v>InitUnitMagic('IF17',,,,,,,,,,)</v>
      </c>
      <c r="CQ243" s="36" t="str">
        <f t="shared" si="3649"/>
        <v>InitUnitAdd('IF17',,,,,,,,,,)</v>
      </c>
      <c r="CR243" s="36" t="str">
        <f t="shared" si="3650"/>
        <v>InitEquipData('IF17',,"",,,,,'','','','','','',"")</v>
      </c>
      <c r="CU243" s="88" t="str">
        <f t="shared" si="3651"/>
        <v>|n</v>
      </c>
      <c r="CW243" s="33"/>
      <c r="CX243" s="33"/>
      <c r="CY243" s="33"/>
      <c r="CZ243" s="33"/>
      <c r="DA243" s="33"/>
      <c r="DB243" s="66" t="str">
        <f t="shared" si="3652"/>
        <v/>
      </c>
      <c r="DC243" s="66" t="str">
        <f t="shared" si="3653"/>
        <v/>
      </c>
      <c r="DD243" s="66" t="str">
        <f t="shared" si="3654"/>
        <v/>
      </c>
      <c r="DE243" s="66" t="str">
        <f t="shared" si="3655"/>
        <v/>
      </c>
      <c r="DF243" s="66" t="str">
        <f t="shared" si="3656"/>
        <v/>
      </c>
      <c r="DG243" s="66" t="str">
        <f t="shared" si="3657"/>
        <v/>
      </c>
      <c r="DH243" s="66" t="str">
        <f t="shared" si="3658"/>
        <v/>
      </c>
      <c r="DI243" s="66" t="str">
        <f t="shared" si="3659"/>
        <v/>
      </c>
      <c r="DJ243" s="66" t="str">
        <f t="shared" si="3660"/>
        <v/>
      </c>
      <c r="DK243" s="66" t="str">
        <f t="shared" si="3661"/>
        <v/>
      </c>
      <c r="DL243" s="66" t="str">
        <f t="shared" si="3662"/>
        <v/>
      </c>
      <c r="DM243" s="66" t="str">
        <f t="shared" si="3663"/>
        <v/>
      </c>
      <c r="DN243" s="66" t="str">
        <f t="shared" si="3664"/>
        <v/>
      </c>
      <c r="DO243" s="66" t="str">
        <f t="shared" si="3665"/>
        <v/>
      </c>
      <c r="DP243" s="66" t="str">
        <f t="shared" si="3666"/>
        <v/>
      </c>
      <c r="DQ243" s="66" t="str">
        <f t="shared" si="3667"/>
        <v/>
      </c>
      <c r="DR243" s="66" t="str">
        <f t="shared" si="3668"/>
        <v/>
      </c>
      <c r="DS243" s="66" t="str">
        <f t="shared" si="3669"/>
        <v/>
      </c>
      <c r="DT243" s="66" t="str">
        <f t="shared" si="3670"/>
        <v/>
      </c>
      <c r="DU243" s="66" t="str">
        <f t="shared" si="3671"/>
        <v/>
      </c>
      <c r="DV243" s="66" t="str">
        <f t="shared" si="3672"/>
        <v/>
      </c>
      <c r="DW243" s="66" t="str">
        <f t="shared" si="3673"/>
        <v/>
      </c>
      <c r="DX243" s="66" t="str">
        <f t="shared" si="3674"/>
        <v/>
      </c>
      <c r="DY243" s="66" t="str">
        <f t="shared" si="3675"/>
        <v/>
      </c>
      <c r="DZ243" s="66" t="str">
        <f t="shared" si="3676"/>
        <v/>
      </c>
      <c r="EA243" s="66" t="str">
        <f t="shared" si="3677"/>
        <v/>
      </c>
      <c r="EB243" s="66" t="str">
        <f t="shared" si="3678"/>
        <v/>
      </c>
      <c r="EC243" s="66" t="str">
        <f t="shared" si="3679"/>
        <v/>
      </c>
      <c r="ED243" s="66" t="str">
        <f t="shared" si="3680"/>
        <v/>
      </c>
      <c r="EE243" s="66" t="str">
        <f t="shared" si="3681"/>
        <v/>
      </c>
      <c r="EF243" s="66" t="str">
        <f t="shared" si="3682"/>
        <v/>
      </c>
      <c r="EG243" s="66" t="str">
        <f t="shared" si="3683"/>
        <v/>
      </c>
      <c r="EH243" s="66" t="str">
        <f t="shared" si="3684"/>
        <v/>
      </c>
      <c r="EI243" s="66" t="str">
        <f t="shared" si="3685"/>
        <v/>
      </c>
      <c r="EJ243" s="66" t="str">
        <f t="shared" si="3686"/>
        <v/>
      </c>
      <c r="EK243" s="66" t="str">
        <f t="shared" si="3687"/>
        <v/>
      </c>
      <c r="EL243" s="66" t="str">
        <f t="shared" si="3688"/>
        <v/>
      </c>
      <c r="EM243" s="66" t="str">
        <f t="shared" si="3689"/>
        <v/>
      </c>
      <c r="EN243" s="66" t="str">
        <f t="shared" si="3690"/>
        <v/>
      </c>
      <c r="EO243" s="66" t="str">
        <f t="shared" si="3691"/>
        <v/>
      </c>
      <c r="EP243" s="66" t="str">
        <f t="shared" si="3692"/>
        <v/>
      </c>
      <c r="EQ243" s="66" t="str">
        <f t="shared" si="3693"/>
        <v/>
      </c>
      <c r="ER243" s="66" t="str">
        <f t="shared" si="3694"/>
        <v/>
      </c>
      <c r="ES243" s="66" t="str">
        <f t="shared" si="3695"/>
        <v/>
      </c>
      <c r="ET243" s="66" t="str">
        <f t="shared" si="3696"/>
        <v/>
      </c>
      <c r="EU243" s="66" t="str">
        <f t="shared" si="3697"/>
        <v/>
      </c>
      <c r="EV243" s="66" t="str">
        <f t="shared" si="3698"/>
        <v/>
      </c>
      <c r="EW243" s="66" t="str">
        <f t="shared" si="3699"/>
        <v/>
      </c>
      <c r="EX243" s="66" t="str">
        <f t="shared" si="3700"/>
        <v/>
      </c>
      <c r="EY243" s="66" t="str">
        <f t="shared" si="3701"/>
        <v/>
      </c>
      <c r="EZ243" s="66" t="str">
        <f t="shared" si="3702"/>
        <v/>
      </c>
      <c r="FA243" s="66" t="str">
        <f t="shared" si="3703"/>
        <v/>
      </c>
      <c r="FB243" s="66" t="str">
        <f t="shared" si="3704"/>
        <v/>
      </c>
      <c r="FC243" s="66" t="str">
        <f t="shared" si="3705"/>
        <v/>
      </c>
      <c r="FD243" s="66" t="str">
        <f t="shared" si="3706"/>
        <v/>
      </c>
      <c r="FE243" s="66" t="str">
        <f t="shared" si="3707"/>
        <v/>
      </c>
      <c r="FF243" s="66" t="str">
        <f t="shared" si="3708"/>
        <v/>
      </c>
      <c r="FG243" s="66" t="str">
        <f t="shared" si="3709"/>
        <v/>
      </c>
      <c r="FH243" s="66" t="str">
        <f t="shared" si="3710"/>
        <v/>
      </c>
      <c r="FI243" s="66" t="str">
        <f t="shared" si="3711"/>
        <v/>
      </c>
      <c r="FJ243" s="66" t="str">
        <f t="shared" si="3712"/>
        <v/>
      </c>
      <c r="FK243" s="66" t="str">
        <f t="shared" si="3713"/>
        <v/>
      </c>
      <c r="FL243" s="66" t="str">
        <f t="shared" si="3714"/>
        <v/>
      </c>
      <c r="FM243" s="66" t="str">
        <f t="shared" si="3715"/>
        <v/>
      </c>
      <c r="FN243" s="66" t="str">
        <f t="shared" si="3716"/>
        <v/>
      </c>
      <c r="FO243" s="66" t="str">
        <f t="shared" si="3717"/>
        <v/>
      </c>
      <c r="FP243" s="66" t="str">
        <f t="shared" si="3718"/>
        <v/>
      </c>
      <c r="FQ243" s="66" t="str">
        <f t="shared" si="3719"/>
        <v/>
      </c>
      <c r="FR243" s="66" t="str">
        <f t="shared" si="3720"/>
        <v/>
      </c>
      <c r="FS243" s="66" t="str">
        <f t="shared" si="3721"/>
        <v/>
      </c>
    </row>
    <row r="244" spans="1:175" ht="16.5">
      <c r="A244" s="115"/>
      <c r="B244" s="27" t="s">
        <v>792</v>
      </c>
      <c r="C244" s="29" t="s">
        <v>775</v>
      </c>
      <c r="T244" s="120"/>
      <c r="U244" s="77"/>
      <c r="CN244" s="36" t="str">
        <f t="shared" si="3646"/>
        <v>InitUnitState('IF18',,,,,,,,,,)</v>
      </c>
      <c r="CO244" s="36" t="str">
        <f t="shared" si="3647"/>
        <v>InitUnitNormal('IF18',,,,,,,,,,)</v>
      </c>
      <c r="CP244" s="36" t="str">
        <f t="shared" si="3648"/>
        <v>InitUnitMagic('IF18',,,,,,,,,,)</v>
      </c>
      <c r="CQ244" s="36" t="str">
        <f t="shared" si="3649"/>
        <v>InitUnitAdd('IF18',,,,,,,,,,)</v>
      </c>
      <c r="CR244" s="36" t="str">
        <f t="shared" si="3650"/>
        <v>InitEquipData('IF18',,"",,,,,'','','','','','',"")</v>
      </c>
      <c r="CU244" s="88" t="str">
        <f t="shared" si="3651"/>
        <v>|n</v>
      </c>
      <c r="CW244" s="33"/>
      <c r="CX244" s="33"/>
      <c r="CY244" s="33"/>
      <c r="CZ244" s="33"/>
      <c r="DA244" s="33"/>
      <c r="DB244" s="66" t="str">
        <f t="shared" si="3652"/>
        <v/>
      </c>
      <c r="DC244" s="66" t="str">
        <f t="shared" si="3653"/>
        <v/>
      </c>
      <c r="DD244" s="66" t="str">
        <f t="shared" si="3654"/>
        <v/>
      </c>
      <c r="DE244" s="66" t="str">
        <f t="shared" si="3655"/>
        <v/>
      </c>
      <c r="DF244" s="66" t="str">
        <f t="shared" si="3656"/>
        <v/>
      </c>
      <c r="DG244" s="66" t="str">
        <f t="shared" si="3657"/>
        <v/>
      </c>
      <c r="DH244" s="66" t="str">
        <f t="shared" si="3658"/>
        <v/>
      </c>
      <c r="DI244" s="66" t="str">
        <f t="shared" si="3659"/>
        <v/>
      </c>
      <c r="DJ244" s="66" t="str">
        <f t="shared" si="3660"/>
        <v/>
      </c>
      <c r="DK244" s="66" t="str">
        <f t="shared" si="3661"/>
        <v/>
      </c>
      <c r="DL244" s="66" t="str">
        <f t="shared" si="3662"/>
        <v/>
      </c>
      <c r="DM244" s="66" t="str">
        <f t="shared" si="3663"/>
        <v/>
      </c>
      <c r="DN244" s="66" t="str">
        <f t="shared" si="3664"/>
        <v/>
      </c>
      <c r="DO244" s="66" t="str">
        <f t="shared" si="3665"/>
        <v/>
      </c>
      <c r="DP244" s="66" t="str">
        <f t="shared" si="3666"/>
        <v/>
      </c>
      <c r="DQ244" s="66" t="str">
        <f t="shared" si="3667"/>
        <v/>
      </c>
      <c r="DR244" s="66" t="str">
        <f t="shared" si="3668"/>
        <v/>
      </c>
      <c r="DS244" s="66" t="str">
        <f t="shared" si="3669"/>
        <v/>
      </c>
      <c r="DT244" s="66" t="str">
        <f t="shared" si="3670"/>
        <v/>
      </c>
      <c r="DU244" s="66" t="str">
        <f t="shared" si="3671"/>
        <v/>
      </c>
      <c r="DV244" s="66" t="str">
        <f t="shared" si="3672"/>
        <v/>
      </c>
      <c r="DW244" s="66" t="str">
        <f t="shared" si="3673"/>
        <v/>
      </c>
      <c r="DX244" s="66" t="str">
        <f t="shared" si="3674"/>
        <v/>
      </c>
      <c r="DY244" s="66" t="str">
        <f t="shared" si="3675"/>
        <v/>
      </c>
      <c r="DZ244" s="66" t="str">
        <f t="shared" si="3676"/>
        <v/>
      </c>
      <c r="EA244" s="66" t="str">
        <f t="shared" si="3677"/>
        <v/>
      </c>
      <c r="EB244" s="66" t="str">
        <f t="shared" si="3678"/>
        <v/>
      </c>
      <c r="EC244" s="66" t="str">
        <f t="shared" si="3679"/>
        <v/>
      </c>
      <c r="ED244" s="66" t="str">
        <f t="shared" si="3680"/>
        <v/>
      </c>
      <c r="EE244" s="66" t="str">
        <f t="shared" si="3681"/>
        <v/>
      </c>
      <c r="EF244" s="66" t="str">
        <f t="shared" si="3682"/>
        <v/>
      </c>
      <c r="EG244" s="66" t="str">
        <f t="shared" si="3683"/>
        <v/>
      </c>
      <c r="EH244" s="66" t="str">
        <f t="shared" si="3684"/>
        <v/>
      </c>
      <c r="EI244" s="66" t="str">
        <f t="shared" si="3685"/>
        <v/>
      </c>
      <c r="EJ244" s="66" t="str">
        <f t="shared" si="3686"/>
        <v/>
      </c>
      <c r="EK244" s="66" t="str">
        <f t="shared" si="3687"/>
        <v/>
      </c>
      <c r="EL244" s="66" t="str">
        <f t="shared" si="3688"/>
        <v/>
      </c>
      <c r="EM244" s="66" t="str">
        <f t="shared" si="3689"/>
        <v/>
      </c>
      <c r="EN244" s="66" t="str">
        <f t="shared" si="3690"/>
        <v/>
      </c>
      <c r="EO244" s="66" t="str">
        <f t="shared" si="3691"/>
        <v/>
      </c>
      <c r="EP244" s="66" t="str">
        <f t="shared" si="3692"/>
        <v/>
      </c>
      <c r="EQ244" s="66" t="str">
        <f t="shared" si="3693"/>
        <v/>
      </c>
      <c r="ER244" s="66" t="str">
        <f t="shared" si="3694"/>
        <v/>
      </c>
      <c r="ES244" s="66" t="str">
        <f t="shared" si="3695"/>
        <v/>
      </c>
      <c r="ET244" s="66" t="str">
        <f t="shared" si="3696"/>
        <v/>
      </c>
      <c r="EU244" s="66" t="str">
        <f t="shared" si="3697"/>
        <v/>
      </c>
      <c r="EV244" s="66" t="str">
        <f t="shared" si="3698"/>
        <v/>
      </c>
      <c r="EW244" s="66" t="str">
        <f t="shared" si="3699"/>
        <v/>
      </c>
      <c r="EX244" s="66" t="str">
        <f t="shared" si="3700"/>
        <v/>
      </c>
      <c r="EY244" s="66" t="str">
        <f t="shared" si="3701"/>
        <v/>
      </c>
      <c r="EZ244" s="66" t="str">
        <f t="shared" si="3702"/>
        <v/>
      </c>
      <c r="FA244" s="66" t="str">
        <f t="shared" si="3703"/>
        <v/>
      </c>
      <c r="FB244" s="66" t="str">
        <f t="shared" si="3704"/>
        <v/>
      </c>
      <c r="FC244" s="66" t="str">
        <f t="shared" si="3705"/>
        <v/>
      </c>
      <c r="FD244" s="66" t="str">
        <f t="shared" si="3706"/>
        <v/>
      </c>
      <c r="FE244" s="66" t="str">
        <f t="shared" si="3707"/>
        <v/>
      </c>
      <c r="FF244" s="66" t="str">
        <f t="shared" si="3708"/>
        <v/>
      </c>
      <c r="FG244" s="66" t="str">
        <f t="shared" si="3709"/>
        <v/>
      </c>
      <c r="FH244" s="66" t="str">
        <f t="shared" si="3710"/>
        <v/>
      </c>
      <c r="FI244" s="66" t="str">
        <f t="shared" si="3711"/>
        <v/>
      </c>
      <c r="FJ244" s="66" t="str">
        <f t="shared" si="3712"/>
        <v/>
      </c>
      <c r="FK244" s="66" t="str">
        <f t="shared" si="3713"/>
        <v/>
      </c>
      <c r="FL244" s="66" t="str">
        <f t="shared" si="3714"/>
        <v/>
      </c>
      <c r="FM244" s="66" t="str">
        <f t="shared" si="3715"/>
        <v/>
      </c>
      <c r="FN244" s="66" t="str">
        <f t="shared" si="3716"/>
        <v/>
      </c>
      <c r="FO244" s="66" t="str">
        <f t="shared" si="3717"/>
        <v/>
      </c>
      <c r="FP244" s="66" t="str">
        <f t="shared" si="3718"/>
        <v/>
      </c>
      <c r="FQ244" s="66" t="str">
        <f t="shared" si="3719"/>
        <v/>
      </c>
      <c r="FR244" s="66" t="str">
        <f t="shared" si="3720"/>
        <v/>
      </c>
      <c r="FS244" s="66" t="str">
        <f t="shared" si="3721"/>
        <v/>
      </c>
    </row>
    <row r="245" spans="1:175" ht="16.5">
      <c r="A245" s="115"/>
      <c r="B245" s="27" t="s">
        <v>793</v>
      </c>
      <c r="C245" s="29" t="s">
        <v>775</v>
      </c>
      <c r="T245" s="120"/>
      <c r="U245" s="77"/>
      <c r="CN245" s="36" t="str">
        <f t="shared" si="3646"/>
        <v>InitUnitState('IF19',,,,,,,,,,)</v>
      </c>
      <c r="CO245" s="36" t="str">
        <f t="shared" si="3647"/>
        <v>InitUnitNormal('IF19',,,,,,,,,,)</v>
      </c>
      <c r="CP245" s="36" t="str">
        <f t="shared" si="3648"/>
        <v>InitUnitMagic('IF19',,,,,,,,,,)</v>
      </c>
      <c r="CQ245" s="36" t="str">
        <f t="shared" si="3649"/>
        <v>InitUnitAdd('IF19',,,,,,,,,,)</v>
      </c>
      <c r="CR245" s="36" t="str">
        <f t="shared" si="3650"/>
        <v>InitEquipData('IF19',,"",,,,,'','','','','','',"")</v>
      </c>
      <c r="CU245" s="88" t="str">
        <f t="shared" si="3651"/>
        <v>|n</v>
      </c>
      <c r="CW245" s="33"/>
      <c r="CX245" s="33"/>
      <c r="CY245" s="33"/>
      <c r="CZ245" s="33"/>
      <c r="DA245" s="33"/>
      <c r="DB245" s="66" t="str">
        <f t="shared" si="3652"/>
        <v/>
      </c>
      <c r="DC245" s="66" t="str">
        <f t="shared" si="3653"/>
        <v/>
      </c>
      <c r="DD245" s="66" t="str">
        <f t="shared" si="3654"/>
        <v/>
      </c>
      <c r="DE245" s="66" t="str">
        <f t="shared" si="3655"/>
        <v/>
      </c>
      <c r="DF245" s="66" t="str">
        <f t="shared" si="3656"/>
        <v/>
      </c>
      <c r="DG245" s="66" t="str">
        <f t="shared" si="3657"/>
        <v/>
      </c>
      <c r="DH245" s="66" t="str">
        <f t="shared" si="3658"/>
        <v/>
      </c>
      <c r="DI245" s="66" t="str">
        <f t="shared" si="3659"/>
        <v/>
      </c>
      <c r="DJ245" s="66" t="str">
        <f t="shared" si="3660"/>
        <v/>
      </c>
      <c r="DK245" s="66" t="str">
        <f t="shared" si="3661"/>
        <v/>
      </c>
      <c r="DL245" s="66" t="str">
        <f t="shared" si="3662"/>
        <v/>
      </c>
      <c r="DM245" s="66" t="str">
        <f t="shared" si="3663"/>
        <v/>
      </c>
      <c r="DN245" s="66" t="str">
        <f t="shared" si="3664"/>
        <v/>
      </c>
      <c r="DO245" s="66" t="str">
        <f t="shared" si="3665"/>
        <v/>
      </c>
      <c r="DP245" s="66" t="str">
        <f t="shared" si="3666"/>
        <v/>
      </c>
      <c r="DQ245" s="66" t="str">
        <f t="shared" si="3667"/>
        <v/>
      </c>
      <c r="DR245" s="66" t="str">
        <f t="shared" si="3668"/>
        <v/>
      </c>
      <c r="DS245" s="66" t="str">
        <f t="shared" si="3669"/>
        <v/>
      </c>
      <c r="DT245" s="66" t="str">
        <f t="shared" si="3670"/>
        <v/>
      </c>
      <c r="DU245" s="66" t="str">
        <f t="shared" si="3671"/>
        <v/>
      </c>
      <c r="DV245" s="66" t="str">
        <f t="shared" si="3672"/>
        <v/>
      </c>
      <c r="DW245" s="66" t="str">
        <f t="shared" si="3673"/>
        <v/>
      </c>
      <c r="DX245" s="66" t="str">
        <f t="shared" si="3674"/>
        <v/>
      </c>
      <c r="DY245" s="66" t="str">
        <f t="shared" si="3675"/>
        <v/>
      </c>
      <c r="DZ245" s="66" t="str">
        <f t="shared" si="3676"/>
        <v/>
      </c>
      <c r="EA245" s="66" t="str">
        <f t="shared" si="3677"/>
        <v/>
      </c>
      <c r="EB245" s="66" t="str">
        <f t="shared" si="3678"/>
        <v/>
      </c>
      <c r="EC245" s="66" t="str">
        <f t="shared" si="3679"/>
        <v/>
      </c>
      <c r="ED245" s="66" t="str">
        <f t="shared" si="3680"/>
        <v/>
      </c>
      <c r="EE245" s="66" t="str">
        <f t="shared" si="3681"/>
        <v/>
      </c>
      <c r="EF245" s="66" t="str">
        <f t="shared" si="3682"/>
        <v/>
      </c>
      <c r="EG245" s="66" t="str">
        <f t="shared" si="3683"/>
        <v/>
      </c>
      <c r="EH245" s="66" t="str">
        <f t="shared" si="3684"/>
        <v/>
      </c>
      <c r="EI245" s="66" t="str">
        <f t="shared" si="3685"/>
        <v/>
      </c>
      <c r="EJ245" s="66" t="str">
        <f t="shared" si="3686"/>
        <v/>
      </c>
      <c r="EK245" s="66" t="str">
        <f t="shared" si="3687"/>
        <v/>
      </c>
      <c r="EL245" s="66" t="str">
        <f t="shared" si="3688"/>
        <v/>
      </c>
      <c r="EM245" s="66" t="str">
        <f t="shared" si="3689"/>
        <v/>
      </c>
      <c r="EN245" s="66" t="str">
        <f t="shared" si="3690"/>
        <v/>
      </c>
      <c r="EO245" s="66" t="str">
        <f t="shared" si="3691"/>
        <v/>
      </c>
      <c r="EP245" s="66" t="str">
        <f t="shared" si="3692"/>
        <v/>
      </c>
      <c r="EQ245" s="66" t="str">
        <f t="shared" si="3693"/>
        <v/>
      </c>
      <c r="ER245" s="66" t="str">
        <f t="shared" si="3694"/>
        <v/>
      </c>
      <c r="ES245" s="66" t="str">
        <f t="shared" si="3695"/>
        <v/>
      </c>
      <c r="ET245" s="66" t="str">
        <f t="shared" si="3696"/>
        <v/>
      </c>
      <c r="EU245" s="66" t="str">
        <f t="shared" si="3697"/>
        <v/>
      </c>
      <c r="EV245" s="66" t="str">
        <f t="shared" si="3698"/>
        <v/>
      </c>
      <c r="EW245" s="66" t="str">
        <f t="shared" si="3699"/>
        <v/>
      </c>
      <c r="EX245" s="66" t="str">
        <f t="shared" si="3700"/>
        <v/>
      </c>
      <c r="EY245" s="66" t="str">
        <f t="shared" si="3701"/>
        <v/>
      </c>
      <c r="EZ245" s="66" t="str">
        <f t="shared" si="3702"/>
        <v/>
      </c>
      <c r="FA245" s="66" t="str">
        <f t="shared" si="3703"/>
        <v/>
      </c>
      <c r="FB245" s="66" t="str">
        <f t="shared" si="3704"/>
        <v/>
      </c>
      <c r="FC245" s="66" t="str">
        <f t="shared" si="3705"/>
        <v/>
      </c>
      <c r="FD245" s="66" t="str">
        <f t="shared" si="3706"/>
        <v/>
      </c>
      <c r="FE245" s="66" t="str">
        <f t="shared" si="3707"/>
        <v/>
      </c>
      <c r="FF245" s="66" t="str">
        <f t="shared" si="3708"/>
        <v/>
      </c>
      <c r="FG245" s="66" t="str">
        <f t="shared" si="3709"/>
        <v/>
      </c>
      <c r="FH245" s="66" t="str">
        <f t="shared" si="3710"/>
        <v/>
      </c>
      <c r="FI245" s="66" t="str">
        <f t="shared" si="3711"/>
        <v/>
      </c>
      <c r="FJ245" s="66" t="str">
        <f t="shared" si="3712"/>
        <v/>
      </c>
      <c r="FK245" s="66" t="str">
        <f t="shared" si="3713"/>
        <v/>
      </c>
      <c r="FL245" s="66" t="str">
        <f t="shared" si="3714"/>
        <v/>
      </c>
      <c r="FM245" s="66" t="str">
        <f t="shared" si="3715"/>
        <v/>
      </c>
      <c r="FN245" s="66" t="str">
        <f t="shared" si="3716"/>
        <v/>
      </c>
      <c r="FO245" s="66" t="str">
        <f t="shared" si="3717"/>
        <v/>
      </c>
      <c r="FP245" s="66" t="str">
        <f t="shared" si="3718"/>
        <v/>
      </c>
      <c r="FQ245" s="66" t="str">
        <f t="shared" si="3719"/>
        <v/>
      </c>
      <c r="FR245" s="66" t="str">
        <f t="shared" si="3720"/>
        <v/>
      </c>
      <c r="FS245" s="66" t="str">
        <f t="shared" si="3721"/>
        <v/>
      </c>
    </row>
    <row r="246" spans="1:175" ht="16.5">
      <c r="A246" s="115"/>
      <c r="B246" s="27" t="s">
        <v>794</v>
      </c>
      <c r="C246" s="29" t="s">
        <v>775</v>
      </c>
      <c r="T246" s="120"/>
      <c r="U246" s="77"/>
      <c r="CN246" s="36" t="str">
        <f t="shared" si="3646"/>
        <v>InitUnitState('IF20',,,,,,,,,,)</v>
      </c>
      <c r="CO246" s="36" t="str">
        <f t="shared" si="3647"/>
        <v>InitUnitNormal('IF20',,,,,,,,,,)</v>
      </c>
      <c r="CP246" s="36" t="str">
        <f t="shared" si="3648"/>
        <v>InitUnitMagic('IF20',,,,,,,,,,)</v>
      </c>
      <c r="CQ246" s="36" t="str">
        <f t="shared" si="3649"/>
        <v>InitUnitAdd('IF20',,,,,,,,,,)</v>
      </c>
      <c r="CR246" s="36" t="str">
        <f t="shared" si="3650"/>
        <v>InitEquipData('IF20',,"",,,,,'','','','','','',"")</v>
      </c>
      <c r="CU246" s="88" t="str">
        <f t="shared" si="3651"/>
        <v>|n</v>
      </c>
      <c r="CW246" s="33"/>
      <c r="CX246" s="33"/>
      <c r="CY246" s="33"/>
      <c r="CZ246" s="33"/>
      <c r="DA246" s="33"/>
      <c r="DB246" s="66" t="str">
        <f t="shared" si="3652"/>
        <v/>
      </c>
      <c r="DC246" s="66" t="str">
        <f t="shared" si="3653"/>
        <v/>
      </c>
      <c r="DD246" s="66" t="str">
        <f t="shared" si="3654"/>
        <v/>
      </c>
      <c r="DE246" s="66" t="str">
        <f t="shared" si="3655"/>
        <v/>
      </c>
      <c r="DF246" s="66" t="str">
        <f t="shared" si="3656"/>
        <v/>
      </c>
      <c r="DG246" s="66" t="str">
        <f t="shared" si="3657"/>
        <v/>
      </c>
      <c r="DH246" s="66" t="str">
        <f t="shared" si="3658"/>
        <v/>
      </c>
      <c r="DI246" s="66" t="str">
        <f t="shared" si="3659"/>
        <v/>
      </c>
      <c r="DJ246" s="66" t="str">
        <f t="shared" si="3660"/>
        <v/>
      </c>
      <c r="DK246" s="66" t="str">
        <f t="shared" si="3661"/>
        <v/>
      </c>
      <c r="DL246" s="66" t="str">
        <f t="shared" si="3662"/>
        <v/>
      </c>
      <c r="DM246" s="66" t="str">
        <f t="shared" si="3663"/>
        <v/>
      </c>
      <c r="DN246" s="66" t="str">
        <f t="shared" si="3664"/>
        <v/>
      </c>
      <c r="DO246" s="66" t="str">
        <f t="shared" si="3665"/>
        <v/>
      </c>
      <c r="DP246" s="66" t="str">
        <f t="shared" si="3666"/>
        <v/>
      </c>
      <c r="DQ246" s="66" t="str">
        <f t="shared" si="3667"/>
        <v/>
      </c>
      <c r="DR246" s="66" t="str">
        <f t="shared" si="3668"/>
        <v/>
      </c>
      <c r="DS246" s="66" t="str">
        <f t="shared" si="3669"/>
        <v/>
      </c>
      <c r="DT246" s="66" t="str">
        <f t="shared" si="3670"/>
        <v/>
      </c>
      <c r="DU246" s="66" t="str">
        <f t="shared" si="3671"/>
        <v/>
      </c>
      <c r="DV246" s="66" t="str">
        <f t="shared" si="3672"/>
        <v/>
      </c>
      <c r="DW246" s="66" t="str">
        <f t="shared" si="3673"/>
        <v/>
      </c>
      <c r="DX246" s="66" t="str">
        <f t="shared" si="3674"/>
        <v/>
      </c>
      <c r="DY246" s="66" t="str">
        <f t="shared" si="3675"/>
        <v/>
      </c>
      <c r="DZ246" s="66" t="str">
        <f t="shared" si="3676"/>
        <v/>
      </c>
      <c r="EA246" s="66" t="str">
        <f t="shared" si="3677"/>
        <v/>
      </c>
      <c r="EB246" s="66" t="str">
        <f t="shared" si="3678"/>
        <v/>
      </c>
      <c r="EC246" s="66" t="str">
        <f t="shared" si="3679"/>
        <v/>
      </c>
      <c r="ED246" s="66" t="str">
        <f t="shared" si="3680"/>
        <v/>
      </c>
      <c r="EE246" s="66" t="str">
        <f t="shared" si="3681"/>
        <v/>
      </c>
      <c r="EF246" s="66" t="str">
        <f t="shared" si="3682"/>
        <v/>
      </c>
      <c r="EG246" s="66" t="str">
        <f t="shared" si="3683"/>
        <v/>
      </c>
      <c r="EH246" s="66" t="str">
        <f t="shared" si="3684"/>
        <v/>
      </c>
      <c r="EI246" s="66" t="str">
        <f t="shared" si="3685"/>
        <v/>
      </c>
      <c r="EJ246" s="66" t="str">
        <f t="shared" si="3686"/>
        <v/>
      </c>
      <c r="EK246" s="66" t="str">
        <f t="shared" si="3687"/>
        <v/>
      </c>
      <c r="EL246" s="66" t="str">
        <f t="shared" si="3688"/>
        <v/>
      </c>
      <c r="EM246" s="66" t="str">
        <f t="shared" si="3689"/>
        <v/>
      </c>
      <c r="EN246" s="66" t="str">
        <f t="shared" si="3690"/>
        <v/>
      </c>
      <c r="EO246" s="66" t="str">
        <f t="shared" si="3691"/>
        <v/>
      </c>
      <c r="EP246" s="66" t="str">
        <f t="shared" si="3692"/>
        <v/>
      </c>
      <c r="EQ246" s="66" t="str">
        <f t="shared" si="3693"/>
        <v/>
      </c>
      <c r="ER246" s="66" t="str">
        <f t="shared" si="3694"/>
        <v/>
      </c>
      <c r="ES246" s="66" t="str">
        <f t="shared" si="3695"/>
        <v/>
      </c>
      <c r="ET246" s="66" t="str">
        <f t="shared" si="3696"/>
        <v/>
      </c>
      <c r="EU246" s="66" t="str">
        <f t="shared" si="3697"/>
        <v/>
      </c>
      <c r="EV246" s="66" t="str">
        <f t="shared" si="3698"/>
        <v/>
      </c>
      <c r="EW246" s="66" t="str">
        <f t="shared" si="3699"/>
        <v/>
      </c>
      <c r="EX246" s="66" t="str">
        <f t="shared" si="3700"/>
        <v/>
      </c>
      <c r="EY246" s="66" t="str">
        <f t="shared" si="3701"/>
        <v/>
      </c>
      <c r="EZ246" s="66" t="str">
        <f t="shared" si="3702"/>
        <v/>
      </c>
      <c r="FA246" s="66" t="str">
        <f t="shared" si="3703"/>
        <v/>
      </c>
      <c r="FB246" s="66" t="str">
        <f t="shared" si="3704"/>
        <v/>
      </c>
      <c r="FC246" s="66" t="str">
        <f t="shared" si="3705"/>
        <v/>
      </c>
      <c r="FD246" s="66" t="str">
        <f t="shared" si="3706"/>
        <v/>
      </c>
      <c r="FE246" s="66" t="str">
        <f t="shared" si="3707"/>
        <v/>
      </c>
      <c r="FF246" s="66" t="str">
        <f t="shared" si="3708"/>
        <v/>
      </c>
      <c r="FG246" s="66" t="str">
        <f t="shared" si="3709"/>
        <v/>
      </c>
      <c r="FH246" s="66" t="str">
        <f t="shared" si="3710"/>
        <v/>
      </c>
      <c r="FI246" s="66" t="str">
        <f t="shared" si="3711"/>
        <v/>
      </c>
      <c r="FJ246" s="66" t="str">
        <f t="shared" si="3712"/>
        <v/>
      </c>
      <c r="FK246" s="66" t="str">
        <f t="shared" si="3713"/>
        <v/>
      </c>
      <c r="FL246" s="66" t="str">
        <f t="shared" si="3714"/>
        <v/>
      </c>
      <c r="FM246" s="66" t="str">
        <f t="shared" si="3715"/>
        <v/>
      </c>
      <c r="FN246" s="66" t="str">
        <f t="shared" si="3716"/>
        <v/>
      </c>
      <c r="FO246" s="66" t="str">
        <f t="shared" si="3717"/>
        <v/>
      </c>
      <c r="FP246" s="66" t="str">
        <f t="shared" si="3718"/>
        <v/>
      </c>
      <c r="FQ246" s="66" t="str">
        <f t="shared" si="3719"/>
        <v/>
      </c>
      <c r="FR246" s="66" t="str">
        <f t="shared" si="3720"/>
        <v/>
      </c>
      <c r="FS246" s="66" t="str">
        <f t="shared" si="3721"/>
        <v/>
      </c>
    </row>
    <row r="247" spans="1:175">
      <c r="A247" s="27"/>
      <c r="B247" s="27" t="s">
        <v>795</v>
      </c>
      <c r="C247" s="29" t="s">
        <v>775</v>
      </c>
      <c r="T247" s="121"/>
      <c r="U247" s="77"/>
      <c r="CN247" s="36" t="str">
        <f t="shared" si="3646"/>
        <v>InitUnitState('IF21',,,,,,,,,,)</v>
      </c>
      <c r="CO247" s="36" t="str">
        <f t="shared" si="3647"/>
        <v>InitUnitNormal('IF21',,,,,,,,,,)</v>
      </c>
      <c r="CP247" s="36" t="str">
        <f t="shared" si="3648"/>
        <v>InitUnitMagic('IF21',,,,,,,,,,)</v>
      </c>
      <c r="CQ247" s="36" t="str">
        <f t="shared" si="3649"/>
        <v>InitUnitAdd('IF21',,,,,,,,,,)</v>
      </c>
      <c r="CR247" s="36" t="str">
        <f t="shared" si="3650"/>
        <v>InitEquipData('IF21',,"",,,,,'','','','','','',"")</v>
      </c>
      <c r="CU247" s="88" t="str">
        <f t="shared" si="3651"/>
        <v>|n</v>
      </c>
      <c r="CW247" s="33"/>
      <c r="CX247" s="33"/>
      <c r="CY247" s="33"/>
      <c r="CZ247" s="33"/>
      <c r="DA247" s="33"/>
      <c r="DB247" s="66" t="str">
        <f t="shared" si="3652"/>
        <v/>
      </c>
      <c r="DC247" s="66" t="str">
        <f t="shared" si="3653"/>
        <v/>
      </c>
      <c r="DD247" s="66" t="str">
        <f t="shared" si="3654"/>
        <v/>
      </c>
      <c r="DE247" s="66" t="str">
        <f t="shared" si="3655"/>
        <v/>
      </c>
      <c r="DF247" s="66" t="str">
        <f t="shared" si="3656"/>
        <v/>
      </c>
      <c r="DG247" s="66" t="str">
        <f t="shared" si="3657"/>
        <v/>
      </c>
      <c r="DH247" s="66" t="str">
        <f t="shared" si="3658"/>
        <v/>
      </c>
      <c r="DI247" s="66" t="str">
        <f t="shared" si="3659"/>
        <v/>
      </c>
      <c r="DJ247" s="66" t="str">
        <f t="shared" si="3660"/>
        <v/>
      </c>
      <c r="DK247" s="66" t="str">
        <f t="shared" si="3661"/>
        <v/>
      </c>
      <c r="DL247" s="66" t="str">
        <f t="shared" si="3662"/>
        <v/>
      </c>
      <c r="DM247" s="66" t="str">
        <f t="shared" si="3663"/>
        <v/>
      </c>
      <c r="DN247" s="66" t="str">
        <f t="shared" si="3664"/>
        <v/>
      </c>
      <c r="DO247" s="66" t="str">
        <f t="shared" si="3665"/>
        <v/>
      </c>
      <c r="DP247" s="66" t="str">
        <f t="shared" si="3666"/>
        <v/>
      </c>
      <c r="DQ247" s="66" t="str">
        <f t="shared" si="3667"/>
        <v/>
      </c>
      <c r="DR247" s="66" t="str">
        <f t="shared" si="3668"/>
        <v/>
      </c>
      <c r="DS247" s="66" t="str">
        <f t="shared" si="3669"/>
        <v/>
      </c>
      <c r="DT247" s="66" t="str">
        <f t="shared" si="3670"/>
        <v/>
      </c>
      <c r="DU247" s="66" t="str">
        <f t="shared" si="3671"/>
        <v/>
      </c>
      <c r="DV247" s="66" t="str">
        <f t="shared" si="3672"/>
        <v/>
      </c>
      <c r="DW247" s="66" t="str">
        <f t="shared" si="3673"/>
        <v/>
      </c>
      <c r="DX247" s="66" t="str">
        <f t="shared" si="3674"/>
        <v/>
      </c>
      <c r="DY247" s="66" t="str">
        <f t="shared" si="3675"/>
        <v/>
      </c>
      <c r="DZ247" s="66" t="str">
        <f t="shared" si="3676"/>
        <v/>
      </c>
      <c r="EA247" s="66" t="str">
        <f t="shared" si="3677"/>
        <v/>
      </c>
      <c r="EB247" s="66" t="str">
        <f t="shared" si="3678"/>
        <v/>
      </c>
      <c r="EC247" s="66" t="str">
        <f t="shared" si="3679"/>
        <v/>
      </c>
      <c r="ED247" s="66" t="str">
        <f t="shared" si="3680"/>
        <v/>
      </c>
      <c r="EE247" s="66" t="str">
        <f t="shared" si="3681"/>
        <v/>
      </c>
      <c r="EF247" s="66" t="str">
        <f t="shared" si="3682"/>
        <v/>
      </c>
      <c r="EG247" s="66" t="str">
        <f t="shared" si="3683"/>
        <v/>
      </c>
      <c r="EH247" s="66" t="str">
        <f t="shared" si="3684"/>
        <v/>
      </c>
      <c r="EI247" s="66" t="str">
        <f t="shared" si="3685"/>
        <v/>
      </c>
      <c r="EJ247" s="66" t="str">
        <f t="shared" si="3686"/>
        <v/>
      </c>
      <c r="EK247" s="66" t="str">
        <f t="shared" si="3687"/>
        <v/>
      </c>
      <c r="EL247" s="66" t="str">
        <f t="shared" si="3688"/>
        <v/>
      </c>
      <c r="EM247" s="66" t="str">
        <f t="shared" si="3689"/>
        <v/>
      </c>
      <c r="EN247" s="66" t="str">
        <f t="shared" si="3690"/>
        <v/>
      </c>
      <c r="EO247" s="66" t="str">
        <f t="shared" si="3691"/>
        <v/>
      </c>
      <c r="EP247" s="66" t="str">
        <f t="shared" si="3692"/>
        <v/>
      </c>
      <c r="EQ247" s="66" t="str">
        <f t="shared" si="3693"/>
        <v/>
      </c>
      <c r="ER247" s="66" t="str">
        <f t="shared" si="3694"/>
        <v/>
      </c>
      <c r="ES247" s="66" t="str">
        <f t="shared" si="3695"/>
        <v/>
      </c>
      <c r="ET247" s="66" t="str">
        <f t="shared" si="3696"/>
        <v/>
      </c>
      <c r="EU247" s="66" t="str">
        <f t="shared" si="3697"/>
        <v/>
      </c>
      <c r="EV247" s="66" t="str">
        <f t="shared" si="3698"/>
        <v/>
      </c>
      <c r="EW247" s="66" t="str">
        <f t="shared" si="3699"/>
        <v/>
      </c>
      <c r="EX247" s="66" t="str">
        <f t="shared" si="3700"/>
        <v/>
      </c>
      <c r="EY247" s="66" t="str">
        <f t="shared" si="3701"/>
        <v/>
      </c>
      <c r="EZ247" s="66" t="str">
        <f t="shared" si="3702"/>
        <v/>
      </c>
      <c r="FA247" s="66" t="str">
        <f t="shared" si="3703"/>
        <v/>
      </c>
      <c r="FB247" s="66" t="str">
        <f t="shared" si="3704"/>
        <v/>
      </c>
      <c r="FC247" s="66" t="str">
        <f t="shared" si="3705"/>
        <v/>
      </c>
      <c r="FD247" s="66" t="str">
        <f t="shared" si="3706"/>
        <v/>
      </c>
      <c r="FE247" s="66" t="str">
        <f t="shared" si="3707"/>
        <v/>
      </c>
      <c r="FF247" s="66" t="str">
        <f t="shared" si="3708"/>
        <v/>
      </c>
      <c r="FG247" s="66" t="str">
        <f t="shared" si="3709"/>
        <v/>
      </c>
      <c r="FH247" s="66" t="str">
        <f t="shared" si="3710"/>
        <v/>
      </c>
      <c r="FI247" s="66" t="str">
        <f t="shared" si="3711"/>
        <v/>
      </c>
      <c r="FJ247" s="66" t="str">
        <f t="shared" si="3712"/>
        <v/>
      </c>
      <c r="FK247" s="66" t="str">
        <f t="shared" si="3713"/>
        <v/>
      </c>
      <c r="FL247" s="66" t="str">
        <f t="shared" si="3714"/>
        <v/>
      </c>
      <c r="FM247" s="66" t="str">
        <f t="shared" si="3715"/>
        <v/>
      </c>
      <c r="FN247" s="66" t="str">
        <f t="shared" si="3716"/>
        <v/>
      </c>
      <c r="FO247" s="66" t="str">
        <f t="shared" si="3717"/>
        <v/>
      </c>
      <c r="FP247" s="66" t="str">
        <f t="shared" si="3718"/>
        <v/>
      </c>
      <c r="FQ247" s="66" t="str">
        <f t="shared" si="3719"/>
        <v/>
      </c>
      <c r="FR247" s="66" t="str">
        <f t="shared" si="3720"/>
        <v/>
      </c>
      <c r="FS247" s="66" t="str">
        <f t="shared" si="3721"/>
        <v/>
      </c>
    </row>
    <row r="248" spans="1:175">
      <c r="A248" s="27"/>
      <c r="B248" s="27" t="s">
        <v>796</v>
      </c>
      <c r="C248" s="29" t="s">
        <v>775</v>
      </c>
      <c r="T248" s="121"/>
      <c r="U248" s="77"/>
      <c r="CN248" s="36" t="str">
        <f t="shared" si="3646"/>
        <v>InitUnitState('IF22',,,,,,,,,,)</v>
      </c>
      <c r="CO248" s="36" t="str">
        <f t="shared" si="3647"/>
        <v>InitUnitNormal('IF22',,,,,,,,,,)</v>
      </c>
      <c r="CP248" s="36" t="str">
        <f t="shared" si="3648"/>
        <v>InitUnitMagic('IF22',,,,,,,,,,)</v>
      </c>
      <c r="CQ248" s="36" t="str">
        <f t="shared" si="3649"/>
        <v>InitUnitAdd('IF22',,,,,,,,,,)</v>
      </c>
      <c r="CR248" s="36" t="str">
        <f t="shared" si="3650"/>
        <v>InitEquipData('IF22',,"",,,,,'','','','','','',"")</v>
      </c>
      <c r="CU248" s="88" t="str">
        <f t="shared" si="3651"/>
        <v>|n</v>
      </c>
      <c r="CW248" s="33"/>
      <c r="CX248" s="33"/>
      <c r="CY248" s="33"/>
      <c r="CZ248" s="33"/>
      <c r="DA248" s="33"/>
      <c r="DB248" s="66" t="str">
        <f t="shared" si="3652"/>
        <v/>
      </c>
      <c r="DC248" s="66" t="str">
        <f t="shared" si="3653"/>
        <v/>
      </c>
      <c r="DD248" s="66" t="str">
        <f t="shared" si="3654"/>
        <v/>
      </c>
      <c r="DE248" s="66" t="str">
        <f t="shared" si="3655"/>
        <v/>
      </c>
      <c r="DF248" s="66" t="str">
        <f t="shared" si="3656"/>
        <v/>
      </c>
      <c r="DG248" s="66" t="str">
        <f t="shared" si="3657"/>
        <v/>
      </c>
      <c r="DH248" s="66" t="str">
        <f t="shared" si="3658"/>
        <v/>
      </c>
      <c r="DI248" s="66" t="str">
        <f t="shared" si="3659"/>
        <v/>
      </c>
      <c r="DJ248" s="66" t="str">
        <f t="shared" si="3660"/>
        <v/>
      </c>
      <c r="DK248" s="66" t="str">
        <f t="shared" si="3661"/>
        <v/>
      </c>
      <c r="DL248" s="66" t="str">
        <f t="shared" si="3662"/>
        <v/>
      </c>
      <c r="DM248" s="66" t="str">
        <f t="shared" si="3663"/>
        <v/>
      </c>
      <c r="DN248" s="66" t="str">
        <f t="shared" si="3664"/>
        <v/>
      </c>
      <c r="DO248" s="66" t="str">
        <f t="shared" si="3665"/>
        <v/>
      </c>
      <c r="DP248" s="66" t="str">
        <f t="shared" si="3666"/>
        <v/>
      </c>
      <c r="DQ248" s="66" t="str">
        <f t="shared" si="3667"/>
        <v/>
      </c>
      <c r="DR248" s="66" t="str">
        <f t="shared" si="3668"/>
        <v/>
      </c>
      <c r="DS248" s="66" t="str">
        <f t="shared" si="3669"/>
        <v/>
      </c>
      <c r="DT248" s="66" t="str">
        <f t="shared" si="3670"/>
        <v/>
      </c>
      <c r="DU248" s="66" t="str">
        <f t="shared" si="3671"/>
        <v/>
      </c>
      <c r="DV248" s="66" t="str">
        <f t="shared" si="3672"/>
        <v/>
      </c>
      <c r="DW248" s="66" t="str">
        <f t="shared" si="3673"/>
        <v/>
      </c>
      <c r="DX248" s="66" t="str">
        <f t="shared" si="3674"/>
        <v/>
      </c>
      <c r="DY248" s="66" t="str">
        <f t="shared" si="3675"/>
        <v/>
      </c>
      <c r="DZ248" s="66" t="str">
        <f t="shared" si="3676"/>
        <v/>
      </c>
      <c r="EA248" s="66" t="str">
        <f t="shared" si="3677"/>
        <v/>
      </c>
      <c r="EB248" s="66" t="str">
        <f t="shared" si="3678"/>
        <v/>
      </c>
      <c r="EC248" s="66" t="str">
        <f t="shared" si="3679"/>
        <v/>
      </c>
      <c r="ED248" s="66" t="str">
        <f t="shared" si="3680"/>
        <v/>
      </c>
      <c r="EE248" s="66" t="str">
        <f t="shared" si="3681"/>
        <v/>
      </c>
      <c r="EF248" s="66" t="str">
        <f t="shared" si="3682"/>
        <v/>
      </c>
      <c r="EG248" s="66" t="str">
        <f t="shared" si="3683"/>
        <v/>
      </c>
      <c r="EH248" s="66" t="str">
        <f t="shared" si="3684"/>
        <v/>
      </c>
      <c r="EI248" s="66" t="str">
        <f t="shared" si="3685"/>
        <v/>
      </c>
      <c r="EJ248" s="66" t="str">
        <f t="shared" si="3686"/>
        <v/>
      </c>
      <c r="EK248" s="66" t="str">
        <f t="shared" si="3687"/>
        <v/>
      </c>
      <c r="EL248" s="66" t="str">
        <f t="shared" si="3688"/>
        <v/>
      </c>
      <c r="EM248" s="66" t="str">
        <f t="shared" si="3689"/>
        <v/>
      </c>
      <c r="EN248" s="66" t="str">
        <f t="shared" si="3690"/>
        <v/>
      </c>
      <c r="EO248" s="66" t="str">
        <f t="shared" si="3691"/>
        <v/>
      </c>
      <c r="EP248" s="66" t="str">
        <f t="shared" si="3692"/>
        <v/>
      </c>
      <c r="EQ248" s="66" t="str">
        <f t="shared" si="3693"/>
        <v/>
      </c>
      <c r="ER248" s="66" t="str">
        <f t="shared" si="3694"/>
        <v/>
      </c>
      <c r="ES248" s="66" t="str">
        <f t="shared" si="3695"/>
        <v/>
      </c>
      <c r="ET248" s="66" t="str">
        <f t="shared" si="3696"/>
        <v/>
      </c>
      <c r="EU248" s="66" t="str">
        <f t="shared" si="3697"/>
        <v/>
      </c>
      <c r="EV248" s="66" t="str">
        <f t="shared" si="3698"/>
        <v/>
      </c>
      <c r="EW248" s="66" t="str">
        <f t="shared" si="3699"/>
        <v/>
      </c>
      <c r="EX248" s="66" t="str">
        <f t="shared" si="3700"/>
        <v/>
      </c>
      <c r="EY248" s="66" t="str">
        <f t="shared" si="3701"/>
        <v/>
      </c>
      <c r="EZ248" s="66" t="str">
        <f t="shared" si="3702"/>
        <v/>
      </c>
      <c r="FA248" s="66" t="str">
        <f t="shared" si="3703"/>
        <v/>
      </c>
      <c r="FB248" s="66" t="str">
        <f t="shared" si="3704"/>
        <v/>
      </c>
      <c r="FC248" s="66" t="str">
        <f t="shared" si="3705"/>
        <v/>
      </c>
      <c r="FD248" s="66" t="str">
        <f t="shared" si="3706"/>
        <v/>
      </c>
      <c r="FE248" s="66" t="str">
        <f t="shared" si="3707"/>
        <v/>
      </c>
      <c r="FF248" s="66" t="str">
        <f t="shared" si="3708"/>
        <v/>
      </c>
      <c r="FG248" s="66" t="str">
        <f t="shared" si="3709"/>
        <v/>
      </c>
      <c r="FH248" s="66" t="str">
        <f t="shared" si="3710"/>
        <v/>
      </c>
      <c r="FI248" s="66" t="str">
        <f t="shared" si="3711"/>
        <v/>
      </c>
      <c r="FJ248" s="66" t="str">
        <f t="shared" si="3712"/>
        <v/>
      </c>
      <c r="FK248" s="66" t="str">
        <f t="shared" si="3713"/>
        <v/>
      </c>
      <c r="FL248" s="66" t="str">
        <f t="shared" si="3714"/>
        <v/>
      </c>
      <c r="FM248" s="66" t="str">
        <f t="shared" si="3715"/>
        <v/>
      </c>
      <c r="FN248" s="66" t="str">
        <f t="shared" si="3716"/>
        <v/>
      </c>
      <c r="FO248" s="66" t="str">
        <f t="shared" si="3717"/>
        <v/>
      </c>
      <c r="FP248" s="66" t="str">
        <f t="shared" si="3718"/>
        <v/>
      </c>
      <c r="FQ248" s="66" t="str">
        <f t="shared" si="3719"/>
        <v/>
      </c>
      <c r="FR248" s="66" t="str">
        <f t="shared" si="3720"/>
        <v/>
      </c>
      <c r="FS248" s="66" t="str">
        <f t="shared" si="3721"/>
        <v/>
      </c>
    </row>
    <row r="249" spans="1:175">
      <c r="A249" s="27"/>
      <c r="B249" s="27" t="s">
        <v>797</v>
      </c>
      <c r="C249" s="29" t="s">
        <v>775</v>
      </c>
      <c r="T249" s="121"/>
      <c r="U249" s="77"/>
      <c r="CN249" s="36" t="str">
        <f t="shared" si="3646"/>
        <v>InitUnitState('IF23',,,,,,,,,,)</v>
      </c>
      <c r="CO249" s="36" t="str">
        <f t="shared" si="3647"/>
        <v>InitUnitNormal('IF23',,,,,,,,,,)</v>
      </c>
      <c r="CP249" s="36" t="str">
        <f t="shared" si="3648"/>
        <v>InitUnitMagic('IF23',,,,,,,,,,)</v>
      </c>
      <c r="CQ249" s="36" t="str">
        <f t="shared" si="3649"/>
        <v>InitUnitAdd('IF23',,,,,,,,,,)</v>
      </c>
      <c r="CR249" s="36" t="str">
        <f t="shared" si="3650"/>
        <v>InitEquipData('IF23',,"",,,,,'','','','','','',"")</v>
      </c>
      <c r="CU249" s="88" t="str">
        <f t="shared" si="3651"/>
        <v>|n</v>
      </c>
      <c r="CW249" s="33"/>
      <c r="CX249" s="33"/>
      <c r="CY249" s="33"/>
      <c r="CZ249" s="33"/>
      <c r="DA249" s="33"/>
      <c r="DB249" s="66" t="str">
        <f t="shared" si="3652"/>
        <v/>
      </c>
      <c r="DC249" s="66" t="str">
        <f t="shared" si="3653"/>
        <v/>
      </c>
      <c r="DD249" s="66" t="str">
        <f t="shared" si="3654"/>
        <v/>
      </c>
      <c r="DE249" s="66" t="str">
        <f t="shared" si="3655"/>
        <v/>
      </c>
      <c r="DF249" s="66" t="str">
        <f t="shared" si="3656"/>
        <v/>
      </c>
      <c r="DG249" s="66" t="str">
        <f t="shared" si="3657"/>
        <v/>
      </c>
      <c r="DH249" s="66" t="str">
        <f t="shared" si="3658"/>
        <v/>
      </c>
      <c r="DI249" s="66" t="str">
        <f t="shared" si="3659"/>
        <v/>
      </c>
      <c r="DJ249" s="66" t="str">
        <f t="shared" si="3660"/>
        <v/>
      </c>
      <c r="DK249" s="66" t="str">
        <f t="shared" si="3661"/>
        <v/>
      </c>
      <c r="DL249" s="66" t="str">
        <f t="shared" si="3662"/>
        <v/>
      </c>
      <c r="DM249" s="66" t="str">
        <f t="shared" si="3663"/>
        <v/>
      </c>
      <c r="DN249" s="66" t="str">
        <f t="shared" si="3664"/>
        <v/>
      </c>
      <c r="DO249" s="66" t="str">
        <f t="shared" si="3665"/>
        <v/>
      </c>
      <c r="DP249" s="66" t="str">
        <f t="shared" si="3666"/>
        <v/>
      </c>
      <c r="DQ249" s="66" t="str">
        <f t="shared" si="3667"/>
        <v/>
      </c>
      <c r="DR249" s="66" t="str">
        <f t="shared" si="3668"/>
        <v/>
      </c>
      <c r="DS249" s="66" t="str">
        <f t="shared" si="3669"/>
        <v/>
      </c>
      <c r="DT249" s="66" t="str">
        <f t="shared" si="3670"/>
        <v/>
      </c>
      <c r="DU249" s="66" t="str">
        <f t="shared" si="3671"/>
        <v/>
      </c>
      <c r="DV249" s="66" t="str">
        <f t="shared" si="3672"/>
        <v/>
      </c>
      <c r="DW249" s="66" t="str">
        <f t="shared" si="3673"/>
        <v/>
      </c>
      <c r="DX249" s="66" t="str">
        <f t="shared" si="3674"/>
        <v/>
      </c>
      <c r="DY249" s="66" t="str">
        <f t="shared" si="3675"/>
        <v/>
      </c>
      <c r="DZ249" s="66" t="str">
        <f t="shared" si="3676"/>
        <v/>
      </c>
      <c r="EA249" s="66" t="str">
        <f t="shared" si="3677"/>
        <v/>
      </c>
      <c r="EB249" s="66" t="str">
        <f t="shared" si="3678"/>
        <v/>
      </c>
      <c r="EC249" s="66" t="str">
        <f t="shared" si="3679"/>
        <v/>
      </c>
      <c r="ED249" s="66" t="str">
        <f t="shared" si="3680"/>
        <v/>
      </c>
      <c r="EE249" s="66" t="str">
        <f t="shared" si="3681"/>
        <v/>
      </c>
      <c r="EF249" s="66" t="str">
        <f t="shared" si="3682"/>
        <v/>
      </c>
      <c r="EG249" s="66" t="str">
        <f t="shared" si="3683"/>
        <v/>
      </c>
      <c r="EH249" s="66" t="str">
        <f t="shared" si="3684"/>
        <v/>
      </c>
      <c r="EI249" s="66" t="str">
        <f t="shared" si="3685"/>
        <v/>
      </c>
      <c r="EJ249" s="66" t="str">
        <f t="shared" si="3686"/>
        <v/>
      </c>
      <c r="EK249" s="66" t="str">
        <f t="shared" si="3687"/>
        <v/>
      </c>
      <c r="EL249" s="66" t="str">
        <f t="shared" si="3688"/>
        <v/>
      </c>
      <c r="EM249" s="66" t="str">
        <f t="shared" si="3689"/>
        <v/>
      </c>
      <c r="EN249" s="66" t="str">
        <f t="shared" si="3690"/>
        <v/>
      </c>
      <c r="EO249" s="66" t="str">
        <f t="shared" si="3691"/>
        <v/>
      </c>
      <c r="EP249" s="66" t="str">
        <f t="shared" si="3692"/>
        <v/>
      </c>
      <c r="EQ249" s="66" t="str">
        <f t="shared" si="3693"/>
        <v/>
      </c>
      <c r="ER249" s="66" t="str">
        <f t="shared" si="3694"/>
        <v/>
      </c>
      <c r="ES249" s="66" t="str">
        <f t="shared" si="3695"/>
        <v/>
      </c>
      <c r="ET249" s="66" t="str">
        <f t="shared" si="3696"/>
        <v/>
      </c>
      <c r="EU249" s="66" t="str">
        <f t="shared" si="3697"/>
        <v/>
      </c>
      <c r="EV249" s="66" t="str">
        <f t="shared" si="3698"/>
        <v/>
      </c>
      <c r="EW249" s="66" t="str">
        <f t="shared" si="3699"/>
        <v/>
      </c>
      <c r="EX249" s="66" t="str">
        <f t="shared" si="3700"/>
        <v/>
      </c>
      <c r="EY249" s="66" t="str">
        <f t="shared" si="3701"/>
        <v/>
      </c>
      <c r="EZ249" s="66" t="str">
        <f t="shared" si="3702"/>
        <v/>
      </c>
      <c r="FA249" s="66" t="str">
        <f t="shared" si="3703"/>
        <v/>
      </c>
      <c r="FB249" s="66" t="str">
        <f t="shared" si="3704"/>
        <v/>
      </c>
      <c r="FC249" s="66" t="str">
        <f t="shared" si="3705"/>
        <v/>
      </c>
      <c r="FD249" s="66" t="str">
        <f t="shared" si="3706"/>
        <v/>
      </c>
      <c r="FE249" s="66" t="str">
        <f t="shared" si="3707"/>
        <v/>
      </c>
      <c r="FF249" s="66" t="str">
        <f t="shared" si="3708"/>
        <v/>
      </c>
      <c r="FG249" s="66" t="str">
        <f t="shared" si="3709"/>
        <v/>
      </c>
      <c r="FH249" s="66" t="str">
        <f t="shared" si="3710"/>
        <v/>
      </c>
      <c r="FI249" s="66" t="str">
        <f t="shared" si="3711"/>
        <v/>
      </c>
      <c r="FJ249" s="66" t="str">
        <f t="shared" si="3712"/>
        <v/>
      </c>
      <c r="FK249" s="66" t="str">
        <f t="shared" si="3713"/>
        <v/>
      </c>
      <c r="FL249" s="66" t="str">
        <f t="shared" si="3714"/>
        <v/>
      </c>
      <c r="FM249" s="66" t="str">
        <f t="shared" si="3715"/>
        <v/>
      </c>
      <c r="FN249" s="66" t="str">
        <f t="shared" si="3716"/>
        <v/>
      </c>
      <c r="FO249" s="66" t="str">
        <f t="shared" si="3717"/>
        <v/>
      </c>
      <c r="FP249" s="66" t="str">
        <f t="shared" si="3718"/>
        <v/>
      </c>
      <c r="FQ249" s="66" t="str">
        <f t="shared" si="3719"/>
        <v/>
      </c>
      <c r="FR249" s="66" t="str">
        <f t="shared" si="3720"/>
        <v/>
      </c>
      <c r="FS249" s="66" t="str">
        <f t="shared" si="3721"/>
        <v/>
      </c>
    </row>
    <row r="250" spans="1:175">
      <c r="A250" s="27"/>
      <c r="B250" s="27" t="s">
        <v>798</v>
      </c>
      <c r="C250" s="29" t="s">
        <v>775</v>
      </c>
      <c r="T250" s="121"/>
      <c r="U250" s="77"/>
      <c r="CN250" s="36" t="str">
        <f t="shared" si="3646"/>
        <v>InitUnitState('IF24',,,,,,,,,,)</v>
      </c>
      <c r="CO250" s="36" t="str">
        <f t="shared" si="3647"/>
        <v>InitUnitNormal('IF24',,,,,,,,,,)</v>
      </c>
      <c r="CP250" s="36" t="str">
        <f t="shared" si="3648"/>
        <v>InitUnitMagic('IF24',,,,,,,,,,)</v>
      </c>
      <c r="CQ250" s="36" t="str">
        <f t="shared" si="3649"/>
        <v>InitUnitAdd('IF24',,,,,,,,,,)</v>
      </c>
      <c r="CR250" s="36" t="str">
        <f t="shared" si="3650"/>
        <v>InitEquipData('IF24',,"",,,,,'','','','','','',"")</v>
      </c>
      <c r="CU250" s="88" t="str">
        <f t="shared" ref="CU250:CU297" si="37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3"/>
      <c r="CX250" s="33"/>
      <c r="CY250" s="33"/>
      <c r="CZ250" s="33"/>
      <c r="DA250" s="33"/>
      <c r="DB250" s="66" t="str">
        <f t="shared" ref="DB250:DB297" si="3723">IF(V250="","","|n"&amp;DB$2&amp;"+"&amp;V250&amp;DB$1)</f>
        <v/>
      </c>
      <c r="DC250" s="66" t="str">
        <f t="shared" ref="DC250:DC297" si="3724">IF(W250="","","|n"&amp;DC$2&amp;"+"&amp;W250&amp;DC$1)</f>
        <v/>
      </c>
      <c r="DD250" s="66" t="str">
        <f t="shared" ref="DD250:DD297" si="3725">IF(X250="","","|n"&amp;DD$2&amp;"+"&amp;X250&amp;DD$1)</f>
        <v/>
      </c>
      <c r="DE250" s="66" t="str">
        <f t="shared" ref="DE250:DE297" si="3726">IF(Y250="","","|n"&amp;DE$2&amp;"+"&amp;Y250&amp;DE$1)</f>
        <v/>
      </c>
      <c r="DF250" s="66" t="str">
        <f t="shared" ref="DF250:DF297" si="3727">IF(Z250="","","|n"&amp;DF$2&amp;"+"&amp;Z250&amp;DF$1)</f>
        <v/>
      </c>
      <c r="DG250" s="66" t="str">
        <f t="shared" ref="DG250:DG297" si="3728">IF(AA250="","","|n"&amp;DG$2&amp;"+"&amp;AA250&amp;DG$1)</f>
        <v/>
      </c>
      <c r="DH250" s="66" t="str">
        <f t="shared" ref="DH250:DH297" si="3729">IF(AB250="","","|n"&amp;DH$2&amp;"+"&amp;AB250&amp;DH$1)</f>
        <v/>
      </c>
      <c r="DI250" s="66" t="str">
        <f t="shared" ref="DI250:DI297" si="3730">IF(AC250="","","|n"&amp;DI$2&amp;"+"&amp;AC250&amp;DI$1)</f>
        <v/>
      </c>
      <c r="DJ250" s="66" t="str">
        <f t="shared" ref="DJ250:DJ297" si="3731">IF(AD250="","","|n"&amp;DJ$2&amp;"+"&amp;AD250&amp;DJ$1)</f>
        <v/>
      </c>
      <c r="DK250" s="66" t="str">
        <f t="shared" ref="DK250:DK297" si="3732">IF(AE250="","","|n"&amp;DK$2&amp;"+"&amp;AE250&amp;DK$1)</f>
        <v/>
      </c>
      <c r="DL250" s="66" t="str">
        <f t="shared" ref="DL250:DL297" si="3733">IF(AF250="","","|n"&amp;DL$2&amp;"+"&amp;AF250&amp;DL$1)</f>
        <v/>
      </c>
      <c r="DM250" s="66" t="str">
        <f t="shared" ref="DM250:DM297" si="3734">IF(AG250="","","|n"&amp;DM$2&amp;"+"&amp;AG250&amp;DM$1)</f>
        <v/>
      </c>
      <c r="DN250" s="66" t="str">
        <f t="shared" ref="DN250:DN297" si="3735">IF(AH250="","","|n"&amp;DN$2&amp;"+"&amp;AH250&amp;DN$1)</f>
        <v/>
      </c>
      <c r="DO250" s="66" t="str">
        <f t="shared" ref="DO250:DO297" si="3736">IF(AI250="","","|n"&amp;DO$2&amp;"+"&amp;AI250&amp;DO$1)</f>
        <v/>
      </c>
      <c r="DP250" s="66" t="str">
        <f t="shared" ref="DP250:DP297" si="3737">IF(AJ250="","","|n"&amp;DP$2&amp;"+"&amp;AJ250&amp;DP$1)</f>
        <v/>
      </c>
      <c r="DQ250" s="66" t="str">
        <f t="shared" ref="DQ250:DQ297" si="3738">IF(AK250="","","|n"&amp;DQ$2&amp;"+"&amp;AK250&amp;DQ$1)</f>
        <v/>
      </c>
      <c r="DR250" s="66" t="str">
        <f t="shared" ref="DR250:DR297" si="3739">IF(AL250="","","|n"&amp;DR$2&amp;"+"&amp;AL250&amp;DR$1)</f>
        <v/>
      </c>
      <c r="DS250" s="66" t="str">
        <f t="shared" ref="DS250:DS297" si="3740">IF(AM250="","","|n"&amp;DS$2&amp;"+"&amp;AM250&amp;DS$1)</f>
        <v/>
      </c>
      <c r="DT250" s="66" t="str">
        <f t="shared" ref="DT250:DT297" si="3741">IF(AN250="","","|n"&amp;DT$2&amp;"+"&amp;AN250&amp;DT$1)</f>
        <v/>
      </c>
      <c r="DU250" s="66" t="str">
        <f t="shared" ref="DU250:DU297" si="3742">IF(AO250="","","|n"&amp;DU$2&amp;"+"&amp;AO250&amp;DU$1)</f>
        <v/>
      </c>
      <c r="DV250" s="66" t="str">
        <f t="shared" ref="DV250:DV297" si="3743">IF(AP250="","","|n"&amp;DV$2&amp;"+"&amp;AP250&amp;DV$1)</f>
        <v/>
      </c>
      <c r="DW250" s="66" t="str">
        <f t="shared" ref="DW250:DW297" si="3744">IF(AQ250="","","|n"&amp;DW$2&amp;"+"&amp;AQ250&amp;DW$1)</f>
        <v/>
      </c>
      <c r="DX250" s="66" t="str">
        <f t="shared" ref="DX250:DX297" si="3745">IF(AR250="","","|n"&amp;DX$2&amp;"+"&amp;AR250&amp;DX$1)</f>
        <v/>
      </c>
      <c r="DY250" s="66" t="str">
        <f t="shared" ref="DY250:DY297" si="3746">IF(AS250="","","|n"&amp;DY$2&amp;"+"&amp;AS250&amp;DY$1)</f>
        <v/>
      </c>
      <c r="DZ250" s="66" t="str">
        <f t="shared" ref="DZ250:DZ297" si="3747">IF(AT250="","","|n"&amp;DZ$2&amp;"+"&amp;AT250&amp;DZ$1)</f>
        <v/>
      </c>
      <c r="EA250" s="66" t="str">
        <f t="shared" ref="EA250:EA297" si="3748">IF(AU250="","","|n"&amp;EA$2&amp;"+"&amp;AU250&amp;EA$1)</f>
        <v/>
      </c>
      <c r="EB250" s="66" t="str">
        <f t="shared" ref="EB250:EB297" si="3749">IF(AV250="","","|n"&amp;EB$2&amp;"+"&amp;AV250&amp;EB$1)</f>
        <v/>
      </c>
      <c r="EC250" s="66" t="str">
        <f t="shared" ref="EC250:EC297" si="3750">IF(AW250="","","|n"&amp;EC$2&amp;"+"&amp;AW250&amp;EC$1)</f>
        <v/>
      </c>
      <c r="ED250" s="66" t="str">
        <f t="shared" ref="ED250:ED297" si="3751">IF(AX250="","","|n"&amp;ED$2&amp;"+"&amp;AX250&amp;ED$1)</f>
        <v/>
      </c>
      <c r="EE250" s="66" t="str">
        <f t="shared" ref="EE250:EE297" si="3752">IF(AY250="","","|n"&amp;EE$2&amp;"+"&amp;AY250&amp;EE$1)</f>
        <v/>
      </c>
      <c r="EF250" s="66" t="str">
        <f t="shared" ref="EF250:EF297" si="3753">IF(AZ250="","","|n"&amp;EF$2&amp;"+"&amp;AZ250&amp;EF$1)</f>
        <v/>
      </c>
      <c r="EG250" s="66" t="str">
        <f t="shared" ref="EG250:EG297" si="3754">IF(BA250="","","|n"&amp;EG$2&amp;"+"&amp;BA250&amp;EG$1)</f>
        <v/>
      </c>
      <c r="EH250" s="66" t="str">
        <f t="shared" ref="EH250:EH297" si="3755">IF(BB250="","","|n"&amp;EH$2&amp;"+"&amp;BB250&amp;EH$1)</f>
        <v/>
      </c>
      <c r="EI250" s="66" t="str">
        <f t="shared" ref="EI250:EI297" si="3756">IF(BC250="","","|n"&amp;EI$2&amp;"+"&amp;BC250&amp;EI$1)</f>
        <v/>
      </c>
      <c r="EJ250" s="66" t="str">
        <f t="shared" ref="EJ250:EJ297" si="3757">IF(BD250="","","|n"&amp;EJ$2&amp;"+"&amp;BD250&amp;EJ$1)</f>
        <v/>
      </c>
      <c r="EK250" s="66" t="str">
        <f t="shared" ref="EK250:EK297" si="3758">IF(BE250="","","|n"&amp;EK$2&amp;"+"&amp;BE250&amp;EK$1)</f>
        <v/>
      </c>
      <c r="EL250" s="66" t="str">
        <f t="shared" ref="EL250:EL297" si="3759">IF(BF250="","","|n"&amp;EL$2&amp;"+"&amp;BF250&amp;EL$1)</f>
        <v/>
      </c>
      <c r="EM250" s="66" t="str">
        <f t="shared" ref="EM250:EM297" si="3760">IF(BG250="","","|n"&amp;EM$2&amp;"+"&amp;BG250&amp;EM$1)</f>
        <v/>
      </c>
      <c r="EN250" s="66" t="str">
        <f t="shared" ref="EN250:EN297" si="3761">IF(BH250="","","|n"&amp;EN$2&amp;"+"&amp;BH250&amp;EN$1)</f>
        <v/>
      </c>
      <c r="EO250" s="66" t="str">
        <f t="shared" ref="EO250:EO297" si="3762">IF(BI250="","","|n"&amp;EO$2&amp;"+"&amp;BI250&amp;EO$1)</f>
        <v/>
      </c>
      <c r="EP250" s="66" t="str">
        <f t="shared" ref="EP250:EP297" si="3763">IF(BJ250="","","|n"&amp;EP$2&amp;"+"&amp;BJ250&amp;EP$1)</f>
        <v/>
      </c>
      <c r="EQ250" s="66" t="str">
        <f t="shared" ref="EQ250:EQ297" si="3764">IF(BK250="","","|n"&amp;EQ$2&amp;"+"&amp;BK250&amp;EQ$1)</f>
        <v/>
      </c>
      <c r="ER250" s="66" t="str">
        <f t="shared" ref="ER250:ER297" si="3765">IF(BL250="","","|n"&amp;ER$2&amp;"+"&amp;BL250&amp;ER$1)</f>
        <v/>
      </c>
      <c r="ES250" s="66" t="str">
        <f t="shared" ref="ES250:ES297" si="3766">IF(BM250="","","|n"&amp;ES$2&amp;"+"&amp;BM250&amp;ES$1)</f>
        <v/>
      </c>
      <c r="ET250" s="66" t="str">
        <f t="shared" ref="ET250:ET297" si="3767">IF(BN250="","","|n"&amp;ET$2&amp;"+"&amp;BN250&amp;ET$1)</f>
        <v/>
      </c>
      <c r="EU250" s="66" t="str">
        <f t="shared" ref="EU250:EU297" si="3768">IF(BO250="","","|n"&amp;EU$2&amp;"+"&amp;BO250&amp;EU$1)</f>
        <v/>
      </c>
      <c r="EV250" s="66" t="str">
        <f t="shared" ref="EV250:EV297" si="3769">IF(BP250="","","|n"&amp;EV$2&amp;"+"&amp;BP250&amp;EV$1)</f>
        <v/>
      </c>
      <c r="EW250" s="66" t="str">
        <f t="shared" ref="EW250:EW297" si="3770">IF(BQ250="","","|n"&amp;EW$2&amp;"+"&amp;BQ250&amp;EW$1)</f>
        <v/>
      </c>
      <c r="EX250" s="66" t="str">
        <f t="shared" ref="EX250:EX297" si="3771">IF(BR250="","","|n"&amp;EX$2&amp;"+"&amp;BR250&amp;EX$1)</f>
        <v/>
      </c>
      <c r="EY250" s="66" t="str">
        <f t="shared" ref="EY250:EY297" si="3772">IF(BS250="","","|n"&amp;EY$2&amp;"+"&amp;BS250&amp;EY$1)</f>
        <v/>
      </c>
      <c r="EZ250" s="66" t="str">
        <f t="shared" ref="EZ250:EZ297" si="3773">IF(BT250="","","|n"&amp;EZ$2&amp;"+"&amp;BT250&amp;EZ$1)</f>
        <v/>
      </c>
      <c r="FA250" s="66" t="str">
        <f t="shared" ref="FA250:FA297" si="3774">IF(BU250="","","|n"&amp;FA$2&amp;"+"&amp;BU250&amp;FA$1)</f>
        <v/>
      </c>
      <c r="FB250" s="66" t="str">
        <f t="shared" ref="FB250:FB297" si="3775">IF(BV250="","","|n"&amp;FB$2&amp;"+"&amp;BV250&amp;FB$1)</f>
        <v/>
      </c>
      <c r="FC250" s="66" t="str">
        <f t="shared" ref="FC250:FC297" si="3776">IF(BW250="","","|n"&amp;FC$2&amp;"+"&amp;BW250&amp;FC$1)</f>
        <v/>
      </c>
      <c r="FD250" s="66" t="str">
        <f t="shared" ref="FD250:FD297" si="3777">IF(BX250="","","|n"&amp;FD$2&amp;"+"&amp;BX250&amp;FD$1)</f>
        <v/>
      </c>
      <c r="FE250" s="66" t="str">
        <f t="shared" ref="FE250:FE297" si="3778">IF(BY250="","","|n"&amp;FE$2&amp;"+"&amp;BY250&amp;FE$1)</f>
        <v/>
      </c>
      <c r="FF250" s="66" t="str">
        <f t="shared" ref="FF250:FF297" si="3779">IF(BZ250="","","|n"&amp;FF$2&amp;"+"&amp;BZ250&amp;FF$1)</f>
        <v/>
      </c>
      <c r="FG250" s="66" t="str">
        <f t="shared" ref="FG250:FG297" si="3780">IF(CA250="","","|n"&amp;FG$2&amp;"+"&amp;CA250&amp;FG$1)</f>
        <v/>
      </c>
      <c r="FH250" s="66" t="str">
        <f t="shared" ref="FH250:FH297" si="3781">IF(CB250="","","|n"&amp;FH$2&amp;"+"&amp;CB250&amp;FH$1)</f>
        <v/>
      </c>
      <c r="FI250" s="66" t="str">
        <f t="shared" ref="FI250:FI297" si="3782">IF(CC250="","","|n"&amp;FI$2&amp;"+"&amp;CC250&amp;FI$1)</f>
        <v/>
      </c>
      <c r="FJ250" s="66" t="str">
        <f t="shared" ref="FJ250:FJ297" si="3783">IF(CD250="","","|n"&amp;FJ$2&amp;"+"&amp;CD250&amp;FJ$1)</f>
        <v/>
      </c>
      <c r="FK250" s="66" t="str">
        <f t="shared" ref="FK250:FK297" si="3784">IF(CE250="","","|n"&amp;FK$2&amp;"+"&amp;CE250&amp;FK$1)</f>
        <v/>
      </c>
      <c r="FL250" s="66" t="str">
        <f t="shared" ref="FL250:FL297" si="3785">IF(CF250="","","|n"&amp;FL$2&amp;"+"&amp;CF250&amp;FL$1)</f>
        <v/>
      </c>
      <c r="FM250" s="66" t="str">
        <f t="shared" ref="FM250:FM297" si="3786">IF(CG250="","","|n"&amp;FM$2&amp;"+"&amp;CG250&amp;FM$1)</f>
        <v/>
      </c>
      <c r="FN250" s="66" t="str">
        <f t="shared" ref="FN250:FN297" si="3787">IF(CH250="","","|n"&amp;FN$2&amp;"+"&amp;CH250&amp;FN$1)</f>
        <v/>
      </c>
      <c r="FO250" s="66" t="str">
        <f t="shared" ref="FO250:FO297" si="3788">IF(CI250="","","|n"&amp;FO$2&amp;"+"&amp;CI250&amp;FO$1)</f>
        <v/>
      </c>
      <c r="FP250" s="66" t="str">
        <f t="shared" ref="FP250:FP297" si="3789">IF(CJ250="","","|n"&amp;FP$2&amp;"+"&amp;CJ250&amp;FP$1)</f>
        <v/>
      </c>
      <c r="FQ250" s="66" t="str">
        <f t="shared" ref="FQ250:FQ297" si="3790">IF(CK250="","","|n"&amp;FQ$2&amp;"+"&amp;CK250&amp;FQ$1)</f>
        <v/>
      </c>
      <c r="FR250" s="66" t="str">
        <f t="shared" ref="FR250:FR297" si="3791">IF(CL250="","","|n"&amp;FR$2&amp;"+"&amp;CL250&amp;FR$1)</f>
        <v/>
      </c>
      <c r="FS250" s="66" t="str">
        <f t="shared" ref="FS250:FS297" si="3792">IF(CM250="","","|n"&amp;FS$2&amp;"+"&amp;CM250&amp;FS$1)</f>
        <v/>
      </c>
    </row>
    <row r="251" spans="1:175">
      <c r="A251" s="27"/>
      <c r="B251" s="27" t="s">
        <v>799</v>
      </c>
      <c r="C251" s="29" t="s">
        <v>775</v>
      </c>
      <c r="T251" s="121"/>
      <c r="U251" s="77"/>
      <c r="CN251" s="36" t="str">
        <f t="shared" si="3646"/>
        <v>InitUnitState('IF25',,,,,,,,,,)</v>
      </c>
      <c r="CO251" s="36" t="str">
        <f t="shared" si="3647"/>
        <v>InitUnitNormal('IF25',,,,,,,,,,)</v>
      </c>
      <c r="CP251" s="36" t="str">
        <f t="shared" si="3648"/>
        <v>InitUnitMagic('IF25',,,,,,,,,,)</v>
      </c>
      <c r="CQ251" s="36" t="str">
        <f t="shared" si="3649"/>
        <v>InitUnitAdd('IF25',,,,,,,,,,)</v>
      </c>
      <c r="CR251" s="36" t="str">
        <f t="shared" si="3650"/>
        <v>InitEquipData('IF25',,"",,,,,'','','','','','',"")</v>
      </c>
      <c r="CU251" s="88" t="str">
        <f t="shared" si="3722"/>
        <v>|n</v>
      </c>
      <c r="CW251" s="33"/>
      <c r="CX251" s="33"/>
      <c r="CY251" s="33"/>
      <c r="CZ251" s="33"/>
      <c r="DA251" s="33"/>
      <c r="DB251" s="66" t="str">
        <f t="shared" si="3723"/>
        <v/>
      </c>
      <c r="DC251" s="66" t="str">
        <f t="shared" si="3724"/>
        <v/>
      </c>
      <c r="DD251" s="66" t="str">
        <f t="shared" si="3725"/>
        <v/>
      </c>
      <c r="DE251" s="66" t="str">
        <f t="shared" si="3726"/>
        <v/>
      </c>
      <c r="DF251" s="66" t="str">
        <f t="shared" si="3727"/>
        <v/>
      </c>
      <c r="DG251" s="66" t="str">
        <f t="shared" si="3728"/>
        <v/>
      </c>
      <c r="DH251" s="66" t="str">
        <f t="shared" si="3729"/>
        <v/>
      </c>
      <c r="DI251" s="66" t="str">
        <f t="shared" si="3730"/>
        <v/>
      </c>
      <c r="DJ251" s="66" t="str">
        <f t="shared" si="3731"/>
        <v/>
      </c>
      <c r="DK251" s="66" t="str">
        <f t="shared" si="3732"/>
        <v/>
      </c>
      <c r="DL251" s="66" t="str">
        <f t="shared" si="3733"/>
        <v/>
      </c>
      <c r="DM251" s="66" t="str">
        <f t="shared" si="3734"/>
        <v/>
      </c>
      <c r="DN251" s="66" t="str">
        <f t="shared" si="3735"/>
        <v/>
      </c>
      <c r="DO251" s="66" t="str">
        <f t="shared" si="3736"/>
        <v/>
      </c>
      <c r="DP251" s="66" t="str">
        <f t="shared" si="3737"/>
        <v/>
      </c>
      <c r="DQ251" s="66" t="str">
        <f t="shared" si="3738"/>
        <v/>
      </c>
      <c r="DR251" s="66" t="str">
        <f t="shared" si="3739"/>
        <v/>
      </c>
      <c r="DS251" s="66" t="str">
        <f t="shared" si="3740"/>
        <v/>
      </c>
      <c r="DT251" s="66" t="str">
        <f t="shared" si="3741"/>
        <v/>
      </c>
      <c r="DU251" s="66" t="str">
        <f t="shared" si="3742"/>
        <v/>
      </c>
      <c r="DV251" s="66" t="str">
        <f t="shared" si="3743"/>
        <v/>
      </c>
      <c r="DW251" s="66" t="str">
        <f t="shared" si="3744"/>
        <v/>
      </c>
      <c r="DX251" s="66" t="str">
        <f t="shared" si="3745"/>
        <v/>
      </c>
      <c r="DY251" s="66" t="str">
        <f t="shared" si="3746"/>
        <v/>
      </c>
      <c r="DZ251" s="66" t="str">
        <f t="shared" si="3747"/>
        <v/>
      </c>
      <c r="EA251" s="66" t="str">
        <f t="shared" si="3748"/>
        <v/>
      </c>
      <c r="EB251" s="66" t="str">
        <f t="shared" si="3749"/>
        <v/>
      </c>
      <c r="EC251" s="66" t="str">
        <f t="shared" si="3750"/>
        <v/>
      </c>
      <c r="ED251" s="66" t="str">
        <f t="shared" si="3751"/>
        <v/>
      </c>
      <c r="EE251" s="66" t="str">
        <f t="shared" si="3752"/>
        <v/>
      </c>
      <c r="EF251" s="66" t="str">
        <f t="shared" si="3753"/>
        <v/>
      </c>
      <c r="EG251" s="66" t="str">
        <f t="shared" si="3754"/>
        <v/>
      </c>
      <c r="EH251" s="66" t="str">
        <f t="shared" si="3755"/>
        <v/>
      </c>
      <c r="EI251" s="66" t="str">
        <f t="shared" si="3756"/>
        <v/>
      </c>
      <c r="EJ251" s="66" t="str">
        <f t="shared" si="3757"/>
        <v/>
      </c>
      <c r="EK251" s="66" t="str">
        <f t="shared" si="3758"/>
        <v/>
      </c>
      <c r="EL251" s="66" t="str">
        <f t="shared" si="3759"/>
        <v/>
      </c>
      <c r="EM251" s="66" t="str">
        <f t="shared" si="3760"/>
        <v/>
      </c>
      <c r="EN251" s="66" t="str">
        <f t="shared" si="3761"/>
        <v/>
      </c>
      <c r="EO251" s="66" t="str">
        <f t="shared" si="3762"/>
        <v/>
      </c>
      <c r="EP251" s="66" t="str">
        <f t="shared" si="3763"/>
        <v/>
      </c>
      <c r="EQ251" s="66" t="str">
        <f t="shared" si="3764"/>
        <v/>
      </c>
      <c r="ER251" s="66" t="str">
        <f t="shared" si="3765"/>
        <v/>
      </c>
      <c r="ES251" s="66" t="str">
        <f t="shared" si="3766"/>
        <v/>
      </c>
      <c r="ET251" s="66" t="str">
        <f t="shared" si="3767"/>
        <v/>
      </c>
      <c r="EU251" s="66" t="str">
        <f t="shared" si="3768"/>
        <v/>
      </c>
      <c r="EV251" s="66" t="str">
        <f t="shared" si="3769"/>
        <v/>
      </c>
      <c r="EW251" s="66" t="str">
        <f t="shared" si="3770"/>
        <v/>
      </c>
      <c r="EX251" s="66" t="str">
        <f t="shared" si="3771"/>
        <v/>
      </c>
      <c r="EY251" s="66" t="str">
        <f t="shared" si="3772"/>
        <v/>
      </c>
      <c r="EZ251" s="66" t="str">
        <f t="shared" si="3773"/>
        <v/>
      </c>
      <c r="FA251" s="66" t="str">
        <f t="shared" si="3774"/>
        <v/>
      </c>
      <c r="FB251" s="66" t="str">
        <f t="shared" si="3775"/>
        <v/>
      </c>
      <c r="FC251" s="66" t="str">
        <f t="shared" si="3776"/>
        <v/>
      </c>
      <c r="FD251" s="66" t="str">
        <f t="shared" si="3777"/>
        <v/>
      </c>
      <c r="FE251" s="66" t="str">
        <f t="shared" si="3778"/>
        <v/>
      </c>
      <c r="FF251" s="66" t="str">
        <f t="shared" si="3779"/>
        <v/>
      </c>
      <c r="FG251" s="66" t="str">
        <f t="shared" si="3780"/>
        <v/>
      </c>
      <c r="FH251" s="66" t="str">
        <f t="shared" si="3781"/>
        <v/>
      </c>
      <c r="FI251" s="66" t="str">
        <f t="shared" si="3782"/>
        <v/>
      </c>
      <c r="FJ251" s="66" t="str">
        <f t="shared" si="3783"/>
        <v/>
      </c>
      <c r="FK251" s="66" t="str">
        <f t="shared" si="3784"/>
        <v/>
      </c>
      <c r="FL251" s="66" t="str">
        <f t="shared" si="3785"/>
        <v/>
      </c>
      <c r="FM251" s="66" t="str">
        <f t="shared" si="3786"/>
        <v/>
      </c>
      <c r="FN251" s="66" t="str">
        <f t="shared" si="3787"/>
        <v/>
      </c>
      <c r="FO251" s="66" t="str">
        <f t="shared" si="3788"/>
        <v/>
      </c>
      <c r="FP251" s="66" t="str">
        <f t="shared" si="3789"/>
        <v/>
      </c>
      <c r="FQ251" s="66" t="str">
        <f t="shared" si="3790"/>
        <v/>
      </c>
      <c r="FR251" s="66" t="str">
        <f t="shared" si="3791"/>
        <v/>
      </c>
      <c r="FS251" s="66" t="str">
        <f t="shared" si="3792"/>
        <v/>
      </c>
    </row>
    <row r="252" spans="1:175">
      <c r="A252" s="27"/>
      <c r="B252" s="27" t="s">
        <v>800</v>
      </c>
      <c r="C252" s="29" t="s">
        <v>775</v>
      </c>
      <c r="T252" s="121"/>
      <c r="U252" s="77"/>
      <c r="CN252" s="36" t="str">
        <f t="shared" si="3646"/>
        <v>InitUnitState('IF26',,,,,,,,,,)</v>
      </c>
      <c r="CO252" s="36" t="str">
        <f t="shared" si="3647"/>
        <v>InitUnitNormal('IF26',,,,,,,,,,)</v>
      </c>
      <c r="CP252" s="36" t="str">
        <f t="shared" si="3648"/>
        <v>InitUnitMagic('IF26',,,,,,,,,,)</v>
      </c>
      <c r="CQ252" s="36" t="str">
        <f t="shared" si="3649"/>
        <v>InitUnitAdd('IF26',,,,,,,,,,)</v>
      </c>
      <c r="CR252" s="36" t="str">
        <f t="shared" si="3650"/>
        <v>InitEquipData('IF26',,"",,,,,'','','','','','',"")</v>
      </c>
      <c r="CU252" s="88" t="str">
        <f t="shared" si="3722"/>
        <v>|n</v>
      </c>
      <c r="CW252" s="33"/>
      <c r="CX252" s="33"/>
      <c r="CY252" s="33"/>
      <c r="CZ252" s="33"/>
      <c r="DA252" s="33"/>
      <c r="DB252" s="66" t="str">
        <f t="shared" si="3723"/>
        <v/>
      </c>
      <c r="DC252" s="66" t="str">
        <f t="shared" si="3724"/>
        <v/>
      </c>
      <c r="DD252" s="66" t="str">
        <f t="shared" si="3725"/>
        <v/>
      </c>
      <c r="DE252" s="66" t="str">
        <f t="shared" si="3726"/>
        <v/>
      </c>
      <c r="DF252" s="66" t="str">
        <f t="shared" si="3727"/>
        <v/>
      </c>
      <c r="DG252" s="66" t="str">
        <f t="shared" si="3728"/>
        <v/>
      </c>
      <c r="DH252" s="66" t="str">
        <f t="shared" si="3729"/>
        <v/>
      </c>
      <c r="DI252" s="66" t="str">
        <f t="shared" si="3730"/>
        <v/>
      </c>
      <c r="DJ252" s="66" t="str">
        <f t="shared" si="3731"/>
        <v/>
      </c>
      <c r="DK252" s="66" t="str">
        <f t="shared" si="3732"/>
        <v/>
      </c>
      <c r="DL252" s="66" t="str">
        <f t="shared" si="3733"/>
        <v/>
      </c>
      <c r="DM252" s="66" t="str">
        <f t="shared" si="3734"/>
        <v/>
      </c>
      <c r="DN252" s="66" t="str">
        <f t="shared" si="3735"/>
        <v/>
      </c>
      <c r="DO252" s="66" t="str">
        <f t="shared" si="3736"/>
        <v/>
      </c>
      <c r="DP252" s="66" t="str">
        <f t="shared" si="3737"/>
        <v/>
      </c>
      <c r="DQ252" s="66" t="str">
        <f t="shared" si="3738"/>
        <v/>
      </c>
      <c r="DR252" s="66" t="str">
        <f t="shared" si="3739"/>
        <v/>
      </c>
      <c r="DS252" s="66" t="str">
        <f t="shared" si="3740"/>
        <v/>
      </c>
      <c r="DT252" s="66" t="str">
        <f t="shared" si="3741"/>
        <v/>
      </c>
      <c r="DU252" s="66" t="str">
        <f t="shared" si="3742"/>
        <v/>
      </c>
      <c r="DV252" s="66" t="str">
        <f t="shared" si="3743"/>
        <v/>
      </c>
      <c r="DW252" s="66" t="str">
        <f t="shared" si="3744"/>
        <v/>
      </c>
      <c r="DX252" s="66" t="str">
        <f t="shared" si="3745"/>
        <v/>
      </c>
      <c r="DY252" s="66" t="str">
        <f t="shared" si="3746"/>
        <v/>
      </c>
      <c r="DZ252" s="66" t="str">
        <f t="shared" si="3747"/>
        <v/>
      </c>
      <c r="EA252" s="66" t="str">
        <f t="shared" si="3748"/>
        <v/>
      </c>
      <c r="EB252" s="66" t="str">
        <f t="shared" si="3749"/>
        <v/>
      </c>
      <c r="EC252" s="66" t="str">
        <f t="shared" si="3750"/>
        <v/>
      </c>
      <c r="ED252" s="66" t="str">
        <f t="shared" si="3751"/>
        <v/>
      </c>
      <c r="EE252" s="66" t="str">
        <f t="shared" si="3752"/>
        <v/>
      </c>
      <c r="EF252" s="66" t="str">
        <f t="shared" si="3753"/>
        <v/>
      </c>
      <c r="EG252" s="66" t="str">
        <f t="shared" si="3754"/>
        <v/>
      </c>
      <c r="EH252" s="66" t="str">
        <f t="shared" si="3755"/>
        <v/>
      </c>
      <c r="EI252" s="66" t="str">
        <f t="shared" si="3756"/>
        <v/>
      </c>
      <c r="EJ252" s="66" t="str">
        <f t="shared" si="3757"/>
        <v/>
      </c>
      <c r="EK252" s="66" t="str">
        <f t="shared" si="3758"/>
        <v/>
      </c>
      <c r="EL252" s="66" t="str">
        <f t="shared" si="3759"/>
        <v/>
      </c>
      <c r="EM252" s="66" t="str">
        <f t="shared" si="3760"/>
        <v/>
      </c>
      <c r="EN252" s="66" t="str">
        <f t="shared" si="3761"/>
        <v/>
      </c>
      <c r="EO252" s="66" t="str">
        <f t="shared" si="3762"/>
        <v/>
      </c>
      <c r="EP252" s="66" t="str">
        <f t="shared" si="3763"/>
        <v/>
      </c>
      <c r="EQ252" s="66" t="str">
        <f t="shared" si="3764"/>
        <v/>
      </c>
      <c r="ER252" s="66" t="str">
        <f t="shared" si="3765"/>
        <v/>
      </c>
      <c r="ES252" s="66" t="str">
        <f t="shared" si="3766"/>
        <v/>
      </c>
      <c r="ET252" s="66" t="str">
        <f t="shared" si="3767"/>
        <v/>
      </c>
      <c r="EU252" s="66" t="str">
        <f t="shared" si="3768"/>
        <v/>
      </c>
      <c r="EV252" s="66" t="str">
        <f t="shared" si="3769"/>
        <v/>
      </c>
      <c r="EW252" s="66" t="str">
        <f t="shared" si="3770"/>
        <v/>
      </c>
      <c r="EX252" s="66" t="str">
        <f t="shared" si="3771"/>
        <v/>
      </c>
      <c r="EY252" s="66" t="str">
        <f t="shared" si="3772"/>
        <v/>
      </c>
      <c r="EZ252" s="66" t="str">
        <f t="shared" si="3773"/>
        <v/>
      </c>
      <c r="FA252" s="66" t="str">
        <f t="shared" si="3774"/>
        <v/>
      </c>
      <c r="FB252" s="66" t="str">
        <f t="shared" si="3775"/>
        <v/>
      </c>
      <c r="FC252" s="66" t="str">
        <f t="shared" si="3776"/>
        <v/>
      </c>
      <c r="FD252" s="66" t="str">
        <f t="shared" si="3777"/>
        <v/>
      </c>
      <c r="FE252" s="66" t="str">
        <f t="shared" si="3778"/>
        <v/>
      </c>
      <c r="FF252" s="66" t="str">
        <f t="shared" si="3779"/>
        <v/>
      </c>
      <c r="FG252" s="66" t="str">
        <f t="shared" si="3780"/>
        <v/>
      </c>
      <c r="FH252" s="66" t="str">
        <f t="shared" si="3781"/>
        <v/>
      </c>
      <c r="FI252" s="66" t="str">
        <f t="shared" si="3782"/>
        <v/>
      </c>
      <c r="FJ252" s="66" t="str">
        <f t="shared" si="3783"/>
        <v/>
      </c>
      <c r="FK252" s="66" t="str">
        <f t="shared" si="3784"/>
        <v/>
      </c>
      <c r="FL252" s="66" t="str">
        <f t="shared" si="3785"/>
        <v/>
      </c>
      <c r="FM252" s="66" t="str">
        <f t="shared" si="3786"/>
        <v/>
      </c>
      <c r="FN252" s="66" t="str">
        <f t="shared" si="3787"/>
        <v/>
      </c>
      <c r="FO252" s="66" t="str">
        <f t="shared" si="3788"/>
        <v/>
      </c>
      <c r="FP252" s="66" t="str">
        <f t="shared" si="3789"/>
        <v/>
      </c>
      <c r="FQ252" s="66" t="str">
        <f t="shared" si="3790"/>
        <v/>
      </c>
      <c r="FR252" s="66" t="str">
        <f t="shared" si="3791"/>
        <v/>
      </c>
      <c r="FS252" s="66" t="str">
        <f t="shared" si="3792"/>
        <v/>
      </c>
    </row>
    <row r="253" spans="1:175">
      <c r="A253" s="27"/>
      <c r="B253" s="27" t="s">
        <v>801</v>
      </c>
      <c r="C253" s="29" t="s">
        <v>775</v>
      </c>
      <c r="T253" s="121"/>
      <c r="U253" s="77"/>
      <c r="CN253" s="36" t="str">
        <f t="shared" si="3646"/>
        <v>InitUnitState('IF27',,,,,,,,,,)</v>
      </c>
      <c r="CO253" s="36" t="str">
        <f t="shared" si="3647"/>
        <v>InitUnitNormal('IF27',,,,,,,,,,)</v>
      </c>
      <c r="CP253" s="36" t="str">
        <f t="shared" si="3648"/>
        <v>InitUnitMagic('IF27',,,,,,,,,,)</v>
      </c>
      <c r="CQ253" s="36" t="str">
        <f t="shared" si="3649"/>
        <v>InitUnitAdd('IF27',,,,,,,,,,)</v>
      </c>
      <c r="CR253" s="36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InitEquipData('IF27',,"",,,,,'','','','','','',"")</v>
      </c>
      <c r="CU253" s="88" t="str">
        <f t="shared" si="3722"/>
        <v>|n</v>
      </c>
      <c r="CW253" s="33"/>
      <c r="CX253" s="33"/>
      <c r="CY253" s="33"/>
      <c r="CZ253" s="33"/>
      <c r="DA253" s="33"/>
      <c r="DB253" s="66" t="str">
        <f t="shared" si="3723"/>
        <v/>
      </c>
      <c r="DC253" s="66" t="str">
        <f t="shared" si="3724"/>
        <v/>
      </c>
      <c r="DD253" s="66" t="str">
        <f t="shared" si="3725"/>
        <v/>
      </c>
      <c r="DE253" s="66" t="str">
        <f t="shared" si="3726"/>
        <v/>
      </c>
      <c r="DF253" s="66" t="str">
        <f t="shared" si="3727"/>
        <v/>
      </c>
      <c r="DG253" s="66" t="str">
        <f t="shared" si="3728"/>
        <v/>
      </c>
      <c r="DH253" s="66" t="str">
        <f t="shared" si="3729"/>
        <v/>
      </c>
      <c r="DI253" s="66" t="str">
        <f t="shared" si="3730"/>
        <v/>
      </c>
      <c r="DJ253" s="66" t="str">
        <f t="shared" si="3731"/>
        <v/>
      </c>
      <c r="DK253" s="66" t="str">
        <f t="shared" si="3732"/>
        <v/>
      </c>
      <c r="DL253" s="66" t="str">
        <f t="shared" si="3733"/>
        <v/>
      </c>
      <c r="DM253" s="66" t="str">
        <f t="shared" si="3734"/>
        <v/>
      </c>
      <c r="DN253" s="66" t="str">
        <f t="shared" si="3735"/>
        <v/>
      </c>
      <c r="DO253" s="66" t="str">
        <f t="shared" si="3736"/>
        <v/>
      </c>
      <c r="DP253" s="66" t="str">
        <f t="shared" si="3737"/>
        <v/>
      </c>
      <c r="DQ253" s="66" t="str">
        <f t="shared" si="3738"/>
        <v/>
      </c>
      <c r="DR253" s="66" t="str">
        <f t="shared" si="3739"/>
        <v/>
      </c>
      <c r="DS253" s="66" t="str">
        <f t="shared" si="3740"/>
        <v/>
      </c>
      <c r="DT253" s="66" t="str">
        <f t="shared" si="3741"/>
        <v/>
      </c>
      <c r="DU253" s="66" t="str">
        <f t="shared" si="3742"/>
        <v/>
      </c>
      <c r="DV253" s="66" t="str">
        <f t="shared" si="3743"/>
        <v/>
      </c>
      <c r="DW253" s="66" t="str">
        <f t="shared" si="3744"/>
        <v/>
      </c>
      <c r="DX253" s="66" t="str">
        <f t="shared" si="3745"/>
        <v/>
      </c>
      <c r="DY253" s="66" t="str">
        <f t="shared" si="3746"/>
        <v/>
      </c>
      <c r="DZ253" s="66" t="str">
        <f t="shared" si="3747"/>
        <v/>
      </c>
      <c r="EA253" s="66" t="str">
        <f t="shared" si="3748"/>
        <v/>
      </c>
      <c r="EB253" s="66" t="str">
        <f t="shared" si="3749"/>
        <v/>
      </c>
      <c r="EC253" s="66" t="str">
        <f t="shared" si="3750"/>
        <v/>
      </c>
      <c r="ED253" s="66" t="str">
        <f t="shared" si="3751"/>
        <v/>
      </c>
      <c r="EE253" s="66" t="str">
        <f t="shared" si="3752"/>
        <v/>
      </c>
      <c r="EF253" s="66" t="str">
        <f t="shared" si="3753"/>
        <v/>
      </c>
      <c r="EG253" s="66" t="str">
        <f t="shared" si="3754"/>
        <v/>
      </c>
      <c r="EH253" s="66" t="str">
        <f t="shared" si="3755"/>
        <v/>
      </c>
      <c r="EI253" s="66" t="str">
        <f t="shared" si="3756"/>
        <v/>
      </c>
      <c r="EJ253" s="66" t="str">
        <f t="shared" si="3757"/>
        <v/>
      </c>
      <c r="EK253" s="66" t="str">
        <f t="shared" si="3758"/>
        <v/>
      </c>
      <c r="EL253" s="66" t="str">
        <f t="shared" si="3759"/>
        <v/>
      </c>
      <c r="EM253" s="66" t="str">
        <f t="shared" si="3760"/>
        <v/>
      </c>
      <c r="EN253" s="66" t="str">
        <f t="shared" si="3761"/>
        <v/>
      </c>
      <c r="EO253" s="66" t="str">
        <f t="shared" si="3762"/>
        <v/>
      </c>
      <c r="EP253" s="66" t="str">
        <f t="shared" si="3763"/>
        <v/>
      </c>
      <c r="EQ253" s="66" t="str">
        <f t="shared" si="3764"/>
        <v/>
      </c>
      <c r="ER253" s="66" t="str">
        <f t="shared" si="3765"/>
        <v/>
      </c>
      <c r="ES253" s="66" t="str">
        <f t="shared" si="3766"/>
        <v/>
      </c>
      <c r="ET253" s="66" t="str">
        <f t="shared" si="3767"/>
        <v/>
      </c>
      <c r="EU253" s="66" t="str">
        <f t="shared" si="3768"/>
        <v/>
      </c>
      <c r="EV253" s="66" t="str">
        <f t="shared" si="3769"/>
        <v/>
      </c>
      <c r="EW253" s="66" t="str">
        <f t="shared" si="3770"/>
        <v/>
      </c>
      <c r="EX253" s="66" t="str">
        <f t="shared" si="3771"/>
        <v/>
      </c>
      <c r="EY253" s="66" t="str">
        <f t="shared" si="3772"/>
        <v/>
      </c>
      <c r="EZ253" s="66" t="str">
        <f t="shared" si="3773"/>
        <v/>
      </c>
      <c r="FA253" s="66" t="str">
        <f t="shared" si="3774"/>
        <v/>
      </c>
      <c r="FB253" s="66" t="str">
        <f t="shared" si="3775"/>
        <v/>
      </c>
      <c r="FC253" s="66" t="str">
        <f t="shared" si="3776"/>
        <v/>
      </c>
      <c r="FD253" s="66" t="str">
        <f t="shared" si="3777"/>
        <v/>
      </c>
      <c r="FE253" s="66" t="str">
        <f t="shared" si="3778"/>
        <v/>
      </c>
      <c r="FF253" s="66" t="str">
        <f t="shared" si="3779"/>
        <v/>
      </c>
      <c r="FG253" s="66" t="str">
        <f t="shared" si="3780"/>
        <v/>
      </c>
      <c r="FH253" s="66" t="str">
        <f t="shared" si="3781"/>
        <v/>
      </c>
      <c r="FI253" s="66" t="str">
        <f t="shared" si="3782"/>
        <v/>
      </c>
      <c r="FJ253" s="66" t="str">
        <f t="shared" si="3783"/>
        <v/>
      </c>
      <c r="FK253" s="66" t="str">
        <f t="shared" si="3784"/>
        <v/>
      </c>
      <c r="FL253" s="66" t="str">
        <f t="shared" si="3785"/>
        <v/>
      </c>
      <c r="FM253" s="66" t="str">
        <f t="shared" si="3786"/>
        <v/>
      </c>
      <c r="FN253" s="66" t="str">
        <f t="shared" si="3787"/>
        <v/>
      </c>
      <c r="FO253" s="66" t="str">
        <f t="shared" si="3788"/>
        <v/>
      </c>
      <c r="FP253" s="66" t="str">
        <f t="shared" si="3789"/>
        <v/>
      </c>
      <c r="FQ253" s="66" t="str">
        <f t="shared" si="3790"/>
        <v/>
      </c>
      <c r="FR253" s="66" t="str">
        <f t="shared" si="3791"/>
        <v/>
      </c>
      <c r="FS253" s="66" t="str">
        <f t="shared" si="3792"/>
        <v/>
      </c>
    </row>
    <row r="254" spans="1:175">
      <c r="A254" s="27"/>
      <c r="B254" s="27" t="s">
        <v>802</v>
      </c>
      <c r="C254" s="29" t="s">
        <v>775</v>
      </c>
      <c r="T254" s="121"/>
      <c r="U254" s="77"/>
      <c r="CN254" s="36" t="str">
        <f t="shared" ref="CN254:CN259" si="3793">"InitUnitState('"&amp;B254&amp;"',"&amp;V254&amp;","&amp;W254&amp;","&amp;X254&amp;","&amp;Y254&amp;","&amp;Z254&amp;","&amp;AA254&amp;","&amp;AB254&amp;","&amp;AC254&amp;","&amp;AD254&amp;","&amp;AE254&amp;")"</f>
        <v>InitUnitState('IF28',,,,,,,,,,)</v>
      </c>
      <c r="CO254" s="36" t="str">
        <f t="shared" ref="CO254:CO259" si="3794">"InitUnitNormal('"&amp;B254&amp;"',"&amp;AF254&amp;","&amp;AG254&amp;","&amp;AH254&amp;","&amp;AI254&amp;","&amp;AJ254&amp;","&amp;AK254&amp;","&amp;AL254&amp;","&amp;AM254&amp;","&amp;AN254&amp;","&amp;AO254&amp;")"</f>
        <v>InitUnitNormal('IF28',,,,,,,,,,)</v>
      </c>
      <c r="CP254" s="36" t="str">
        <f t="shared" ref="CP254:CP259" si="3795">"InitUnitMagic('"&amp;B254&amp;"',"&amp;AP254&amp;","&amp;AQ254&amp;","&amp;AR254&amp;","&amp;AS254&amp;","&amp;AT254&amp;","&amp;AU254&amp;","&amp;AV254&amp;","&amp;AW254&amp;","&amp;BI254&amp;","&amp;BJ254&amp;")"</f>
        <v>InitUnitMagic('IF28',,,,,,,,,,)</v>
      </c>
      <c r="CQ254" s="36" t="str">
        <f t="shared" ref="CQ254:CQ259" si="3796">"InitUnitAdd('"&amp;B254&amp;"',"&amp;BK254&amp;","&amp;BL254&amp;","&amp;BM254&amp;","&amp;BN254&amp;","&amp;BO254&amp;","&amp;BP254&amp;","&amp;BQ254&amp;","&amp;BR254&amp;","&amp;BS254&amp;","&amp;BT254&amp;")"</f>
        <v>InitUnitAdd('IF28',,,,,,,,,,)</v>
      </c>
      <c r="CR254" s="36" t="str">
        <f t="shared" ref="CR254:CR256" si="3797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InitEquipData('IF28',,"",,,,,'','','','','','',"")</v>
      </c>
      <c r="CU254" s="88" t="str">
        <f t="shared" ref="CU254:CU259" si="3798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33"/>
      <c r="CX254" s="33"/>
      <c r="CY254" s="33"/>
      <c r="CZ254" s="33"/>
      <c r="DA254" s="33"/>
      <c r="DB254" s="66" t="str">
        <f t="shared" ref="DB254:DB259" si="3799">IF(V254="","","|n"&amp;DB$2&amp;"+"&amp;V254&amp;DB$1)</f>
        <v/>
      </c>
      <c r="DC254" s="66" t="str">
        <f t="shared" ref="DC254:DC259" si="3800">IF(W254="","","|n"&amp;DC$2&amp;"+"&amp;W254&amp;DC$1)</f>
        <v/>
      </c>
      <c r="DD254" s="66" t="str">
        <f t="shared" ref="DD254:DD259" si="3801">IF(X254="","","|n"&amp;DD$2&amp;"+"&amp;X254&amp;DD$1)</f>
        <v/>
      </c>
      <c r="DE254" s="66" t="str">
        <f t="shared" ref="DE254:DE259" si="3802">IF(Y254="","","|n"&amp;DE$2&amp;"+"&amp;Y254&amp;DE$1)</f>
        <v/>
      </c>
      <c r="DF254" s="66" t="str">
        <f t="shared" ref="DF254:DF259" si="3803">IF(Z254="","","|n"&amp;DF$2&amp;"+"&amp;Z254&amp;DF$1)</f>
        <v/>
      </c>
      <c r="DG254" s="66" t="str">
        <f t="shared" ref="DG254:DG259" si="3804">IF(AA254="","","|n"&amp;DG$2&amp;"+"&amp;AA254&amp;DG$1)</f>
        <v/>
      </c>
      <c r="DH254" s="66" t="str">
        <f t="shared" ref="DH254:DH259" si="3805">IF(AB254="","","|n"&amp;DH$2&amp;"+"&amp;AB254&amp;DH$1)</f>
        <v/>
      </c>
      <c r="DI254" s="66" t="str">
        <f t="shared" ref="DI254:DI259" si="3806">IF(AC254="","","|n"&amp;DI$2&amp;"+"&amp;AC254&amp;DI$1)</f>
        <v/>
      </c>
      <c r="DJ254" s="66" t="str">
        <f t="shared" ref="DJ254:DJ259" si="3807">IF(AD254="","","|n"&amp;DJ$2&amp;"+"&amp;AD254&amp;DJ$1)</f>
        <v/>
      </c>
      <c r="DK254" s="66" t="str">
        <f t="shared" ref="DK254:DK259" si="3808">IF(AE254="","","|n"&amp;DK$2&amp;"+"&amp;AE254&amp;DK$1)</f>
        <v/>
      </c>
      <c r="DL254" s="66" t="str">
        <f t="shared" ref="DL254:DL259" si="3809">IF(AF254="","","|n"&amp;DL$2&amp;"+"&amp;AF254&amp;DL$1)</f>
        <v/>
      </c>
      <c r="DM254" s="66" t="str">
        <f t="shared" ref="DM254:DM259" si="3810">IF(AG254="","","|n"&amp;DM$2&amp;"+"&amp;AG254&amp;DM$1)</f>
        <v/>
      </c>
      <c r="DN254" s="66" t="str">
        <f t="shared" ref="DN254:DN259" si="3811">IF(AH254="","","|n"&amp;DN$2&amp;"+"&amp;AH254&amp;DN$1)</f>
        <v/>
      </c>
      <c r="DO254" s="66" t="str">
        <f t="shared" ref="DO254:DO259" si="3812">IF(AI254="","","|n"&amp;DO$2&amp;"+"&amp;AI254&amp;DO$1)</f>
        <v/>
      </c>
      <c r="DP254" s="66" t="str">
        <f t="shared" ref="DP254:DP259" si="3813">IF(AJ254="","","|n"&amp;DP$2&amp;"+"&amp;AJ254&amp;DP$1)</f>
        <v/>
      </c>
      <c r="DQ254" s="66" t="str">
        <f t="shared" ref="DQ254:DQ259" si="3814">IF(AK254="","","|n"&amp;DQ$2&amp;"+"&amp;AK254&amp;DQ$1)</f>
        <v/>
      </c>
      <c r="DR254" s="66" t="str">
        <f t="shared" ref="DR254:DR259" si="3815">IF(AL254="","","|n"&amp;DR$2&amp;"+"&amp;AL254&amp;DR$1)</f>
        <v/>
      </c>
      <c r="DS254" s="66" t="str">
        <f t="shared" ref="DS254:DS259" si="3816">IF(AM254="","","|n"&amp;DS$2&amp;"+"&amp;AM254&amp;DS$1)</f>
        <v/>
      </c>
      <c r="DT254" s="66" t="str">
        <f t="shared" ref="DT254:DT259" si="3817">IF(AN254="","","|n"&amp;DT$2&amp;"+"&amp;AN254&amp;DT$1)</f>
        <v/>
      </c>
      <c r="DU254" s="66" t="str">
        <f t="shared" ref="DU254:DU259" si="3818">IF(AO254="","","|n"&amp;DU$2&amp;"+"&amp;AO254&amp;DU$1)</f>
        <v/>
      </c>
      <c r="DV254" s="66" t="str">
        <f t="shared" ref="DV254:DV259" si="3819">IF(AP254="","","|n"&amp;DV$2&amp;"+"&amp;AP254&amp;DV$1)</f>
        <v/>
      </c>
      <c r="DW254" s="66" t="str">
        <f t="shared" ref="DW254:DW259" si="3820">IF(AQ254="","","|n"&amp;DW$2&amp;"+"&amp;AQ254&amp;DW$1)</f>
        <v/>
      </c>
      <c r="DX254" s="66" t="str">
        <f t="shared" ref="DX254:DX259" si="3821">IF(AR254="","","|n"&amp;DX$2&amp;"+"&amp;AR254&amp;DX$1)</f>
        <v/>
      </c>
      <c r="DY254" s="66" t="str">
        <f t="shared" ref="DY254:DY259" si="3822">IF(AS254="","","|n"&amp;DY$2&amp;"+"&amp;AS254&amp;DY$1)</f>
        <v/>
      </c>
      <c r="DZ254" s="66" t="str">
        <f t="shared" ref="DZ254:DZ259" si="3823">IF(AT254="","","|n"&amp;DZ$2&amp;"+"&amp;AT254&amp;DZ$1)</f>
        <v/>
      </c>
      <c r="EA254" s="66" t="str">
        <f t="shared" ref="EA254:EA259" si="3824">IF(AU254="","","|n"&amp;EA$2&amp;"+"&amp;AU254&amp;EA$1)</f>
        <v/>
      </c>
      <c r="EB254" s="66" t="str">
        <f t="shared" ref="EB254:EB259" si="3825">IF(AV254="","","|n"&amp;EB$2&amp;"+"&amp;AV254&amp;EB$1)</f>
        <v/>
      </c>
      <c r="EC254" s="66" t="str">
        <f t="shared" ref="EC254:EC259" si="3826">IF(AW254="","","|n"&amp;EC$2&amp;"+"&amp;AW254&amp;EC$1)</f>
        <v/>
      </c>
      <c r="ED254" s="66" t="str">
        <f t="shared" ref="ED254:ED259" si="3827">IF(AX254="","","|n"&amp;ED$2&amp;"+"&amp;AX254&amp;ED$1)</f>
        <v/>
      </c>
      <c r="EE254" s="66" t="str">
        <f t="shared" ref="EE254:EE259" si="3828">IF(AY254="","","|n"&amp;EE$2&amp;"+"&amp;AY254&amp;EE$1)</f>
        <v/>
      </c>
      <c r="EF254" s="66" t="str">
        <f t="shared" ref="EF254:EF259" si="3829">IF(AZ254="","","|n"&amp;EF$2&amp;"+"&amp;AZ254&amp;EF$1)</f>
        <v/>
      </c>
      <c r="EG254" s="66" t="str">
        <f t="shared" ref="EG254:EG259" si="3830">IF(BA254="","","|n"&amp;EG$2&amp;"+"&amp;BA254&amp;EG$1)</f>
        <v/>
      </c>
      <c r="EH254" s="66" t="str">
        <f t="shared" ref="EH254:EH259" si="3831">IF(BB254="","","|n"&amp;EH$2&amp;"+"&amp;BB254&amp;EH$1)</f>
        <v/>
      </c>
      <c r="EI254" s="66" t="str">
        <f t="shared" ref="EI254:EI259" si="3832">IF(BC254="","","|n"&amp;EI$2&amp;"+"&amp;BC254&amp;EI$1)</f>
        <v/>
      </c>
      <c r="EJ254" s="66" t="str">
        <f t="shared" ref="EJ254:EJ259" si="3833">IF(BD254="","","|n"&amp;EJ$2&amp;"+"&amp;BD254&amp;EJ$1)</f>
        <v/>
      </c>
      <c r="EK254" s="66" t="str">
        <f t="shared" ref="EK254:EK259" si="3834">IF(BE254="","","|n"&amp;EK$2&amp;"+"&amp;BE254&amp;EK$1)</f>
        <v/>
      </c>
      <c r="EL254" s="66" t="str">
        <f t="shared" ref="EL254:EL259" si="3835">IF(BF254="","","|n"&amp;EL$2&amp;"+"&amp;BF254&amp;EL$1)</f>
        <v/>
      </c>
      <c r="EM254" s="66" t="str">
        <f t="shared" ref="EM254:EM259" si="3836">IF(BG254="","","|n"&amp;EM$2&amp;"+"&amp;BG254&amp;EM$1)</f>
        <v/>
      </c>
      <c r="EN254" s="66" t="str">
        <f t="shared" ref="EN254:EN259" si="3837">IF(BH254="","","|n"&amp;EN$2&amp;"+"&amp;BH254&amp;EN$1)</f>
        <v/>
      </c>
      <c r="EO254" s="66" t="str">
        <f t="shared" ref="EO254:EO259" si="3838">IF(BI254="","","|n"&amp;EO$2&amp;"+"&amp;BI254&amp;EO$1)</f>
        <v/>
      </c>
      <c r="EP254" s="66" t="str">
        <f t="shared" ref="EP254:EP259" si="3839">IF(BJ254="","","|n"&amp;EP$2&amp;"+"&amp;BJ254&amp;EP$1)</f>
        <v/>
      </c>
      <c r="EQ254" s="66" t="str">
        <f t="shared" ref="EQ254:EQ259" si="3840">IF(BK254="","","|n"&amp;EQ$2&amp;"+"&amp;BK254&amp;EQ$1)</f>
        <v/>
      </c>
      <c r="ER254" s="66" t="str">
        <f t="shared" ref="ER254:ER259" si="3841">IF(BL254="","","|n"&amp;ER$2&amp;"+"&amp;BL254&amp;ER$1)</f>
        <v/>
      </c>
      <c r="ES254" s="66" t="str">
        <f t="shared" ref="ES254:ES259" si="3842">IF(BM254="","","|n"&amp;ES$2&amp;"+"&amp;BM254&amp;ES$1)</f>
        <v/>
      </c>
      <c r="ET254" s="66" t="str">
        <f t="shared" ref="ET254:ET259" si="3843">IF(BN254="","","|n"&amp;ET$2&amp;"+"&amp;BN254&amp;ET$1)</f>
        <v/>
      </c>
      <c r="EU254" s="66" t="str">
        <f t="shared" ref="EU254:EU259" si="3844">IF(BO254="","","|n"&amp;EU$2&amp;"+"&amp;BO254&amp;EU$1)</f>
        <v/>
      </c>
      <c r="EV254" s="66" t="str">
        <f t="shared" ref="EV254:EV259" si="3845">IF(BP254="","","|n"&amp;EV$2&amp;"+"&amp;BP254&amp;EV$1)</f>
        <v/>
      </c>
      <c r="EW254" s="66" t="str">
        <f t="shared" ref="EW254:EW259" si="3846">IF(BQ254="","","|n"&amp;EW$2&amp;"+"&amp;BQ254&amp;EW$1)</f>
        <v/>
      </c>
      <c r="EX254" s="66" t="str">
        <f t="shared" ref="EX254:EX259" si="3847">IF(BR254="","","|n"&amp;EX$2&amp;"+"&amp;BR254&amp;EX$1)</f>
        <v/>
      </c>
      <c r="EY254" s="66" t="str">
        <f t="shared" ref="EY254:EY259" si="3848">IF(BS254="","","|n"&amp;EY$2&amp;"+"&amp;BS254&amp;EY$1)</f>
        <v/>
      </c>
      <c r="EZ254" s="66" t="str">
        <f t="shared" ref="EZ254:EZ259" si="3849">IF(BT254="","","|n"&amp;EZ$2&amp;"+"&amp;BT254&amp;EZ$1)</f>
        <v/>
      </c>
      <c r="FA254" s="66" t="str">
        <f t="shared" ref="FA254:FA259" si="3850">IF(BU254="","","|n"&amp;FA$2&amp;"+"&amp;BU254&amp;FA$1)</f>
        <v/>
      </c>
      <c r="FB254" s="66" t="str">
        <f t="shared" ref="FB254:FB259" si="3851">IF(BV254="","","|n"&amp;FB$2&amp;"+"&amp;BV254&amp;FB$1)</f>
        <v/>
      </c>
      <c r="FC254" s="66" t="str">
        <f t="shared" ref="FC254:FC259" si="3852">IF(BW254="","","|n"&amp;FC$2&amp;"+"&amp;BW254&amp;FC$1)</f>
        <v/>
      </c>
      <c r="FD254" s="66" t="str">
        <f t="shared" ref="FD254:FD259" si="3853">IF(BX254="","","|n"&amp;FD$2&amp;"+"&amp;BX254&amp;FD$1)</f>
        <v/>
      </c>
      <c r="FE254" s="66" t="str">
        <f t="shared" ref="FE254:FE259" si="3854">IF(BY254="","","|n"&amp;FE$2&amp;"+"&amp;BY254&amp;FE$1)</f>
        <v/>
      </c>
      <c r="FF254" s="66" t="str">
        <f t="shared" ref="FF254:FF259" si="3855">IF(BZ254="","","|n"&amp;FF$2&amp;"+"&amp;BZ254&amp;FF$1)</f>
        <v/>
      </c>
      <c r="FG254" s="66" t="str">
        <f t="shared" ref="FG254:FG259" si="3856">IF(CA254="","","|n"&amp;FG$2&amp;"+"&amp;CA254&amp;FG$1)</f>
        <v/>
      </c>
      <c r="FH254" s="66" t="str">
        <f t="shared" ref="FH254:FH259" si="3857">IF(CB254="","","|n"&amp;FH$2&amp;"+"&amp;CB254&amp;FH$1)</f>
        <v/>
      </c>
      <c r="FI254" s="66" t="str">
        <f t="shared" ref="FI254:FI259" si="3858">IF(CC254="","","|n"&amp;FI$2&amp;"+"&amp;CC254&amp;FI$1)</f>
        <v/>
      </c>
      <c r="FJ254" s="66" t="str">
        <f t="shared" ref="FJ254:FJ259" si="3859">IF(CD254="","","|n"&amp;FJ$2&amp;"+"&amp;CD254&amp;FJ$1)</f>
        <v/>
      </c>
      <c r="FK254" s="66" t="str">
        <f t="shared" ref="FK254:FK259" si="3860">IF(CE254="","","|n"&amp;FK$2&amp;"+"&amp;CE254&amp;FK$1)</f>
        <v/>
      </c>
      <c r="FL254" s="66" t="str">
        <f t="shared" ref="FL254:FL259" si="3861">IF(CF254="","","|n"&amp;FL$2&amp;"+"&amp;CF254&amp;FL$1)</f>
        <v/>
      </c>
      <c r="FM254" s="66" t="str">
        <f t="shared" ref="FM254:FM259" si="3862">IF(CG254="","","|n"&amp;FM$2&amp;"+"&amp;CG254&amp;FM$1)</f>
        <v/>
      </c>
      <c r="FN254" s="66" t="str">
        <f t="shared" ref="FN254:FN259" si="3863">IF(CH254="","","|n"&amp;FN$2&amp;"+"&amp;CH254&amp;FN$1)</f>
        <v/>
      </c>
      <c r="FO254" s="66" t="str">
        <f t="shared" ref="FO254:FO259" si="3864">IF(CI254="","","|n"&amp;FO$2&amp;"+"&amp;CI254&amp;FO$1)</f>
        <v/>
      </c>
      <c r="FP254" s="66" t="str">
        <f t="shared" ref="FP254:FP259" si="3865">IF(CJ254="","","|n"&amp;FP$2&amp;"+"&amp;CJ254&amp;FP$1)</f>
        <v/>
      </c>
      <c r="FQ254" s="66" t="str">
        <f t="shared" ref="FQ254:FQ259" si="3866">IF(CK254="","","|n"&amp;FQ$2&amp;"+"&amp;CK254&amp;FQ$1)</f>
        <v/>
      </c>
      <c r="FR254" s="66" t="str">
        <f t="shared" ref="FR254:FR259" si="3867">IF(CL254="","","|n"&amp;FR$2&amp;"+"&amp;CL254&amp;FR$1)</f>
        <v/>
      </c>
      <c r="FS254" s="66" t="str">
        <f t="shared" ref="FS254:FS259" si="3868">IF(CM254="","","|n"&amp;FS$2&amp;"+"&amp;CM254&amp;FS$1)</f>
        <v/>
      </c>
    </row>
    <row r="255" spans="1:175">
      <c r="A255" s="27"/>
      <c r="B255" s="27" t="s">
        <v>803</v>
      </c>
      <c r="C255" s="29" t="s">
        <v>775</v>
      </c>
      <c r="T255" s="121"/>
      <c r="U255" s="77"/>
      <c r="CN255" s="36" t="str">
        <f t="shared" si="3793"/>
        <v>InitUnitState('IF29',,,,,,,,,,)</v>
      </c>
      <c r="CO255" s="36" t="str">
        <f t="shared" si="3794"/>
        <v>InitUnitNormal('IF29',,,,,,,,,,)</v>
      </c>
      <c r="CP255" s="36" t="str">
        <f t="shared" si="3795"/>
        <v>InitUnitMagic('IF29',,,,,,,,,,)</v>
      </c>
      <c r="CQ255" s="36" t="str">
        <f t="shared" si="3796"/>
        <v>InitUnitAdd('IF29',,,,,,,,,,)</v>
      </c>
      <c r="CR255" s="36" t="str">
        <f t="shared" si="3797"/>
        <v>InitEquipData('IF29',,"",,,,,'','','','','','',"")</v>
      </c>
      <c r="CU255" s="88" t="str">
        <f t="shared" si="3798"/>
        <v>|n</v>
      </c>
      <c r="CW255" s="33"/>
      <c r="CX255" s="33"/>
      <c r="CY255" s="33"/>
      <c r="CZ255" s="33"/>
      <c r="DA255" s="33"/>
      <c r="DB255" s="66" t="str">
        <f t="shared" si="3799"/>
        <v/>
      </c>
      <c r="DC255" s="66" t="str">
        <f t="shared" si="3800"/>
        <v/>
      </c>
      <c r="DD255" s="66" t="str">
        <f t="shared" si="3801"/>
        <v/>
      </c>
      <c r="DE255" s="66" t="str">
        <f t="shared" si="3802"/>
        <v/>
      </c>
      <c r="DF255" s="66" t="str">
        <f t="shared" si="3803"/>
        <v/>
      </c>
      <c r="DG255" s="66" t="str">
        <f t="shared" si="3804"/>
        <v/>
      </c>
      <c r="DH255" s="66" t="str">
        <f t="shared" si="3805"/>
        <v/>
      </c>
      <c r="DI255" s="66" t="str">
        <f t="shared" si="3806"/>
        <v/>
      </c>
      <c r="DJ255" s="66" t="str">
        <f t="shared" si="3807"/>
        <v/>
      </c>
      <c r="DK255" s="66" t="str">
        <f t="shared" si="3808"/>
        <v/>
      </c>
      <c r="DL255" s="66" t="str">
        <f t="shared" si="3809"/>
        <v/>
      </c>
      <c r="DM255" s="66" t="str">
        <f t="shared" si="3810"/>
        <v/>
      </c>
      <c r="DN255" s="66" t="str">
        <f t="shared" si="3811"/>
        <v/>
      </c>
      <c r="DO255" s="66" t="str">
        <f t="shared" si="3812"/>
        <v/>
      </c>
      <c r="DP255" s="66" t="str">
        <f t="shared" si="3813"/>
        <v/>
      </c>
      <c r="DQ255" s="66" t="str">
        <f t="shared" si="3814"/>
        <v/>
      </c>
      <c r="DR255" s="66" t="str">
        <f t="shared" si="3815"/>
        <v/>
      </c>
      <c r="DS255" s="66" t="str">
        <f t="shared" si="3816"/>
        <v/>
      </c>
      <c r="DT255" s="66" t="str">
        <f t="shared" si="3817"/>
        <v/>
      </c>
      <c r="DU255" s="66" t="str">
        <f t="shared" si="3818"/>
        <v/>
      </c>
      <c r="DV255" s="66" t="str">
        <f t="shared" si="3819"/>
        <v/>
      </c>
      <c r="DW255" s="66" t="str">
        <f t="shared" si="3820"/>
        <v/>
      </c>
      <c r="DX255" s="66" t="str">
        <f t="shared" si="3821"/>
        <v/>
      </c>
      <c r="DY255" s="66" t="str">
        <f t="shared" si="3822"/>
        <v/>
      </c>
      <c r="DZ255" s="66" t="str">
        <f t="shared" si="3823"/>
        <v/>
      </c>
      <c r="EA255" s="66" t="str">
        <f t="shared" si="3824"/>
        <v/>
      </c>
      <c r="EB255" s="66" t="str">
        <f t="shared" si="3825"/>
        <v/>
      </c>
      <c r="EC255" s="66" t="str">
        <f t="shared" si="3826"/>
        <v/>
      </c>
      <c r="ED255" s="66" t="str">
        <f t="shared" si="3827"/>
        <v/>
      </c>
      <c r="EE255" s="66" t="str">
        <f t="shared" si="3828"/>
        <v/>
      </c>
      <c r="EF255" s="66" t="str">
        <f t="shared" si="3829"/>
        <v/>
      </c>
      <c r="EG255" s="66" t="str">
        <f t="shared" si="3830"/>
        <v/>
      </c>
      <c r="EH255" s="66" t="str">
        <f t="shared" si="3831"/>
        <v/>
      </c>
      <c r="EI255" s="66" t="str">
        <f t="shared" si="3832"/>
        <v/>
      </c>
      <c r="EJ255" s="66" t="str">
        <f t="shared" si="3833"/>
        <v/>
      </c>
      <c r="EK255" s="66" t="str">
        <f t="shared" si="3834"/>
        <v/>
      </c>
      <c r="EL255" s="66" t="str">
        <f t="shared" si="3835"/>
        <v/>
      </c>
      <c r="EM255" s="66" t="str">
        <f t="shared" si="3836"/>
        <v/>
      </c>
      <c r="EN255" s="66" t="str">
        <f t="shared" si="3837"/>
        <v/>
      </c>
      <c r="EO255" s="66" t="str">
        <f t="shared" si="3838"/>
        <v/>
      </c>
      <c r="EP255" s="66" t="str">
        <f t="shared" si="3839"/>
        <v/>
      </c>
      <c r="EQ255" s="66" t="str">
        <f t="shared" si="3840"/>
        <v/>
      </c>
      <c r="ER255" s="66" t="str">
        <f t="shared" si="3841"/>
        <v/>
      </c>
      <c r="ES255" s="66" t="str">
        <f t="shared" si="3842"/>
        <v/>
      </c>
      <c r="ET255" s="66" t="str">
        <f t="shared" si="3843"/>
        <v/>
      </c>
      <c r="EU255" s="66" t="str">
        <f t="shared" si="3844"/>
        <v/>
      </c>
      <c r="EV255" s="66" t="str">
        <f t="shared" si="3845"/>
        <v/>
      </c>
      <c r="EW255" s="66" t="str">
        <f t="shared" si="3846"/>
        <v/>
      </c>
      <c r="EX255" s="66" t="str">
        <f t="shared" si="3847"/>
        <v/>
      </c>
      <c r="EY255" s="66" t="str">
        <f t="shared" si="3848"/>
        <v/>
      </c>
      <c r="EZ255" s="66" t="str">
        <f t="shared" si="3849"/>
        <v/>
      </c>
      <c r="FA255" s="66" t="str">
        <f t="shared" si="3850"/>
        <v/>
      </c>
      <c r="FB255" s="66" t="str">
        <f t="shared" si="3851"/>
        <v/>
      </c>
      <c r="FC255" s="66" t="str">
        <f t="shared" si="3852"/>
        <v/>
      </c>
      <c r="FD255" s="66" t="str">
        <f t="shared" si="3853"/>
        <v/>
      </c>
      <c r="FE255" s="66" t="str">
        <f t="shared" si="3854"/>
        <v/>
      </c>
      <c r="FF255" s="66" t="str">
        <f t="shared" si="3855"/>
        <v/>
      </c>
      <c r="FG255" s="66" t="str">
        <f t="shared" si="3856"/>
        <v/>
      </c>
      <c r="FH255" s="66" t="str">
        <f t="shared" si="3857"/>
        <v/>
      </c>
      <c r="FI255" s="66" t="str">
        <f t="shared" si="3858"/>
        <v/>
      </c>
      <c r="FJ255" s="66" t="str">
        <f t="shared" si="3859"/>
        <v/>
      </c>
      <c r="FK255" s="66" t="str">
        <f t="shared" si="3860"/>
        <v/>
      </c>
      <c r="FL255" s="66" t="str">
        <f t="shared" si="3861"/>
        <v/>
      </c>
      <c r="FM255" s="66" t="str">
        <f t="shared" si="3862"/>
        <v/>
      </c>
      <c r="FN255" s="66" t="str">
        <f t="shared" si="3863"/>
        <v/>
      </c>
      <c r="FO255" s="66" t="str">
        <f t="shared" si="3864"/>
        <v/>
      </c>
      <c r="FP255" s="66" t="str">
        <f t="shared" si="3865"/>
        <v/>
      </c>
      <c r="FQ255" s="66" t="str">
        <f t="shared" si="3866"/>
        <v/>
      </c>
      <c r="FR255" s="66" t="str">
        <f t="shared" si="3867"/>
        <v/>
      </c>
      <c r="FS255" s="66" t="str">
        <f t="shared" si="3868"/>
        <v/>
      </c>
    </row>
    <row r="256" spans="1:175">
      <c r="A256" s="27"/>
      <c r="B256" s="27" t="s">
        <v>804</v>
      </c>
      <c r="C256" s="29" t="s">
        <v>775</v>
      </c>
      <c r="T256" s="121"/>
      <c r="U256" s="77"/>
      <c r="CN256" s="36" t="str">
        <f t="shared" si="3793"/>
        <v>InitUnitState('IF30',,,,,,,,,,)</v>
      </c>
      <c r="CO256" s="36" t="str">
        <f t="shared" si="3794"/>
        <v>InitUnitNormal('IF30',,,,,,,,,,)</v>
      </c>
      <c r="CP256" s="36" t="str">
        <f t="shared" si="3795"/>
        <v>InitUnitMagic('IF30',,,,,,,,,,)</v>
      </c>
      <c r="CQ256" s="36" t="str">
        <f t="shared" si="3796"/>
        <v>InitUnitAdd('IF30',,,,,,,,,,)</v>
      </c>
      <c r="CR256" s="36" t="str">
        <f t="shared" si="3797"/>
        <v>InitEquipData('IF30',,"",,,,,'','','','','','',"")</v>
      </c>
      <c r="CU256" s="88" t="str">
        <f t="shared" si="3798"/>
        <v>|n</v>
      </c>
      <c r="CW256" s="33"/>
      <c r="CX256" s="33"/>
      <c r="CY256" s="33"/>
      <c r="CZ256" s="33"/>
      <c r="DA256" s="33"/>
      <c r="DB256" s="66" t="str">
        <f t="shared" si="3799"/>
        <v/>
      </c>
      <c r="DC256" s="66" t="str">
        <f t="shared" si="3800"/>
        <v/>
      </c>
      <c r="DD256" s="66" t="str">
        <f t="shared" si="3801"/>
        <v/>
      </c>
      <c r="DE256" s="66" t="str">
        <f t="shared" si="3802"/>
        <v/>
      </c>
      <c r="DF256" s="66" t="str">
        <f t="shared" si="3803"/>
        <v/>
      </c>
      <c r="DG256" s="66" t="str">
        <f t="shared" si="3804"/>
        <v/>
      </c>
      <c r="DH256" s="66" t="str">
        <f t="shared" si="3805"/>
        <v/>
      </c>
      <c r="DI256" s="66" t="str">
        <f t="shared" si="3806"/>
        <v/>
      </c>
      <c r="DJ256" s="66" t="str">
        <f t="shared" si="3807"/>
        <v/>
      </c>
      <c r="DK256" s="66" t="str">
        <f t="shared" si="3808"/>
        <v/>
      </c>
      <c r="DL256" s="66" t="str">
        <f t="shared" si="3809"/>
        <v/>
      </c>
      <c r="DM256" s="66" t="str">
        <f t="shared" si="3810"/>
        <v/>
      </c>
      <c r="DN256" s="66" t="str">
        <f t="shared" si="3811"/>
        <v/>
      </c>
      <c r="DO256" s="66" t="str">
        <f t="shared" si="3812"/>
        <v/>
      </c>
      <c r="DP256" s="66" t="str">
        <f t="shared" si="3813"/>
        <v/>
      </c>
      <c r="DQ256" s="66" t="str">
        <f t="shared" si="3814"/>
        <v/>
      </c>
      <c r="DR256" s="66" t="str">
        <f t="shared" si="3815"/>
        <v/>
      </c>
      <c r="DS256" s="66" t="str">
        <f t="shared" si="3816"/>
        <v/>
      </c>
      <c r="DT256" s="66" t="str">
        <f t="shared" si="3817"/>
        <v/>
      </c>
      <c r="DU256" s="66" t="str">
        <f t="shared" si="3818"/>
        <v/>
      </c>
      <c r="DV256" s="66" t="str">
        <f t="shared" si="3819"/>
        <v/>
      </c>
      <c r="DW256" s="66" t="str">
        <f t="shared" si="3820"/>
        <v/>
      </c>
      <c r="DX256" s="66" t="str">
        <f t="shared" si="3821"/>
        <v/>
      </c>
      <c r="DY256" s="66" t="str">
        <f t="shared" si="3822"/>
        <v/>
      </c>
      <c r="DZ256" s="66" t="str">
        <f t="shared" si="3823"/>
        <v/>
      </c>
      <c r="EA256" s="66" t="str">
        <f t="shared" si="3824"/>
        <v/>
      </c>
      <c r="EB256" s="66" t="str">
        <f t="shared" si="3825"/>
        <v/>
      </c>
      <c r="EC256" s="66" t="str">
        <f t="shared" si="3826"/>
        <v/>
      </c>
      <c r="ED256" s="66" t="str">
        <f t="shared" si="3827"/>
        <v/>
      </c>
      <c r="EE256" s="66" t="str">
        <f t="shared" si="3828"/>
        <v/>
      </c>
      <c r="EF256" s="66" t="str">
        <f t="shared" si="3829"/>
        <v/>
      </c>
      <c r="EG256" s="66" t="str">
        <f t="shared" si="3830"/>
        <v/>
      </c>
      <c r="EH256" s="66" t="str">
        <f t="shared" si="3831"/>
        <v/>
      </c>
      <c r="EI256" s="66" t="str">
        <f t="shared" si="3832"/>
        <v/>
      </c>
      <c r="EJ256" s="66" t="str">
        <f t="shared" si="3833"/>
        <v/>
      </c>
      <c r="EK256" s="66" t="str">
        <f t="shared" si="3834"/>
        <v/>
      </c>
      <c r="EL256" s="66" t="str">
        <f t="shared" si="3835"/>
        <v/>
      </c>
      <c r="EM256" s="66" t="str">
        <f t="shared" si="3836"/>
        <v/>
      </c>
      <c r="EN256" s="66" t="str">
        <f t="shared" si="3837"/>
        <v/>
      </c>
      <c r="EO256" s="66" t="str">
        <f t="shared" si="3838"/>
        <v/>
      </c>
      <c r="EP256" s="66" t="str">
        <f t="shared" si="3839"/>
        <v/>
      </c>
      <c r="EQ256" s="66" t="str">
        <f t="shared" si="3840"/>
        <v/>
      </c>
      <c r="ER256" s="66" t="str">
        <f t="shared" si="3841"/>
        <v/>
      </c>
      <c r="ES256" s="66" t="str">
        <f t="shared" si="3842"/>
        <v/>
      </c>
      <c r="ET256" s="66" t="str">
        <f t="shared" si="3843"/>
        <v/>
      </c>
      <c r="EU256" s="66" t="str">
        <f t="shared" si="3844"/>
        <v/>
      </c>
      <c r="EV256" s="66" t="str">
        <f t="shared" si="3845"/>
        <v/>
      </c>
      <c r="EW256" s="66" t="str">
        <f t="shared" si="3846"/>
        <v/>
      </c>
      <c r="EX256" s="66" t="str">
        <f t="shared" si="3847"/>
        <v/>
      </c>
      <c r="EY256" s="66" t="str">
        <f t="shared" si="3848"/>
        <v/>
      </c>
      <c r="EZ256" s="66" t="str">
        <f t="shared" si="3849"/>
        <v/>
      </c>
      <c r="FA256" s="66" t="str">
        <f t="shared" si="3850"/>
        <v/>
      </c>
      <c r="FB256" s="66" t="str">
        <f t="shared" si="3851"/>
        <v/>
      </c>
      <c r="FC256" s="66" t="str">
        <f t="shared" si="3852"/>
        <v/>
      </c>
      <c r="FD256" s="66" t="str">
        <f t="shared" si="3853"/>
        <v/>
      </c>
      <c r="FE256" s="66" t="str">
        <f t="shared" si="3854"/>
        <v/>
      </c>
      <c r="FF256" s="66" t="str">
        <f t="shared" si="3855"/>
        <v/>
      </c>
      <c r="FG256" s="66" t="str">
        <f t="shared" si="3856"/>
        <v/>
      </c>
      <c r="FH256" s="66" t="str">
        <f t="shared" si="3857"/>
        <v/>
      </c>
      <c r="FI256" s="66" t="str">
        <f t="shared" si="3858"/>
        <v/>
      </c>
      <c r="FJ256" s="66" t="str">
        <f t="shared" si="3859"/>
        <v/>
      </c>
      <c r="FK256" s="66" t="str">
        <f t="shared" si="3860"/>
        <v/>
      </c>
      <c r="FL256" s="66" t="str">
        <f t="shared" si="3861"/>
        <v/>
      </c>
      <c r="FM256" s="66" t="str">
        <f t="shared" si="3862"/>
        <v/>
      </c>
      <c r="FN256" s="66" t="str">
        <f t="shared" si="3863"/>
        <v/>
      </c>
      <c r="FO256" s="66" t="str">
        <f t="shared" si="3864"/>
        <v/>
      </c>
      <c r="FP256" s="66" t="str">
        <f t="shared" si="3865"/>
        <v/>
      </c>
      <c r="FQ256" s="66" t="str">
        <f t="shared" si="3866"/>
        <v/>
      </c>
      <c r="FR256" s="66" t="str">
        <f t="shared" si="3867"/>
        <v/>
      </c>
      <c r="FS256" s="66" t="str">
        <f t="shared" si="3868"/>
        <v/>
      </c>
    </row>
    <row r="257" spans="1:175">
      <c r="A257" s="27"/>
      <c r="B257" s="27" t="s">
        <v>805</v>
      </c>
      <c r="C257" s="29" t="s">
        <v>775</v>
      </c>
      <c r="T257" s="121"/>
      <c r="U257" s="77"/>
      <c r="CN257" s="36" t="str">
        <f t="shared" si="3793"/>
        <v>InitUnitState('IF31',,,,,,,,,,)</v>
      </c>
      <c r="CO257" s="36" t="str">
        <f t="shared" si="3794"/>
        <v>InitUnitNormal('IF31',,,,,,,,,,)</v>
      </c>
      <c r="CP257" s="36" t="str">
        <f t="shared" si="3795"/>
        <v>InitUnitMagic('IF31',,,,,,,,,,)</v>
      </c>
      <c r="CQ257" s="36" t="str">
        <f t="shared" si="3796"/>
        <v>InitUnitAdd('IF31',,,,,,,,,,)</v>
      </c>
      <c r="CR257" s="36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264&amp;CR$1&amp;")"</f>
        <v>InitEquipData('IF31',,"",,,,,'','','','','','',"")</v>
      </c>
      <c r="CU257" s="88" t="str">
        <f t="shared" si="3798"/>
        <v>|n</v>
      </c>
      <c r="CW257" s="33"/>
      <c r="CX257" s="33"/>
      <c r="CY257" s="33"/>
      <c r="CZ257" s="33"/>
      <c r="DA257" s="33"/>
      <c r="DB257" s="66" t="str">
        <f t="shared" si="3799"/>
        <v/>
      </c>
      <c r="DC257" s="66" t="str">
        <f t="shared" si="3800"/>
        <v/>
      </c>
      <c r="DD257" s="66" t="str">
        <f t="shared" si="3801"/>
        <v/>
      </c>
      <c r="DE257" s="66" t="str">
        <f t="shared" si="3802"/>
        <v/>
      </c>
      <c r="DF257" s="66" t="str">
        <f t="shared" si="3803"/>
        <v/>
      </c>
      <c r="DG257" s="66" t="str">
        <f t="shared" si="3804"/>
        <v/>
      </c>
      <c r="DH257" s="66" t="str">
        <f t="shared" si="3805"/>
        <v/>
      </c>
      <c r="DI257" s="66" t="str">
        <f t="shared" si="3806"/>
        <v/>
      </c>
      <c r="DJ257" s="66" t="str">
        <f t="shared" si="3807"/>
        <v/>
      </c>
      <c r="DK257" s="66" t="str">
        <f t="shared" si="3808"/>
        <v/>
      </c>
      <c r="DL257" s="66" t="str">
        <f t="shared" si="3809"/>
        <v/>
      </c>
      <c r="DM257" s="66" t="str">
        <f t="shared" si="3810"/>
        <v/>
      </c>
      <c r="DN257" s="66" t="str">
        <f t="shared" si="3811"/>
        <v/>
      </c>
      <c r="DO257" s="66" t="str">
        <f t="shared" si="3812"/>
        <v/>
      </c>
      <c r="DP257" s="66" t="str">
        <f t="shared" si="3813"/>
        <v/>
      </c>
      <c r="DQ257" s="66" t="str">
        <f t="shared" si="3814"/>
        <v/>
      </c>
      <c r="DR257" s="66" t="str">
        <f t="shared" si="3815"/>
        <v/>
      </c>
      <c r="DS257" s="66" t="str">
        <f t="shared" si="3816"/>
        <v/>
      </c>
      <c r="DT257" s="66" t="str">
        <f t="shared" si="3817"/>
        <v/>
      </c>
      <c r="DU257" s="66" t="str">
        <f t="shared" si="3818"/>
        <v/>
      </c>
      <c r="DV257" s="66" t="str">
        <f t="shared" si="3819"/>
        <v/>
      </c>
      <c r="DW257" s="66" t="str">
        <f t="shared" si="3820"/>
        <v/>
      </c>
      <c r="DX257" s="66" t="str">
        <f t="shared" si="3821"/>
        <v/>
      </c>
      <c r="DY257" s="66" t="str">
        <f t="shared" si="3822"/>
        <v/>
      </c>
      <c r="DZ257" s="66" t="str">
        <f t="shared" si="3823"/>
        <v/>
      </c>
      <c r="EA257" s="66" t="str">
        <f t="shared" si="3824"/>
        <v/>
      </c>
      <c r="EB257" s="66" t="str">
        <f t="shared" si="3825"/>
        <v/>
      </c>
      <c r="EC257" s="66" t="str">
        <f t="shared" si="3826"/>
        <v/>
      </c>
      <c r="ED257" s="66" t="str">
        <f t="shared" si="3827"/>
        <v/>
      </c>
      <c r="EE257" s="66" t="str">
        <f t="shared" si="3828"/>
        <v/>
      </c>
      <c r="EF257" s="66" t="str">
        <f t="shared" si="3829"/>
        <v/>
      </c>
      <c r="EG257" s="66" t="str">
        <f t="shared" si="3830"/>
        <v/>
      </c>
      <c r="EH257" s="66" t="str">
        <f t="shared" si="3831"/>
        <v/>
      </c>
      <c r="EI257" s="66" t="str">
        <f t="shared" si="3832"/>
        <v/>
      </c>
      <c r="EJ257" s="66" t="str">
        <f t="shared" si="3833"/>
        <v/>
      </c>
      <c r="EK257" s="66" t="str">
        <f t="shared" si="3834"/>
        <v/>
      </c>
      <c r="EL257" s="66" t="str">
        <f t="shared" si="3835"/>
        <v/>
      </c>
      <c r="EM257" s="66" t="str">
        <f t="shared" si="3836"/>
        <v/>
      </c>
      <c r="EN257" s="66" t="str">
        <f t="shared" si="3837"/>
        <v/>
      </c>
      <c r="EO257" s="66" t="str">
        <f t="shared" si="3838"/>
        <v/>
      </c>
      <c r="EP257" s="66" t="str">
        <f t="shared" si="3839"/>
        <v/>
      </c>
      <c r="EQ257" s="66" t="str">
        <f t="shared" si="3840"/>
        <v/>
      </c>
      <c r="ER257" s="66" t="str">
        <f t="shared" si="3841"/>
        <v/>
      </c>
      <c r="ES257" s="66" t="str">
        <f t="shared" si="3842"/>
        <v/>
      </c>
      <c r="ET257" s="66" t="str">
        <f t="shared" si="3843"/>
        <v/>
      </c>
      <c r="EU257" s="66" t="str">
        <f t="shared" si="3844"/>
        <v/>
      </c>
      <c r="EV257" s="66" t="str">
        <f t="shared" si="3845"/>
        <v/>
      </c>
      <c r="EW257" s="66" t="str">
        <f t="shared" si="3846"/>
        <v/>
      </c>
      <c r="EX257" s="66" t="str">
        <f t="shared" si="3847"/>
        <v/>
      </c>
      <c r="EY257" s="66" t="str">
        <f t="shared" si="3848"/>
        <v/>
      </c>
      <c r="EZ257" s="66" t="str">
        <f t="shared" si="3849"/>
        <v/>
      </c>
      <c r="FA257" s="66" t="str">
        <f t="shared" si="3850"/>
        <v/>
      </c>
      <c r="FB257" s="66" t="str">
        <f t="shared" si="3851"/>
        <v/>
      </c>
      <c r="FC257" s="66" t="str">
        <f t="shared" si="3852"/>
        <v/>
      </c>
      <c r="FD257" s="66" t="str">
        <f t="shared" si="3853"/>
        <v/>
      </c>
      <c r="FE257" s="66" t="str">
        <f t="shared" si="3854"/>
        <v/>
      </c>
      <c r="FF257" s="66" t="str">
        <f t="shared" si="3855"/>
        <v/>
      </c>
      <c r="FG257" s="66" t="str">
        <f t="shared" si="3856"/>
        <v/>
      </c>
      <c r="FH257" s="66" t="str">
        <f t="shared" si="3857"/>
        <v/>
      </c>
      <c r="FI257" s="66" t="str">
        <f t="shared" si="3858"/>
        <v/>
      </c>
      <c r="FJ257" s="66" t="str">
        <f t="shared" si="3859"/>
        <v/>
      </c>
      <c r="FK257" s="66" t="str">
        <f t="shared" si="3860"/>
        <v/>
      </c>
      <c r="FL257" s="66" t="str">
        <f t="shared" si="3861"/>
        <v/>
      </c>
      <c r="FM257" s="66" t="str">
        <f t="shared" si="3862"/>
        <v/>
      </c>
      <c r="FN257" s="66" t="str">
        <f t="shared" si="3863"/>
        <v/>
      </c>
      <c r="FO257" s="66" t="str">
        <f t="shared" si="3864"/>
        <v/>
      </c>
      <c r="FP257" s="66" t="str">
        <f t="shared" si="3865"/>
        <v/>
      </c>
      <c r="FQ257" s="66" t="str">
        <f t="shared" si="3866"/>
        <v/>
      </c>
      <c r="FR257" s="66" t="str">
        <f t="shared" si="3867"/>
        <v/>
      </c>
      <c r="FS257" s="66" t="str">
        <f t="shared" si="3868"/>
        <v/>
      </c>
    </row>
    <row r="258" spans="1:175">
      <c r="A258" s="27"/>
      <c r="B258" s="27" t="s">
        <v>806</v>
      </c>
      <c r="C258" s="29" t="s">
        <v>775</v>
      </c>
      <c r="T258" s="121"/>
      <c r="U258" s="77"/>
      <c r="CN258" s="36" t="str">
        <f t="shared" ref="CN258" si="3869">"InitUnitState('"&amp;B258&amp;"',"&amp;V258&amp;","&amp;W258&amp;","&amp;X258&amp;","&amp;Y258&amp;","&amp;Z258&amp;","&amp;AA258&amp;","&amp;AB258&amp;","&amp;AC258&amp;","&amp;AD258&amp;","&amp;AE258&amp;")"</f>
        <v>InitUnitState('IF32',,,,,,,,,,)</v>
      </c>
      <c r="CO258" s="36" t="str">
        <f t="shared" ref="CO258" si="3870">"InitUnitNormal('"&amp;B258&amp;"',"&amp;AF258&amp;","&amp;AG258&amp;","&amp;AH258&amp;","&amp;AI258&amp;","&amp;AJ258&amp;","&amp;AK258&amp;","&amp;AL258&amp;","&amp;AM258&amp;","&amp;AN258&amp;","&amp;AO258&amp;")"</f>
        <v>InitUnitNormal('IF32',,,,,,,,,,)</v>
      </c>
      <c r="CP258" s="36" t="str">
        <f t="shared" ref="CP258" si="3871">"InitUnitMagic('"&amp;B258&amp;"',"&amp;AP258&amp;","&amp;AQ258&amp;","&amp;AR258&amp;","&amp;AS258&amp;","&amp;AT258&amp;","&amp;AU258&amp;","&amp;AV258&amp;","&amp;AW258&amp;","&amp;BI258&amp;","&amp;BJ258&amp;")"</f>
        <v>InitUnitMagic('IF32',,,,,,,,,,)</v>
      </c>
      <c r="CQ258" s="36" t="str">
        <f t="shared" ref="CQ258" si="3872">"InitUnitAdd('"&amp;B258&amp;"',"&amp;BK258&amp;","&amp;BL258&amp;","&amp;BM258&amp;","&amp;BN258&amp;","&amp;BO258&amp;","&amp;BP258&amp;","&amp;BQ258&amp;","&amp;BR258&amp;","&amp;BS258&amp;","&amp;BT258&amp;")"</f>
        <v>InitUnitAdd('IF32',,,,,,,,,,)</v>
      </c>
      <c r="CR258" s="36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265&amp;CR$1&amp;")"</f>
        <v>InitEquipData('IF32',,"",,,,,'','','','','','',"")</v>
      </c>
      <c r="CU258" s="88" t="str">
        <f t="shared" ref="CU258" si="3873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33"/>
      <c r="CX258" s="33"/>
      <c r="CY258" s="33"/>
      <c r="CZ258" s="33"/>
      <c r="DA258" s="33"/>
      <c r="DB258" s="66" t="str">
        <f t="shared" ref="DB258" si="3874">IF(V258="","","|n"&amp;DB$2&amp;"+"&amp;V258&amp;DB$1)</f>
        <v/>
      </c>
      <c r="DC258" s="66" t="str">
        <f t="shared" ref="DC258" si="3875">IF(W258="","","|n"&amp;DC$2&amp;"+"&amp;W258&amp;DC$1)</f>
        <v/>
      </c>
      <c r="DD258" s="66" t="str">
        <f t="shared" ref="DD258" si="3876">IF(X258="","","|n"&amp;DD$2&amp;"+"&amp;X258&amp;DD$1)</f>
        <v/>
      </c>
      <c r="DE258" s="66" t="str">
        <f t="shared" ref="DE258" si="3877">IF(Y258="","","|n"&amp;DE$2&amp;"+"&amp;Y258&amp;DE$1)</f>
        <v/>
      </c>
      <c r="DF258" s="66" t="str">
        <f t="shared" ref="DF258" si="3878">IF(Z258="","","|n"&amp;DF$2&amp;"+"&amp;Z258&amp;DF$1)</f>
        <v/>
      </c>
      <c r="DG258" s="66" t="str">
        <f t="shared" ref="DG258" si="3879">IF(AA258="","","|n"&amp;DG$2&amp;"+"&amp;AA258&amp;DG$1)</f>
        <v/>
      </c>
      <c r="DH258" s="66" t="str">
        <f t="shared" ref="DH258" si="3880">IF(AB258="","","|n"&amp;DH$2&amp;"+"&amp;AB258&amp;DH$1)</f>
        <v/>
      </c>
      <c r="DI258" s="66" t="str">
        <f t="shared" ref="DI258" si="3881">IF(AC258="","","|n"&amp;DI$2&amp;"+"&amp;AC258&amp;DI$1)</f>
        <v/>
      </c>
      <c r="DJ258" s="66" t="str">
        <f t="shared" ref="DJ258" si="3882">IF(AD258="","","|n"&amp;DJ$2&amp;"+"&amp;AD258&amp;DJ$1)</f>
        <v/>
      </c>
      <c r="DK258" s="66" t="str">
        <f t="shared" ref="DK258" si="3883">IF(AE258="","","|n"&amp;DK$2&amp;"+"&amp;AE258&amp;DK$1)</f>
        <v/>
      </c>
      <c r="DL258" s="66" t="str">
        <f t="shared" ref="DL258" si="3884">IF(AF258="","","|n"&amp;DL$2&amp;"+"&amp;AF258&amp;DL$1)</f>
        <v/>
      </c>
      <c r="DM258" s="66" t="str">
        <f t="shared" ref="DM258" si="3885">IF(AG258="","","|n"&amp;DM$2&amp;"+"&amp;AG258&amp;DM$1)</f>
        <v/>
      </c>
      <c r="DN258" s="66" t="str">
        <f t="shared" ref="DN258" si="3886">IF(AH258="","","|n"&amp;DN$2&amp;"+"&amp;AH258&amp;DN$1)</f>
        <v/>
      </c>
      <c r="DO258" s="66" t="str">
        <f t="shared" ref="DO258" si="3887">IF(AI258="","","|n"&amp;DO$2&amp;"+"&amp;AI258&amp;DO$1)</f>
        <v/>
      </c>
      <c r="DP258" s="66" t="str">
        <f t="shared" ref="DP258" si="3888">IF(AJ258="","","|n"&amp;DP$2&amp;"+"&amp;AJ258&amp;DP$1)</f>
        <v/>
      </c>
      <c r="DQ258" s="66" t="str">
        <f t="shared" ref="DQ258" si="3889">IF(AK258="","","|n"&amp;DQ$2&amp;"+"&amp;AK258&amp;DQ$1)</f>
        <v/>
      </c>
      <c r="DR258" s="66" t="str">
        <f t="shared" ref="DR258" si="3890">IF(AL258="","","|n"&amp;DR$2&amp;"+"&amp;AL258&amp;DR$1)</f>
        <v/>
      </c>
      <c r="DS258" s="66" t="str">
        <f t="shared" ref="DS258" si="3891">IF(AM258="","","|n"&amp;DS$2&amp;"+"&amp;AM258&amp;DS$1)</f>
        <v/>
      </c>
      <c r="DT258" s="66" t="str">
        <f t="shared" ref="DT258" si="3892">IF(AN258="","","|n"&amp;DT$2&amp;"+"&amp;AN258&amp;DT$1)</f>
        <v/>
      </c>
      <c r="DU258" s="66" t="str">
        <f t="shared" ref="DU258" si="3893">IF(AO258="","","|n"&amp;DU$2&amp;"+"&amp;AO258&amp;DU$1)</f>
        <v/>
      </c>
      <c r="DV258" s="66" t="str">
        <f t="shared" ref="DV258" si="3894">IF(AP258="","","|n"&amp;DV$2&amp;"+"&amp;AP258&amp;DV$1)</f>
        <v/>
      </c>
      <c r="DW258" s="66" t="str">
        <f t="shared" ref="DW258" si="3895">IF(AQ258="","","|n"&amp;DW$2&amp;"+"&amp;AQ258&amp;DW$1)</f>
        <v/>
      </c>
      <c r="DX258" s="66" t="str">
        <f t="shared" ref="DX258" si="3896">IF(AR258="","","|n"&amp;DX$2&amp;"+"&amp;AR258&amp;DX$1)</f>
        <v/>
      </c>
      <c r="DY258" s="66" t="str">
        <f t="shared" ref="DY258" si="3897">IF(AS258="","","|n"&amp;DY$2&amp;"+"&amp;AS258&amp;DY$1)</f>
        <v/>
      </c>
      <c r="DZ258" s="66" t="str">
        <f t="shared" ref="DZ258" si="3898">IF(AT258="","","|n"&amp;DZ$2&amp;"+"&amp;AT258&amp;DZ$1)</f>
        <v/>
      </c>
      <c r="EA258" s="66" t="str">
        <f t="shared" ref="EA258" si="3899">IF(AU258="","","|n"&amp;EA$2&amp;"+"&amp;AU258&amp;EA$1)</f>
        <v/>
      </c>
      <c r="EB258" s="66" t="str">
        <f t="shared" ref="EB258" si="3900">IF(AV258="","","|n"&amp;EB$2&amp;"+"&amp;AV258&amp;EB$1)</f>
        <v/>
      </c>
      <c r="EC258" s="66" t="str">
        <f t="shared" ref="EC258" si="3901">IF(AW258="","","|n"&amp;EC$2&amp;"+"&amp;AW258&amp;EC$1)</f>
        <v/>
      </c>
      <c r="ED258" s="66" t="str">
        <f t="shared" ref="ED258" si="3902">IF(AX258="","","|n"&amp;ED$2&amp;"+"&amp;AX258&amp;ED$1)</f>
        <v/>
      </c>
      <c r="EE258" s="66" t="str">
        <f t="shared" ref="EE258" si="3903">IF(AY258="","","|n"&amp;EE$2&amp;"+"&amp;AY258&amp;EE$1)</f>
        <v/>
      </c>
      <c r="EF258" s="66" t="str">
        <f t="shared" ref="EF258" si="3904">IF(AZ258="","","|n"&amp;EF$2&amp;"+"&amp;AZ258&amp;EF$1)</f>
        <v/>
      </c>
      <c r="EG258" s="66" t="str">
        <f t="shared" ref="EG258" si="3905">IF(BA258="","","|n"&amp;EG$2&amp;"+"&amp;BA258&amp;EG$1)</f>
        <v/>
      </c>
      <c r="EH258" s="66" t="str">
        <f t="shared" ref="EH258" si="3906">IF(BB258="","","|n"&amp;EH$2&amp;"+"&amp;BB258&amp;EH$1)</f>
        <v/>
      </c>
      <c r="EI258" s="66" t="str">
        <f t="shared" ref="EI258" si="3907">IF(BC258="","","|n"&amp;EI$2&amp;"+"&amp;BC258&amp;EI$1)</f>
        <v/>
      </c>
      <c r="EJ258" s="66" t="str">
        <f t="shared" ref="EJ258" si="3908">IF(BD258="","","|n"&amp;EJ$2&amp;"+"&amp;BD258&amp;EJ$1)</f>
        <v/>
      </c>
      <c r="EK258" s="66" t="str">
        <f t="shared" ref="EK258" si="3909">IF(BE258="","","|n"&amp;EK$2&amp;"+"&amp;BE258&amp;EK$1)</f>
        <v/>
      </c>
      <c r="EL258" s="66" t="str">
        <f t="shared" ref="EL258" si="3910">IF(BF258="","","|n"&amp;EL$2&amp;"+"&amp;BF258&amp;EL$1)</f>
        <v/>
      </c>
      <c r="EM258" s="66" t="str">
        <f t="shared" ref="EM258" si="3911">IF(BG258="","","|n"&amp;EM$2&amp;"+"&amp;BG258&amp;EM$1)</f>
        <v/>
      </c>
      <c r="EN258" s="66" t="str">
        <f t="shared" ref="EN258" si="3912">IF(BH258="","","|n"&amp;EN$2&amp;"+"&amp;BH258&amp;EN$1)</f>
        <v/>
      </c>
      <c r="EO258" s="66" t="str">
        <f t="shared" ref="EO258" si="3913">IF(BI258="","","|n"&amp;EO$2&amp;"+"&amp;BI258&amp;EO$1)</f>
        <v/>
      </c>
      <c r="EP258" s="66" t="str">
        <f t="shared" ref="EP258" si="3914">IF(BJ258="","","|n"&amp;EP$2&amp;"+"&amp;BJ258&amp;EP$1)</f>
        <v/>
      </c>
      <c r="EQ258" s="66" t="str">
        <f t="shared" ref="EQ258" si="3915">IF(BK258="","","|n"&amp;EQ$2&amp;"+"&amp;BK258&amp;EQ$1)</f>
        <v/>
      </c>
      <c r="ER258" s="66" t="str">
        <f t="shared" ref="ER258" si="3916">IF(BL258="","","|n"&amp;ER$2&amp;"+"&amp;BL258&amp;ER$1)</f>
        <v/>
      </c>
      <c r="ES258" s="66" t="str">
        <f t="shared" ref="ES258" si="3917">IF(BM258="","","|n"&amp;ES$2&amp;"+"&amp;BM258&amp;ES$1)</f>
        <v/>
      </c>
      <c r="ET258" s="66" t="str">
        <f t="shared" ref="ET258" si="3918">IF(BN258="","","|n"&amp;ET$2&amp;"+"&amp;BN258&amp;ET$1)</f>
        <v/>
      </c>
      <c r="EU258" s="66" t="str">
        <f t="shared" ref="EU258" si="3919">IF(BO258="","","|n"&amp;EU$2&amp;"+"&amp;BO258&amp;EU$1)</f>
        <v/>
      </c>
      <c r="EV258" s="66" t="str">
        <f t="shared" ref="EV258" si="3920">IF(BP258="","","|n"&amp;EV$2&amp;"+"&amp;BP258&amp;EV$1)</f>
        <v/>
      </c>
      <c r="EW258" s="66" t="str">
        <f t="shared" ref="EW258" si="3921">IF(BQ258="","","|n"&amp;EW$2&amp;"+"&amp;BQ258&amp;EW$1)</f>
        <v/>
      </c>
      <c r="EX258" s="66" t="str">
        <f t="shared" ref="EX258" si="3922">IF(BR258="","","|n"&amp;EX$2&amp;"+"&amp;BR258&amp;EX$1)</f>
        <v/>
      </c>
      <c r="EY258" s="66" t="str">
        <f t="shared" ref="EY258" si="3923">IF(BS258="","","|n"&amp;EY$2&amp;"+"&amp;BS258&amp;EY$1)</f>
        <v/>
      </c>
      <c r="EZ258" s="66" t="str">
        <f t="shared" ref="EZ258" si="3924">IF(BT258="","","|n"&amp;EZ$2&amp;"+"&amp;BT258&amp;EZ$1)</f>
        <v/>
      </c>
      <c r="FA258" s="66" t="str">
        <f t="shared" ref="FA258" si="3925">IF(BU258="","","|n"&amp;FA$2&amp;"+"&amp;BU258&amp;FA$1)</f>
        <v/>
      </c>
      <c r="FB258" s="66" t="str">
        <f t="shared" ref="FB258" si="3926">IF(BV258="","","|n"&amp;FB$2&amp;"+"&amp;BV258&amp;FB$1)</f>
        <v/>
      </c>
      <c r="FC258" s="66" t="str">
        <f t="shared" ref="FC258" si="3927">IF(BW258="","","|n"&amp;FC$2&amp;"+"&amp;BW258&amp;FC$1)</f>
        <v/>
      </c>
      <c r="FD258" s="66" t="str">
        <f t="shared" ref="FD258" si="3928">IF(BX258="","","|n"&amp;FD$2&amp;"+"&amp;BX258&amp;FD$1)</f>
        <v/>
      </c>
      <c r="FE258" s="66" t="str">
        <f t="shared" ref="FE258" si="3929">IF(BY258="","","|n"&amp;FE$2&amp;"+"&amp;BY258&amp;FE$1)</f>
        <v/>
      </c>
      <c r="FF258" s="66" t="str">
        <f t="shared" ref="FF258" si="3930">IF(BZ258="","","|n"&amp;FF$2&amp;"+"&amp;BZ258&amp;FF$1)</f>
        <v/>
      </c>
      <c r="FG258" s="66" t="str">
        <f t="shared" ref="FG258" si="3931">IF(CA258="","","|n"&amp;FG$2&amp;"+"&amp;CA258&amp;FG$1)</f>
        <v/>
      </c>
      <c r="FH258" s="66" t="str">
        <f t="shared" ref="FH258" si="3932">IF(CB258="","","|n"&amp;FH$2&amp;"+"&amp;CB258&amp;FH$1)</f>
        <v/>
      </c>
      <c r="FI258" s="66" t="str">
        <f t="shared" ref="FI258" si="3933">IF(CC258="","","|n"&amp;FI$2&amp;"+"&amp;CC258&amp;FI$1)</f>
        <v/>
      </c>
      <c r="FJ258" s="66" t="str">
        <f t="shared" ref="FJ258" si="3934">IF(CD258="","","|n"&amp;FJ$2&amp;"+"&amp;CD258&amp;FJ$1)</f>
        <v/>
      </c>
      <c r="FK258" s="66" t="str">
        <f t="shared" ref="FK258" si="3935">IF(CE258="","","|n"&amp;FK$2&amp;"+"&amp;CE258&amp;FK$1)</f>
        <v/>
      </c>
      <c r="FL258" s="66" t="str">
        <f t="shared" ref="FL258" si="3936">IF(CF258="","","|n"&amp;FL$2&amp;"+"&amp;CF258&amp;FL$1)</f>
        <v/>
      </c>
      <c r="FM258" s="66" t="str">
        <f t="shared" ref="FM258" si="3937">IF(CG258="","","|n"&amp;FM$2&amp;"+"&amp;CG258&amp;FM$1)</f>
        <v/>
      </c>
      <c r="FN258" s="66" t="str">
        <f t="shared" ref="FN258" si="3938">IF(CH258="","","|n"&amp;FN$2&amp;"+"&amp;CH258&amp;FN$1)</f>
        <v/>
      </c>
      <c r="FO258" s="66" t="str">
        <f t="shared" ref="FO258" si="3939">IF(CI258="","","|n"&amp;FO$2&amp;"+"&amp;CI258&amp;FO$1)</f>
        <v/>
      </c>
      <c r="FP258" s="66" t="str">
        <f t="shared" ref="FP258" si="3940">IF(CJ258="","","|n"&amp;FP$2&amp;"+"&amp;CJ258&amp;FP$1)</f>
        <v/>
      </c>
      <c r="FQ258" s="66" t="str">
        <f t="shared" ref="FQ258" si="3941">IF(CK258="","","|n"&amp;FQ$2&amp;"+"&amp;CK258&amp;FQ$1)</f>
        <v/>
      </c>
      <c r="FR258" s="66" t="str">
        <f t="shared" ref="FR258" si="3942">IF(CL258="","","|n"&amp;FR$2&amp;"+"&amp;CL258&amp;FR$1)</f>
        <v/>
      </c>
      <c r="FS258" s="66" t="str">
        <f t="shared" ref="FS258" si="3943">IF(CM258="","","|n"&amp;FS$2&amp;"+"&amp;CM258&amp;FS$1)</f>
        <v/>
      </c>
    </row>
    <row r="259" spans="1:175" ht="16.5">
      <c r="A259" s="115"/>
      <c r="B259" s="9" t="s">
        <v>807</v>
      </c>
      <c r="C259" s="9" t="s">
        <v>808</v>
      </c>
      <c r="T259" s="117"/>
      <c r="U259" s="77"/>
      <c r="CN259" s="36" t="str">
        <f t="shared" si="3793"/>
        <v>InitUnitState('IC00',,,,,,,,,,)</v>
      </c>
      <c r="CO259" s="36" t="str">
        <f t="shared" si="3794"/>
        <v>InitUnitNormal('IC00',,,,,,,,,,)</v>
      </c>
      <c r="CP259" s="36" t="str">
        <f t="shared" si="3795"/>
        <v>InitUnitMagic('IC00',,,,,,,,,,)</v>
      </c>
      <c r="CQ259" s="36" t="str">
        <f t="shared" si="3796"/>
        <v>InitUnitAdd('IC00',,,,,,,,,,)</v>
      </c>
      <c r="CR259" s="36" t="str">
        <f t="shared" ref="CR259" si="3944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InitEquipData('IC00',,"",,,,,'','','','','','',"")</v>
      </c>
      <c r="CU259" s="88" t="str">
        <f t="shared" si="3798"/>
        <v>|n</v>
      </c>
      <c r="CW259" s="33"/>
      <c r="CX259" s="33"/>
      <c r="CY259" s="33"/>
      <c r="CZ259" s="33"/>
      <c r="DA259" s="33"/>
      <c r="DB259" s="66" t="str">
        <f t="shared" si="3799"/>
        <v/>
      </c>
      <c r="DC259" s="66" t="str">
        <f t="shared" si="3800"/>
        <v/>
      </c>
      <c r="DD259" s="66" t="str">
        <f t="shared" si="3801"/>
        <v/>
      </c>
      <c r="DE259" s="66" t="str">
        <f t="shared" si="3802"/>
        <v/>
      </c>
      <c r="DF259" s="66" t="str">
        <f t="shared" si="3803"/>
        <v/>
      </c>
      <c r="DG259" s="66" t="str">
        <f t="shared" si="3804"/>
        <v/>
      </c>
      <c r="DH259" s="66" t="str">
        <f t="shared" si="3805"/>
        <v/>
      </c>
      <c r="DI259" s="66" t="str">
        <f t="shared" si="3806"/>
        <v/>
      </c>
      <c r="DJ259" s="66" t="str">
        <f t="shared" si="3807"/>
        <v/>
      </c>
      <c r="DK259" s="66" t="str">
        <f t="shared" si="3808"/>
        <v/>
      </c>
      <c r="DL259" s="66" t="str">
        <f t="shared" si="3809"/>
        <v/>
      </c>
      <c r="DM259" s="66" t="str">
        <f t="shared" si="3810"/>
        <v/>
      </c>
      <c r="DN259" s="66" t="str">
        <f t="shared" si="3811"/>
        <v/>
      </c>
      <c r="DO259" s="66" t="str">
        <f t="shared" si="3812"/>
        <v/>
      </c>
      <c r="DP259" s="66" t="str">
        <f t="shared" si="3813"/>
        <v/>
      </c>
      <c r="DQ259" s="66" t="str">
        <f t="shared" si="3814"/>
        <v/>
      </c>
      <c r="DR259" s="66" t="str">
        <f t="shared" si="3815"/>
        <v/>
      </c>
      <c r="DS259" s="66" t="str">
        <f t="shared" si="3816"/>
        <v/>
      </c>
      <c r="DT259" s="66" t="str">
        <f t="shared" si="3817"/>
        <v/>
      </c>
      <c r="DU259" s="66" t="str">
        <f t="shared" si="3818"/>
        <v/>
      </c>
      <c r="DV259" s="66" t="str">
        <f t="shared" si="3819"/>
        <v/>
      </c>
      <c r="DW259" s="66" t="str">
        <f t="shared" si="3820"/>
        <v/>
      </c>
      <c r="DX259" s="66" t="str">
        <f t="shared" si="3821"/>
        <v/>
      </c>
      <c r="DY259" s="66" t="str">
        <f t="shared" si="3822"/>
        <v/>
      </c>
      <c r="DZ259" s="66" t="str">
        <f t="shared" si="3823"/>
        <v/>
      </c>
      <c r="EA259" s="66" t="str">
        <f t="shared" si="3824"/>
        <v/>
      </c>
      <c r="EB259" s="66" t="str">
        <f t="shared" si="3825"/>
        <v/>
      </c>
      <c r="EC259" s="66" t="str">
        <f t="shared" si="3826"/>
        <v/>
      </c>
      <c r="ED259" s="66" t="str">
        <f t="shared" si="3827"/>
        <v/>
      </c>
      <c r="EE259" s="66" t="str">
        <f t="shared" si="3828"/>
        <v/>
      </c>
      <c r="EF259" s="66" t="str">
        <f t="shared" si="3829"/>
        <v/>
      </c>
      <c r="EG259" s="66" t="str">
        <f t="shared" si="3830"/>
        <v/>
      </c>
      <c r="EH259" s="66" t="str">
        <f t="shared" si="3831"/>
        <v/>
      </c>
      <c r="EI259" s="66" t="str">
        <f t="shared" si="3832"/>
        <v/>
      </c>
      <c r="EJ259" s="66" t="str">
        <f t="shared" si="3833"/>
        <v/>
      </c>
      <c r="EK259" s="66" t="str">
        <f t="shared" si="3834"/>
        <v/>
      </c>
      <c r="EL259" s="66" t="str">
        <f t="shared" si="3835"/>
        <v/>
      </c>
      <c r="EM259" s="66" t="str">
        <f t="shared" si="3836"/>
        <v/>
      </c>
      <c r="EN259" s="66" t="str">
        <f t="shared" si="3837"/>
        <v/>
      </c>
      <c r="EO259" s="66" t="str">
        <f t="shared" si="3838"/>
        <v/>
      </c>
      <c r="EP259" s="66" t="str">
        <f t="shared" si="3839"/>
        <v/>
      </c>
      <c r="EQ259" s="66" t="str">
        <f t="shared" si="3840"/>
        <v/>
      </c>
      <c r="ER259" s="66" t="str">
        <f t="shared" si="3841"/>
        <v/>
      </c>
      <c r="ES259" s="66" t="str">
        <f t="shared" si="3842"/>
        <v/>
      </c>
      <c r="ET259" s="66" t="str">
        <f t="shared" si="3843"/>
        <v/>
      </c>
      <c r="EU259" s="66" t="str">
        <f t="shared" si="3844"/>
        <v/>
      </c>
      <c r="EV259" s="66" t="str">
        <f t="shared" si="3845"/>
        <v/>
      </c>
      <c r="EW259" s="66" t="str">
        <f t="shared" si="3846"/>
        <v/>
      </c>
      <c r="EX259" s="66" t="str">
        <f t="shared" si="3847"/>
        <v/>
      </c>
      <c r="EY259" s="66" t="str">
        <f t="shared" si="3848"/>
        <v/>
      </c>
      <c r="EZ259" s="66" t="str">
        <f t="shared" si="3849"/>
        <v/>
      </c>
      <c r="FA259" s="66" t="str">
        <f t="shared" si="3850"/>
        <v/>
      </c>
      <c r="FB259" s="66" t="str">
        <f t="shared" si="3851"/>
        <v/>
      </c>
      <c r="FC259" s="66" t="str">
        <f t="shared" si="3852"/>
        <v/>
      </c>
      <c r="FD259" s="66" t="str">
        <f t="shared" si="3853"/>
        <v/>
      </c>
      <c r="FE259" s="66" t="str">
        <f t="shared" si="3854"/>
        <v/>
      </c>
      <c r="FF259" s="66" t="str">
        <f t="shared" si="3855"/>
        <v/>
      </c>
      <c r="FG259" s="66" t="str">
        <f t="shared" si="3856"/>
        <v/>
      </c>
      <c r="FH259" s="66" t="str">
        <f t="shared" si="3857"/>
        <v/>
      </c>
      <c r="FI259" s="66" t="str">
        <f t="shared" si="3858"/>
        <v/>
      </c>
      <c r="FJ259" s="66" t="str">
        <f t="shared" si="3859"/>
        <v/>
      </c>
      <c r="FK259" s="66" t="str">
        <f t="shared" si="3860"/>
        <v/>
      </c>
      <c r="FL259" s="66" t="str">
        <f t="shared" si="3861"/>
        <v/>
      </c>
      <c r="FM259" s="66" t="str">
        <f t="shared" si="3862"/>
        <v/>
      </c>
      <c r="FN259" s="66" t="str">
        <f t="shared" si="3863"/>
        <v/>
      </c>
      <c r="FO259" s="66" t="str">
        <f t="shared" si="3864"/>
        <v/>
      </c>
      <c r="FP259" s="66" t="str">
        <f t="shared" si="3865"/>
        <v/>
      </c>
      <c r="FQ259" s="66" t="str">
        <f t="shared" si="3866"/>
        <v/>
      </c>
      <c r="FR259" s="66" t="str">
        <f t="shared" si="3867"/>
        <v/>
      </c>
      <c r="FS259" s="66" t="str">
        <f t="shared" si="3868"/>
        <v/>
      </c>
    </row>
    <row r="260" spans="1:175" ht="16.5">
      <c r="A260" s="115"/>
      <c r="B260" s="9" t="s">
        <v>809</v>
      </c>
      <c r="C260" s="9" t="s">
        <v>810</v>
      </c>
      <c r="T260" s="117"/>
      <c r="U260" s="77"/>
      <c r="CN260" s="36" t="str">
        <f t="shared" ref="CN260" si="3945">"InitUnitState('"&amp;B260&amp;"',"&amp;V260&amp;","&amp;W260&amp;","&amp;X260&amp;","&amp;Y260&amp;","&amp;Z260&amp;","&amp;AA260&amp;","&amp;AB260&amp;","&amp;AC260&amp;","&amp;AD260&amp;","&amp;AE260&amp;")"</f>
        <v>InitUnitState('IC01',,,,,,,,,,)</v>
      </c>
      <c r="CO260" s="36" t="str">
        <f t="shared" ref="CO260" si="3946">"InitUnitNormal('"&amp;B260&amp;"',"&amp;AF260&amp;","&amp;AG260&amp;","&amp;AH260&amp;","&amp;AI260&amp;","&amp;AJ260&amp;","&amp;AK260&amp;","&amp;AL260&amp;","&amp;AM260&amp;","&amp;AN260&amp;","&amp;AO260&amp;")"</f>
        <v>InitUnitNormal('IC01',,,,,,,,,,)</v>
      </c>
      <c r="CP260" s="36" t="str">
        <f t="shared" ref="CP260" si="3947">"InitUnitMagic('"&amp;B260&amp;"',"&amp;AP260&amp;","&amp;AQ260&amp;","&amp;AR260&amp;","&amp;AS260&amp;","&amp;AT260&amp;","&amp;AU260&amp;","&amp;AV260&amp;","&amp;AW260&amp;","&amp;BI260&amp;","&amp;BJ260&amp;")"</f>
        <v>InitUnitMagic('IC01',,,,,,,,,,)</v>
      </c>
      <c r="CQ260" s="36" t="str">
        <f t="shared" ref="CQ260" si="3948">"InitUnitAdd('"&amp;B260&amp;"',"&amp;BK260&amp;","&amp;BL260&amp;","&amp;BM260&amp;","&amp;BN260&amp;","&amp;BO260&amp;","&amp;BP260&amp;","&amp;BQ260&amp;","&amp;BR260&amp;","&amp;BS260&amp;","&amp;BT260&amp;")"</f>
        <v>InitUnitAdd('IC01',,,,,,,,,,)</v>
      </c>
      <c r="CR260" s="36" t="str">
        <f t="shared" ref="CR260" si="3949"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InitEquipData('IC01',,"",,,,,'','','','','','',"")</v>
      </c>
      <c r="CU260" s="88" t="str">
        <f t="shared" si="3722"/>
        <v>|n</v>
      </c>
      <c r="CW260" s="33"/>
      <c r="CX260" s="33"/>
      <c r="CY260" s="33"/>
      <c r="CZ260" s="33"/>
      <c r="DA260" s="33"/>
      <c r="DB260" s="66" t="str">
        <f t="shared" si="3723"/>
        <v/>
      </c>
      <c r="DC260" s="66" t="str">
        <f t="shared" si="3724"/>
        <v/>
      </c>
      <c r="DD260" s="66" t="str">
        <f t="shared" si="3725"/>
        <v/>
      </c>
      <c r="DE260" s="66" t="str">
        <f t="shared" si="3726"/>
        <v/>
      </c>
      <c r="DF260" s="66" t="str">
        <f t="shared" si="3727"/>
        <v/>
      </c>
      <c r="DG260" s="66" t="str">
        <f t="shared" si="3728"/>
        <v/>
      </c>
      <c r="DH260" s="66" t="str">
        <f t="shared" si="3729"/>
        <v/>
      </c>
      <c r="DI260" s="66" t="str">
        <f t="shared" si="3730"/>
        <v/>
      </c>
      <c r="DJ260" s="66" t="str">
        <f t="shared" si="3731"/>
        <v/>
      </c>
      <c r="DK260" s="66" t="str">
        <f t="shared" si="3732"/>
        <v/>
      </c>
      <c r="DL260" s="66" t="str">
        <f t="shared" si="3733"/>
        <v/>
      </c>
      <c r="DM260" s="66" t="str">
        <f t="shared" si="3734"/>
        <v/>
      </c>
      <c r="DN260" s="66" t="str">
        <f t="shared" si="3735"/>
        <v/>
      </c>
      <c r="DO260" s="66" t="str">
        <f t="shared" si="3736"/>
        <v/>
      </c>
      <c r="DP260" s="66" t="str">
        <f t="shared" si="3737"/>
        <v/>
      </c>
      <c r="DQ260" s="66" t="str">
        <f t="shared" si="3738"/>
        <v/>
      </c>
      <c r="DR260" s="66" t="str">
        <f t="shared" si="3739"/>
        <v/>
      </c>
      <c r="DS260" s="66" t="str">
        <f t="shared" si="3740"/>
        <v/>
      </c>
      <c r="DT260" s="66" t="str">
        <f t="shared" si="3741"/>
        <v/>
      </c>
      <c r="DU260" s="66" t="str">
        <f t="shared" si="3742"/>
        <v/>
      </c>
      <c r="DV260" s="66" t="str">
        <f t="shared" si="3743"/>
        <v/>
      </c>
      <c r="DW260" s="66" t="str">
        <f t="shared" si="3744"/>
        <v/>
      </c>
      <c r="DX260" s="66" t="str">
        <f t="shared" si="3745"/>
        <v/>
      </c>
      <c r="DY260" s="66" t="str">
        <f t="shared" si="3746"/>
        <v/>
      </c>
      <c r="DZ260" s="66" t="str">
        <f t="shared" si="3747"/>
        <v/>
      </c>
      <c r="EA260" s="66" t="str">
        <f t="shared" si="3748"/>
        <v/>
      </c>
      <c r="EB260" s="66" t="str">
        <f t="shared" si="3749"/>
        <v/>
      </c>
      <c r="EC260" s="66" t="str">
        <f t="shared" si="3750"/>
        <v/>
      </c>
      <c r="ED260" s="66" t="str">
        <f t="shared" si="3751"/>
        <v/>
      </c>
      <c r="EE260" s="66" t="str">
        <f t="shared" si="3752"/>
        <v/>
      </c>
      <c r="EF260" s="66" t="str">
        <f t="shared" si="3753"/>
        <v/>
      </c>
      <c r="EG260" s="66" t="str">
        <f t="shared" si="3754"/>
        <v/>
      </c>
      <c r="EH260" s="66" t="str">
        <f t="shared" si="3755"/>
        <v/>
      </c>
      <c r="EI260" s="66" t="str">
        <f t="shared" si="3756"/>
        <v/>
      </c>
      <c r="EJ260" s="66" t="str">
        <f t="shared" si="3757"/>
        <v/>
      </c>
      <c r="EK260" s="66" t="str">
        <f t="shared" si="3758"/>
        <v/>
      </c>
      <c r="EL260" s="66" t="str">
        <f t="shared" si="3759"/>
        <v/>
      </c>
      <c r="EM260" s="66" t="str">
        <f t="shared" si="3760"/>
        <v/>
      </c>
      <c r="EN260" s="66" t="str">
        <f t="shared" si="3761"/>
        <v/>
      </c>
      <c r="EO260" s="66" t="str">
        <f t="shared" si="3762"/>
        <v/>
      </c>
      <c r="EP260" s="66" t="str">
        <f t="shared" si="3763"/>
        <v/>
      </c>
      <c r="EQ260" s="66" t="str">
        <f t="shared" si="3764"/>
        <v/>
      </c>
      <c r="ER260" s="66" t="str">
        <f t="shared" si="3765"/>
        <v/>
      </c>
      <c r="ES260" s="66" t="str">
        <f t="shared" si="3766"/>
        <v/>
      </c>
      <c r="ET260" s="66" t="str">
        <f t="shared" si="3767"/>
        <v/>
      </c>
      <c r="EU260" s="66" t="str">
        <f t="shared" si="3768"/>
        <v/>
      </c>
      <c r="EV260" s="66" t="str">
        <f t="shared" si="3769"/>
        <v/>
      </c>
      <c r="EW260" s="66" t="str">
        <f t="shared" si="3770"/>
        <v/>
      </c>
      <c r="EX260" s="66" t="str">
        <f t="shared" si="3771"/>
        <v/>
      </c>
      <c r="EY260" s="66" t="str">
        <f t="shared" si="3772"/>
        <v/>
      </c>
      <c r="EZ260" s="66" t="str">
        <f t="shared" si="3773"/>
        <v/>
      </c>
      <c r="FA260" s="66" t="str">
        <f t="shared" si="3774"/>
        <v/>
      </c>
      <c r="FB260" s="66" t="str">
        <f t="shared" si="3775"/>
        <v/>
      </c>
      <c r="FC260" s="66" t="str">
        <f t="shared" si="3776"/>
        <v/>
      </c>
      <c r="FD260" s="66" t="str">
        <f t="shared" si="3777"/>
        <v/>
      </c>
      <c r="FE260" s="66" t="str">
        <f t="shared" si="3778"/>
        <v/>
      </c>
      <c r="FF260" s="66" t="str">
        <f t="shared" si="3779"/>
        <v/>
      </c>
      <c r="FG260" s="66" t="str">
        <f t="shared" si="3780"/>
        <v/>
      </c>
      <c r="FH260" s="66" t="str">
        <f t="shared" si="3781"/>
        <v/>
      </c>
      <c r="FI260" s="66" t="str">
        <f t="shared" si="3782"/>
        <v/>
      </c>
      <c r="FJ260" s="66" t="str">
        <f t="shared" si="3783"/>
        <v/>
      </c>
      <c r="FK260" s="66" t="str">
        <f t="shared" si="3784"/>
        <v/>
      </c>
      <c r="FL260" s="66" t="str">
        <f t="shared" si="3785"/>
        <v/>
      </c>
      <c r="FM260" s="66" t="str">
        <f t="shared" si="3786"/>
        <v/>
      </c>
      <c r="FN260" s="66" t="str">
        <f t="shared" si="3787"/>
        <v/>
      </c>
      <c r="FO260" s="66" t="str">
        <f t="shared" si="3788"/>
        <v/>
      </c>
      <c r="FP260" s="66" t="str">
        <f t="shared" si="3789"/>
        <v/>
      </c>
      <c r="FQ260" s="66" t="str">
        <f t="shared" si="3790"/>
        <v/>
      </c>
      <c r="FR260" s="66" t="str">
        <f t="shared" si="3791"/>
        <v/>
      </c>
      <c r="FS260" s="66" t="str">
        <f t="shared" si="3792"/>
        <v/>
      </c>
    </row>
    <row r="261" spans="1:175" ht="16.5">
      <c r="A261" s="27"/>
      <c r="B261" s="9" t="s">
        <v>811</v>
      </c>
      <c r="C261" s="9" t="s">
        <v>114</v>
      </c>
      <c r="T261" s="121"/>
      <c r="U261" s="77"/>
      <c r="CN261" s="36" t="str">
        <f t="shared" ref="CN261:CN269" si="3950">"InitUnitState('"&amp;B261&amp;"',"&amp;V261&amp;","&amp;W261&amp;","&amp;X261&amp;","&amp;Y261&amp;","&amp;Z261&amp;","&amp;AA261&amp;","&amp;AB261&amp;","&amp;AC261&amp;","&amp;AD261&amp;","&amp;AE261&amp;")"</f>
        <v>InitUnitState('IC02',,,,,,,,,,)</v>
      </c>
      <c r="CO261" s="36" t="str">
        <f t="shared" ref="CO261:CO269" si="3951">"InitUnitNormal('"&amp;B261&amp;"',"&amp;AF261&amp;","&amp;AG261&amp;","&amp;AH261&amp;","&amp;AI261&amp;","&amp;AJ261&amp;","&amp;AK261&amp;","&amp;AL261&amp;","&amp;AM261&amp;","&amp;AN261&amp;","&amp;AO261&amp;")"</f>
        <v>InitUnitNormal('IC02',,,,,,,,,,)</v>
      </c>
      <c r="CP261" s="36" t="str">
        <f t="shared" ref="CP261:CP269" si="3952">"InitUnitMagic('"&amp;B261&amp;"',"&amp;AP261&amp;","&amp;AQ261&amp;","&amp;AR261&amp;","&amp;AS261&amp;","&amp;AT261&amp;","&amp;AU261&amp;","&amp;AV261&amp;","&amp;AW261&amp;","&amp;BI261&amp;","&amp;BJ261&amp;")"</f>
        <v>InitUnitMagic('IC02',,,,,,,,,,)</v>
      </c>
      <c r="CQ261" s="36" t="str">
        <f t="shared" ref="CQ261:CQ269" si="3953">"InitUnitAdd('"&amp;B261&amp;"',"&amp;BK261&amp;","&amp;BL261&amp;","&amp;BM261&amp;","&amp;BN261&amp;","&amp;BO261&amp;","&amp;BP261&amp;","&amp;BQ261&amp;","&amp;BR261&amp;","&amp;BS261&amp;","&amp;BT261&amp;")"</f>
        <v>InitUnitAdd('IC02',,,,,,,,,,)</v>
      </c>
      <c r="CR261" s="36" t="str">
        <f t="shared" si="3650"/>
        <v>InitEquipData('IC02',,"",,,,,'','','','','','',"")</v>
      </c>
      <c r="CU261" s="88" t="str">
        <f t="shared" si="3722"/>
        <v>|n</v>
      </c>
      <c r="CW261" s="33"/>
      <c r="CX261" s="33"/>
      <c r="CY261" s="33"/>
      <c r="CZ261" s="33"/>
      <c r="DA261" s="33"/>
      <c r="DB261" s="66" t="str">
        <f t="shared" si="3723"/>
        <v/>
      </c>
      <c r="DC261" s="66" t="str">
        <f t="shared" si="3724"/>
        <v/>
      </c>
      <c r="DD261" s="66" t="str">
        <f t="shared" si="3725"/>
        <v/>
      </c>
      <c r="DE261" s="66" t="str">
        <f t="shared" si="3726"/>
        <v/>
      </c>
      <c r="DF261" s="66" t="str">
        <f t="shared" si="3727"/>
        <v/>
      </c>
      <c r="DG261" s="66" t="str">
        <f t="shared" si="3728"/>
        <v/>
      </c>
      <c r="DH261" s="66" t="str">
        <f t="shared" si="3729"/>
        <v/>
      </c>
      <c r="DI261" s="66" t="str">
        <f t="shared" si="3730"/>
        <v/>
      </c>
      <c r="DJ261" s="66" t="str">
        <f t="shared" si="3731"/>
        <v/>
      </c>
      <c r="DK261" s="66" t="str">
        <f t="shared" si="3732"/>
        <v/>
      </c>
      <c r="DL261" s="66" t="str">
        <f t="shared" si="3733"/>
        <v/>
      </c>
      <c r="DM261" s="66" t="str">
        <f t="shared" si="3734"/>
        <v/>
      </c>
      <c r="DN261" s="66" t="str">
        <f t="shared" si="3735"/>
        <v/>
      </c>
      <c r="DO261" s="66" t="str">
        <f t="shared" si="3736"/>
        <v/>
      </c>
      <c r="DP261" s="66" t="str">
        <f t="shared" si="3737"/>
        <v/>
      </c>
      <c r="DQ261" s="66" t="str">
        <f t="shared" si="3738"/>
        <v/>
      </c>
      <c r="DR261" s="66" t="str">
        <f t="shared" si="3739"/>
        <v/>
      </c>
      <c r="DS261" s="66" t="str">
        <f t="shared" si="3740"/>
        <v/>
      </c>
      <c r="DT261" s="66" t="str">
        <f t="shared" si="3741"/>
        <v/>
      </c>
      <c r="DU261" s="66" t="str">
        <f t="shared" si="3742"/>
        <v/>
      </c>
      <c r="DV261" s="66" t="str">
        <f t="shared" si="3743"/>
        <v/>
      </c>
      <c r="DW261" s="66" t="str">
        <f t="shared" si="3744"/>
        <v/>
      </c>
      <c r="DX261" s="66" t="str">
        <f t="shared" si="3745"/>
        <v/>
      </c>
      <c r="DY261" s="66" t="str">
        <f t="shared" si="3746"/>
        <v/>
      </c>
      <c r="DZ261" s="66" t="str">
        <f t="shared" si="3747"/>
        <v/>
      </c>
      <c r="EA261" s="66" t="str">
        <f t="shared" si="3748"/>
        <v/>
      </c>
      <c r="EB261" s="66" t="str">
        <f t="shared" si="3749"/>
        <v/>
      </c>
      <c r="EC261" s="66" t="str">
        <f t="shared" si="3750"/>
        <v/>
      </c>
      <c r="ED261" s="66" t="str">
        <f t="shared" si="3751"/>
        <v/>
      </c>
      <c r="EE261" s="66" t="str">
        <f t="shared" si="3752"/>
        <v/>
      </c>
      <c r="EF261" s="66" t="str">
        <f t="shared" si="3753"/>
        <v/>
      </c>
      <c r="EG261" s="66" t="str">
        <f t="shared" si="3754"/>
        <v/>
      </c>
      <c r="EH261" s="66" t="str">
        <f t="shared" si="3755"/>
        <v/>
      </c>
      <c r="EI261" s="66" t="str">
        <f t="shared" si="3756"/>
        <v/>
      </c>
      <c r="EJ261" s="66" t="str">
        <f t="shared" si="3757"/>
        <v/>
      </c>
      <c r="EK261" s="66" t="str">
        <f t="shared" si="3758"/>
        <v/>
      </c>
      <c r="EL261" s="66" t="str">
        <f t="shared" si="3759"/>
        <v/>
      </c>
      <c r="EM261" s="66" t="str">
        <f t="shared" si="3760"/>
        <v/>
      </c>
      <c r="EN261" s="66" t="str">
        <f t="shared" si="3761"/>
        <v/>
      </c>
      <c r="EO261" s="66" t="str">
        <f t="shared" si="3762"/>
        <v/>
      </c>
      <c r="EP261" s="66" t="str">
        <f t="shared" si="3763"/>
        <v/>
      </c>
      <c r="EQ261" s="66" t="str">
        <f t="shared" si="3764"/>
        <v/>
      </c>
      <c r="ER261" s="66" t="str">
        <f t="shared" si="3765"/>
        <v/>
      </c>
      <c r="ES261" s="66" t="str">
        <f t="shared" si="3766"/>
        <v/>
      </c>
      <c r="ET261" s="66" t="str">
        <f t="shared" si="3767"/>
        <v/>
      </c>
      <c r="EU261" s="66" t="str">
        <f t="shared" si="3768"/>
        <v/>
      </c>
      <c r="EV261" s="66" t="str">
        <f t="shared" si="3769"/>
        <v/>
      </c>
      <c r="EW261" s="66" t="str">
        <f t="shared" si="3770"/>
        <v/>
      </c>
      <c r="EX261" s="66" t="str">
        <f t="shared" si="3771"/>
        <v/>
      </c>
      <c r="EY261" s="66" t="str">
        <f t="shared" si="3772"/>
        <v/>
      </c>
      <c r="EZ261" s="66" t="str">
        <f t="shared" si="3773"/>
        <v/>
      </c>
      <c r="FA261" s="66" t="str">
        <f t="shared" si="3774"/>
        <v/>
      </c>
      <c r="FB261" s="66" t="str">
        <f t="shared" si="3775"/>
        <v/>
      </c>
      <c r="FC261" s="66" t="str">
        <f t="shared" si="3776"/>
        <v/>
      </c>
      <c r="FD261" s="66" t="str">
        <f t="shared" si="3777"/>
        <v/>
      </c>
      <c r="FE261" s="66" t="str">
        <f t="shared" si="3778"/>
        <v/>
      </c>
      <c r="FF261" s="66" t="str">
        <f t="shared" si="3779"/>
        <v/>
      </c>
      <c r="FG261" s="66" t="str">
        <f t="shared" si="3780"/>
        <v/>
      </c>
      <c r="FH261" s="66" t="str">
        <f t="shared" si="3781"/>
        <v/>
      </c>
      <c r="FI261" s="66" t="str">
        <f t="shared" si="3782"/>
        <v/>
      </c>
      <c r="FJ261" s="66" t="str">
        <f t="shared" si="3783"/>
        <v/>
      </c>
      <c r="FK261" s="66" t="str">
        <f t="shared" si="3784"/>
        <v/>
      </c>
      <c r="FL261" s="66" t="str">
        <f t="shared" si="3785"/>
        <v/>
      </c>
      <c r="FM261" s="66" t="str">
        <f t="shared" si="3786"/>
        <v/>
      </c>
      <c r="FN261" s="66" t="str">
        <f t="shared" si="3787"/>
        <v/>
      </c>
      <c r="FO261" s="66" t="str">
        <f t="shared" si="3788"/>
        <v/>
      </c>
      <c r="FP261" s="66" t="str">
        <f t="shared" si="3789"/>
        <v/>
      </c>
      <c r="FQ261" s="66" t="str">
        <f t="shared" si="3790"/>
        <v/>
      </c>
      <c r="FR261" s="66" t="str">
        <f t="shared" si="3791"/>
        <v/>
      </c>
      <c r="FS261" s="66" t="str">
        <f t="shared" si="3792"/>
        <v/>
      </c>
    </row>
    <row r="262" spans="1:175" s="33" customFormat="1" ht="16.5">
      <c r="A262" s="122"/>
      <c r="B262" s="9" t="s">
        <v>812</v>
      </c>
      <c r="C262" s="9" t="s">
        <v>813</v>
      </c>
      <c r="D262" s="67"/>
      <c r="E262" s="68"/>
      <c r="F262" s="123"/>
      <c r="G262" s="124"/>
      <c r="H262" s="124"/>
      <c r="I262" s="124"/>
      <c r="J262" s="124"/>
      <c r="K262" s="124"/>
      <c r="L262" s="124"/>
      <c r="M262" s="124"/>
      <c r="N262" s="124"/>
      <c r="O262" s="124"/>
      <c r="P262" s="73"/>
      <c r="Q262" s="73"/>
      <c r="R262" s="73"/>
      <c r="S262" s="73"/>
      <c r="T262" s="80"/>
      <c r="U262" s="77"/>
      <c r="V262" s="83"/>
      <c r="W262" s="83"/>
      <c r="X262" s="83"/>
      <c r="Y262" s="83"/>
      <c r="Z262" s="83"/>
      <c r="AA262" s="83"/>
      <c r="AB262" s="83"/>
      <c r="AC262" s="83"/>
      <c r="AD262" s="83"/>
      <c r="AE262" s="83"/>
      <c r="AF262" s="83"/>
      <c r="AG262" s="83"/>
      <c r="AH262" s="83"/>
      <c r="AI262" s="83"/>
      <c r="AJ262" s="83"/>
      <c r="AK262" s="83"/>
      <c r="AL262" s="83"/>
      <c r="AM262" s="83"/>
      <c r="AN262" s="83"/>
      <c r="AO262" s="83"/>
      <c r="AP262" s="83"/>
      <c r="AQ262" s="83"/>
      <c r="AR262" s="84"/>
      <c r="AS262" s="84"/>
      <c r="AT262" s="83"/>
      <c r="AU262" s="83"/>
      <c r="AV262" s="83"/>
      <c r="AW262" s="83"/>
      <c r="AX262" s="83"/>
      <c r="AY262" s="83"/>
      <c r="AZ262" s="83"/>
      <c r="BA262" s="83"/>
      <c r="BB262" s="83"/>
      <c r="BC262" s="83"/>
      <c r="BD262" s="83"/>
      <c r="BE262" s="83"/>
      <c r="BF262" s="83"/>
      <c r="BG262" s="83"/>
      <c r="BH262" s="83"/>
      <c r="BI262" s="83"/>
      <c r="BJ262" s="83"/>
      <c r="BK262" s="83"/>
      <c r="BL262" s="83"/>
      <c r="BM262" s="83"/>
      <c r="BN262" s="83"/>
      <c r="BO262" s="83"/>
      <c r="BP262" s="83"/>
      <c r="BQ262" s="83"/>
      <c r="BR262" s="83"/>
      <c r="BS262" s="83"/>
      <c r="BT262" s="83"/>
      <c r="BU262" s="83"/>
      <c r="BV262" s="83"/>
      <c r="BW262" s="83"/>
      <c r="BX262" s="83"/>
      <c r="BY262" s="83"/>
      <c r="BZ262" s="83"/>
      <c r="CA262" s="83"/>
      <c r="CB262" s="83"/>
      <c r="CC262" s="83"/>
      <c r="CD262" s="83"/>
      <c r="CE262" s="83"/>
      <c r="CF262" s="83"/>
      <c r="CG262" s="83"/>
      <c r="CH262" s="83"/>
      <c r="CI262" s="83"/>
      <c r="CJ262" s="83"/>
      <c r="CK262" s="83"/>
      <c r="CL262" s="83"/>
      <c r="CM262" s="83"/>
      <c r="CN262" s="86" t="str">
        <f t="shared" si="3950"/>
        <v>InitUnitState('IC03',,,,,,,,,,)</v>
      </c>
      <c r="CO262" s="86" t="str">
        <f t="shared" si="3951"/>
        <v>InitUnitNormal('IC03',,,,,,,,,,)</v>
      </c>
      <c r="CP262" s="86" t="str">
        <f t="shared" si="3952"/>
        <v>InitUnitMagic('IC03',,,,,,,,,,)</v>
      </c>
      <c r="CQ262" s="86" t="str">
        <f t="shared" si="3953"/>
        <v>InitUnitAdd('IC03',,,,,,,,,,)</v>
      </c>
      <c r="CR262" s="86" t="str">
        <f t="shared" si="3650"/>
        <v>InitEquipData('IC03',,"",,,,,'','','','','','',"")</v>
      </c>
      <c r="CS262" s="86"/>
      <c r="CT262" s="86"/>
      <c r="CU262" s="88" t="str">
        <f t="shared" si="3722"/>
        <v>|n</v>
      </c>
      <c r="CV262" s="19"/>
      <c r="DB262" s="66" t="str">
        <f t="shared" si="3723"/>
        <v/>
      </c>
      <c r="DC262" s="66" t="str">
        <f t="shared" si="3724"/>
        <v/>
      </c>
      <c r="DD262" s="66" t="str">
        <f t="shared" si="3725"/>
        <v/>
      </c>
      <c r="DE262" s="66" t="str">
        <f t="shared" si="3726"/>
        <v/>
      </c>
      <c r="DF262" s="66" t="str">
        <f t="shared" si="3727"/>
        <v/>
      </c>
      <c r="DG262" s="66" t="str">
        <f t="shared" si="3728"/>
        <v/>
      </c>
      <c r="DH262" s="66" t="str">
        <f t="shared" si="3729"/>
        <v/>
      </c>
      <c r="DI262" s="66" t="str">
        <f t="shared" si="3730"/>
        <v/>
      </c>
      <c r="DJ262" s="66" t="str">
        <f t="shared" si="3731"/>
        <v/>
      </c>
      <c r="DK262" s="66" t="str">
        <f t="shared" si="3732"/>
        <v/>
      </c>
      <c r="DL262" s="66" t="str">
        <f t="shared" si="3733"/>
        <v/>
      </c>
      <c r="DM262" s="66" t="str">
        <f t="shared" si="3734"/>
        <v/>
      </c>
      <c r="DN262" s="66" t="str">
        <f t="shared" si="3735"/>
        <v/>
      </c>
      <c r="DO262" s="66" t="str">
        <f t="shared" si="3736"/>
        <v/>
      </c>
      <c r="DP262" s="66" t="str">
        <f t="shared" si="3737"/>
        <v/>
      </c>
      <c r="DQ262" s="66" t="str">
        <f t="shared" si="3738"/>
        <v/>
      </c>
      <c r="DR262" s="66" t="str">
        <f t="shared" si="3739"/>
        <v/>
      </c>
      <c r="DS262" s="66" t="str">
        <f t="shared" si="3740"/>
        <v/>
      </c>
      <c r="DT262" s="66" t="str">
        <f t="shared" si="3741"/>
        <v/>
      </c>
      <c r="DU262" s="66" t="str">
        <f t="shared" si="3742"/>
        <v/>
      </c>
      <c r="DV262" s="66" t="str">
        <f t="shared" si="3743"/>
        <v/>
      </c>
      <c r="DW262" s="66" t="str">
        <f t="shared" si="3744"/>
        <v/>
      </c>
      <c r="DX262" s="66" t="str">
        <f t="shared" si="3745"/>
        <v/>
      </c>
      <c r="DY262" s="66" t="str">
        <f t="shared" si="3746"/>
        <v/>
      </c>
      <c r="DZ262" s="66" t="str">
        <f t="shared" si="3747"/>
        <v/>
      </c>
      <c r="EA262" s="66" t="str">
        <f t="shared" si="3748"/>
        <v/>
      </c>
      <c r="EB262" s="66" t="str">
        <f t="shared" si="3749"/>
        <v/>
      </c>
      <c r="EC262" s="66" t="str">
        <f t="shared" si="3750"/>
        <v/>
      </c>
      <c r="ED262" s="66" t="str">
        <f t="shared" si="3751"/>
        <v/>
      </c>
      <c r="EE262" s="66" t="str">
        <f t="shared" si="3752"/>
        <v/>
      </c>
      <c r="EF262" s="66" t="str">
        <f t="shared" si="3753"/>
        <v/>
      </c>
      <c r="EG262" s="66" t="str">
        <f t="shared" si="3754"/>
        <v/>
      </c>
      <c r="EH262" s="66" t="str">
        <f t="shared" si="3755"/>
        <v/>
      </c>
      <c r="EI262" s="66" t="str">
        <f t="shared" si="3756"/>
        <v/>
      </c>
      <c r="EJ262" s="66" t="str">
        <f t="shared" si="3757"/>
        <v/>
      </c>
      <c r="EK262" s="66" t="str">
        <f t="shared" si="3758"/>
        <v/>
      </c>
      <c r="EL262" s="66" t="str">
        <f t="shared" si="3759"/>
        <v/>
      </c>
      <c r="EM262" s="66" t="str">
        <f t="shared" si="3760"/>
        <v/>
      </c>
      <c r="EN262" s="66" t="str">
        <f t="shared" si="3761"/>
        <v/>
      </c>
      <c r="EO262" s="66" t="str">
        <f t="shared" si="3762"/>
        <v/>
      </c>
      <c r="EP262" s="66" t="str">
        <f t="shared" si="3763"/>
        <v/>
      </c>
      <c r="EQ262" s="66" t="str">
        <f t="shared" si="3764"/>
        <v/>
      </c>
      <c r="ER262" s="66" t="str">
        <f t="shared" si="3765"/>
        <v/>
      </c>
      <c r="ES262" s="66" t="str">
        <f t="shared" si="3766"/>
        <v/>
      </c>
      <c r="ET262" s="66" t="str">
        <f t="shared" si="3767"/>
        <v/>
      </c>
      <c r="EU262" s="66" t="str">
        <f t="shared" si="3768"/>
        <v/>
      </c>
      <c r="EV262" s="66" t="str">
        <f t="shared" si="3769"/>
        <v/>
      </c>
      <c r="EW262" s="66" t="str">
        <f t="shared" si="3770"/>
        <v/>
      </c>
      <c r="EX262" s="66" t="str">
        <f t="shared" si="3771"/>
        <v/>
      </c>
      <c r="EY262" s="66" t="str">
        <f t="shared" si="3772"/>
        <v/>
      </c>
      <c r="EZ262" s="66" t="str">
        <f t="shared" si="3773"/>
        <v/>
      </c>
      <c r="FA262" s="66" t="str">
        <f t="shared" si="3774"/>
        <v/>
      </c>
      <c r="FB262" s="66" t="str">
        <f t="shared" si="3775"/>
        <v/>
      </c>
      <c r="FC262" s="66" t="str">
        <f t="shared" si="3776"/>
        <v/>
      </c>
      <c r="FD262" s="66" t="str">
        <f t="shared" si="3777"/>
        <v/>
      </c>
      <c r="FE262" s="66" t="str">
        <f t="shared" si="3778"/>
        <v/>
      </c>
      <c r="FF262" s="66" t="str">
        <f t="shared" si="3779"/>
        <v/>
      </c>
      <c r="FG262" s="66" t="str">
        <f t="shared" si="3780"/>
        <v/>
      </c>
      <c r="FH262" s="66" t="str">
        <f t="shared" si="3781"/>
        <v/>
      </c>
      <c r="FI262" s="66" t="str">
        <f t="shared" si="3782"/>
        <v/>
      </c>
      <c r="FJ262" s="66" t="str">
        <f t="shared" si="3783"/>
        <v/>
      </c>
      <c r="FK262" s="66" t="str">
        <f t="shared" si="3784"/>
        <v/>
      </c>
      <c r="FL262" s="66" t="str">
        <f t="shared" si="3785"/>
        <v/>
      </c>
      <c r="FM262" s="66" t="str">
        <f t="shared" si="3786"/>
        <v/>
      </c>
      <c r="FN262" s="66" t="str">
        <f t="shared" si="3787"/>
        <v/>
      </c>
      <c r="FO262" s="66" t="str">
        <f t="shared" si="3788"/>
        <v/>
      </c>
      <c r="FP262" s="66" t="str">
        <f t="shared" si="3789"/>
        <v/>
      </c>
      <c r="FQ262" s="66" t="str">
        <f t="shared" si="3790"/>
        <v/>
      </c>
      <c r="FR262" s="66" t="str">
        <f t="shared" si="3791"/>
        <v/>
      </c>
      <c r="FS262" s="66" t="str">
        <f t="shared" si="3792"/>
        <v/>
      </c>
    </row>
    <row r="263" spans="1:175" s="33" customFormat="1" ht="16.5">
      <c r="A263" s="122"/>
      <c r="B263" s="9" t="s">
        <v>814</v>
      </c>
      <c r="C263" s="9" t="s">
        <v>815</v>
      </c>
      <c r="D263" s="67"/>
      <c r="E263" s="68"/>
      <c r="F263" s="123"/>
      <c r="G263" s="124"/>
      <c r="H263" s="124"/>
      <c r="I263" s="124"/>
      <c r="J263" s="124"/>
      <c r="K263" s="124"/>
      <c r="L263" s="124"/>
      <c r="M263" s="124"/>
      <c r="N263" s="124"/>
      <c r="O263" s="124"/>
      <c r="P263" s="73"/>
      <c r="Q263" s="73"/>
      <c r="R263" s="73"/>
      <c r="S263" s="73"/>
      <c r="T263" s="80"/>
      <c r="U263" s="77"/>
      <c r="V263" s="83"/>
      <c r="W263" s="83"/>
      <c r="X263" s="83"/>
      <c r="Y263" s="83"/>
      <c r="Z263" s="83"/>
      <c r="AA263" s="83"/>
      <c r="AB263" s="83"/>
      <c r="AC263" s="83"/>
      <c r="AD263" s="83"/>
      <c r="AE263" s="83"/>
      <c r="AF263" s="83"/>
      <c r="AG263" s="83"/>
      <c r="AH263" s="83"/>
      <c r="AI263" s="83"/>
      <c r="AJ263" s="83"/>
      <c r="AK263" s="83"/>
      <c r="AL263" s="83"/>
      <c r="AM263" s="83"/>
      <c r="AN263" s="83"/>
      <c r="AO263" s="83"/>
      <c r="AP263" s="83"/>
      <c r="AQ263" s="83"/>
      <c r="AR263" s="84"/>
      <c r="AS263" s="84"/>
      <c r="AT263" s="83"/>
      <c r="AU263" s="83"/>
      <c r="AV263" s="83"/>
      <c r="AW263" s="83"/>
      <c r="AX263" s="83"/>
      <c r="AY263" s="83"/>
      <c r="AZ263" s="83"/>
      <c r="BA263" s="83"/>
      <c r="BB263" s="83"/>
      <c r="BC263" s="83"/>
      <c r="BD263" s="83"/>
      <c r="BE263" s="83"/>
      <c r="BF263" s="83"/>
      <c r="BG263" s="83"/>
      <c r="BH263" s="83"/>
      <c r="BI263" s="83"/>
      <c r="BJ263" s="83"/>
      <c r="BK263" s="83"/>
      <c r="BL263" s="83"/>
      <c r="BM263" s="83"/>
      <c r="BN263" s="83"/>
      <c r="BO263" s="83"/>
      <c r="BP263" s="83"/>
      <c r="BQ263" s="83"/>
      <c r="BR263" s="83"/>
      <c r="BS263" s="83"/>
      <c r="BT263" s="83"/>
      <c r="BU263" s="83"/>
      <c r="BV263" s="83"/>
      <c r="BW263" s="83"/>
      <c r="BX263" s="83"/>
      <c r="BY263" s="83"/>
      <c r="BZ263" s="83"/>
      <c r="CA263" s="83"/>
      <c r="CB263" s="83"/>
      <c r="CC263" s="83"/>
      <c r="CD263" s="83"/>
      <c r="CE263" s="83"/>
      <c r="CF263" s="83"/>
      <c r="CG263" s="83"/>
      <c r="CH263" s="83"/>
      <c r="CI263" s="83"/>
      <c r="CJ263" s="83"/>
      <c r="CK263" s="83"/>
      <c r="CL263" s="83"/>
      <c r="CM263" s="83"/>
      <c r="CN263" s="86" t="str">
        <f t="shared" si="3950"/>
        <v>InitUnitState('IC04',,,,,,,,,,)</v>
      </c>
      <c r="CO263" s="86" t="str">
        <f t="shared" si="3951"/>
        <v>InitUnitNormal('IC04',,,,,,,,,,)</v>
      </c>
      <c r="CP263" s="86" t="str">
        <f t="shared" si="3952"/>
        <v>InitUnitMagic('IC04',,,,,,,,,,)</v>
      </c>
      <c r="CQ263" s="86" t="str">
        <f t="shared" si="3953"/>
        <v>InitUnitAdd('IC04',,,,,,,,,,)</v>
      </c>
      <c r="CR263" s="86" t="str">
        <f t="shared" si="3650"/>
        <v>InitEquipData('IC04',,"",,,,,'','','','','','',"")</v>
      </c>
      <c r="CS263" s="86"/>
      <c r="CT263" s="86"/>
      <c r="CU263" s="88" t="str">
        <f t="shared" si="3722"/>
        <v>|n</v>
      </c>
      <c r="CV263" s="19"/>
      <c r="DB263" s="66" t="str">
        <f t="shared" si="3723"/>
        <v/>
      </c>
      <c r="DC263" s="66" t="str">
        <f t="shared" si="3724"/>
        <v/>
      </c>
      <c r="DD263" s="66" t="str">
        <f t="shared" si="3725"/>
        <v/>
      </c>
      <c r="DE263" s="66" t="str">
        <f t="shared" si="3726"/>
        <v/>
      </c>
      <c r="DF263" s="66" t="str">
        <f t="shared" si="3727"/>
        <v/>
      </c>
      <c r="DG263" s="66" t="str">
        <f t="shared" si="3728"/>
        <v/>
      </c>
      <c r="DH263" s="66" t="str">
        <f t="shared" si="3729"/>
        <v/>
      </c>
      <c r="DI263" s="66" t="str">
        <f t="shared" si="3730"/>
        <v/>
      </c>
      <c r="DJ263" s="66" t="str">
        <f t="shared" si="3731"/>
        <v/>
      </c>
      <c r="DK263" s="66" t="str">
        <f t="shared" si="3732"/>
        <v/>
      </c>
      <c r="DL263" s="66" t="str">
        <f t="shared" si="3733"/>
        <v/>
      </c>
      <c r="DM263" s="66" t="str">
        <f t="shared" si="3734"/>
        <v/>
      </c>
      <c r="DN263" s="66" t="str">
        <f t="shared" si="3735"/>
        <v/>
      </c>
      <c r="DO263" s="66" t="str">
        <f t="shared" si="3736"/>
        <v/>
      </c>
      <c r="DP263" s="66" t="str">
        <f t="shared" si="3737"/>
        <v/>
      </c>
      <c r="DQ263" s="66" t="str">
        <f t="shared" si="3738"/>
        <v/>
      </c>
      <c r="DR263" s="66" t="str">
        <f t="shared" si="3739"/>
        <v/>
      </c>
      <c r="DS263" s="66" t="str">
        <f t="shared" si="3740"/>
        <v/>
      </c>
      <c r="DT263" s="66" t="str">
        <f t="shared" si="3741"/>
        <v/>
      </c>
      <c r="DU263" s="66" t="str">
        <f t="shared" si="3742"/>
        <v/>
      </c>
      <c r="DV263" s="66" t="str">
        <f t="shared" si="3743"/>
        <v/>
      </c>
      <c r="DW263" s="66" t="str">
        <f t="shared" si="3744"/>
        <v/>
      </c>
      <c r="DX263" s="66" t="str">
        <f t="shared" si="3745"/>
        <v/>
      </c>
      <c r="DY263" s="66" t="str">
        <f t="shared" si="3746"/>
        <v/>
      </c>
      <c r="DZ263" s="66" t="str">
        <f t="shared" si="3747"/>
        <v/>
      </c>
      <c r="EA263" s="66" t="str">
        <f t="shared" si="3748"/>
        <v/>
      </c>
      <c r="EB263" s="66" t="str">
        <f t="shared" si="3749"/>
        <v/>
      </c>
      <c r="EC263" s="66" t="str">
        <f t="shared" si="3750"/>
        <v/>
      </c>
      <c r="ED263" s="66" t="str">
        <f t="shared" si="3751"/>
        <v/>
      </c>
      <c r="EE263" s="66" t="str">
        <f t="shared" si="3752"/>
        <v/>
      </c>
      <c r="EF263" s="66" t="str">
        <f t="shared" si="3753"/>
        <v/>
      </c>
      <c r="EG263" s="66" t="str">
        <f t="shared" si="3754"/>
        <v/>
      </c>
      <c r="EH263" s="66" t="str">
        <f t="shared" si="3755"/>
        <v/>
      </c>
      <c r="EI263" s="66" t="str">
        <f t="shared" si="3756"/>
        <v/>
      </c>
      <c r="EJ263" s="66" t="str">
        <f t="shared" si="3757"/>
        <v/>
      </c>
      <c r="EK263" s="66" t="str">
        <f t="shared" si="3758"/>
        <v/>
      </c>
      <c r="EL263" s="66" t="str">
        <f t="shared" si="3759"/>
        <v/>
      </c>
      <c r="EM263" s="66" t="str">
        <f t="shared" si="3760"/>
        <v/>
      </c>
      <c r="EN263" s="66" t="str">
        <f t="shared" si="3761"/>
        <v/>
      </c>
      <c r="EO263" s="66" t="str">
        <f t="shared" si="3762"/>
        <v/>
      </c>
      <c r="EP263" s="66" t="str">
        <f t="shared" si="3763"/>
        <v/>
      </c>
      <c r="EQ263" s="66" t="str">
        <f t="shared" si="3764"/>
        <v/>
      </c>
      <c r="ER263" s="66" t="str">
        <f t="shared" si="3765"/>
        <v/>
      </c>
      <c r="ES263" s="66" t="str">
        <f t="shared" si="3766"/>
        <v/>
      </c>
      <c r="ET263" s="66" t="str">
        <f t="shared" si="3767"/>
        <v/>
      </c>
      <c r="EU263" s="66" t="str">
        <f t="shared" si="3768"/>
        <v/>
      </c>
      <c r="EV263" s="66" t="str">
        <f t="shared" si="3769"/>
        <v/>
      </c>
      <c r="EW263" s="66" t="str">
        <f t="shared" si="3770"/>
        <v/>
      </c>
      <c r="EX263" s="66" t="str">
        <f t="shared" si="3771"/>
        <v/>
      </c>
      <c r="EY263" s="66" t="str">
        <f t="shared" si="3772"/>
        <v/>
      </c>
      <c r="EZ263" s="66" t="str">
        <f t="shared" si="3773"/>
        <v/>
      </c>
      <c r="FA263" s="66" t="str">
        <f t="shared" si="3774"/>
        <v/>
      </c>
      <c r="FB263" s="66" t="str">
        <f t="shared" si="3775"/>
        <v/>
      </c>
      <c r="FC263" s="66" t="str">
        <f t="shared" si="3776"/>
        <v/>
      </c>
      <c r="FD263" s="66" t="str">
        <f t="shared" si="3777"/>
        <v/>
      </c>
      <c r="FE263" s="66" t="str">
        <f t="shared" si="3778"/>
        <v/>
      </c>
      <c r="FF263" s="66" t="str">
        <f t="shared" si="3779"/>
        <v/>
      </c>
      <c r="FG263" s="66" t="str">
        <f t="shared" si="3780"/>
        <v/>
      </c>
      <c r="FH263" s="66" t="str">
        <f t="shared" si="3781"/>
        <v/>
      </c>
      <c r="FI263" s="66" t="str">
        <f t="shared" si="3782"/>
        <v/>
      </c>
      <c r="FJ263" s="66" t="str">
        <f t="shared" si="3783"/>
        <v/>
      </c>
      <c r="FK263" s="66" t="str">
        <f t="shared" si="3784"/>
        <v/>
      </c>
      <c r="FL263" s="66" t="str">
        <f t="shared" si="3785"/>
        <v/>
      </c>
      <c r="FM263" s="66" t="str">
        <f t="shared" si="3786"/>
        <v/>
      </c>
      <c r="FN263" s="66" t="str">
        <f t="shared" si="3787"/>
        <v/>
      </c>
      <c r="FO263" s="66" t="str">
        <f t="shared" si="3788"/>
        <v/>
      </c>
      <c r="FP263" s="66" t="str">
        <f t="shared" si="3789"/>
        <v/>
      </c>
      <c r="FQ263" s="66" t="str">
        <f t="shared" si="3790"/>
        <v/>
      </c>
      <c r="FR263" s="66" t="str">
        <f t="shared" si="3791"/>
        <v/>
      </c>
      <c r="FS263" s="66" t="str">
        <f t="shared" si="3792"/>
        <v/>
      </c>
    </row>
    <row r="264" spans="1:175" s="33" customFormat="1" ht="16.5">
      <c r="A264" s="122"/>
      <c r="B264" s="9" t="s">
        <v>816</v>
      </c>
      <c r="C264" s="9" t="s">
        <v>817</v>
      </c>
      <c r="D264" s="67"/>
      <c r="E264" s="68"/>
      <c r="F264" s="123"/>
      <c r="G264" s="124"/>
      <c r="H264" s="124"/>
      <c r="I264" s="124"/>
      <c r="J264" s="124"/>
      <c r="K264" s="124"/>
      <c r="L264" s="124"/>
      <c r="M264" s="124"/>
      <c r="N264" s="124"/>
      <c r="O264" s="124"/>
      <c r="P264" s="73"/>
      <c r="Q264" s="73"/>
      <c r="R264" s="73"/>
      <c r="S264" s="73"/>
      <c r="T264" s="80"/>
      <c r="U264" s="77"/>
      <c r="V264" s="83"/>
      <c r="W264" s="83"/>
      <c r="X264" s="83"/>
      <c r="Y264" s="83"/>
      <c r="Z264" s="83"/>
      <c r="AA264" s="83"/>
      <c r="AB264" s="83"/>
      <c r="AC264" s="83"/>
      <c r="AD264" s="83"/>
      <c r="AE264" s="83"/>
      <c r="AF264" s="83"/>
      <c r="AG264" s="83"/>
      <c r="AH264" s="83"/>
      <c r="AI264" s="83"/>
      <c r="AJ264" s="83"/>
      <c r="AK264" s="83"/>
      <c r="AL264" s="83"/>
      <c r="AM264" s="83"/>
      <c r="AN264" s="83"/>
      <c r="AO264" s="83"/>
      <c r="AP264" s="83"/>
      <c r="AQ264" s="83"/>
      <c r="AR264" s="84"/>
      <c r="AS264" s="84"/>
      <c r="AT264" s="83"/>
      <c r="AU264" s="83"/>
      <c r="AV264" s="83"/>
      <c r="AW264" s="83"/>
      <c r="AX264" s="83"/>
      <c r="AY264" s="83"/>
      <c r="AZ264" s="83"/>
      <c r="BA264" s="83"/>
      <c r="BB264" s="83"/>
      <c r="BC264" s="83"/>
      <c r="BD264" s="83"/>
      <c r="BE264" s="83"/>
      <c r="BF264" s="83"/>
      <c r="BG264" s="83"/>
      <c r="BH264" s="83"/>
      <c r="BI264" s="83"/>
      <c r="BJ264" s="83"/>
      <c r="BK264" s="83"/>
      <c r="BL264" s="83"/>
      <c r="BM264" s="83"/>
      <c r="BN264" s="83"/>
      <c r="BO264" s="83"/>
      <c r="BP264" s="83"/>
      <c r="BQ264" s="83"/>
      <c r="BR264" s="83"/>
      <c r="BS264" s="83"/>
      <c r="BT264" s="83"/>
      <c r="BU264" s="83"/>
      <c r="BV264" s="83"/>
      <c r="BW264" s="83"/>
      <c r="BX264" s="83"/>
      <c r="BY264" s="83"/>
      <c r="BZ264" s="83"/>
      <c r="CA264" s="83"/>
      <c r="CB264" s="83"/>
      <c r="CC264" s="83"/>
      <c r="CD264" s="83"/>
      <c r="CE264" s="83"/>
      <c r="CF264" s="83"/>
      <c r="CG264" s="83"/>
      <c r="CH264" s="83"/>
      <c r="CI264" s="83"/>
      <c r="CJ264" s="83"/>
      <c r="CK264" s="83"/>
      <c r="CL264" s="83"/>
      <c r="CM264" s="83"/>
      <c r="CN264" s="86" t="str">
        <f t="shared" si="3950"/>
        <v>InitUnitState('IC05',,,,,,,,,,)</v>
      </c>
      <c r="CO264" s="86" t="str">
        <f t="shared" si="3951"/>
        <v>InitUnitNormal('IC05',,,,,,,,,,)</v>
      </c>
      <c r="CP264" s="86" t="str">
        <f t="shared" si="3952"/>
        <v>InitUnitMagic('IC05',,,,,,,,,,)</v>
      </c>
      <c r="CQ264" s="86" t="str">
        <f t="shared" si="3953"/>
        <v>InitUnitAdd('IC05',,,,,,,,,,)</v>
      </c>
      <c r="CR264" s="86" t="str">
        <f t="shared" si="3650"/>
        <v>InitEquipData('IC05',,"",,,,,'','','','','','',"")</v>
      </c>
      <c r="CS264" s="86"/>
      <c r="CT264" s="86"/>
      <c r="CU264" s="88" t="str">
        <f t="shared" si="3722"/>
        <v>|n</v>
      </c>
      <c r="CV264" s="19"/>
      <c r="DB264" s="66" t="str">
        <f t="shared" si="3723"/>
        <v/>
      </c>
      <c r="DC264" s="66" t="str">
        <f t="shared" si="3724"/>
        <v/>
      </c>
      <c r="DD264" s="66" t="str">
        <f t="shared" si="3725"/>
        <v/>
      </c>
      <c r="DE264" s="66" t="str">
        <f t="shared" si="3726"/>
        <v/>
      </c>
      <c r="DF264" s="66" t="str">
        <f t="shared" si="3727"/>
        <v/>
      </c>
      <c r="DG264" s="66" t="str">
        <f t="shared" si="3728"/>
        <v/>
      </c>
      <c r="DH264" s="66" t="str">
        <f t="shared" si="3729"/>
        <v/>
      </c>
      <c r="DI264" s="66" t="str">
        <f t="shared" si="3730"/>
        <v/>
      </c>
      <c r="DJ264" s="66" t="str">
        <f t="shared" si="3731"/>
        <v/>
      </c>
      <c r="DK264" s="66" t="str">
        <f t="shared" si="3732"/>
        <v/>
      </c>
      <c r="DL264" s="66" t="str">
        <f t="shared" si="3733"/>
        <v/>
      </c>
      <c r="DM264" s="66" t="str">
        <f t="shared" si="3734"/>
        <v/>
      </c>
      <c r="DN264" s="66" t="str">
        <f t="shared" si="3735"/>
        <v/>
      </c>
      <c r="DO264" s="66" t="str">
        <f t="shared" si="3736"/>
        <v/>
      </c>
      <c r="DP264" s="66" t="str">
        <f t="shared" si="3737"/>
        <v/>
      </c>
      <c r="DQ264" s="66" t="str">
        <f t="shared" si="3738"/>
        <v/>
      </c>
      <c r="DR264" s="66" t="str">
        <f t="shared" si="3739"/>
        <v/>
      </c>
      <c r="DS264" s="66" t="str">
        <f t="shared" si="3740"/>
        <v/>
      </c>
      <c r="DT264" s="66" t="str">
        <f t="shared" si="3741"/>
        <v/>
      </c>
      <c r="DU264" s="66" t="str">
        <f t="shared" si="3742"/>
        <v/>
      </c>
      <c r="DV264" s="66" t="str">
        <f t="shared" si="3743"/>
        <v/>
      </c>
      <c r="DW264" s="66" t="str">
        <f t="shared" si="3744"/>
        <v/>
      </c>
      <c r="DX264" s="66" t="str">
        <f t="shared" si="3745"/>
        <v/>
      </c>
      <c r="DY264" s="66" t="str">
        <f t="shared" si="3746"/>
        <v/>
      </c>
      <c r="DZ264" s="66" t="str">
        <f t="shared" si="3747"/>
        <v/>
      </c>
      <c r="EA264" s="66" t="str">
        <f t="shared" si="3748"/>
        <v/>
      </c>
      <c r="EB264" s="66" t="str">
        <f t="shared" si="3749"/>
        <v/>
      </c>
      <c r="EC264" s="66" t="str">
        <f t="shared" si="3750"/>
        <v/>
      </c>
      <c r="ED264" s="66" t="str">
        <f t="shared" si="3751"/>
        <v/>
      </c>
      <c r="EE264" s="66" t="str">
        <f t="shared" si="3752"/>
        <v/>
      </c>
      <c r="EF264" s="66" t="str">
        <f t="shared" si="3753"/>
        <v/>
      </c>
      <c r="EG264" s="66" t="str">
        <f t="shared" si="3754"/>
        <v/>
      </c>
      <c r="EH264" s="66" t="str">
        <f t="shared" si="3755"/>
        <v/>
      </c>
      <c r="EI264" s="66" t="str">
        <f t="shared" si="3756"/>
        <v/>
      </c>
      <c r="EJ264" s="66" t="str">
        <f t="shared" si="3757"/>
        <v/>
      </c>
      <c r="EK264" s="66" t="str">
        <f t="shared" si="3758"/>
        <v/>
      </c>
      <c r="EL264" s="66" t="str">
        <f t="shared" si="3759"/>
        <v/>
      </c>
      <c r="EM264" s="66" t="str">
        <f t="shared" si="3760"/>
        <v/>
      </c>
      <c r="EN264" s="66" t="str">
        <f t="shared" si="3761"/>
        <v/>
      </c>
      <c r="EO264" s="66" t="str">
        <f t="shared" si="3762"/>
        <v/>
      </c>
      <c r="EP264" s="66" t="str">
        <f t="shared" si="3763"/>
        <v/>
      </c>
      <c r="EQ264" s="66" t="str">
        <f t="shared" si="3764"/>
        <v/>
      </c>
      <c r="ER264" s="66" t="str">
        <f t="shared" si="3765"/>
        <v/>
      </c>
      <c r="ES264" s="66" t="str">
        <f t="shared" si="3766"/>
        <v/>
      </c>
      <c r="ET264" s="66" t="str">
        <f t="shared" si="3767"/>
        <v/>
      </c>
      <c r="EU264" s="66" t="str">
        <f t="shared" si="3768"/>
        <v/>
      </c>
      <c r="EV264" s="66" t="str">
        <f t="shared" si="3769"/>
        <v/>
      </c>
      <c r="EW264" s="66" t="str">
        <f t="shared" si="3770"/>
        <v/>
      </c>
      <c r="EX264" s="66" t="str">
        <f t="shared" si="3771"/>
        <v/>
      </c>
      <c r="EY264" s="66" t="str">
        <f t="shared" si="3772"/>
        <v/>
      </c>
      <c r="EZ264" s="66" t="str">
        <f t="shared" si="3773"/>
        <v/>
      </c>
      <c r="FA264" s="66" t="str">
        <f t="shared" si="3774"/>
        <v/>
      </c>
      <c r="FB264" s="66" t="str">
        <f t="shared" si="3775"/>
        <v/>
      </c>
      <c r="FC264" s="66" t="str">
        <f t="shared" si="3776"/>
        <v/>
      </c>
      <c r="FD264" s="66" t="str">
        <f t="shared" si="3777"/>
        <v/>
      </c>
      <c r="FE264" s="66" t="str">
        <f t="shared" si="3778"/>
        <v/>
      </c>
      <c r="FF264" s="66" t="str">
        <f t="shared" si="3779"/>
        <v/>
      </c>
      <c r="FG264" s="66" t="str">
        <f t="shared" si="3780"/>
        <v/>
      </c>
      <c r="FH264" s="66" t="str">
        <f t="shared" si="3781"/>
        <v/>
      </c>
      <c r="FI264" s="66" t="str">
        <f t="shared" si="3782"/>
        <v/>
      </c>
      <c r="FJ264" s="66" t="str">
        <f t="shared" si="3783"/>
        <v/>
      </c>
      <c r="FK264" s="66" t="str">
        <f t="shared" si="3784"/>
        <v/>
      </c>
      <c r="FL264" s="66" t="str">
        <f t="shared" si="3785"/>
        <v/>
      </c>
      <c r="FM264" s="66" t="str">
        <f t="shared" si="3786"/>
        <v/>
      </c>
      <c r="FN264" s="66" t="str">
        <f t="shared" si="3787"/>
        <v/>
      </c>
      <c r="FO264" s="66" t="str">
        <f t="shared" si="3788"/>
        <v/>
      </c>
      <c r="FP264" s="66" t="str">
        <f t="shared" si="3789"/>
        <v/>
      </c>
      <c r="FQ264" s="66" t="str">
        <f t="shared" si="3790"/>
        <v/>
      </c>
      <c r="FR264" s="66" t="str">
        <f t="shared" si="3791"/>
        <v/>
      </c>
      <c r="FS264" s="66" t="str">
        <f t="shared" si="3792"/>
        <v/>
      </c>
    </row>
    <row r="265" spans="1:175" s="33" customFormat="1" ht="16.5">
      <c r="A265" s="122"/>
      <c r="B265" s="9" t="s">
        <v>818</v>
      </c>
      <c r="C265" s="9" t="s">
        <v>819</v>
      </c>
      <c r="D265" s="67"/>
      <c r="E265" s="68"/>
      <c r="F265" s="123"/>
      <c r="G265" s="124"/>
      <c r="H265" s="124"/>
      <c r="I265" s="124"/>
      <c r="J265" s="124"/>
      <c r="K265" s="124"/>
      <c r="L265" s="124"/>
      <c r="M265" s="124"/>
      <c r="N265" s="124"/>
      <c r="O265" s="124"/>
      <c r="P265" s="73"/>
      <c r="Q265" s="73"/>
      <c r="R265" s="73"/>
      <c r="S265" s="73"/>
      <c r="T265" s="80"/>
      <c r="U265" s="77"/>
      <c r="V265" s="83"/>
      <c r="W265" s="83"/>
      <c r="X265" s="83"/>
      <c r="Y265" s="83"/>
      <c r="Z265" s="83"/>
      <c r="AA265" s="83"/>
      <c r="AB265" s="83"/>
      <c r="AC265" s="83"/>
      <c r="AD265" s="83"/>
      <c r="AE265" s="83"/>
      <c r="AF265" s="83"/>
      <c r="AG265" s="83"/>
      <c r="AH265" s="83"/>
      <c r="AI265" s="83"/>
      <c r="AJ265" s="83"/>
      <c r="AK265" s="83"/>
      <c r="AL265" s="83"/>
      <c r="AM265" s="83"/>
      <c r="AN265" s="83"/>
      <c r="AO265" s="83"/>
      <c r="AP265" s="83"/>
      <c r="AQ265" s="83"/>
      <c r="AR265" s="84"/>
      <c r="AS265" s="84"/>
      <c r="AT265" s="83"/>
      <c r="AU265" s="83"/>
      <c r="AV265" s="83"/>
      <c r="AW265" s="83"/>
      <c r="AX265" s="83"/>
      <c r="AY265" s="83"/>
      <c r="AZ265" s="83"/>
      <c r="BA265" s="83"/>
      <c r="BB265" s="83"/>
      <c r="BC265" s="83"/>
      <c r="BD265" s="83"/>
      <c r="BE265" s="83"/>
      <c r="BF265" s="83"/>
      <c r="BG265" s="83"/>
      <c r="BH265" s="83"/>
      <c r="BI265" s="83"/>
      <c r="BJ265" s="83"/>
      <c r="BK265" s="83"/>
      <c r="BL265" s="83"/>
      <c r="BM265" s="83"/>
      <c r="BN265" s="83"/>
      <c r="BO265" s="83"/>
      <c r="BP265" s="83"/>
      <c r="BQ265" s="83"/>
      <c r="BR265" s="83"/>
      <c r="BS265" s="83"/>
      <c r="BT265" s="83"/>
      <c r="BU265" s="83"/>
      <c r="BV265" s="83"/>
      <c r="BW265" s="83"/>
      <c r="BX265" s="83"/>
      <c r="BY265" s="83"/>
      <c r="BZ265" s="83"/>
      <c r="CA265" s="83"/>
      <c r="CB265" s="83"/>
      <c r="CC265" s="83"/>
      <c r="CD265" s="83"/>
      <c r="CE265" s="83"/>
      <c r="CF265" s="83"/>
      <c r="CG265" s="83"/>
      <c r="CH265" s="83"/>
      <c r="CI265" s="83"/>
      <c r="CJ265" s="83"/>
      <c r="CK265" s="83"/>
      <c r="CL265" s="83"/>
      <c r="CM265" s="83"/>
      <c r="CN265" s="86" t="str">
        <f t="shared" si="3950"/>
        <v>InitUnitState('IC06',,,,,,,,,,)</v>
      </c>
      <c r="CO265" s="86" t="str">
        <f t="shared" si="3951"/>
        <v>InitUnitNormal('IC06',,,,,,,,,,)</v>
      </c>
      <c r="CP265" s="86" t="str">
        <f t="shared" si="3952"/>
        <v>InitUnitMagic('IC06',,,,,,,,,,)</v>
      </c>
      <c r="CQ265" s="86" t="str">
        <f t="shared" si="3953"/>
        <v>InitUnitAdd('IC06',,,,,,,,,,)</v>
      </c>
      <c r="CR265" s="86" t="str">
        <f t="shared" si="3650"/>
        <v>InitEquipData('IC06',,"",,,,,'','','','','','',"")</v>
      </c>
      <c r="CS265" s="86"/>
      <c r="CT265" s="86"/>
      <c r="CU265" s="88" t="str">
        <f t="shared" si="3722"/>
        <v>|n</v>
      </c>
      <c r="CV265" s="19"/>
      <c r="DB265" s="66" t="str">
        <f t="shared" si="3723"/>
        <v/>
      </c>
      <c r="DC265" s="66" t="str">
        <f t="shared" si="3724"/>
        <v/>
      </c>
      <c r="DD265" s="66" t="str">
        <f t="shared" si="3725"/>
        <v/>
      </c>
      <c r="DE265" s="66" t="str">
        <f t="shared" si="3726"/>
        <v/>
      </c>
      <c r="DF265" s="66" t="str">
        <f t="shared" si="3727"/>
        <v/>
      </c>
      <c r="DG265" s="66" t="str">
        <f t="shared" si="3728"/>
        <v/>
      </c>
      <c r="DH265" s="66" t="str">
        <f t="shared" si="3729"/>
        <v/>
      </c>
      <c r="DI265" s="66" t="str">
        <f t="shared" si="3730"/>
        <v/>
      </c>
      <c r="DJ265" s="66" t="str">
        <f t="shared" si="3731"/>
        <v/>
      </c>
      <c r="DK265" s="66" t="str">
        <f t="shared" si="3732"/>
        <v/>
      </c>
      <c r="DL265" s="66" t="str">
        <f t="shared" si="3733"/>
        <v/>
      </c>
      <c r="DM265" s="66" t="str">
        <f t="shared" si="3734"/>
        <v/>
      </c>
      <c r="DN265" s="66" t="str">
        <f t="shared" si="3735"/>
        <v/>
      </c>
      <c r="DO265" s="66" t="str">
        <f t="shared" si="3736"/>
        <v/>
      </c>
      <c r="DP265" s="66" t="str">
        <f t="shared" si="3737"/>
        <v/>
      </c>
      <c r="DQ265" s="66" t="str">
        <f t="shared" si="3738"/>
        <v/>
      </c>
      <c r="DR265" s="66" t="str">
        <f t="shared" si="3739"/>
        <v/>
      </c>
      <c r="DS265" s="66" t="str">
        <f t="shared" si="3740"/>
        <v/>
      </c>
      <c r="DT265" s="66" t="str">
        <f t="shared" si="3741"/>
        <v/>
      </c>
      <c r="DU265" s="66" t="str">
        <f t="shared" si="3742"/>
        <v/>
      </c>
      <c r="DV265" s="66" t="str">
        <f t="shared" si="3743"/>
        <v/>
      </c>
      <c r="DW265" s="66" t="str">
        <f t="shared" si="3744"/>
        <v/>
      </c>
      <c r="DX265" s="66" t="str">
        <f t="shared" si="3745"/>
        <v/>
      </c>
      <c r="DY265" s="66" t="str">
        <f t="shared" si="3746"/>
        <v/>
      </c>
      <c r="DZ265" s="66" t="str">
        <f t="shared" si="3747"/>
        <v/>
      </c>
      <c r="EA265" s="66" t="str">
        <f t="shared" si="3748"/>
        <v/>
      </c>
      <c r="EB265" s="66" t="str">
        <f t="shared" si="3749"/>
        <v/>
      </c>
      <c r="EC265" s="66" t="str">
        <f t="shared" si="3750"/>
        <v/>
      </c>
      <c r="ED265" s="66" t="str">
        <f t="shared" si="3751"/>
        <v/>
      </c>
      <c r="EE265" s="66" t="str">
        <f t="shared" si="3752"/>
        <v/>
      </c>
      <c r="EF265" s="66" t="str">
        <f t="shared" si="3753"/>
        <v/>
      </c>
      <c r="EG265" s="66" t="str">
        <f t="shared" si="3754"/>
        <v/>
      </c>
      <c r="EH265" s="66" t="str">
        <f t="shared" si="3755"/>
        <v/>
      </c>
      <c r="EI265" s="66" t="str">
        <f t="shared" si="3756"/>
        <v/>
      </c>
      <c r="EJ265" s="66" t="str">
        <f t="shared" si="3757"/>
        <v/>
      </c>
      <c r="EK265" s="66" t="str">
        <f t="shared" si="3758"/>
        <v/>
      </c>
      <c r="EL265" s="66" t="str">
        <f t="shared" si="3759"/>
        <v/>
      </c>
      <c r="EM265" s="66" t="str">
        <f t="shared" si="3760"/>
        <v/>
      </c>
      <c r="EN265" s="66" t="str">
        <f t="shared" si="3761"/>
        <v/>
      </c>
      <c r="EO265" s="66" t="str">
        <f t="shared" si="3762"/>
        <v/>
      </c>
      <c r="EP265" s="66" t="str">
        <f t="shared" si="3763"/>
        <v/>
      </c>
      <c r="EQ265" s="66" t="str">
        <f t="shared" si="3764"/>
        <v/>
      </c>
      <c r="ER265" s="66" t="str">
        <f t="shared" si="3765"/>
        <v/>
      </c>
      <c r="ES265" s="66" t="str">
        <f t="shared" si="3766"/>
        <v/>
      </c>
      <c r="ET265" s="66" t="str">
        <f t="shared" si="3767"/>
        <v/>
      </c>
      <c r="EU265" s="66" t="str">
        <f t="shared" si="3768"/>
        <v/>
      </c>
      <c r="EV265" s="66" t="str">
        <f t="shared" si="3769"/>
        <v/>
      </c>
      <c r="EW265" s="66" t="str">
        <f t="shared" si="3770"/>
        <v/>
      </c>
      <c r="EX265" s="66" t="str">
        <f t="shared" si="3771"/>
        <v/>
      </c>
      <c r="EY265" s="66" t="str">
        <f t="shared" si="3772"/>
        <v/>
      </c>
      <c r="EZ265" s="66" t="str">
        <f t="shared" si="3773"/>
        <v/>
      </c>
      <c r="FA265" s="66" t="str">
        <f t="shared" si="3774"/>
        <v/>
      </c>
      <c r="FB265" s="66" t="str">
        <f t="shared" si="3775"/>
        <v/>
      </c>
      <c r="FC265" s="66" t="str">
        <f t="shared" si="3776"/>
        <v/>
      </c>
      <c r="FD265" s="66" t="str">
        <f t="shared" si="3777"/>
        <v/>
      </c>
      <c r="FE265" s="66" t="str">
        <f t="shared" si="3778"/>
        <v/>
      </c>
      <c r="FF265" s="66" t="str">
        <f t="shared" si="3779"/>
        <v/>
      </c>
      <c r="FG265" s="66" t="str">
        <f t="shared" si="3780"/>
        <v/>
      </c>
      <c r="FH265" s="66" t="str">
        <f t="shared" si="3781"/>
        <v/>
      </c>
      <c r="FI265" s="66" t="str">
        <f t="shared" si="3782"/>
        <v/>
      </c>
      <c r="FJ265" s="66" t="str">
        <f t="shared" si="3783"/>
        <v/>
      </c>
      <c r="FK265" s="66" t="str">
        <f t="shared" si="3784"/>
        <v/>
      </c>
      <c r="FL265" s="66" t="str">
        <f t="shared" si="3785"/>
        <v/>
      </c>
      <c r="FM265" s="66" t="str">
        <f t="shared" si="3786"/>
        <v/>
      </c>
      <c r="FN265" s="66" t="str">
        <f t="shared" si="3787"/>
        <v/>
      </c>
      <c r="FO265" s="66" t="str">
        <f t="shared" si="3788"/>
        <v/>
      </c>
      <c r="FP265" s="66" t="str">
        <f t="shared" si="3789"/>
        <v/>
      </c>
      <c r="FQ265" s="66" t="str">
        <f t="shared" si="3790"/>
        <v/>
      </c>
      <c r="FR265" s="66" t="str">
        <f t="shared" si="3791"/>
        <v/>
      </c>
      <c r="FS265" s="66" t="str">
        <f t="shared" si="3792"/>
        <v/>
      </c>
    </row>
    <row r="266" spans="1:175" s="33" customFormat="1" ht="16.5">
      <c r="A266" s="122"/>
      <c r="B266" s="9" t="s">
        <v>820</v>
      </c>
      <c r="C266" s="9" t="s">
        <v>821</v>
      </c>
      <c r="D266" s="67"/>
      <c r="E266" s="68"/>
      <c r="F266" s="123"/>
      <c r="G266" s="124"/>
      <c r="H266" s="124"/>
      <c r="I266" s="124"/>
      <c r="J266" s="124"/>
      <c r="K266" s="124"/>
      <c r="L266" s="124"/>
      <c r="M266" s="124"/>
      <c r="N266" s="124"/>
      <c r="O266" s="124"/>
      <c r="P266" s="73"/>
      <c r="Q266" s="73"/>
      <c r="R266" s="73"/>
      <c r="S266" s="73"/>
      <c r="T266" s="80"/>
      <c r="U266" s="77"/>
      <c r="V266" s="83"/>
      <c r="W266" s="83"/>
      <c r="X266" s="83"/>
      <c r="Y266" s="83"/>
      <c r="Z266" s="83"/>
      <c r="AA266" s="83"/>
      <c r="AB266" s="83"/>
      <c r="AC266" s="83"/>
      <c r="AD266" s="83"/>
      <c r="AE266" s="83"/>
      <c r="AF266" s="83"/>
      <c r="AG266" s="83"/>
      <c r="AH266" s="83"/>
      <c r="AI266" s="83"/>
      <c r="AJ266" s="83"/>
      <c r="AK266" s="83"/>
      <c r="AL266" s="83"/>
      <c r="AM266" s="83"/>
      <c r="AN266" s="83"/>
      <c r="AO266" s="83"/>
      <c r="AP266" s="83"/>
      <c r="AQ266" s="83"/>
      <c r="AR266" s="84"/>
      <c r="AS266" s="84"/>
      <c r="AT266" s="83"/>
      <c r="AU266" s="83"/>
      <c r="AV266" s="83"/>
      <c r="AW266" s="83"/>
      <c r="AX266" s="83"/>
      <c r="AY266" s="83"/>
      <c r="AZ266" s="83"/>
      <c r="BA266" s="83"/>
      <c r="BB266" s="83"/>
      <c r="BC266" s="83"/>
      <c r="BD266" s="83"/>
      <c r="BE266" s="83"/>
      <c r="BF266" s="83"/>
      <c r="BG266" s="83"/>
      <c r="BH266" s="83"/>
      <c r="BI266" s="83"/>
      <c r="BJ266" s="83"/>
      <c r="BK266" s="83"/>
      <c r="BL266" s="83"/>
      <c r="BM266" s="83"/>
      <c r="BN266" s="83"/>
      <c r="BO266" s="83"/>
      <c r="BP266" s="83"/>
      <c r="BQ266" s="83"/>
      <c r="BR266" s="83"/>
      <c r="BS266" s="83"/>
      <c r="BT266" s="83"/>
      <c r="BU266" s="83"/>
      <c r="BV266" s="83"/>
      <c r="BW266" s="83"/>
      <c r="BX266" s="83"/>
      <c r="BY266" s="83"/>
      <c r="BZ266" s="83"/>
      <c r="CA266" s="83"/>
      <c r="CB266" s="83"/>
      <c r="CC266" s="83"/>
      <c r="CD266" s="83"/>
      <c r="CE266" s="83"/>
      <c r="CF266" s="83"/>
      <c r="CG266" s="83"/>
      <c r="CH266" s="83"/>
      <c r="CI266" s="83"/>
      <c r="CJ266" s="83"/>
      <c r="CK266" s="83"/>
      <c r="CL266" s="83"/>
      <c r="CM266" s="83"/>
      <c r="CN266" s="86" t="str">
        <f t="shared" si="3950"/>
        <v>InitUnitState('IC07',,,,,,,,,,)</v>
      </c>
      <c r="CO266" s="86" t="str">
        <f t="shared" si="3951"/>
        <v>InitUnitNormal('IC07',,,,,,,,,,)</v>
      </c>
      <c r="CP266" s="86" t="str">
        <f t="shared" si="3952"/>
        <v>InitUnitMagic('IC07',,,,,,,,,,)</v>
      </c>
      <c r="CQ266" s="86" t="str">
        <f t="shared" si="3953"/>
        <v>InitUnitAdd('IC07',,,,,,,,,,)</v>
      </c>
      <c r="CR266" s="86" t="str">
        <f t="shared" si="3650"/>
        <v>InitEquipData('IC07',,"",,,,,'','','','','','',"")</v>
      </c>
      <c r="CS266" s="86"/>
      <c r="CT266" s="86"/>
      <c r="CU266" s="88" t="str">
        <f t="shared" si="3722"/>
        <v>|n</v>
      </c>
      <c r="CV266" s="19"/>
      <c r="DB266" s="66" t="str">
        <f t="shared" si="3723"/>
        <v/>
      </c>
      <c r="DC266" s="66" t="str">
        <f t="shared" si="3724"/>
        <v/>
      </c>
      <c r="DD266" s="66" t="str">
        <f t="shared" si="3725"/>
        <v/>
      </c>
      <c r="DE266" s="66" t="str">
        <f t="shared" si="3726"/>
        <v/>
      </c>
      <c r="DF266" s="66" t="str">
        <f t="shared" si="3727"/>
        <v/>
      </c>
      <c r="DG266" s="66" t="str">
        <f t="shared" si="3728"/>
        <v/>
      </c>
      <c r="DH266" s="66" t="str">
        <f t="shared" si="3729"/>
        <v/>
      </c>
      <c r="DI266" s="66" t="str">
        <f t="shared" si="3730"/>
        <v/>
      </c>
      <c r="DJ266" s="66" t="str">
        <f t="shared" si="3731"/>
        <v/>
      </c>
      <c r="DK266" s="66" t="str">
        <f t="shared" si="3732"/>
        <v/>
      </c>
      <c r="DL266" s="66" t="str">
        <f t="shared" si="3733"/>
        <v/>
      </c>
      <c r="DM266" s="66" t="str">
        <f t="shared" si="3734"/>
        <v/>
      </c>
      <c r="DN266" s="66" t="str">
        <f t="shared" si="3735"/>
        <v/>
      </c>
      <c r="DO266" s="66" t="str">
        <f t="shared" si="3736"/>
        <v/>
      </c>
      <c r="DP266" s="66" t="str">
        <f t="shared" si="3737"/>
        <v/>
      </c>
      <c r="DQ266" s="66" t="str">
        <f t="shared" si="3738"/>
        <v/>
      </c>
      <c r="DR266" s="66" t="str">
        <f t="shared" si="3739"/>
        <v/>
      </c>
      <c r="DS266" s="66" t="str">
        <f t="shared" si="3740"/>
        <v/>
      </c>
      <c r="DT266" s="66" t="str">
        <f t="shared" si="3741"/>
        <v/>
      </c>
      <c r="DU266" s="66" t="str">
        <f t="shared" si="3742"/>
        <v/>
      </c>
      <c r="DV266" s="66" t="str">
        <f t="shared" si="3743"/>
        <v/>
      </c>
      <c r="DW266" s="66" t="str">
        <f t="shared" si="3744"/>
        <v/>
      </c>
      <c r="DX266" s="66" t="str">
        <f t="shared" si="3745"/>
        <v/>
      </c>
      <c r="DY266" s="66" t="str">
        <f t="shared" si="3746"/>
        <v/>
      </c>
      <c r="DZ266" s="66" t="str">
        <f t="shared" si="3747"/>
        <v/>
      </c>
      <c r="EA266" s="66" t="str">
        <f t="shared" si="3748"/>
        <v/>
      </c>
      <c r="EB266" s="66" t="str">
        <f t="shared" si="3749"/>
        <v/>
      </c>
      <c r="EC266" s="66" t="str">
        <f t="shared" si="3750"/>
        <v/>
      </c>
      <c r="ED266" s="66" t="str">
        <f t="shared" si="3751"/>
        <v/>
      </c>
      <c r="EE266" s="66" t="str">
        <f t="shared" si="3752"/>
        <v/>
      </c>
      <c r="EF266" s="66" t="str">
        <f t="shared" si="3753"/>
        <v/>
      </c>
      <c r="EG266" s="66" t="str">
        <f t="shared" si="3754"/>
        <v/>
      </c>
      <c r="EH266" s="66" t="str">
        <f t="shared" si="3755"/>
        <v/>
      </c>
      <c r="EI266" s="66" t="str">
        <f t="shared" si="3756"/>
        <v/>
      </c>
      <c r="EJ266" s="66" t="str">
        <f t="shared" si="3757"/>
        <v/>
      </c>
      <c r="EK266" s="66" t="str">
        <f t="shared" si="3758"/>
        <v/>
      </c>
      <c r="EL266" s="66" t="str">
        <f t="shared" si="3759"/>
        <v/>
      </c>
      <c r="EM266" s="66" t="str">
        <f t="shared" si="3760"/>
        <v/>
      </c>
      <c r="EN266" s="66" t="str">
        <f t="shared" si="3761"/>
        <v/>
      </c>
      <c r="EO266" s="66" t="str">
        <f t="shared" si="3762"/>
        <v/>
      </c>
      <c r="EP266" s="66" t="str">
        <f t="shared" si="3763"/>
        <v/>
      </c>
      <c r="EQ266" s="66" t="str">
        <f t="shared" si="3764"/>
        <v/>
      </c>
      <c r="ER266" s="66" t="str">
        <f t="shared" si="3765"/>
        <v/>
      </c>
      <c r="ES266" s="66" t="str">
        <f t="shared" si="3766"/>
        <v/>
      </c>
      <c r="ET266" s="66" t="str">
        <f t="shared" si="3767"/>
        <v/>
      </c>
      <c r="EU266" s="66" t="str">
        <f t="shared" si="3768"/>
        <v/>
      </c>
      <c r="EV266" s="66" t="str">
        <f t="shared" si="3769"/>
        <v/>
      </c>
      <c r="EW266" s="66" t="str">
        <f t="shared" si="3770"/>
        <v/>
      </c>
      <c r="EX266" s="66" t="str">
        <f t="shared" si="3771"/>
        <v/>
      </c>
      <c r="EY266" s="66" t="str">
        <f t="shared" si="3772"/>
        <v/>
      </c>
      <c r="EZ266" s="66" t="str">
        <f t="shared" si="3773"/>
        <v/>
      </c>
      <c r="FA266" s="66" t="str">
        <f t="shared" si="3774"/>
        <v/>
      </c>
      <c r="FB266" s="66" t="str">
        <f t="shared" si="3775"/>
        <v/>
      </c>
      <c r="FC266" s="66" t="str">
        <f t="shared" si="3776"/>
        <v/>
      </c>
      <c r="FD266" s="66" t="str">
        <f t="shared" si="3777"/>
        <v/>
      </c>
      <c r="FE266" s="66" t="str">
        <f t="shared" si="3778"/>
        <v/>
      </c>
      <c r="FF266" s="66" t="str">
        <f t="shared" si="3779"/>
        <v/>
      </c>
      <c r="FG266" s="66" t="str">
        <f t="shared" si="3780"/>
        <v/>
      </c>
      <c r="FH266" s="66" t="str">
        <f t="shared" si="3781"/>
        <v/>
      </c>
      <c r="FI266" s="66" t="str">
        <f t="shared" si="3782"/>
        <v/>
      </c>
      <c r="FJ266" s="66" t="str">
        <f t="shared" si="3783"/>
        <v/>
      </c>
      <c r="FK266" s="66" t="str">
        <f t="shared" si="3784"/>
        <v/>
      </c>
      <c r="FL266" s="66" t="str">
        <f t="shared" si="3785"/>
        <v/>
      </c>
      <c r="FM266" s="66" t="str">
        <f t="shared" si="3786"/>
        <v/>
      </c>
      <c r="FN266" s="66" t="str">
        <f t="shared" si="3787"/>
        <v/>
      </c>
      <c r="FO266" s="66" t="str">
        <f t="shared" si="3788"/>
        <v/>
      </c>
      <c r="FP266" s="66" t="str">
        <f t="shared" si="3789"/>
        <v/>
      </c>
      <c r="FQ266" s="66" t="str">
        <f t="shared" si="3790"/>
        <v/>
      </c>
      <c r="FR266" s="66" t="str">
        <f t="shared" si="3791"/>
        <v/>
      </c>
      <c r="FS266" s="66" t="str">
        <f t="shared" si="3792"/>
        <v/>
      </c>
    </row>
    <row r="267" spans="1:175" s="33" customFormat="1" ht="16.5">
      <c r="A267" s="122"/>
      <c r="B267" s="9" t="s">
        <v>822</v>
      </c>
      <c r="C267" s="9" t="s">
        <v>823</v>
      </c>
      <c r="D267" s="67"/>
      <c r="E267" s="68"/>
      <c r="F267" s="123"/>
      <c r="G267" s="124"/>
      <c r="H267" s="124"/>
      <c r="I267" s="124"/>
      <c r="J267" s="124"/>
      <c r="K267" s="124"/>
      <c r="L267" s="124"/>
      <c r="M267" s="124"/>
      <c r="N267" s="124"/>
      <c r="O267" s="124"/>
      <c r="P267" s="73"/>
      <c r="Q267" s="73"/>
      <c r="R267" s="73"/>
      <c r="S267" s="73"/>
      <c r="T267" s="80"/>
      <c r="U267" s="77"/>
      <c r="V267" s="83"/>
      <c r="W267" s="83"/>
      <c r="X267" s="83"/>
      <c r="Y267" s="83"/>
      <c r="Z267" s="83"/>
      <c r="AA267" s="83"/>
      <c r="AB267" s="83"/>
      <c r="AC267" s="83"/>
      <c r="AD267" s="83"/>
      <c r="AE267" s="83"/>
      <c r="AF267" s="83"/>
      <c r="AG267" s="83"/>
      <c r="AH267" s="83"/>
      <c r="AI267" s="83"/>
      <c r="AJ267" s="83"/>
      <c r="AK267" s="83"/>
      <c r="AL267" s="83"/>
      <c r="AM267" s="83"/>
      <c r="AN267" s="83"/>
      <c r="AO267" s="83"/>
      <c r="AP267" s="83"/>
      <c r="AQ267" s="83"/>
      <c r="AR267" s="84"/>
      <c r="AS267" s="84"/>
      <c r="AT267" s="83"/>
      <c r="AU267" s="83"/>
      <c r="AV267" s="83"/>
      <c r="AW267" s="83"/>
      <c r="AX267" s="83"/>
      <c r="AY267" s="83"/>
      <c r="AZ267" s="83"/>
      <c r="BA267" s="83"/>
      <c r="BB267" s="83"/>
      <c r="BC267" s="83"/>
      <c r="BD267" s="83"/>
      <c r="BE267" s="83"/>
      <c r="BF267" s="83"/>
      <c r="BG267" s="83"/>
      <c r="BH267" s="83"/>
      <c r="BI267" s="83"/>
      <c r="BJ267" s="83"/>
      <c r="BK267" s="83"/>
      <c r="BL267" s="83"/>
      <c r="BM267" s="83"/>
      <c r="BN267" s="83"/>
      <c r="BO267" s="83"/>
      <c r="BP267" s="83"/>
      <c r="BQ267" s="83"/>
      <c r="BR267" s="83"/>
      <c r="BS267" s="83"/>
      <c r="BT267" s="83"/>
      <c r="BU267" s="83"/>
      <c r="BV267" s="83"/>
      <c r="BW267" s="83"/>
      <c r="BX267" s="83"/>
      <c r="BY267" s="83"/>
      <c r="BZ267" s="83"/>
      <c r="CA267" s="83"/>
      <c r="CB267" s="83"/>
      <c r="CC267" s="83"/>
      <c r="CD267" s="83"/>
      <c r="CE267" s="83"/>
      <c r="CF267" s="83"/>
      <c r="CG267" s="83"/>
      <c r="CH267" s="83"/>
      <c r="CI267" s="83"/>
      <c r="CJ267" s="83"/>
      <c r="CK267" s="83"/>
      <c r="CL267" s="83"/>
      <c r="CM267" s="83"/>
      <c r="CN267" s="86" t="str">
        <f t="shared" si="3950"/>
        <v>InitUnitState('IC08',,,,,,,,,,)</v>
      </c>
      <c r="CO267" s="86" t="str">
        <f t="shared" si="3951"/>
        <v>InitUnitNormal('IC08',,,,,,,,,,)</v>
      </c>
      <c r="CP267" s="86" t="str">
        <f t="shared" si="3952"/>
        <v>InitUnitMagic('IC08',,,,,,,,,,)</v>
      </c>
      <c r="CQ267" s="86" t="str">
        <f t="shared" si="3953"/>
        <v>InitUnitAdd('IC08',,,,,,,,,,)</v>
      </c>
      <c r="CR267" s="86" t="str">
        <f t="shared" si="3650"/>
        <v>InitEquipData('IC08',,"",,,,,'','','','','','',"")</v>
      </c>
      <c r="CS267" s="86"/>
      <c r="CT267" s="86"/>
      <c r="CU267" s="88" t="str">
        <f t="shared" si="3722"/>
        <v>|n</v>
      </c>
      <c r="CV267" s="19"/>
      <c r="DB267" s="66" t="str">
        <f t="shared" si="3723"/>
        <v/>
      </c>
      <c r="DC267" s="66" t="str">
        <f t="shared" si="3724"/>
        <v/>
      </c>
      <c r="DD267" s="66" t="str">
        <f t="shared" si="3725"/>
        <v/>
      </c>
      <c r="DE267" s="66" t="str">
        <f t="shared" si="3726"/>
        <v/>
      </c>
      <c r="DF267" s="66" t="str">
        <f t="shared" si="3727"/>
        <v/>
      </c>
      <c r="DG267" s="66" t="str">
        <f t="shared" si="3728"/>
        <v/>
      </c>
      <c r="DH267" s="66" t="str">
        <f t="shared" si="3729"/>
        <v/>
      </c>
      <c r="DI267" s="66" t="str">
        <f t="shared" si="3730"/>
        <v/>
      </c>
      <c r="DJ267" s="66" t="str">
        <f t="shared" si="3731"/>
        <v/>
      </c>
      <c r="DK267" s="66" t="str">
        <f t="shared" si="3732"/>
        <v/>
      </c>
      <c r="DL267" s="66" t="str">
        <f t="shared" si="3733"/>
        <v/>
      </c>
      <c r="DM267" s="66" t="str">
        <f t="shared" si="3734"/>
        <v/>
      </c>
      <c r="DN267" s="66" t="str">
        <f t="shared" si="3735"/>
        <v/>
      </c>
      <c r="DO267" s="66" t="str">
        <f t="shared" si="3736"/>
        <v/>
      </c>
      <c r="DP267" s="66" t="str">
        <f t="shared" si="3737"/>
        <v/>
      </c>
      <c r="DQ267" s="66" t="str">
        <f t="shared" si="3738"/>
        <v/>
      </c>
      <c r="DR267" s="66" t="str">
        <f t="shared" si="3739"/>
        <v/>
      </c>
      <c r="DS267" s="66" t="str">
        <f t="shared" si="3740"/>
        <v/>
      </c>
      <c r="DT267" s="66" t="str">
        <f t="shared" si="3741"/>
        <v/>
      </c>
      <c r="DU267" s="66" t="str">
        <f t="shared" si="3742"/>
        <v/>
      </c>
      <c r="DV267" s="66" t="str">
        <f t="shared" si="3743"/>
        <v/>
      </c>
      <c r="DW267" s="66" t="str">
        <f t="shared" si="3744"/>
        <v/>
      </c>
      <c r="DX267" s="66" t="str">
        <f t="shared" si="3745"/>
        <v/>
      </c>
      <c r="DY267" s="66" t="str">
        <f t="shared" si="3746"/>
        <v/>
      </c>
      <c r="DZ267" s="66" t="str">
        <f t="shared" si="3747"/>
        <v/>
      </c>
      <c r="EA267" s="66" t="str">
        <f t="shared" si="3748"/>
        <v/>
      </c>
      <c r="EB267" s="66" t="str">
        <f t="shared" si="3749"/>
        <v/>
      </c>
      <c r="EC267" s="66" t="str">
        <f t="shared" si="3750"/>
        <v/>
      </c>
      <c r="ED267" s="66" t="str">
        <f t="shared" si="3751"/>
        <v/>
      </c>
      <c r="EE267" s="66" t="str">
        <f t="shared" si="3752"/>
        <v/>
      </c>
      <c r="EF267" s="66" t="str">
        <f t="shared" si="3753"/>
        <v/>
      </c>
      <c r="EG267" s="66" t="str">
        <f t="shared" si="3754"/>
        <v/>
      </c>
      <c r="EH267" s="66" t="str">
        <f t="shared" si="3755"/>
        <v/>
      </c>
      <c r="EI267" s="66" t="str">
        <f t="shared" si="3756"/>
        <v/>
      </c>
      <c r="EJ267" s="66" t="str">
        <f t="shared" si="3757"/>
        <v/>
      </c>
      <c r="EK267" s="66" t="str">
        <f t="shared" si="3758"/>
        <v/>
      </c>
      <c r="EL267" s="66" t="str">
        <f t="shared" si="3759"/>
        <v/>
      </c>
      <c r="EM267" s="66" t="str">
        <f t="shared" si="3760"/>
        <v/>
      </c>
      <c r="EN267" s="66" t="str">
        <f t="shared" si="3761"/>
        <v/>
      </c>
      <c r="EO267" s="66" t="str">
        <f t="shared" si="3762"/>
        <v/>
      </c>
      <c r="EP267" s="66" t="str">
        <f t="shared" si="3763"/>
        <v/>
      </c>
      <c r="EQ267" s="66" t="str">
        <f t="shared" si="3764"/>
        <v/>
      </c>
      <c r="ER267" s="66" t="str">
        <f t="shared" si="3765"/>
        <v/>
      </c>
      <c r="ES267" s="66" t="str">
        <f t="shared" si="3766"/>
        <v/>
      </c>
      <c r="ET267" s="66" t="str">
        <f t="shared" si="3767"/>
        <v/>
      </c>
      <c r="EU267" s="66" t="str">
        <f t="shared" si="3768"/>
        <v/>
      </c>
      <c r="EV267" s="66" t="str">
        <f t="shared" si="3769"/>
        <v/>
      </c>
      <c r="EW267" s="66" t="str">
        <f t="shared" si="3770"/>
        <v/>
      </c>
      <c r="EX267" s="66" t="str">
        <f t="shared" si="3771"/>
        <v/>
      </c>
      <c r="EY267" s="66" t="str">
        <f t="shared" si="3772"/>
        <v/>
      </c>
      <c r="EZ267" s="66" t="str">
        <f t="shared" si="3773"/>
        <v/>
      </c>
      <c r="FA267" s="66" t="str">
        <f t="shared" si="3774"/>
        <v/>
      </c>
      <c r="FB267" s="66" t="str">
        <f t="shared" si="3775"/>
        <v/>
      </c>
      <c r="FC267" s="66" t="str">
        <f t="shared" si="3776"/>
        <v/>
      </c>
      <c r="FD267" s="66" t="str">
        <f t="shared" si="3777"/>
        <v/>
      </c>
      <c r="FE267" s="66" t="str">
        <f t="shared" si="3778"/>
        <v/>
      </c>
      <c r="FF267" s="66" t="str">
        <f t="shared" si="3779"/>
        <v/>
      </c>
      <c r="FG267" s="66" t="str">
        <f t="shared" si="3780"/>
        <v/>
      </c>
      <c r="FH267" s="66" t="str">
        <f t="shared" si="3781"/>
        <v/>
      </c>
      <c r="FI267" s="66" t="str">
        <f t="shared" si="3782"/>
        <v/>
      </c>
      <c r="FJ267" s="66" t="str">
        <f t="shared" si="3783"/>
        <v/>
      </c>
      <c r="FK267" s="66" t="str">
        <f t="shared" si="3784"/>
        <v/>
      </c>
      <c r="FL267" s="66" t="str">
        <f t="shared" si="3785"/>
        <v/>
      </c>
      <c r="FM267" s="66" t="str">
        <f t="shared" si="3786"/>
        <v/>
      </c>
      <c r="FN267" s="66" t="str">
        <f t="shared" si="3787"/>
        <v/>
      </c>
      <c r="FO267" s="66" t="str">
        <f t="shared" si="3788"/>
        <v/>
      </c>
      <c r="FP267" s="66" t="str">
        <f t="shared" si="3789"/>
        <v/>
      </c>
      <c r="FQ267" s="66" t="str">
        <f t="shared" si="3790"/>
        <v/>
      </c>
      <c r="FR267" s="66" t="str">
        <f t="shared" si="3791"/>
        <v/>
      </c>
      <c r="FS267" s="66" t="str">
        <f t="shared" si="3792"/>
        <v/>
      </c>
    </row>
    <row r="268" spans="1:175" s="33" customFormat="1" ht="16.5">
      <c r="A268" s="122"/>
      <c r="B268" s="9" t="s">
        <v>824</v>
      </c>
      <c r="C268" s="9" t="s">
        <v>825</v>
      </c>
      <c r="D268" s="67"/>
      <c r="E268" s="68"/>
      <c r="F268" s="123"/>
      <c r="G268" s="124"/>
      <c r="H268" s="124"/>
      <c r="I268" s="124"/>
      <c r="J268" s="124"/>
      <c r="K268" s="124"/>
      <c r="L268" s="124"/>
      <c r="M268" s="124"/>
      <c r="N268" s="124"/>
      <c r="O268" s="124"/>
      <c r="P268" s="73"/>
      <c r="Q268" s="73"/>
      <c r="R268" s="73"/>
      <c r="S268" s="73"/>
      <c r="T268" s="80"/>
      <c r="U268" s="77"/>
      <c r="V268" s="83"/>
      <c r="W268" s="83"/>
      <c r="X268" s="83"/>
      <c r="Y268" s="83"/>
      <c r="Z268" s="83"/>
      <c r="AA268" s="83"/>
      <c r="AB268" s="83"/>
      <c r="AC268" s="83"/>
      <c r="AD268" s="83"/>
      <c r="AE268" s="83"/>
      <c r="AF268" s="83"/>
      <c r="AG268" s="83"/>
      <c r="AH268" s="83"/>
      <c r="AI268" s="83"/>
      <c r="AJ268" s="83"/>
      <c r="AK268" s="83"/>
      <c r="AL268" s="83"/>
      <c r="AM268" s="83"/>
      <c r="AN268" s="83"/>
      <c r="AO268" s="83"/>
      <c r="AP268" s="83"/>
      <c r="AQ268" s="83"/>
      <c r="AR268" s="84"/>
      <c r="AS268" s="84"/>
      <c r="AT268" s="83"/>
      <c r="AU268" s="83"/>
      <c r="AV268" s="83"/>
      <c r="AW268" s="83"/>
      <c r="AX268" s="83"/>
      <c r="AY268" s="83"/>
      <c r="AZ268" s="83"/>
      <c r="BA268" s="83"/>
      <c r="BB268" s="83"/>
      <c r="BC268" s="83"/>
      <c r="BD268" s="83"/>
      <c r="BE268" s="83"/>
      <c r="BF268" s="83"/>
      <c r="BG268" s="83"/>
      <c r="BH268" s="83"/>
      <c r="BI268" s="83"/>
      <c r="BJ268" s="83"/>
      <c r="BK268" s="83"/>
      <c r="BL268" s="83"/>
      <c r="BM268" s="83"/>
      <c r="BN268" s="83"/>
      <c r="BO268" s="83"/>
      <c r="BP268" s="83"/>
      <c r="BQ268" s="83"/>
      <c r="BR268" s="83"/>
      <c r="BS268" s="83"/>
      <c r="BT268" s="83"/>
      <c r="BU268" s="83"/>
      <c r="BV268" s="83"/>
      <c r="BW268" s="83"/>
      <c r="BX268" s="83"/>
      <c r="BY268" s="83"/>
      <c r="BZ268" s="83"/>
      <c r="CA268" s="83"/>
      <c r="CB268" s="83"/>
      <c r="CC268" s="83"/>
      <c r="CD268" s="83"/>
      <c r="CE268" s="83"/>
      <c r="CF268" s="83"/>
      <c r="CG268" s="83"/>
      <c r="CH268" s="83"/>
      <c r="CI268" s="83"/>
      <c r="CJ268" s="83"/>
      <c r="CK268" s="83"/>
      <c r="CL268" s="83"/>
      <c r="CM268" s="83"/>
      <c r="CN268" s="86" t="str">
        <f t="shared" si="3950"/>
        <v>InitUnitState('IC09',,,,,,,,,,)</v>
      </c>
      <c r="CO268" s="86" t="str">
        <f t="shared" si="3951"/>
        <v>InitUnitNormal('IC09',,,,,,,,,,)</v>
      </c>
      <c r="CP268" s="86" t="str">
        <f t="shared" si="3952"/>
        <v>InitUnitMagic('IC09',,,,,,,,,,)</v>
      </c>
      <c r="CQ268" s="86" t="str">
        <f t="shared" si="3953"/>
        <v>InitUnitAdd('IC09',,,,,,,,,,)</v>
      </c>
      <c r="CR268" s="86" t="str">
        <f t="shared" si="3650"/>
        <v>InitEquipData('IC09',,"",,,,,'','','','','','',"")</v>
      </c>
      <c r="CS268" s="86"/>
      <c r="CT268" s="86"/>
      <c r="CU268" s="88" t="str">
        <f t="shared" si="3722"/>
        <v>|n</v>
      </c>
      <c r="CV268" s="19"/>
      <c r="DB268" s="66" t="str">
        <f t="shared" si="3723"/>
        <v/>
      </c>
      <c r="DC268" s="66" t="str">
        <f t="shared" si="3724"/>
        <v/>
      </c>
      <c r="DD268" s="66" t="str">
        <f t="shared" si="3725"/>
        <v/>
      </c>
      <c r="DE268" s="66" t="str">
        <f t="shared" si="3726"/>
        <v/>
      </c>
      <c r="DF268" s="66" t="str">
        <f t="shared" si="3727"/>
        <v/>
      </c>
      <c r="DG268" s="66" t="str">
        <f t="shared" si="3728"/>
        <v/>
      </c>
      <c r="DH268" s="66" t="str">
        <f t="shared" si="3729"/>
        <v/>
      </c>
      <c r="DI268" s="66" t="str">
        <f t="shared" si="3730"/>
        <v/>
      </c>
      <c r="DJ268" s="66" t="str">
        <f t="shared" si="3731"/>
        <v/>
      </c>
      <c r="DK268" s="66" t="str">
        <f t="shared" si="3732"/>
        <v/>
      </c>
      <c r="DL268" s="66" t="str">
        <f t="shared" si="3733"/>
        <v/>
      </c>
      <c r="DM268" s="66" t="str">
        <f t="shared" si="3734"/>
        <v/>
      </c>
      <c r="DN268" s="66" t="str">
        <f t="shared" si="3735"/>
        <v/>
      </c>
      <c r="DO268" s="66" t="str">
        <f t="shared" si="3736"/>
        <v/>
      </c>
      <c r="DP268" s="66" t="str">
        <f t="shared" si="3737"/>
        <v/>
      </c>
      <c r="DQ268" s="66" t="str">
        <f t="shared" si="3738"/>
        <v/>
      </c>
      <c r="DR268" s="66" t="str">
        <f t="shared" si="3739"/>
        <v/>
      </c>
      <c r="DS268" s="66" t="str">
        <f t="shared" si="3740"/>
        <v/>
      </c>
      <c r="DT268" s="66" t="str">
        <f t="shared" si="3741"/>
        <v/>
      </c>
      <c r="DU268" s="66" t="str">
        <f t="shared" si="3742"/>
        <v/>
      </c>
      <c r="DV268" s="66" t="str">
        <f t="shared" si="3743"/>
        <v/>
      </c>
      <c r="DW268" s="66" t="str">
        <f t="shared" si="3744"/>
        <v/>
      </c>
      <c r="DX268" s="66" t="str">
        <f t="shared" si="3745"/>
        <v/>
      </c>
      <c r="DY268" s="66" t="str">
        <f t="shared" si="3746"/>
        <v/>
      </c>
      <c r="DZ268" s="66" t="str">
        <f t="shared" si="3747"/>
        <v/>
      </c>
      <c r="EA268" s="66" t="str">
        <f t="shared" si="3748"/>
        <v/>
      </c>
      <c r="EB268" s="66" t="str">
        <f t="shared" si="3749"/>
        <v/>
      </c>
      <c r="EC268" s="66" t="str">
        <f t="shared" si="3750"/>
        <v/>
      </c>
      <c r="ED268" s="66" t="str">
        <f t="shared" si="3751"/>
        <v/>
      </c>
      <c r="EE268" s="66" t="str">
        <f t="shared" si="3752"/>
        <v/>
      </c>
      <c r="EF268" s="66" t="str">
        <f t="shared" si="3753"/>
        <v/>
      </c>
      <c r="EG268" s="66" t="str">
        <f t="shared" si="3754"/>
        <v/>
      </c>
      <c r="EH268" s="66" t="str">
        <f t="shared" si="3755"/>
        <v/>
      </c>
      <c r="EI268" s="66" t="str">
        <f t="shared" si="3756"/>
        <v/>
      </c>
      <c r="EJ268" s="66" t="str">
        <f t="shared" si="3757"/>
        <v/>
      </c>
      <c r="EK268" s="66" t="str">
        <f t="shared" si="3758"/>
        <v/>
      </c>
      <c r="EL268" s="66" t="str">
        <f t="shared" si="3759"/>
        <v/>
      </c>
      <c r="EM268" s="66" t="str">
        <f t="shared" si="3760"/>
        <v/>
      </c>
      <c r="EN268" s="66" t="str">
        <f t="shared" si="3761"/>
        <v/>
      </c>
      <c r="EO268" s="66" t="str">
        <f t="shared" si="3762"/>
        <v/>
      </c>
      <c r="EP268" s="66" t="str">
        <f t="shared" si="3763"/>
        <v/>
      </c>
      <c r="EQ268" s="66" t="str">
        <f t="shared" si="3764"/>
        <v/>
      </c>
      <c r="ER268" s="66" t="str">
        <f t="shared" si="3765"/>
        <v/>
      </c>
      <c r="ES268" s="66" t="str">
        <f t="shared" si="3766"/>
        <v/>
      </c>
      <c r="ET268" s="66" t="str">
        <f t="shared" si="3767"/>
        <v/>
      </c>
      <c r="EU268" s="66" t="str">
        <f t="shared" si="3768"/>
        <v/>
      </c>
      <c r="EV268" s="66" t="str">
        <f t="shared" si="3769"/>
        <v/>
      </c>
      <c r="EW268" s="66" t="str">
        <f t="shared" si="3770"/>
        <v/>
      </c>
      <c r="EX268" s="66" t="str">
        <f t="shared" si="3771"/>
        <v/>
      </c>
      <c r="EY268" s="66" t="str">
        <f t="shared" si="3772"/>
        <v/>
      </c>
      <c r="EZ268" s="66" t="str">
        <f t="shared" si="3773"/>
        <v/>
      </c>
      <c r="FA268" s="66" t="str">
        <f t="shared" si="3774"/>
        <v/>
      </c>
      <c r="FB268" s="66" t="str">
        <f t="shared" si="3775"/>
        <v/>
      </c>
      <c r="FC268" s="66" t="str">
        <f t="shared" si="3776"/>
        <v/>
      </c>
      <c r="FD268" s="66" t="str">
        <f t="shared" si="3777"/>
        <v/>
      </c>
      <c r="FE268" s="66" t="str">
        <f t="shared" si="3778"/>
        <v/>
      </c>
      <c r="FF268" s="66" t="str">
        <f t="shared" si="3779"/>
        <v/>
      </c>
      <c r="FG268" s="66" t="str">
        <f t="shared" si="3780"/>
        <v/>
      </c>
      <c r="FH268" s="66" t="str">
        <f t="shared" si="3781"/>
        <v/>
      </c>
      <c r="FI268" s="66" t="str">
        <f t="shared" si="3782"/>
        <v/>
      </c>
      <c r="FJ268" s="66" t="str">
        <f t="shared" si="3783"/>
        <v/>
      </c>
      <c r="FK268" s="66" t="str">
        <f t="shared" si="3784"/>
        <v/>
      </c>
      <c r="FL268" s="66" t="str">
        <f t="shared" si="3785"/>
        <v/>
      </c>
      <c r="FM268" s="66" t="str">
        <f t="shared" si="3786"/>
        <v/>
      </c>
      <c r="FN268" s="66" t="str">
        <f t="shared" si="3787"/>
        <v/>
      </c>
      <c r="FO268" s="66" t="str">
        <f t="shared" si="3788"/>
        <v/>
      </c>
      <c r="FP268" s="66" t="str">
        <f t="shared" si="3789"/>
        <v/>
      </c>
      <c r="FQ268" s="66" t="str">
        <f t="shared" si="3790"/>
        <v/>
      </c>
      <c r="FR268" s="66" t="str">
        <f t="shared" si="3791"/>
        <v/>
      </c>
      <c r="FS268" s="66" t="str">
        <f t="shared" si="3792"/>
        <v/>
      </c>
    </row>
    <row r="269" spans="1:175" s="33" customFormat="1" ht="16.5">
      <c r="A269" s="122"/>
      <c r="B269" s="9" t="s">
        <v>826</v>
      </c>
      <c r="C269" s="9" t="s">
        <v>827</v>
      </c>
      <c r="D269" s="67"/>
      <c r="E269" s="68"/>
      <c r="F269" s="123"/>
      <c r="G269" s="124"/>
      <c r="H269" s="124"/>
      <c r="I269" s="124"/>
      <c r="J269" s="124"/>
      <c r="K269" s="124"/>
      <c r="L269" s="124"/>
      <c r="M269" s="124"/>
      <c r="N269" s="124"/>
      <c r="O269" s="124"/>
      <c r="P269" s="73"/>
      <c r="Q269" s="73"/>
      <c r="R269" s="73"/>
      <c r="S269" s="73"/>
      <c r="T269" s="80"/>
      <c r="U269" s="77"/>
      <c r="V269" s="83"/>
      <c r="W269" s="83"/>
      <c r="X269" s="83"/>
      <c r="Y269" s="83"/>
      <c r="Z269" s="83"/>
      <c r="AA269" s="83"/>
      <c r="AB269" s="83"/>
      <c r="AC269" s="83"/>
      <c r="AD269" s="83"/>
      <c r="AE269" s="83"/>
      <c r="AF269" s="83"/>
      <c r="AG269" s="83"/>
      <c r="AH269" s="83"/>
      <c r="AI269" s="83"/>
      <c r="AJ269" s="83"/>
      <c r="AK269" s="83"/>
      <c r="AL269" s="83"/>
      <c r="AM269" s="83"/>
      <c r="AN269" s="83"/>
      <c r="AO269" s="83"/>
      <c r="AP269" s="83"/>
      <c r="AQ269" s="83"/>
      <c r="AR269" s="84"/>
      <c r="AS269" s="84"/>
      <c r="AT269" s="83"/>
      <c r="AU269" s="83"/>
      <c r="AV269" s="83"/>
      <c r="AW269" s="83"/>
      <c r="AX269" s="83"/>
      <c r="AY269" s="83"/>
      <c r="AZ269" s="83"/>
      <c r="BA269" s="83"/>
      <c r="BB269" s="83"/>
      <c r="BC269" s="83"/>
      <c r="BD269" s="83"/>
      <c r="BE269" s="83"/>
      <c r="BF269" s="83"/>
      <c r="BG269" s="83"/>
      <c r="BH269" s="83"/>
      <c r="BI269" s="83"/>
      <c r="BJ269" s="83"/>
      <c r="BK269" s="83"/>
      <c r="BL269" s="83"/>
      <c r="BM269" s="83"/>
      <c r="BN269" s="83"/>
      <c r="BO269" s="83"/>
      <c r="BP269" s="83"/>
      <c r="BQ269" s="83"/>
      <c r="BR269" s="83"/>
      <c r="BS269" s="83"/>
      <c r="BT269" s="83"/>
      <c r="BU269" s="83"/>
      <c r="BV269" s="83"/>
      <c r="BW269" s="83"/>
      <c r="BX269" s="83"/>
      <c r="BY269" s="83"/>
      <c r="BZ269" s="83"/>
      <c r="CA269" s="83"/>
      <c r="CB269" s="83"/>
      <c r="CC269" s="83"/>
      <c r="CD269" s="83"/>
      <c r="CE269" s="83"/>
      <c r="CF269" s="83"/>
      <c r="CG269" s="83"/>
      <c r="CH269" s="83"/>
      <c r="CI269" s="83"/>
      <c r="CJ269" s="83"/>
      <c r="CK269" s="83"/>
      <c r="CL269" s="83"/>
      <c r="CM269" s="83"/>
      <c r="CN269" s="86" t="str">
        <f t="shared" si="3950"/>
        <v>InitUnitState('IC10',,,,,,,,,,)</v>
      </c>
      <c r="CO269" s="86" t="str">
        <f t="shared" si="3951"/>
        <v>InitUnitNormal('IC10',,,,,,,,,,)</v>
      </c>
      <c r="CP269" s="86" t="str">
        <f t="shared" si="3952"/>
        <v>InitUnitMagic('IC10',,,,,,,,,,)</v>
      </c>
      <c r="CQ269" s="86" t="str">
        <f t="shared" si="3953"/>
        <v>InitUnitAdd('IC10',,,,,,,,,,)</v>
      </c>
      <c r="CR269" s="86" t="str">
        <f t="shared" si="3650"/>
        <v>InitEquipData('IC10',,"",,,,,'','','','','','',"")</v>
      </c>
      <c r="CS269" s="86"/>
      <c r="CT269" s="86"/>
      <c r="CU269" s="88" t="str">
        <f t="shared" si="3722"/>
        <v>|n</v>
      </c>
      <c r="CV269" s="19"/>
      <c r="DB269" s="66" t="str">
        <f t="shared" si="3723"/>
        <v/>
      </c>
      <c r="DC269" s="66" t="str">
        <f t="shared" si="3724"/>
        <v/>
      </c>
      <c r="DD269" s="66" t="str">
        <f t="shared" si="3725"/>
        <v/>
      </c>
      <c r="DE269" s="66" t="str">
        <f t="shared" si="3726"/>
        <v/>
      </c>
      <c r="DF269" s="66" t="str">
        <f t="shared" si="3727"/>
        <v/>
      </c>
      <c r="DG269" s="66" t="str">
        <f t="shared" si="3728"/>
        <v/>
      </c>
      <c r="DH269" s="66" t="str">
        <f t="shared" si="3729"/>
        <v/>
      </c>
      <c r="DI269" s="66" t="str">
        <f t="shared" si="3730"/>
        <v/>
      </c>
      <c r="DJ269" s="66" t="str">
        <f t="shared" si="3731"/>
        <v/>
      </c>
      <c r="DK269" s="66" t="str">
        <f t="shared" si="3732"/>
        <v/>
      </c>
      <c r="DL269" s="66" t="str">
        <f t="shared" si="3733"/>
        <v/>
      </c>
      <c r="DM269" s="66" t="str">
        <f t="shared" si="3734"/>
        <v/>
      </c>
      <c r="DN269" s="66" t="str">
        <f t="shared" si="3735"/>
        <v/>
      </c>
      <c r="DO269" s="66" t="str">
        <f t="shared" si="3736"/>
        <v/>
      </c>
      <c r="DP269" s="66" t="str">
        <f t="shared" si="3737"/>
        <v/>
      </c>
      <c r="DQ269" s="66" t="str">
        <f t="shared" si="3738"/>
        <v/>
      </c>
      <c r="DR269" s="66" t="str">
        <f t="shared" si="3739"/>
        <v/>
      </c>
      <c r="DS269" s="66" t="str">
        <f t="shared" si="3740"/>
        <v/>
      </c>
      <c r="DT269" s="66" t="str">
        <f t="shared" si="3741"/>
        <v/>
      </c>
      <c r="DU269" s="66" t="str">
        <f t="shared" si="3742"/>
        <v/>
      </c>
      <c r="DV269" s="66" t="str">
        <f t="shared" si="3743"/>
        <v/>
      </c>
      <c r="DW269" s="66" t="str">
        <f t="shared" si="3744"/>
        <v/>
      </c>
      <c r="DX269" s="66" t="str">
        <f t="shared" si="3745"/>
        <v/>
      </c>
      <c r="DY269" s="66" t="str">
        <f t="shared" si="3746"/>
        <v/>
      </c>
      <c r="DZ269" s="66" t="str">
        <f t="shared" si="3747"/>
        <v/>
      </c>
      <c r="EA269" s="66" t="str">
        <f t="shared" si="3748"/>
        <v/>
      </c>
      <c r="EB269" s="66" t="str">
        <f t="shared" si="3749"/>
        <v/>
      </c>
      <c r="EC269" s="66" t="str">
        <f t="shared" si="3750"/>
        <v/>
      </c>
      <c r="ED269" s="66" t="str">
        <f t="shared" si="3751"/>
        <v/>
      </c>
      <c r="EE269" s="66" t="str">
        <f t="shared" si="3752"/>
        <v/>
      </c>
      <c r="EF269" s="66" t="str">
        <f t="shared" si="3753"/>
        <v/>
      </c>
      <c r="EG269" s="66" t="str">
        <f t="shared" si="3754"/>
        <v/>
      </c>
      <c r="EH269" s="66" t="str">
        <f t="shared" si="3755"/>
        <v/>
      </c>
      <c r="EI269" s="66" t="str">
        <f t="shared" si="3756"/>
        <v/>
      </c>
      <c r="EJ269" s="66" t="str">
        <f t="shared" si="3757"/>
        <v/>
      </c>
      <c r="EK269" s="66" t="str">
        <f t="shared" si="3758"/>
        <v/>
      </c>
      <c r="EL269" s="66" t="str">
        <f t="shared" si="3759"/>
        <v/>
      </c>
      <c r="EM269" s="66" t="str">
        <f t="shared" si="3760"/>
        <v/>
      </c>
      <c r="EN269" s="66" t="str">
        <f t="shared" si="3761"/>
        <v/>
      </c>
      <c r="EO269" s="66" t="str">
        <f t="shared" si="3762"/>
        <v/>
      </c>
      <c r="EP269" s="66" t="str">
        <f t="shared" si="3763"/>
        <v/>
      </c>
      <c r="EQ269" s="66" t="str">
        <f t="shared" si="3764"/>
        <v/>
      </c>
      <c r="ER269" s="66" t="str">
        <f t="shared" si="3765"/>
        <v/>
      </c>
      <c r="ES269" s="66" t="str">
        <f t="shared" si="3766"/>
        <v/>
      </c>
      <c r="ET269" s="66" t="str">
        <f t="shared" si="3767"/>
        <v/>
      </c>
      <c r="EU269" s="66" t="str">
        <f t="shared" si="3768"/>
        <v/>
      </c>
      <c r="EV269" s="66" t="str">
        <f t="shared" si="3769"/>
        <v/>
      </c>
      <c r="EW269" s="66" t="str">
        <f t="shared" si="3770"/>
        <v/>
      </c>
      <c r="EX269" s="66" t="str">
        <f t="shared" si="3771"/>
        <v/>
      </c>
      <c r="EY269" s="66" t="str">
        <f t="shared" si="3772"/>
        <v/>
      </c>
      <c r="EZ269" s="66" t="str">
        <f t="shared" si="3773"/>
        <v/>
      </c>
      <c r="FA269" s="66" t="str">
        <f t="shared" si="3774"/>
        <v/>
      </c>
      <c r="FB269" s="66" t="str">
        <f t="shared" si="3775"/>
        <v/>
      </c>
      <c r="FC269" s="66" t="str">
        <f t="shared" si="3776"/>
        <v/>
      </c>
      <c r="FD269" s="66" t="str">
        <f t="shared" si="3777"/>
        <v/>
      </c>
      <c r="FE269" s="66" t="str">
        <f t="shared" si="3778"/>
        <v/>
      </c>
      <c r="FF269" s="66" t="str">
        <f t="shared" si="3779"/>
        <v/>
      </c>
      <c r="FG269" s="66" t="str">
        <f t="shared" si="3780"/>
        <v/>
      </c>
      <c r="FH269" s="66" t="str">
        <f t="shared" si="3781"/>
        <v/>
      </c>
      <c r="FI269" s="66" t="str">
        <f t="shared" si="3782"/>
        <v/>
      </c>
      <c r="FJ269" s="66" t="str">
        <f t="shared" si="3783"/>
        <v/>
      </c>
      <c r="FK269" s="66" t="str">
        <f t="shared" si="3784"/>
        <v/>
      </c>
      <c r="FL269" s="66" t="str">
        <f t="shared" si="3785"/>
        <v/>
      </c>
      <c r="FM269" s="66" t="str">
        <f t="shared" si="3786"/>
        <v/>
      </c>
      <c r="FN269" s="66" t="str">
        <f t="shared" si="3787"/>
        <v/>
      </c>
      <c r="FO269" s="66" t="str">
        <f t="shared" si="3788"/>
        <v/>
      </c>
      <c r="FP269" s="66" t="str">
        <f t="shared" si="3789"/>
        <v/>
      </c>
      <c r="FQ269" s="66" t="str">
        <f t="shared" si="3790"/>
        <v/>
      </c>
      <c r="FR269" s="66" t="str">
        <f t="shared" si="3791"/>
        <v/>
      </c>
      <c r="FS269" s="66" t="str">
        <f t="shared" si="3792"/>
        <v/>
      </c>
    </row>
    <row r="270" spans="1:175" ht="16.5">
      <c r="A270" s="2"/>
      <c r="B270" s="9" t="s">
        <v>828</v>
      </c>
      <c r="C270" s="9" t="s">
        <v>829</v>
      </c>
      <c r="E270" s="125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92"/>
      <c r="Q270" s="92"/>
      <c r="R270" s="92"/>
      <c r="S270" s="92"/>
      <c r="T270" s="127"/>
      <c r="U270" s="77"/>
      <c r="CU270" s="88" t="str">
        <f t="shared" si="3722"/>
        <v>|n</v>
      </c>
      <c r="CW270" s="33"/>
      <c r="CX270" s="33"/>
      <c r="CY270" s="33"/>
      <c r="CZ270" s="33"/>
      <c r="DA270" s="33"/>
      <c r="DB270" s="66" t="str">
        <f t="shared" si="3723"/>
        <v/>
      </c>
      <c r="DC270" s="66" t="str">
        <f t="shared" si="3724"/>
        <v/>
      </c>
      <c r="DD270" s="66" t="str">
        <f t="shared" si="3725"/>
        <v/>
      </c>
      <c r="DE270" s="66" t="str">
        <f t="shared" si="3726"/>
        <v/>
      </c>
      <c r="DF270" s="66" t="str">
        <f t="shared" si="3727"/>
        <v/>
      </c>
      <c r="DG270" s="66" t="str">
        <f t="shared" si="3728"/>
        <v/>
      </c>
      <c r="DH270" s="66" t="str">
        <f t="shared" si="3729"/>
        <v/>
      </c>
      <c r="DI270" s="66" t="str">
        <f t="shared" si="3730"/>
        <v/>
      </c>
      <c r="DJ270" s="66" t="str">
        <f t="shared" si="3731"/>
        <v/>
      </c>
      <c r="DK270" s="66" t="str">
        <f t="shared" si="3732"/>
        <v/>
      </c>
      <c r="DL270" s="66" t="str">
        <f t="shared" si="3733"/>
        <v/>
      </c>
      <c r="DM270" s="66" t="str">
        <f t="shared" si="3734"/>
        <v/>
      </c>
      <c r="DN270" s="66" t="str">
        <f t="shared" si="3735"/>
        <v/>
      </c>
      <c r="DO270" s="66" t="str">
        <f t="shared" si="3736"/>
        <v/>
      </c>
      <c r="DP270" s="66" t="str">
        <f t="shared" si="3737"/>
        <v/>
      </c>
      <c r="DQ270" s="66" t="str">
        <f t="shared" si="3738"/>
        <v/>
      </c>
      <c r="DR270" s="66" t="str">
        <f t="shared" si="3739"/>
        <v/>
      </c>
      <c r="DS270" s="66" t="str">
        <f t="shared" si="3740"/>
        <v/>
      </c>
      <c r="DT270" s="66" t="str">
        <f t="shared" si="3741"/>
        <v/>
      </c>
      <c r="DU270" s="66" t="str">
        <f t="shared" si="3742"/>
        <v/>
      </c>
      <c r="DV270" s="66" t="str">
        <f t="shared" si="3743"/>
        <v/>
      </c>
      <c r="DW270" s="66" t="str">
        <f t="shared" si="3744"/>
        <v/>
      </c>
      <c r="DX270" s="66" t="str">
        <f t="shared" si="3745"/>
        <v/>
      </c>
      <c r="DY270" s="66" t="str">
        <f t="shared" si="3746"/>
        <v/>
      </c>
      <c r="DZ270" s="66" t="str">
        <f t="shared" si="3747"/>
        <v/>
      </c>
      <c r="EA270" s="66" t="str">
        <f t="shared" si="3748"/>
        <v/>
      </c>
      <c r="EB270" s="66" t="str">
        <f t="shared" si="3749"/>
        <v/>
      </c>
      <c r="EC270" s="66" t="str">
        <f t="shared" si="3750"/>
        <v/>
      </c>
      <c r="ED270" s="66" t="str">
        <f t="shared" si="3751"/>
        <v/>
      </c>
      <c r="EE270" s="66" t="str">
        <f t="shared" si="3752"/>
        <v/>
      </c>
      <c r="EF270" s="66" t="str">
        <f t="shared" si="3753"/>
        <v/>
      </c>
      <c r="EG270" s="66" t="str">
        <f t="shared" si="3754"/>
        <v/>
      </c>
      <c r="EH270" s="66" t="str">
        <f t="shared" si="3755"/>
        <v/>
      </c>
      <c r="EI270" s="66" t="str">
        <f t="shared" si="3756"/>
        <v/>
      </c>
      <c r="EJ270" s="66" t="str">
        <f t="shared" si="3757"/>
        <v/>
      </c>
      <c r="EK270" s="66" t="str">
        <f t="shared" si="3758"/>
        <v/>
      </c>
      <c r="EL270" s="66" t="str">
        <f t="shared" si="3759"/>
        <v/>
      </c>
      <c r="EM270" s="66" t="str">
        <f t="shared" si="3760"/>
        <v/>
      </c>
      <c r="EN270" s="66" t="str">
        <f t="shared" si="3761"/>
        <v/>
      </c>
      <c r="EO270" s="66" t="str">
        <f t="shared" si="3762"/>
        <v/>
      </c>
      <c r="EP270" s="66" t="str">
        <f t="shared" si="3763"/>
        <v/>
      </c>
      <c r="EQ270" s="66" t="str">
        <f t="shared" si="3764"/>
        <v/>
      </c>
      <c r="ER270" s="66" t="str">
        <f t="shared" si="3765"/>
        <v/>
      </c>
      <c r="ES270" s="66" t="str">
        <f t="shared" si="3766"/>
        <v/>
      </c>
      <c r="ET270" s="66" t="str">
        <f t="shared" si="3767"/>
        <v/>
      </c>
      <c r="EU270" s="66" t="str">
        <f t="shared" si="3768"/>
        <v/>
      </c>
      <c r="EV270" s="66" t="str">
        <f t="shared" si="3769"/>
        <v/>
      </c>
      <c r="EW270" s="66" t="str">
        <f t="shared" si="3770"/>
        <v/>
      </c>
      <c r="EX270" s="66" t="str">
        <f t="shared" si="3771"/>
        <v/>
      </c>
      <c r="EY270" s="66" t="str">
        <f t="shared" si="3772"/>
        <v/>
      </c>
      <c r="EZ270" s="66" t="str">
        <f t="shared" si="3773"/>
        <v/>
      </c>
      <c r="FA270" s="66" t="str">
        <f t="shared" si="3774"/>
        <v/>
      </c>
      <c r="FB270" s="66" t="str">
        <f t="shared" si="3775"/>
        <v/>
      </c>
      <c r="FC270" s="66" t="str">
        <f t="shared" si="3776"/>
        <v/>
      </c>
      <c r="FD270" s="66" t="str">
        <f t="shared" si="3777"/>
        <v/>
      </c>
      <c r="FE270" s="66" t="str">
        <f t="shared" si="3778"/>
        <v/>
      </c>
      <c r="FF270" s="66" t="str">
        <f t="shared" si="3779"/>
        <v/>
      </c>
      <c r="FG270" s="66" t="str">
        <f t="shared" si="3780"/>
        <v/>
      </c>
      <c r="FH270" s="66" t="str">
        <f t="shared" si="3781"/>
        <v/>
      </c>
      <c r="FI270" s="66" t="str">
        <f t="shared" si="3782"/>
        <v/>
      </c>
      <c r="FJ270" s="66" t="str">
        <f t="shared" si="3783"/>
        <v/>
      </c>
      <c r="FK270" s="66" t="str">
        <f t="shared" si="3784"/>
        <v/>
      </c>
      <c r="FL270" s="66" t="str">
        <f t="shared" si="3785"/>
        <v/>
      </c>
      <c r="FM270" s="66" t="str">
        <f t="shared" si="3786"/>
        <v/>
      </c>
      <c r="FN270" s="66" t="str">
        <f t="shared" si="3787"/>
        <v/>
      </c>
      <c r="FO270" s="66" t="str">
        <f t="shared" si="3788"/>
        <v/>
      </c>
      <c r="FP270" s="66" t="str">
        <f t="shared" si="3789"/>
        <v/>
      </c>
      <c r="FQ270" s="66" t="str">
        <f t="shared" si="3790"/>
        <v/>
      </c>
      <c r="FR270" s="66" t="str">
        <f t="shared" si="3791"/>
        <v/>
      </c>
      <c r="FS270" s="66" t="str">
        <f t="shared" si="3792"/>
        <v/>
      </c>
    </row>
    <row r="271" spans="1:175" ht="16.5">
      <c r="A271" s="2"/>
      <c r="B271" s="1"/>
      <c r="C271" s="2"/>
      <c r="E271" s="125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92"/>
      <c r="Q271" s="92"/>
      <c r="R271" s="92"/>
      <c r="S271" s="92"/>
      <c r="T271" s="127"/>
      <c r="U271" s="77"/>
      <c r="CU271" s="88" t="str">
        <f t="shared" si="3722"/>
        <v>|n</v>
      </c>
      <c r="CW271" s="33"/>
      <c r="CX271" s="33"/>
      <c r="CY271" s="33"/>
      <c r="CZ271" s="33"/>
      <c r="DA271" s="33"/>
      <c r="DB271" s="66" t="str">
        <f t="shared" si="3723"/>
        <v/>
      </c>
      <c r="DC271" s="66" t="str">
        <f t="shared" si="3724"/>
        <v/>
      </c>
      <c r="DD271" s="66" t="str">
        <f t="shared" si="3725"/>
        <v/>
      </c>
      <c r="DE271" s="66" t="str">
        <f t="shared" si="3726"/>
        <v/>
      </c>
      <c r="DF271" s="66" t="str">
        <f t="shared" si="3727"/>
        <v/>
      </c>
      <c r="DG271" s="66" t="str">
        <f t="shared" si="3728"/>
        <v/>
      </c>
      <c r="DH271" s="66" t="str">
        <f t="shared" si="3729"/>
        <v/>
      </c>
      <c r="DI271" s="66" t="str">
        <f t="shared" si="3730"/>
        <v/>
      </c>
      <c r="DJ271" s="66" t="str">
        <f t="shared" si="3731"/>
        <v/>
      </c>
      <c r="DK271" s="66" t="str">
        <f t="shared" si="3732"/>
        <v/>
      </c>
      <c r="DL271" s="66" t="str">
        <f t="shared" si="3733"/>
        <v/>
      </c>
      <c r="DM271" s="66" t="str">
        <f t="shared" si="3734"/>
        <v/>
      </c>
      <c r="DN271" s="66" t="str">
        <f t="shared" si="3735"/>
        <v/>
      </c>
      <c r="DO271" s="66" t="str">
        <f t="shared" si="3736"/>
        <v/>
      </c>
      <c r="DP271" s="66" t="str">
        <f t="shared" si="3737"/>
        <v/>
      </c>
      <c r="DQ271" s="66" t="str">
        <f t="shared" si="3738"/>
        <v/>
      </c>
      <c r="DR271" s="66" t="str">
        <f t="shared" si="3739"/>
        <v/>
      </c>
      <c r="DS271" s="66" t="str">
        <f t="shared" si="3740"/>
        <v/>
      </c>
      <c r="DT271" s="66" t="str">
        <f t="shared" si="3741"/>
        <v/>
      </c>
      <c r="DU271" s="66" t="str">
        <f t="shared" si="3742"/>
        <v/>
      </c>
      <c r="DV271" s="66" t="str">
        <f t="shared" si="3743"/>
        <v/>
      </c>
      <c r="DW271" s="66" t="str">
        <f t="shared" si="3744"/>
        <v/>
      </c>
      <c r="DX271" s="66" t="str">
        <f t="shared" si="3745"/>
        <v/>
      </c>
      <c r="DY271" s="66" t="str">
        <f t="shared" si="3746"/>
        <v/>
      </c>
      <c r="DZ271" s="66" t="str">
        <f t="shared" si="3747"/>
        <v/>
      </c>
      <c r="EA271" s="66" t="str">
        <f t="shared" si="3748"/>
        <v/>
      </c>
      <c r="EB271" s="66" t="str">
        <f t="shared" si="3749"/>
        <v/>
      </c>
      <c r="EC271" s="66" t="str">
        <f t="shared" si="3750"/>
        <v/>
      </c>
      <c r="ED271" s="66" t="str">
        <f t="shared" si="3751"/>
        <v/>
      </c>
      <c r="EE271" s="66" t="str">
        <f t="shared" si="3752"/>
        <v/>
      </c>
      <c r="EF271" s="66" t="str">
        <f t="shared" si="3753"/>
        <v/>
      </c>
      <c r="EG271" s="66" t="str">
        <f t="shared" si="3754"/>
        <v/>
      </c>
      <c r="EH271" s="66" t="str">
        <f t="shared" si="3755"/>
        <v/>
      </c>
      <c r="EI271" s="66" t="str">
        <f t="shared" si="3756"/>
        <v/>
      </c>
      <c r="EJ271" s="66" t="str">
        <f t="shared" si="3757"/>
        <v/>
      </c>
      <c r="EK271" s="66" t="str">
        <f t="shared" si="3758"/>
        <v/>
      </c>
      <c r="EL271" s="66" t="str">
        <f t="shared" si="3759"/>
        <v/>
      </c>
      <c r="EM271" s="66" t="str">
        <f t="shared" si="3760"/>
        <v/>
      </c>
      <c r="EN271" s="66" t="str">
        <f t="shared" si="3761"/>
        <v/>
      </c>
      <c r="EO271" s="66" t="str">
        <f t="shared" si="3762"/>
        <v/>
      </c>
      <c r="EP271" s="66" t="str">
        <f t="shared" si="3763"/>
        <v/>
      </c>
      <c r="EQ271" s="66" t="str">
        <f t="shared" si="3764"/>
        <v/>
      </c>
      <c r="ER271" s="66" t="str">
        <f t="shared" si="3765"/>
        <v/>
      </c>
      <c r="ES271" s="66" t="str">
        <f t="shared" si="3766"/>
        <v/>
      </c>
      <c r="ET271" s="66" t="str">
        <f t="shared" si="3767"/>
        <v/>
      </c>
      <c r="EU271" s="66" t="str">
        <f t="shared" si="3768"/>
        <v/>
      </c>
      <c r="EV271" s="66" t="str">
        <f t="shared" si="3769"/>
        <v/>
      </c>
      <c r="EW271" s="66" t="str">
        <f t="shared" si="3770"/>
        <v/>
      </c>
      <c r="EX271" s="66" t="str">
        <f t="shared" si="3771"/>
        <v/>
      </c>
      <c r="EY271" s="66" t="str">
        <f t="shared" si="3772"/>
        <v/>
      </c>
      <c r="EZ271" s="66" t="str">
        <f t="shared" si="3773"/>
        <v/>
      </c>
      <c r="FA271" s="66" t="str">
        <f t="shared" si="3774"/>
        <v/>
      </c>
      <c r="FB271" s="66" t="str">
        <f t="shared" si="3775"/>
        <v/>
      </c>
      <c r="FC271" s="66" t="str">
        <f t="shared" si="3776"/>
        <v/>
      </c>
      <c r="FD271" s="66" t="str">
        <f t="shared" si="3777"/>
        <v/>
      </c>
      <c r="FE271" s="66" t="str">
        <f t="shared" si="3778"/>
        <v/>
      </c>
      <c r="FF271" s="66" t="str">
        <f t="shared" si="3779"/>
        <v/>
      </c>
      <c r="FG271" s="66" t="str">
        <f t="shared" si="3780"/>
        <v/>
      </c>
      <c r="FH271" s="66" t="str">
        <f t="shared" si="3781"/>
        <v/>
      </c>
      <c r="FI271" s="66" t="str">
        <f t="shared" si="3782"/>
        <v/>
      </c>
      <c r="FJ271" s="66" t="str">
        <f t="shared" si="3783"/>
        <v/>
      </c>
      <c r="FK271" s="66" t="str">
        <f t="shared" si="3784"/>
        <v/>
      </c>
      <c r="FL271" s="66" t="str">
        <f t="shared" si="3785"/>
        <v/>
      </c>
      <c r="FM271" s="66" t="str">
        <f t="shared" si="3786"/>
        <v/>
      </c>
      <c r="FN271" s="66" t="str">
        <f t="shared" si="3787"/>
        <v/>
      </c>
      <c r="FO271" s="66" t="str">
        <f t="shared" si="3788"/>
        <v/>
      </c>
      <c r="FP271" s="66" t="str">
        <f t="shared" si="3789"/>
        <v/>
      </c>
      <c r="FQ271" s="66" t="str">
        <f t="shared" si="3790"/>
        <v/>
      </c>
      <c r="FR271" s="66" t="str">
        <f t="shared" si="3791"/>
        <v/>
      </c>
      <c r="FS271" s="66" t="str">
        <f t="shared" si="3792"/>
        <v/>
      </c>
    </row>
    <row r="272" spans="1:175" ht="16.5">
      <c r="A272" s="2"/>
      <c r="B272" s="1"/>
      <c r="C272" s="2"/>
      <c r="E272" s="125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92"/>
      <c r="Q272" s="92"/>
      <c r="R272" s="92"/>
      <c r="S272" s="92"/>
      <c r="T272" s="127"/>
      <c r="U272" s="77"/>
      <c r="CU272" s="88" t="str">
        <f t="shared" si="3722"/>
        <v>|n</v>
      </c>
      <c r="CW272" s="33"/>
      <c r="CX272" s="33"/>
      <c r="CY272" s="33"/>
      <c r="CZ272" s="33"/>
      <c r="DA272" s="33"/>
      <c r="DB272" s="66" t="str">
        <f t="shared" si="3723"/>
        <v/>
      </c>
      <c r="DC272" s="66" t="str">
        <f t="shared" si="3724"/>
        <v/>
      </c>
      <c r="DD272" s="66" t="str">
        <f t="shared" si="3725"/>
        <v/>
      </c>
      <c r="DE272" s="66" t="str">
        <f t="shared" si="3726"/>
        <v/>
      </c>
      <c r="DF272" s="66" t="str">
        <f t="shared" si="3727"/>
        <v/>
      </c>
      <c r="DG272" s="66" t="str">
        <f t="shared" si="3728"/>
        <v/>
      </c>
      <c r="DH272" s="66" t="str">
        <f t="shared" si="3729"/>
        <v/>
      </c>
      <c r="DI272" s="66" t="str">
        <f t="shared" si="3730"/>
        <v/>
      </c>
      <c r="DJ272" s="66" t="str">
        <f t="shared" si="3731"/>
        <v/>
      </c>
      <c r="DK272" s="66" t="str">
        <f t="shared" si="3732"/>
        <v/>
      </c>
      <c r="DL272" s="66" t="str">
        <f t="shared" si="3733"/>
        <v/>
      </c>
      <c r="DM272" s="66" t="str">
        <f t="shared" si="3734"/>
        <v/>
      </c>
      <c r="DN272" s="66" t="str">
        <f t="shared" si="3735"/>
        <v/>
      </c>
      <c r="DO272" s="66" t="str">
        <f t="shared" si="3736"/>
        <v/>
      </c>
      <c r="DP272" s="66" t="str">
        <f t="shared" si="3737"/>
        <v/>
      </c>
      <c r="DQ272" s="66" t="str">
        <f t="shared" si="3738"/>
        <v/>
      </c>
      <c r="DR272" s="66" t="str">
        <f t="shared" si="3739"/>
        <v/>
      </c>
      <c r="DS272" s="66" t="str">
        <f t="shared" si="3740"/>
        <v/>
      </c>
      <c r="DT272" s="66" t="str">
        <f t="shared" si="3741"/>
        <v/>
      </c>
      <c r="DU272" s="66" t="str">
        <f t="shared" si="3742"/>
        <v/>
      </c>
      <c r="DV272" s="66" t="str">
        <f t="shared" si="3743"/>
        <v/>
      </c>
      <c r="DW272" s="66" t="str">
        <f t="shared" si="3744"/>
        <v/>
      </c>
      <c r="DX272" s="66" t="str">
        <f t="shared" si="3745"/>
        <v/>
      </c>
      <c r="DY272" s="66" t="str">
        <f t="shared" si="3746"/>
        <v/>
      </c>
      <c r="DZ272" s="66" t="str">
        <f t="shared" si="3747"/>
        <v/>
      </c>
      <c r="EA272" s="66" t="str">
        <f t="shared" si="3748"/>
        <v/>
      </c>
      <c r="EB272" s="66" t="str">
        <f t="shared" si="3749"/>
        <v/>
      </c>
      <c r="EC272" s="66" t="str">
        <f t="shared" si="3750"/>
        <v/>
      </c>
      <c r="ED272" s="66" t="str">
        <f t="shared" si="3751"/>
        <v/>
      </c>
      <c r="EE272" s="66" t="str">
        <f t="shared" si="3752"/>
        <v/>
      </c>
      <c r="EF272" s="66" t="str">
        <f t="shared" si="3753"/>
        <v/>
      </c>
      <c r="EG272" s="66" t="str">
        <f t="shared" si="3754"/>
        <v/>
      </c>
      <c r="EH272" s="66" t="str">
        <f t="shared" si="3755"/>
        <v/>
      </c>
      <c r="EI272" s="66" t="str">
        <f t="shared" si="3756"/>
        <v/>
      </c>
      <c r="EJ272" s="66" t="str">
        <f t="shared" si="3757"/>
        <v/>
      </c>
      <c r="EK272" s="66" t="str">
        <f t="shared" si="3758"/>
        <v/>
      </c>
      <c r="EL272" s="66" t="str">
        <f t="shared" si="3759"/>
        <v/>
      </c>
      <c r="EM272" s="66" t="str">
        <f t="shared" si="3760"/>
        <v/>
      </c>
      <c r="EN272" s="66" t="str">
        <f t="shared" si="3761"/>
        <v/>
      </c>
      <c r="EO272" s="66" t="str">
        <f t="shared" si="3762"/>
        <v/>
      </c>
      <c r="EP272" s="66" t="str">
        <f t="shared" si="3763"/>
        <v/>
      </c>
      <c r="EQ272" s="66" t="str">
        <f t="shared" si="3764"/>
        <v/>
      </c>
      <c r="ER272" s="66" t="str">
        <f t="shared" si="3765"/>
        <v/>
      </c>
      <c r="ES272" s="66" t="str">
        <f t="shared" si="3766"/>
        <v/>
      </c>
      <c r="ET272" s="66" t="str">
        <f t="shared" si="3767"/>
        <v/>
      </c>
      <c r="EU272" s="66" t="str">
        <f t="shared" si="3768"/>
        <v/>
      </c>
      <c r="EV272" s="66" t="str">
        <f t="shared" si="3769"/>
        <v/>
      </c>
      <c r="EW272" s="66" t="str">
        <f t="shared" si="3770"/>
        <v/>
      </c>
      <c r="EX272" s="66" t="str">
        <f t="shared" si="3771"/>
        <v/>
      </c>
      <c r="EY272" s="66" t="str">
        <f t="shared" si="3772"/>
        <v/>
      </c>
      <c r="EZ272" s="66" t="str">
        <f t="shared" si="3773"/>
        <v/>
      </c>
      <c r="FA272" s="66" t="str">
        <f t="shared" si="3774"/>
        <v/>
      </c>
      <c r="FB272" s="66" t="str">
        <f t="shared" si="3775"/>
        <v/>
      </c>
      <c r="FC272" s="66" t="str">
        <f t="shared" si="3776"/>
        <v/>
      </c>
      <c r="FD272" s="66" t="str">
        <f t="shared" si="3777"/>
        <v/>
      </c>
      <c r="FE272" s="66" t="str">
        <f t="shared" si="3778"/>
        <v/>
      </c>
      <c r="FF272" s="66" t="str">
        <f t="shared" si="3779"/>
        <v/>
      </c>
      <c r="FG272" s="66" t="str">
        <f t="shared" si="3780"/>
        <v/>
      </c>
      <c r="FH272" s="66" t="str">
        <f t="shared" si="3781"/>
        <v/>
      </c>
      <c r="FI272" s="66" t="str">
        <f t="shared" si="3782"/>
        <v/>
      </c>
      <c r="FJ272" s="66" t="str">
        <f t="shared" si="3783"/>
        <v/>
      </c>
      <c r="FK272" s="66" t="str">
        <f t="shared" si="3784"/>
        <v/>
      </c>
      <c r="FL272" s="66" t="str">
        <f t="shared" si="3785"/>
        <v/>
      </c>
      <c r="FM272" s="66" t="str">
        <f t="shared" si="3786"/>
        <v/>
      </c>
      <c r="FN272" s="66" t="str">
        <f t="shared" si="3787"/>
        <v/>
      </c>
      <c r="FO272" s="66" t="str">
        <f t="shared" si="3788"/>
        <v/>
      </c>
      <c r="FP272" s="66" t="str">
        <f t="shared" si="3789"/>
        <v/>
      </c>
      <c r="FQ272" s="66" t="str">
        <f t="shared" si="3790"/>
        <v/>
      </c>
      <c r="FR272" s="66" t="str">
        <f t="shared" si="3791"/>
        <v/>
      </c>
      <c r="FS272" s="66" t="str">
        <f t="shared" si="3792"/>
        <v/>
      </c>
    </row>
    <row r="273" spans="1:175" ht="16.5">
      <c r="A273" s="2"/>
      <c r="B273" s="1"/>
      <c r="C273" s="2"/>
      <c r="E273" s="125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92"/>
      <c r="Q273" s="92"/>
      <c r="R273" s="92"/>
      <c r="S273" s="92"/>
      <c r="T273" s="127"/>
      <c r="U273" s="77"/>
      <c r="CU273" s="88" t="str">
        <f t="shared" si="3722"/>
        <v>|n</v>
      </c>
      <c r="CW273" s="33"/>
      <c r="CX273" s="33"/>
      <c r="CY273" s="33"/>
      <c r="CZ273" s="33"/>
      <c r="DA273" s="33"/>
      <c r="DB273" s="66" t="str">
        <f t="shared" si="3723"/>
        <v/>
      </c>
      <c r="DC273" s="66" t="str">
        <f t="shared" si="3724"/>
        <v/>
      </c>
      <c r="DD273" s="66" t="str">
        <f t="shared" si="3725"/>
        <v/>
      </c>
      <c r="DE273" s="66" t="str">
        <f t="shared" si="3726"/>
        <v/>
      </c>
      <c r="DF273" s="66" t="str">
        <f t="shared" si="3727"/>
        <v/>
      </c>
      <c r="DG273" s="66" t="str">
        <f t="shared" si="3728"/>
        <v/>
      </c>
      <c r="DH273" s="66" t="str">
        <f t="shared" si="3729"/>
        <v/>
      </c>
      <c r="DI273" s="66" t="str">
        <f t="shared" si="3730"/>
        <v/>
      </c>
      <c r="DJ273" s="66" t="str">
        <f t="shared" si="3731"/>
        <v/>
      </c>
      <c r="DK273" s="66" t="str">
        <f t="shared" si="3732"/>
        <v/>
      </c>
      <c r="DL273" s="66" t="str">
        <f t="shared" si="3733"/>
        <v/>
      </c>
      <c r="DM273" s="66" t="str">
        <f t="shared" si="3734"/>
        <v/>
      </c>
      <c r="DN273" s="66" t="str">
        <f t="shared" si="3735"/>
        <v/>
      </c>
      <c r="DO273" s="66" t="str">
        <f t="shared" si="3736"/>
        <v/>
      </c>
      <c r="DP273" s="66" t="str">
        <f t="shared" si="3737"/>
        <v/>
      </c>
      <c r="DQ273" s="66" t="str">
        <f t="shared" si="3738"/>
        <v/>
      </c>
      <c r="DR273" s="66" t="str">
        <f t="shared" si="3739"/>
        <v/>
      </c>
      <c r="DS273" s="66" t="str">
        <f t="shared" si="3740"/>
        <v/>
      </c>
      <c r="DT273" s="66" t="str">
        <f t="shared" si="3741"/>
        <v/>
      </c>
      <c r="DU273" s="66" t="str">
        <f t="shared" si="3742"/>
        <v/>
      </c>
      <c r="DV273" s="66" t="str">
        <f t="shared" si="3743"/>
        <v/>
      </c>
      <c r="DW273" s="66" t="str">
        <f t="shared" si="3744"/>
        <v/>
      </c>
      <c r="DX273" s="66" t="str">
        <f t="shared" si="3745"/>
        <v/>
      </c>
      <c r="DY273" s="66" t="str">
        <f t="shared" si="3746"/>
        <v/>
      </c>
      <c r="DZ273" s="66" t="str">
        <f t="shared" si="3747"/>
        <v/>
      </c>
      <c r="EA273" s="66" t="str">
        <f t="shared" si="3748"/>
        <v/>
      </c>
      <c r="EB273" s="66" t="str">
        <f t="shared" si="3749"/>
        <v/>
      </c>
      <c r="EC273" s="66" t="str">
        <f t="shared" si="3750"/>
        <v/>
      </c>
      <c r="ED273" s="66" t="str">
        <f t="shared" si="3751"/>
        <v/>
      </c>
      <c r="EE273" s="66" t="str">
        <f t="shared" si="3752"/>
        <v/>
      </c>
      <c r="EF273" s="66" t="str">
        <f t="shared" si="3753"/>
        <v/>
      </c>
      <c r="EG273" s="66" t="str">
        <f t="shared" si="3754"/>
        <v/>
      </c>
      <c r="EH273" s="66" t="str">
        <f t="shared" si="3755"/>
        <v/>
      </c>
      <c r="EI273" s="66" t="str">
        <f t="shared" si="3756"/>
        <v/>
      </c>
      <c r="EJ273" s="66" t="str">
        <f t="shared" si="3757"/>
        <v/>
      </c>
      <c r="EK273" s="66" t="str">
        <f t="shared" si="3758"/>
        <v/>
      </c>
      <c r="EL273" s="66" t="str">
        <f t="shared" si="3759"/>
        <v/>
      </c>
      <c r="EM273" s="66" t="str">
        <f t="shared" si="3760"/>
        <v/>
      </c>
      <c r="EN273" s="66" t="str">
        <f t="shared" si="3761"/>
        <v/>
      </c>
      <c r="EO273" s="66" t="str">
        <f t="shared" si="3762"/>
        <v/>
      </c>
      <c r="EP273" s="66" t="str">
        <f t="shared" si="3763"/>
        <v/>
      </c>
      <c r="EQ273" s="66" t="str">
        <f t="shared" si="3764"/>
        <v/>
      </c>
      <c r="ER273" s="66" t="str">
        <f t="shared" si="3765"/>
        <v/>
      </c>
      <c r="ES273" s="66" t="str">
        <f t="shared" si="3766"/>
        <v/>
      </c>
      <c r="ET273" s="66" t="str">
        <f t="shared" si="3767"/>
        <v/>
      </c>
      <c r="EU273" s="66" t="str">
        <f t="shared" si="3768"/>
        <v/>
      </c>
      <c r="EV273" s="66" t="str">
        <f t="shared" si="3769"/>
        <v/>
      </c>
      <c r="EW273" s="66" t="str">
        <f t="shared" si="3770"/>
        <v/>
      </c>
      <c r="EX273" s="66" t="str">
        <f t="shared" si="3771"/>
        <v/>
      </c>
      <c r="EY273" s="66" t="str">
        <f t="shared" si="3772"/>
        <v/>
      </c>
      <c r="EZ273" s="66" t="str">
        <f t="shared" si="3773"/>
        <v/>
      </c>
      <c r="FA273" s="66" t="str">
        <f t="shared" si="3774"/>
        <v/>
      </c>
      <c r="FB273" s="66" t="str">
        <f t="shared" si="3775"/>
        <v/>
      </c>
      <c r="FC273" s="66" t="str">
        <f t="shared" si="3776"/>
        <v/>
      </c>
      <c r="FD273" s="66" t="str">
        <f t="shared" si="3777"/>
        <v/>
      </c>
      <c r="FE273" s="66" t="str">
        <f t="shared" si="3778"/>
        <v/>
      </c>
      <c r="FF273" s="66" t="str">
        <f t="shared" si="3779"/>
        <v/>
      </c>
      <c r="FG273" s="66" t="str">
        <f t="shared" si="3780"/>
        <v/>
      </c>
      <c r="FH273" s="66" t="str">
        <f t="shared" si="3781"/>
        <v/>
      </c>
      <c r="FI273" s="66" t="str">
        <f t="shared" si="3782"/>
        <v/>
      </c>
      <c r="FJ273" s="66" t="str">
        <f t="shared" si="3783"/>
        <v/>
      </c>
      <c r="FK273" s="66" t="str">
        <f t="shared" si="3784"/>
        <v/>
      </c>
      <c r="FL273" s="66" t="str">
        <f t="shared" si="3785"/>
        <v/>
      </c>
      <c r="FM273" s="66" t="str">
        <f t="shared" si="3786"/>
        <v/>
      </c>
      <c r="FN273" s="66" t="str">
        <f t="shared" si="3787"/>
        <v/>
      </c>
      <c r="FO273" s="66" t="str">
        <f t="shared" si="3788"/>
        <v/>
      </c>
      <c r="FP273" s="66" t="str">
        <f t="shared" si="3789"/>
        <v/>
      </c>
      <c r="FQ273" s="66" t="str">
        <f t="shared" si="3790"/>
        <v/>
      </c>
      <c r="FR273" s="66" t="str">
        <f t="shared" si="3791"/>
        <v/>
      </c>
      <c r="FS273" s="66" t="str">
        <f t="shared" si="3792"/>
        <v/>
      </c>
    </row>
    <row r="274" spans="1:175" ht="16.5">
      <c r="A274" s="2"/>
      <c r="B274" s="1"/>
      <c r="C274" s="2"/>
      <c r="E274" s="125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92"/>
      <c r="Q274" s="92"/>
      <c r="R274" s="92"/>
      <c r="S274" s="92"/>
      <c r="T274" s="127"/>
      <c r="U274" s="77"/>
      <c r="CU274" s="88" t="str">
        <f t="shared" si="3722"/>
        <v>|n</v>
      </c>
      <c r="CW274" s="33"/>
      <c r="CX274" s="33"/>
      <c r="CY274" s="33"/>
      <c r="CZ274" s="33"/>
      <c r="DA274" s="33"/>
      <c r="DB274" s="66" t="str">
        <f t="shared" si="3723"/>
        <v/>
      </c>
      <c r="DC274" s="66" t="str">
        <f t="shared" si="3724"/>
        <v/>
      </c>
      <c r="DD274" s="66" t="str">
        <f t="shared" si="3725"/>
        <v/>
      </c>
      <c r="DE274" s="66" t="str">
        <f t="shared" si="3726"/>
        <v/>
      </c>
      <c r="DF274" s="66" t="str">
        <f t="shared" si="3727"/>
        <v/>
      </c>
      <c r="DG274" s="66" t="str">
        <f t="shared" si="3728"/>
        <v/>
      </c>
      <c r="DH274" s="66" t="str">
        <f t="shared" si="3729"/>
        <v/>
      </c>
      <c r="DI274" s="66" t="str">
        <f t="shared" si="3730"/>
        <v/>
      </c>
      <c r="DJ274" s="66" t="str">
        <f t="shared" si="3731"/>
        <v/>
      </c>
      <c r="DK274" s="66" t="str">
        <f t="shared" si="3732"/>
        <v/>
      </c>
      <c r="DL274" s="66" t="str">
        <f t="shared" si="3733"/>
        <v/>
      </c>
      <c r="DM274" s="66" t="str">
        <f t="shared" si="3734"/>
        <v/>
      </c>
      <c r="DN274" s="66" t="str">
        <f t="shared" si="3735"/>
        <v/>
      </c>
      <c r="DO274" s="66" t="str">
        <f t="shared" si="3736"/>
        <v/>
      </c>
      <c r="DP274" s="66" t="str">
        <f t="shared" si="3737"/>
        <v/>
      </c>
      <c r="DQ274" s="66" t="str">
        <f t="shared" si="3738"/>
        <v/>
      </c>
      <c r="DR274" s="66" t="str">
        <f t="shared" si="3739"/>
        <v/>
      </c>
      <c r="DS274" s="66" t="str">
        <f t="shared" si="3740"/>
        <v/>
      </c>
      <c r="DT274" s="66" t="str">
        <f t="shared" si="3741"/>
        <v/>
      </c>
      <c r="DU274" s="66" t="str">
        <f t="shared" si="3742"/>
        <v/>
      </c>
      <c r="DV274" s="66" t="str">
        <f t="shared" si="3743"/>
        <v/>
      </c>
      <c r="DW274" s="66" t="str">
        <f t="shared" si="3744"/>
        <v/>
      </c>
      <c r="DX274" s="66" t="str">
        <f t="shared" si="3745"/>
        <v/>
      </c>
      <c r="DY274" s="66" t="str">
        <f t="shared" si="3746"/>
        <v/>
      </c>
      <c r="DZ274" s="66" t="str">
        <f t="shared" si="3747"/>
        <v/>
      </c>
      <c r="EA274" s="66" t="str">
        <f t="shared" si="3748"/>
        <v/>
      </c>
      <c r="EB274" s="66" t="str">
        <f t="shared" si="3749"/>
        <v/>
      </c>
      <c r="EC274" s="66" t="str">
        <f t="shared" si="3750"/>
        <v/>
      </c>
      <c r="ED274" s="66" t="str">
        <f t="shared" si="3751"/>
        <v/>
      </c>
      <c r="EE274" s="66" t="str">
        <f t="shared" si="3752"/>
        <v/>
      </c>
      <c r="EF274" s="66" t="str">
        <f t="shared" si="3753"/>
        <v/>
      </c>
      <c r="EG274" s="66" t="str">
        <f t="shared" si="3754"/>
        <v/>
      </c>
      <c r="EH274" s="66" t="str">
        <f t="shared" si="3755"/>
        <v/>
      </c>
      <c r="EI274" s="66" t="str">
        <f t="shared" si="3756"/>
        <v/>
      </c>
      <c r="EJ274" s="66" t="str">
        <f t="shared" si="3757"/>
        <v/>
      </c>
      <c r="EK274" s="66" t="str">
        <f t="shared" si="3758"/>
        <v/>
      </c>
      <c r="EL274" s="66" t="str">
        <f t="shared" si="3759"/>
        <v/>
      </c>
      <c r="EM274" s="66" t="str">
        <f t="shared" si="3760"/>
        <v/>
      </c>
      <c r="EN274" s="66" t="str">
        <f t="shared" si="3761"/>
        <v/>
      </c>
      <c r="EO274" s="66" t="str">
        <f t="shared" si="3762"/>
        <v/>
      </c>
      <c r="EP274" s="66" t="str">
        <f t="shared" si="3763"/>
        <v/>
      </c>
      <c r="EQ274" s="66" t="str">
        <f t="shared" si="3764"/>
        <v/>
      </c>
      <c r="ER274" s="66" t="str">
        <f t="shared" si="3765"/>
        <v/>
      </c>
      <c r="ES274" s="66" t="str">
        <f t="shared" si="3766"/>
        <v/>
      </c>
      <c r="ET274" s="66" t="str">
        <f t="shared" si="3767"/>
        <v/>
      </c>
      <c r="EU274" s="66" t="str">
        <f t="shared" si="3768"/>
        <v/>
      </c>
      <c r="EV274" s="66" t="str">
        <f t="shared" si="3769"/>
        <v/>
      </c>
      <c r="EW274" s="66" t="str">
        <f t="shared" si="3770"/>
        <v/>
      </c>
      <c r="EX274" s="66" t="str">
        <f t="shared" si="3771"/>
        <v/>
      </c>
      <c r="EY274" s="66" t="str">
        <f t="shared" si="3772"/>
        <v/>
      </c>
      <c r="EZ274" s="66" t="str">
        <f t="shared" si="3773"/>
        <v/>
      </c>
      <c r="FA274" s="66" t="str">
        <f t="shared" si="3774"/>
        <v/>
      </c>
      <c r="FB274" s="66" t="str">
        <f t="shared" si="3775"/>
        <v/>
      </c>
      <c r="FC274" s="66" t="str">
        <f t="shared" si="3776"/>
        <v/>
      </c>
      <c r="FD274" s="66" t="str">
        <f t="shared" si="3777"/>
        <v/>
      </c>
      <c r="FE274" s="66" t="str">
        <f t="shared" si="3778"/>
        <v/>
      </c>
      <c r="FF274" s="66" t="str">
        <f t="shared" si="3779"/>
        <v/>
      </c>
      <c r="FG274" s="66" t="str">
        <f t="shared" si="3780"/>
        <v/>
      </c>
      <c r="FH274" s="66" t="str">
        <f t="shared" si="3781"/>
        <v/>
      </c>
      <c r="FI274" s="66" t="str">
        <f t="shared" si="3782"/>
        <v/>
      </c>
      <c r="FJ274" s="66" t="str">
        <f t="shared" si="3783"/>
        <v/>
      </c>
      <c r="FK274" s="66" t="str">
        <f t="shared" si="3784"/>
        <v/>
      </c>
      <c r="FL274" s="66" t="str">
        <f t="shared" si="3785"/>
        <v/>
      </c>
      <c r="FM274" s="66" t="str">
        <f t="shared" si="3786"/>
        <v/>
      </c>
      <c r="FN274" s="66" t="str">
        <f t="shared" si="3787"/>
        <v/>
      </c>
      <c r="FO274" s="66" t="str">
        <f t="shared" si="3788"/>
        <v/>
      </c>
      <c r="FP274" s="66" t="str">
        <f t="shared" si="3789"/>
        <v/>
      </c>
      <c r="FQ274" s="66" t="str">
        <f t="shared" si="3790"/>
        <v/>
      </c>
      <c r="FR274" s="66" t="str">
        <f t="shared" si="3791"/>
        <v/>
      </c>
      <c r="FS274" s="66" t="str">
        <f t="shared" si="3792"/>
        <v/>
      </c>
    </row>
    <row r="275" spans="1:175" ht="16.5">
      <c r="A275" s="2"/>
      <c r="B275" s="1"/>
      <c r="C275" s="2"/>
      <c r="E275" s="125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92"/>
      <c r="Q275" s="92"/>
      <c r="R275" s="92"/>
      <c r="S275" s="92"/>
      <c r="T275" s="127"/>
      <c r="U275" s="77"/>
      <c r="CU275" s="88" t="str">
        <f t="shared" si="3722"/>
        <v>|n</v>
      </c>
      <c r="CW275" s="33"/>
      <c r="CX275" s="33"/>
      <c r="CY275" s="33"/>
      <c r="CZ275" s="33"/>
      <c r="DA275" s="33"/>
      <c r="DB275" s="66" t="str">
        <f t="shared" si="3723"/>
        <v/>
      </c>
      <c r="DC275" s="66" t="str">
        <f t="shared" si="3724"/>
        <v/>
      </c>
      <c r="DD275" s="66" t="str">
        <f t="shared" si="3725"/>
        <v/>
      </c>
      <c r="DE275" s="66" t="str">
        <f t="shared" si="3726"/>
        <v/>
      </c>
      <c r="DF275" s="66" t="str">
        <f t="shared" si="3727"/>
        <v/>
      </c>
      <c r="DG275" s="66" t="str">
        <f t="shared" si="3728"/>
        <v/>
      </c>
      <c r="DH275" s="66" t="str">
        <f t="shared" si="3729"/>
        <v/>
      </c>
      <c r="DI275" s="66" t="str">
        <f t="shared" si="3730"/>
        <v/>
      </c>
      <c r="DJ275" s="66" t="str">
        <f t="shared" si="3731"/>
        <v/>
      </c>
      <c r="DK275" s="66" t="str">
        <f t="shared" si="3732"/>
        <v/>
      </c>
      <c r="DL275" s="66" t="str">
        <f t="shared" si="3733"/>
        <v/>
      </c>
      <c r="DM275" s="66" t="str">
        <f t="shared" si="3734"/>
        <v/>
      </c>
      <c r="DN275" s="66" t="str">
        <f t="shared" si="3735"/>
        <v/>
      </c>
      <c r="DO275" s="66" t="str">
        <f t="shared" si="3736"/>
        <v/>
      </c>
      <c r="DP275" s="66" t="str">
        <f t="shared" si="3737"/>
        <v/>
      </c>
      <c r="DQ275" s="66" t="str">
        <f t="shared" si="3738"/>
        <v/>
      </c>
      <c r="DR275" s="66" t="str">
        <f t="shared" si="3739"/>
        <v/>
      </c>
      <c r="DS275" s="66" t="str">
        <f t="shared" si="3740"/>
        <v/>
      </c>
      <c r="DT275" s="66" t="str">
        <f t="shared" si="3741"/>
        <v/>
      </c>
      <c r="DU275" s="66" t="str">
        <f t="shared" si="3742"/>
        <v/>
      </c>
      <c r="DV275" s="66" t="str">
        <f t="shared" si="3743"/>
        <v/>
      </c>
      <c r="DW275" s="66" t="str">
        <f t="shared" si="3744"/>
        <v/>
      </c>
      <c r="DX275" s="66" t="str">
        <f t="shared" si="3745"/>
        <v/>
      </c>
      <c r="DY275" s="66" t="str">
        <f t="shared" si="3746"/>
        <v/>
      </c>
      <c r="DZ275" s="66" t="str">
        <f t="shared" si="3747"/>
        <v/>
      </c>
      <c r="EA275" s="66" t="str">
        <f t="shared" si="3748"/>
        <v/>
      </c>
      <c r="EB275" s="66" t="str">
        <f t="shared" si="3749"/>
        <v/>
      </c>
      <c r="EC275" s="66" t="str">
        <f t="shared" si="3750"/>
        <v/>
      </c>
      <c r="ED275" s="66" t="str">
        <f t="shared" si="3751"/>
        <v/>
      </c>
      <c r="EE275" s="66" t="str">
        <f t="shared" si="3752"/>
        <v/>
      </c>
      <c r="EF275" s="66" t="str">
        <f t="shared" si="3753"/>
        <v/>
      </c>
      <c r="EG275" s="66" t="str">
        <f t="shared" si="3754"/>
        <v/>
      </c>
      <c r="EH275" s="66" t="str">
        <f t="shared" si="3755"/>
        <v/>
      </c>
      <c r="EI275" s="66" t="str">
        <f t="shared" si="3756"/>
        <v/>
      </c>
      <c r="EJ275" s="66" t="str">
        <f t="shared" si="3757"/>
        <v/>
      </c>
      <c r="EK275" s="66" t="str">
        <f t="shared" si="3758"/>
        <v/>
      </c>
      <c r="EL275" s="66" t="str">
        <f t="shared" si="3759"/>
        <v/>
      </c>
      <c r="EM275" s="66" t="str">
        <f t="shared" si="3760"/>
        <v/>
      </c>
      <c r="EN275" s="66" t="str">
        <f t="shared" si="3761"/>
        <v/>
      </c>
      <c r="EO275" s="66" t="str">
        <f t="shared" si="3762"/>
        <v/>
      </c>
      <c r="EP275" s="66" t="str">
        <f t="shared" si="3763"/>
        <v/>
      </c>
      <c r="EQ275" s="66" t="str">
        <f t="shared" si="3764"/>
        <v/>
      </c>
      <c r="ER275" s="66" t="str">
        <f t="shared" si="3765"/>
        <v/>
      </c>
      <c r="ES275" s="66" t="str">
        <f t="shared" si="3766"/>
        <v/>
      </c>
      <c r="ET275" s="66" t="str">
        <f t="shared" si="3767"/>
        <v/>
      </c>
      <c r="EU275" s="66" t="str">
        <f t="shared" si="3768"/>
        <v/>
      </c>
      <c r="EV275" s="66" t="str">
        <f t="shared" si="3769"/>
        <v/>
      </c>
      <c r="EW275" s="66" t="str">
        <f t="shared" si="3770"/>
        <v/>
      </c>
      <c r="EX275" s="66" t="str">
        <f t="shared" si="3771"/>
        <v/>
      </c>
      <c r="EY275" s="66" t="str">
        <f t="shared" si="3772"/>
        <v/>
      </c>
      <c r="EZ275" s="66" t="str">
        <f t="shared" si="3773"/>
        <v/>
      </c>
      <c r="FA275" s="66" t="str">
        <f t="shared" si="3774"/>
        <v/>
      </c>
      <c r="FB275" s="66" t="str">
        <f t="shared" si="3775"/>
        <v/>
      </c>
      <c r="FC275" s="66" t="str">
        <f t="shared" si="3776"/>
        <v/>
      </c>
      <c r="FD275" s="66" t="str">
        <f t="shared" si="3777"/>
        <v/>
      </c>
      <c r="FE275" s="66" t="str">
        <f t="shared" si="3778"/>
        <v/>
      </c>
      <c r="FF275" s="66" t="str">
        <f t="shared" si="3779"/>
        <v/>
      </c>
      <c r="FG275" s="66" t="str">
        <f t="shared" si="3780"/>
        <v/>
      </c>
      <c r="FH275" s="66" t="str">
        <f t="shared" si="3781"/>
        <v/>
      </c>
      <c r="FI275" s="66" t="str">
        <f t="shared" si="3782"/>
        <v/>
      </c>
      <c r="FJ275" s="66" t="str">
        <f t="shared" si="3783"/>
        <v/>
      </c>
      <c r="FK275" s="66" t="str">
        <f t="shared" si="3784"/>
        <v/>
      </c>
      <c r="FL275" s="66" t="str">
        <f t="shared" si="3785"/>
        <v/>
      </c>
      <c r="FM275" s="66" t="str">
        <f t="shared" si="3786"/>
        <v/>
      </c>
      <c r="FN275" s="66" t="str">
        <f t="shared" si="3787"/>
        <v/>
      </c>
      <c r="FO275" s="66" t="str">
        <f t="shared" si="3788"/>
        <v/>
      </c>
      <c r="FP275" s="66" t="str">
        <f t="shared" si="3789"/>
        <v/>
      </c>
      <c r="FQ275" s="66" t="str">
        <f t="shared" si="3790"/>
        <v/>
      </c>
      <c r="FR275" s="66" t="str">
        <f t="shared" si="3791"/>
        <v/>
      </c>
      <c r="FS275" s="66" t="str">
        <f t="shared" si="3792"/>
        <v/>
      </c>
    </row>
    <row r="276" spans="1:175" ht="16.5">
      <c r="A276" s="2"/>
      <c r="B276" s="1"/>
      <c r="C276" s="2"/>
      <c r="E276" s="125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92"/>
      <c r="Q276" s="92"/>
      <c r="R276" s="92"/>
      <c r="S276" s="92"/>
      <c r="T276" s="127"/>
      <c r="U276" s="77"/>
      <c r="CU276" s="88" t="str">
        <f t="shared" si="3722"/>
        <v>|n</v>
      </c>
      <c r="CW276" s="33"/>
      <c r="CX276" s="33"/>
      <c r="CY276" s="33"/>
      <c r="CZ276" s="33"/>
      <c r="DA276" s="33"/>
      <c r="DB276" s="66" t="str">
        <f t="shared" si="3723"/>
        <v/>
      </c>
      <c r="DC276" s="66" t="str">
        <f t="shared" si="3724"/>
        <v/>
      </c>
      <c r="DD276" s="66" t="str">
        <f t="shared" si="3725"/>
        <v/>
      </c>
      <c r="DE276" s="66" t="str">
        <f t="shared" si="3726"/>
        <v/>
      </c>
      <c r="DF276" s="66" t="str">
        <f t="shared" si="3727"/>
        <v/>
      </c>
      <c r="DG276" s="66" t="str">
        <f t="shared" si="3728"/>
        <v/>
      </c>
      <c r="DH276" s="66" t="str">
        <f t="shared" si="3729"/>
        <v/>
      </c>
      <c r="DI276" s="66" t="str">
        <f t="shared" si="3730"/>
        <v/>
      </c>
      <c r="DJ276" s="66" t="str">
        <f t="shared" si="3731"/>
        <v/>
      </c>
      <c r="DK276" s="66" t="str">
        <f t="shared" si="3732"/>
        <v/>
      </c>
      <c r="DL276" s="66" t="str">
        <f t="shared" si="3733"/>
        <v/>
      </c>
      <c r="DM276" s="66" t="str">
        <f t="shared" si="3734"/>
        <v/>
      </c>
      <c r="DN276" s="66" t="str">
        <f t="shared" si="3735"/>
        <v/>
      </c>
      <c r="DO276" s="66" t="str">
        <f t="shared" si="3736"/>
        <v/>
      </c>
      <c r="DP276" s="66" t="str">
        <f t="shared" si="3737"/>
        <v/>
      </c>
      <c r="DQ276" s="66" t="str">
        <f t="shared" si="3738"/>
        <v/>
      </c>
      <c r="DR276" s="66" t="str">
        <f t="shared" si="3739"/>
        <v/>
      </c>
      <c r="DS276" s="66" t="str">
        <f t="shared" si="3740"/>
        <v/>
      </c>
      <c r="DT276" s="66" t="str">
        <f t="shared" si="3741"/>
        <v/>
      </c>
      <c r="DU276" s="66" t="str">
        <f t="shared" si="3742"/>
        <v/>
      </c>
      <c r="DV276" s="66" t="str">
        <f t="shared" si="3743"/>
        <v/>
      </c>
      <c r="DW276" s="66" t="str">
        <f t="shared" si="3744"/>
        <v/>
      </c>
      <c r="DX276" s="66" t="str">
        <f t="shared" si="3745"/>
        <v/>
      </c>
      <c r="DY276" s="66" t="str">
        <f t="shared" si="3746"/>
        <v/>
      </c>
      <c r="DZ276" s="66" t="str">
        <f t="shared" si="3747"/>
        <v/>
      </c>
      <c r="EA276" s="66" t="str">
        <f t="shared" si="3748"/>
        <v/>
      </c>
      <c r="EB276" s="66" t="str">
        <f t="shared" si="3749"/>
        <v/>
      </c>
      <c r="EC276" s="66" t="str">
        <f t="shared" si="3750"/>
        <v/>
      </c>
      <c r="ED276" s="66" t="str">
        <f t="shared" si="3751"/>
        <v/>
      </c>
      <c r="EE276" s="66" t="str">
        <f t="shared" si="3752"/>
        <v/>
      </c>
      <c r="EF276" s="66" t="str">
        <f t="shared" si="3753"/>
        <v/>
      </c>
      <c r="EG276" s="66" t="str">
        <f t="shared" si="3754"/>
        <v/>
      </c>
      <c r="EH276" s="66" t="str">
        <f t="shared" si="3755"/>
        <v/>
      </c>
      <c r="EI276" s="66" t="str">
        <f t="shared" si="3756"/>
        <v/>
      </c>
      <c r="EJ276" s="66" t="str">
        <f t="shared" si="3757"/>
        <v/>
      </c>
      <c r="EK276" s="66" t="str">
        <f t="shared" si="3758"/>
        <v/>
      </c>
      <c r="EL276" s="66" t="str">
        <f t="shared" si="3759"/>
        <v/>
      </c>
      <c r="EM276" s="66" t="str">
        <f t="shared" si="3760"/>
        <v/>
      </c>
      <c r="EN276" s="66" t="str">
        <f t="shared" si="3761"/>
        <v/>
      </c>
      <c r="EO276" s="66" t="str">
        <f t="shared" si="3762"/>
        <v/>
      </c>
      <c r="EP276" s="66" t="str">
        <f t="shared" si="3763"/>
        <v/>
      </c>
      <c r="EQ276" s="66" t="str">
        <f t="shared" si="3764"/>
        <v/>
      </c>
      <c r="ER276" s="66" t="str">
        <f t="shared" si="3765"/>
        <v/>
      </c>
      <c r="ES276" s="66" t="str">
        <f t="shared" si="3766"/>
        <v/>
      </c>
      <c r="ET276" s="66" t="str">
        <f t="shared" si="3767"/>
        <v/>
      </c>
      <c r="EU276" s="66" t="str">
        <f t="shared" si="3768"/>
        <v/>
      </c>
      <c r="EV276" s="66" t="str">
        <f t="shared" si="3769"/>
        <v/>
      </c>
      <c r="EW276" s="66" t="str">
        <f t="shared" si="3770"/>
        <v/>
      </c>
      <c r="EX276" s="66" t="str">
        <f t="shared" si="3771"/>
        <v/>
      </c>
      <c r="EY276" s="66" t="str">
        <f t="shared" si="3772"/>
        <v/>
      </c>
      <c r="EZ276" s="66" t="str">
        <f t="shared" si="3773"/>
        <v/>
      </c>
      <c r="FA276" s="66" t="str">
        <f t="shared" si="3774"/>
        <v/>
      </c>
      <c r="FB276" s="66" t="str">
        <f t="shared" si="3775"/>
        <v/>
      </c>
      <c r="FC276" s="66" t="str">
        <f t="shared" si="3776"/>
        <v/>
      </c>
      <c r="FD276" s="66" t="str">
        <f t="shared" si="3777"/>
        <v/>
      </c>
      <c r="FE276" s="66" t="str">
        <f t="shared" si="3778"/>
        <v/>
      </c>
      <c r="FF276" s="66" t="str">
        <f t="shared" si="3779"/>
        <v/>
      </c>
      <c r="FG276" s="66" t="str">
        <f t="shared" si="3780"/>
        <v/>
      </c>
      <c r="FH276" s="66" t="str">
        <f t="shared" si="3781"/>
        <v/>
      </c>
      <c r="FI276" s="66" t="str">
        <f t="shared" si="3782"/>
        <v/>
      </c>
      <c r="FJ276" s="66" t="str">
        <f t="shared" si="3783"/>
        <v/>
      </c>
      <c r="FK276" s="66" t="str">
        <f t="shared" si="3784"/>
        <v/>
      </c>
      <c r="FL276" s="66" t="str">
        <f t="shared" si="3785"/>
        <v/>
      </c>
      <c r="FM276" s="66" t="str">
        <f t="shared" si="3786"/>
        <v/>
      </c>
      <c r="FN276" s="66" t="str">
        <f t="shared" si="3787"/>
        <v/>
      </c>
      <c r="FO276" s="66" t="str">
        <f t="shared" si="3788"/>
        <v/>
      </c>
      <c r="FP276" s="66" t="str">
        <f t="shared" si="3789"/>
        <v/>
      </c>
      <c r="FQ276" s="66" t="str">
        <f t="shared" si="3790"/>
        <v/>
      </c>
      <c r="FR276" s="66" t="str">
        <f t="shared" si="3791"/>
        <v/>
      </c>
      <c r="FS276" s="66" t="str">
        <f t="shared" si="3792"/>
        <v/>
      </c>
    </row>
    <row r="277" spans="1:175" ht="16.5">
      <c r="A277" s="2"/>
      <c r="B277" s="1"/>
      <c r="C277" s="2"/>
      <c r="E277" s="125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92"/>
      <c r="Q277" s="92"/>
      <c r="R277" s="92"/>
      <c r="S277" s="92"/>
      <c r="T277" s="127"/>
      <c r="U277" s="77"/>
      <c r="CU277" s="88" t="str">
        <f t="shared" si="3722"/>
        <v>|n</v>
      </c>
      <c r="CW277" s="33"/>
      <c r="CX277" s="33"/>
      <c r="CY277" s="33"/>
      <c r="CZ277" s="33"/>
      <c r="DA277" s="33"/>
      <c r="DB277" s="66" t="str">
        <f t="shared" si="3723"/>
        <v/>
      </c>
      <c r="DC277" s="66" t="str">
        <f t="shared" si="3724"/>
        <v/>
      </c>
      <c r="DD277" s="66" t="str">
        <f t="shared" si="3725"/>
        <v/>
      </c>
      <c r="DE277" s="66" t="str">
        <f t="shared" si="3726"/>
        <v/>
      </c>
      <c r="DF277" s="66" t="str">
        <f t="shared" si="3727"/>
        <v/>
      </c>
      <c r="DG277" s="66" t="str">
        <f t="shared" si="3728"/>
        <v/>
      </c>
      <c r="DH277" s="66" t="str">
        <f t="shared" si="3729"/>
        <v/>
      </c>
      <c r="DI277" s="66" t="str">
        <f t="shared" si="3730"/>
        <v/>
      </c>
      <c r="DJ277" s="66" t="str">
        <f t="shared" si="3731"/>
        <v/>
      </c>
      <c r="DK277" s="66" t="str">
        <f t="shared" si="3732"/>
        <v/>
      </c>
      <c r="DL277" s="66" t="str">
        <f t="shared" si="3733"/>
        <v/>
      </c>
      <c r="DM277" s="66" t="str">
        <f t="shared" si="3734"/>
        <v/>
      </c>
      <c r="DN277" s="66" t="str">
        <f t="shared" si="3735"/>
        <v/>
      </c>
      <c r="DO277" s="66" t="str">
        <f t="shared" si="3736"/>
        <v/>
      </c>
      <c r="DP277" s="66" t="str">
        <f t="shared" si="3737"/>
        <v/>
      </c>
      <c r="DQ277" s="66" t="str">
        <f t="shared" si="3738"/>
        <v/>
      </c>
      <c r="DR277" s="66" t="str">
        <f t="shared" si="3739"/>
        <v/>
      </c>
      <c r="DS277" s="66" t="str">
        <f t="shared" si="3740"/>
        <v/>
      </c>
      <c r="DT277" s="66" t="str">
        <f t="shared" si="3741"/>
        <v/>
      </c>
      <c r="DU277" s="66" t="str">
        <f t="shared" si="3742"/>
        <v/>
      </c>
      <c r="DV277" s="66" t="str">
        <f t="shared" si="3743"/>
        <v/>
      </c>
      <c r="DW277" s="66" t="str">
        <f t="shared" si="3744"/>
        <v/>
      </c>
      <c r="DX277" s="66" t="str">
        <f t="shared" si="3745"/>
        <v/>
      </c>
      <c r="DY277" s="66" t="str">
        <f t="shared" si="3746"/>
        <v/>
      </c>
      <c r="DZ277" s="66" t="str">
        <f t="shared" si="3747"/>
        <v/>
      </c>
      <c r="EA277" s="66" t="str">
        <f t="shared" si="3748"/>
        <v/>
      </c>
      <c r="EB277" s="66" t="str">
        <f t="shared" si="3749"/>
        <v/>
      </c>
      <c r="EC277" s="66" t="str">
        <f t="shared" si="3750"/>
        <v/>
      </c>
      <c r="ED277" s="66" t="str">
        <f t="shared" si="3751"/>
        <v/>
      </c>
      <c r="EE277" s="66" t="str">
        <f t="shared" si="3752"/>
        <v/>
      </c>
      <c r="EF277" s="66" t="str">
        <f t="shared" si="3753"/>
        <v/>
      </c>
      <c r="EG277" s="66" t="str">
        <f t="shared" si="3754"/>
        <v/>
      </c>
      <c r="EH277" s="66" t="str">
        <f t="shared" si="3755"/>
        <v/>
      </c>
      <c r="EI277" s="66" t="str">
        <f t="shared" si="3756"/>
        <v/>
      </c>
      <c r="EJ277" s="66" t="str">
        <f t="shared" si="3757"/>
        <v/>
      </c>
      <c r="EK277" s="66" t="str">
        <f t="shared" si="3758"/>
        <v/>
      </c>
      <c r="EL277" s="66" t="str">
        <f t="shared" si="3759"/>
        <v/>
      </c>
      <c r="EM277" s="66" t="str">
        <f t="shared" si="3760"/>
        <v/>
      </c>
      <c r="EN277" s="66" t="str">
        <f t="shared" si="3761"/>
        <v/>
      </c>
      <c r="EO277" s="66" t="str">
        <f t="shared" si="3762"/>
        <v/>
      </c>
      <c r="EP277" s="66" t="str">
        <f t="shared" si="3763"/>
        <v/>
      </c>
      <c r="EQ277" s="66" t="str">
        <f t="shared" si="3764"/>
        <v/>
      </c>
      <c r="ER277" s="66" t="str">
        <f t="shared" si="3765"/>
        <v/>
      </c>
      <c r="ES277" s="66" t="str">
        <f t="shared" si="3766"/>
        <v/>
      </c>
      <c r="ET277" s="66" t="str">
        <f t="shared" si="3767"/>
        <v/>
      </c>
      <c r="EU277" s="66" t="str">
        <f t="shared" si="3768"/>
        <v/>
      </c>
      <c r="EV277" s="66" t="str">
        <f t="shared" si="3769"/>
        <v/>
      </c>
      <c r="EW277" s="66" t="str">
        <f t="shared" si="3770"/>
        <v/>
      </c>
      <c r="EX277" s="66" t="str">
        <f t="shared" si="3771"/>
        <v/>
      </c>
      <c r="EY277" s="66" t="str">
        <f t="shared" si="3772"/>
        <v/>
      </c>
      <c r="EZ277" s="66" t="str">
        <f t="shared" si="3773"/>
        <v/>
      </c>
      <c r="FA277" s="66" t="str">
        <f t="shared" si="3774"/>
        <v/>
      </c>
      <c r="FB277" s="66" t="str">
        <f t="shared" si="3775"/>
        <v/>
      </c>
      <c r="FC277" s="66" t="str">
        <f t="shared" si="3776"/>
        <v/>
      </c>
      <c r="FD277" s="66" t="str">
        <f t="shared" si="3777"/>
        <v/>
      </c>
      <c r="FE277" s="66" t="str">
        <f t="shared" si="3778"/>
        <v/>
      </c>
      <c r="FF277" s="66" t="str">
        <f t="shared" si="3779"/>
        <v/>
      </c>
      <c r="FG277" s="66" t="str">
        <f t="shared" si="3780"/>
        <v/>
      </c>
      <c r="FH277" s="66" t="str">
        <f t="shared" si="3781"/>
        <v/>
      </c>
      <c r="FI277" s="66" t="str">
        <f t="shared" si="3782"/>
        <v/>
      </c>
      <c r="FJ277" s="66" t="str">
        <f t="shared" si="3783"/>
        <v/>
      </c>
      <c r="FK277" s="66" t="str">
        <f t="shared" si="3784"/>
        <v/>
      </c>
      <c r="FL277" s="66" t="str">
        <f t="shared" si="3785"/>
        <v/>
      </c>
      <c r="FM277" s="66" t="str">
        <f t="shared" si="3786"/>
        <v/>
      </c>
      <c r="FN277" s="66" t="str">
        <f t="shared" si="3787"/>
        <v/>
      </c>
      <c r="FO277" s="66" t="str">
        <f t="shared" si="3788"/>
        <v/>
      </c>
      <c r="FP277" s="66" t="str">
        <f t="shared" si="3789"/>
        <v/>
      </c>
      <c r="FQ277" s="66" t="str">
        <f t="shared" si="3790"/>
        <v/>
      </c>
      <c r="FR277" s="66" t="str">
        <f t="shared" si="3791"/>
        <v/>
      </c>
      <c r="FS277" s="66" t="str">
        <f t="shared" si="3792"/>
        <v/>
      </c>
    </row>
    <row r="278" spans="1:175">
      <c r="A278" s="27"/>
      <c r="B278" s="27"/>
      <c r="C278" s="27"/>
      <c r="E278" s="126"/>
      <c r="T278" s="121"/>
      <c r="U278" s="77"/>
      <c r="CU278" s="88" t="str">
        <f t="shared" si="3722"/>
        <v>|n</v>
      </c>
      <c r="CW278" s="33"/>
      <c r="CX278" s="33"/>
      <c r="CY278" s="33"/>
      <c r="CZ278" s="33"/>
      <c r="DA278" s="33"/>
      <c r="DB278" s="66" t="str">
        <f t="shared" si="3723"/>
        <v/>
      </c>
      <c r="DC278" s="66" t="str">
        <f t="shared" si="3724"/>
        <v/>
      </c>
      <c r="DD278" s="66" t="str">
        <f t="shared" si="3725"/>
        <v/>
      </c>
      <c r="DE278" s="66" t="str">
        <f t="shared" si="3726"/>
        <v/>
      </c>
      <c r="DF278" s="66" t="str">
        <f t="shared" si="3727"/>
        <v/>
      </c>
      <c r="DG278" s="66" t="str">
        <f t="shared" si="3728"/>
        <v/>
      </c>
      <c r="DH278" s="66" t="str">
        <f t="shared" si="3729"/>
        <v/>
      </c>
      <c r="DI278" s="66" t="str">
        <f t="shared" si="3730"/>
        <v/>
      </c>
      <c r="DJ278" s="66" t="str">
        <f t="shared" si="3731"/>
        <v/>
      </c>
      <c r="DK278" s="66" t="str">
        <f t="shared" si="3732"/>
        <v/>
      </c>
      <c r="DL278" s="66" t="str">
        <f t="shared" si="3733"/>
        <v/>
      </c>
      <c r="DM278" s="66" t="str">
        <f t="shared" si="3734"/>
        <v/>
      </c>
      <c r="DN278" s="66" t="str">
        <f t="shared" si="3735"/>
        <v/>
      </c>
      <c r="DO278" s="66" t="str">
        <f t="shared" si="3736"/>
        <v/>
      </c>
      <c r="DP278" s="66" t="str">
        <f t="shared" si="3737"/>
        <v/>
      </c>
      <c r="DQ278" s="66" t="str">
        <f t="shared" si="3738"/>
        <v/>
      </c>
      <c r="DR278" s="66" t="str">
        <f t="shared" si="3739"/>
        <v/>
      </c>
      <c r="DS278" s="66" t="str">
        <f t="shared" si="3740"/>
        <v/>
      </c>
      <c r="DT278" s="66" t="str">
        <f t="shared" si="3741"/>
        <v/>
      </c>
      <c r="DU278" s="66" t="str">
        <f t="shared" si="3742"/>
        <v/>
      </c>
      <c r="DV278" s="66" t="str">
        <f t="shared" si="3743"/>
        <v/>
      </c>
      <c r="DW278" s="66" t="str">
        <f t="shared" si="3744"/>
        <v/>
      </c>
      <c r="DX278" s="66" t="str">
        <f t="shared" si="3745"/>
        <v/>
      </c>
      <c r="DY278" s="66" t="str">
        <f t="shared" si="3746"/>
        <v/>
      </c>
      <c r="DZ278" s="66" t="str">
        <f t="shared" si="3747"/>
        <v/>
      </c>
      <c r="EA278" s="66" t="str">
        <f t="shared" si="3748"/>
        <v/>
      </c>
      <c r="EB278" s="66" t="str">
        <f t="shared" si="3749"/>
        <v/>
      </c>
      <c r="EC278" s="66" t="str">
        <f t="shared" si="3750"/>
        <v/>
      </c>
      <c r="ED278" s="66" t="str">
        <f t="shared" si="3751"/>
        <v/>
      </c>
      <c r="EE278" s="66" t="str">
        <f t="shared" si="3752"/>
        <v/>
      </c>
      <c r="EF278" s="66" t="str">
        <f t="shared" si="3753"/>
        <v/>
      </c>
      <c r="EG278" s="66" t="str">
        <f t="shared" si="3754"/>
        <v/>
      </c>
      <c r="EH278" s="66" t="str">
        <f t="shared" si="3755"/>
        <v/>
      </c>
      <c r="EI278" s="66" t="str">
        <f t="shared" si="3756"/>
        <v/>
      </c>
      <c r="EJ278" s="66" t="str">
        <f t="shared" si="3757"/>
        <v/>
      </c>
      <c r="EK278" s="66" t="str">
        <f t="shared" si="3758"/>
        <v/>
      </c>
      <c r="EL278" s="66" t="str">
        <f t="shared" si="3759"/>
        <v/>
      </c>
      <c r="EM278" s="66" t="str">
        <f t="shared" si="3760"/>
        <v/>
      </c>
      <c r="EN278" s="66" t="str">
        <f t="shared" si="3761"/>
        <v/>
      </c>
      <c r="EO278" s="66" t="str">
        <f t="shared" si="3762"/>
        <v/>
      </c>
      <c r="EP278" s="66" t="str">
        <f t="shared" si="3763"/>
        <v/>
      </c>
      <c r="EQ278" s="66" t="str">
        <f t="shared" si="3764"/>
        <v/>
      </c>
      <c r="ER278" s="66" t="str">
        <f t="shared" si="3765"/>
        <v/>
      </c>
      <c r="ES278" s="66" t="str">
        <f t="shared" si="3766"/>
        <v/>
      </c>
      <c r="ET278" s="66" t="str">
        <f t="shared" si="3767"/>
        <v/>
      </c>
      <c r="EU278" s="66" t="str">
        <f t="shared" si="3768"/>
        <v/>
      </c>
      <c r="EV278" s="66" t="str">
        <f t="shared" si="3769"/>
        <v/>
      </c>
      <c r="EW278" s="66" t="str">
        <f t="shared" si="3770"/>
        <v/>
      </c>
      <c r="EX278" s="66" t="str">
        <f t="shared" si="3771"/>
        <v/>
      </c>
      <c r="EY278" s="66" t="str">
        <f t="shared" si="3772"/>
        <v/>
      </c>
      <c r="EZ278" s="66" t="str">
        <f t="shared" si="3773"/>
        <v/>
      </c>
      <c r="FA278" s="66" t="str">
        <f t="shared" si="3774"/>
        <v/>
      </c>
      <c r="FB278" s="66" t="str">
        <f t="shared" si="3775"/>
        <v/>
      </c>
      <c r="FC278" s="66" t="str">
        <f t="shared" si="3776"/>
        <v/>
      </c>
      <c r="FD278" s="66" t="str">
        <f t="shared" si="3777"/>
        <v/>
      </c>
      <c r="FE278" s="66" t="str">
        <f t="shared" si="3778"/>
        <v/>
      </c>
      <c r="FF278" s="66" t="str">
        <f t="shared" si="3779"/>
        <v/>
      </c>
      <c r="FG278" s="66" t="str">
        <f t="shared" si="3780"/>
        <v/>
      </c>
      <c r="FH278" s="66" t="str">
        <f t="shared" si="3781"/>
        <v/>
      </c>
      <c r="FI278" s="66" t="str">
        <f t="shared" si="3782"/>
        <v/>
      </c>
      <c r="FJ278" s="66" t="str">
        <f t="shared" si="3783"/>
        <v/>
      </c>
      <c r="FK278" s="66" t="str">
        <f t="shared" si="3784"/>
        <v/>
      </c>
      <c r="FL278" s="66" t="str">
        <f t="shared" si="3785"/>
        <v/>
      </c>
      <c r="FM278" s="66" t="str">
        <f t="shared" si="3786"/>
        <v/>
      </c>
      <c r="FN278" s="66" t="str">
        <f t="shared" si="3787"/>
        <v/>
      </c>
      <c r="FO278" s="66" t="str">
        <f t="shared" si="3788"/>
        <v/>
      </c>
      <c r="FP278" s="66" t="str">
        <f t="shared" si="3789"/>
        <v/>
      </c>
      <c r="FQ278" s="66" t="str">
        <f t="shared" si="3790"/>
        <v/>
      </c>
      <c r="FR278" s="66" t="str">
        <f t="shared" si="3791"/>
        <v/>
      </c>
      <c r="FS278" s="66" t="str">
        <f t="shared" si="3792"/>
        <v/>
      </c>
    </row>
    <row r="279" spans="1:175">
      <c r="A279" s="27"/>
      <c r="B279" s="27"/>
      <c r="C279" s="27"/>
      <c r="E279" s="126"/>
      <c r="T279" s="121"/>
      <c r="U279" s="77"/>
      <c r="CU279" s="88" t="str">
        <f t="shared" si="3722"/>
        <v>|n</v>
      </c>
      <c r="CW279" s="33"/>
      <c r="CX279" s="33"/>
      <c r="CY279" s="33"/>
      <c r="CZ279" s="33"/>
      <c r="DA279" s="33"/>
      <c r="DB279" s="66" t="str">
        <f t="shared" si="3723"/>
        <v/>
      </c>
      <c r="DC279" s="66" t="str">
        <f t="shared" si="3724"/>
        <v/>
      </c>
      <c r="DD279" s="66" t="str">
        <f t="shared" si="3725"/>
        <v/>
      </c>
      <c r="DE279" s="66" t="str">
        <f t="shared" si="3726"/>
        <v/>
      </c>
      <c r="DF279" s="66" t="str">
        <f t="shared" si="3727"/>
        <v/>
      </c>
      <c r="DG279" s="66" t="str">
        <f t="shared" si="3728"/>
        <v/>
      </c>
      <c r="DH279" s="66" t="str">
        <f t="shared" si="3729"/>
        <v/>
      </c>
      <c r="DI279" s="66" t="str">
        <f t="shared" si="3730"/>
        <v/>
      </c>
      <c r="DJ279" s="66" t="str">
        <f t="shared" si="3731"/>
        <v/>
      </c>
      <c r="DK279" s="66" t="str">
        <f t="shared" si="3732"/>
        <v/>
      </c>
      <c r="DL279" s="66" t="str">
        <f t="shared" si="3733"/>
        <v/>
      </c>
      <c r="DM279" s="66" t="str">
        <f t="shared" si="3734"/>
        <v/>
      </c>
      <c r="DN279" s="66" t="str">
        <f t="shared" si="3735"/>
        <v/>
      </c>
      <c r="DO279" s="66" t="str">
        <f t="shared" si="3736"/>
        <v/>
      </c>
      <c r="DP279" s="66" t="str">
        <f t="shared" si="3737"/>
        <v/>
      </c>
      <c r="DQ279" s="66" t="str">
        <f t="shared" si="3738"/>
        <v/>
      </c>
      <c r="DR279" s="66" t="str">
        <f t="shared" si="3739"/>
        <v/>
      </c>
      <c r="DS279" s="66" t="str">
        <f t="shared" si="3740"/>
        <v/>
      </c>
      <c r="DT279" s="66" t="str">
        <f t="shared" si="3741"/>
        <v/>
      </c>
      <c r="DU279" s="66" t="str">
        <f t="shared" si="3742"/>
        <v/>
      </c>
      <c r="DV279" s="66" t="str">
        <f t="shared" si="3743"/>
        <v/>
      </c>
      <c r="DW279" s="66" t="str">
        <f t="shared" si="3744"/>
        <v/>
      </c>
      <c r="DX279" s="66" t="str">
        <f t="shared" si="3745"/>
        <v/>
      </c>
      <c r="DY279" s="66" t="str">
        <f t="shared" si="3746"/>
        <v/>
      </c>
      <c r="DZ279" s="66" t="str">
        <f t="shared" si="3747"/>
        <v/>
      </c>
      <c r="EA279" s="66" t="str">
        <f t="shared" si="3748"/>
        <v/>
      </c>
      <c r="EB279" s="66" t="str">
        <f t="shared" si="3749"/>
        <v/>
      </c>
      <c r="EC279" s="66" t="str">
        <f t="shared" si="3750"/>
        <v/>
      </c>
      <c r="ED279" s="66" t="str">
        <f t="shared" si="3751"/>
        <v/>
      </c>
      <c r="EE279" s="66" t="str">
        <f t="shared" si="3752"/>
        <v/>
      </c>
      <c r="EF279" s="66" t="str">
        <f t="shared" si="3753"/>
        <v/>
      </c>
      <c r="EG279" s="66" t="str">
        <f t="shared" si="3754"/>
        <v/>
      </c>
      <c r="EH279" s="66" t="str">
        <f t="shared" si="3755"/>
        <v/>
      </c>
      <c r="EI279" s="66" t="str">
        <f t="shared" si="3756"/>
        <v/>
      </c>
      <c r="EJ279" s="66" t="str">
        <f t="shared" si="3757"/>
        <v/>
      </c>
      <c r="EK279" s="66" t="str">
        <f t="shared" si="3758"/>
        <v/>
      </c>
      <c r="EL279" s="66" t="str">
        <f t="shared" si="3759"/>
        <v/>
      </c>
      <c r="EM279" s="66" t="str">
        <f t="shared" si="3760"/>
        <v/>
      </c>
      <c r="EN279" s="66" t="str">
        <f t="shared" si="3761"/>
        <v/>
      </c>
      <c r="EO279" s="66" t="str">
        <f t="shared" si="3762"/>
        <v/>
      </c>
      <c r="EP279" s="66" t="str">
        <f t="shared" si="3763"/>
        <v/>
      </c>
      <c r="EQ279" s="66" t="str">
        <f t="shared" si="3764"/>
        <v/>
      </c>
      <c r="ER279" s="66" t="str">
        <f t="shared" si="3765"/>
        <v/>
      </c>
      <c r="ES279" s="66" t="str">
        <f t="shared" si="3766"/>
        <v/>
      </c>
      <c r="ET279" s="66" t="str">
        <f t="shared" si="3767"/>
        <v/>
      </c>
      <c r="EU279" s="66" t="str">
        <f t="shared" si="3768"/>
        <v/>
      </c>
      <c r="EV279" s="66" t="str">
        <f t="shared" si="3769"/>
        <v/>
      </c>
      <c r="EW279" s="66" t="str">
        <f t="shared" si="3770"/>
        <v/>
      </c>
      <c r="EX279" s="66" t="str">
        <f t="shared" si="3771"/>
        <v/>
      </c>
      <c r="EY279" s="66" t="str">
        <f t="shared" si="3772"/>
        <v/>
      </c>
      <c r="EZ279" s="66" t="str">
        <f t="shared" si="3773"/>
        <v/>
      </c>
      <c r="FA279" s="66" t="str">
        <f t="shared" si="3774"/>
        <v/>
      </c>
      <c r="FB279" s="66" t="str">
        <f t="shared" si="3775"/>
        <v/>
      </c>
      <c r="FC279" s="66" t="str">
        <f t="shared" si="3776"/>
        <v/>
      </c>
      <c r="FD279" s="66" t="str">
        <f t="shared" si="3777"/>
        <v/>
      </c>
      <c r="FE279" s="66" t="str">
        <f t="shared" si="3778"/>
        <v/>
      </c>
      <c r="FF279" s="66" t="str">
        <f t="shared" si="3779"/>
        <v/>
      </c>
      <c r="FG279" s="66" t="str">
        <f t="shared" si="3780"/>
        <v/>
      </c>
      <c r="FH279" s="66" t="str">
        <f t="shared" si="3781"/>
        <v/>
      </c>
      <c r="FI279" s="66" t="str">
        <f t="shared" si="3782"/>
        <v/>
      </c>
      <c r="FJ279" s="66" t="str">
        <f t="shared" si="3783"/>
        <v/>
      </c>
      <c r="FK279" s="66" t="str">
        <f t="shared" si="3784"/>
        <v/>
      </c>
      <c r="FL279" s="66" t="str">
        <f t="shared" si="3785"/>
        <v/>
      </c>
      <c r="FM279" s="66" t="str">
        <f t="shared" si="3786"/>
        <v/>
      </c>
      <c r="FN279" s="66" t="str">
        <f t="shared" si="3787"/>
        <v/>
      </c>
      <c r="FO279" s="66" t="str">
        <f t="shared" si="3788"/>
        <v/>
      </c>
      <c r="FP279" s="66" t="str">
        <f t="shared" si="3789"/>
        <v/>
      </c>
      <c r="FQ279" s="66" t="str">
        <f t="shared" si="3790"/>
        <v/>
      </c>
      <c r="FR279" s="66" t="str">
        <f t="shared" si="3791"/>
        <v/>
      </c>
      <c r="FS279" s="66" t="str">
        <f t="shared" si="3792"/>
        <v/>
      </c>
    </row>
    <row r="280" spans="1:175" s="33" customFormat="1" ht="16.5">
      <c r="A280" s="122"/>
      <c r="B280" s="1"/>
      <c r="C280" s="122"/>
      <c r="D280" s="67"/>
      <c r="E280" s="68"/>
      <c r="F280" s="123"/>
      <c r="G280" s="124"/>
      <c r="H280" s="124"/>
      <c r="I280" s="124"/>
      <c r="J280" s="124"/>
      <c r="K280" s="124"/>
      <c r="L280" s="124"/>
      <c r="M280" s="124"/>
      <c r="N280" s="124"/>
      <c r="O280" s="124"/>
      <c r="P280" s="73"/>
      <c r="Q280" s="73"/>
      <c r="R280" s="73"/>
      <c r="S280" s="73"/>
      <c r="T280" s="80"/>
      <c r="U280" s="77"/>
      <c r="V280" s="83"/>
      <c r="W280" s="83"/>
      <c r="X280" s="83"/>
      <c r="Y280" s="83"/>
      <c r="Z280" s="83"/>
      <c r="AA280" s="83"/>
      <c r="AB280" s="83"/>
      <c r="AC280" s="83"/>
      <c r="AD280" s="83"/>
      <c r="AE280" s="83"/>
      <c r="AF280" s="83"/>
      <c r="AG280" s="83"/>
      <c r="AH280" s="83"/>
      <c r="AI280" s="83"/>
      <c r="AJ280" s="83"/>
      <c r="AK280" s="83"/>
      <c r="AL280" s="83"/>
      <c r="AM280" s="83"/>
      <c r="AN280" s="83"/>
      <c r="AO280" s="83"/>
      <c r="AP280" s="83"/>
      <c r="AQ280" s="83"/>
      <c r="AR280" s="84"/>
      <c r="AS280" s="84"/>
      <c r="AT280" s="83"/>
      <c r="AU280" s="83"/>
      <c r="AV280" s="83"/>
      <c r="AW280" s="83"/>
      <c r="AX280" s="83"/>
      <c r="AY280" s="83"/>
      <c r="AZ280" s="83"/>
      <c r="BA280" s="83"/>
      <c r="BB280" s="83"/>
      <c r="BC280" s="83"/>
      <c r="BD280" s="83"/>
      <c r="BE280" s="83"/>
      <c r="BF280" s="83"/>
      <c r="BG280" s="83"/>
      <c r="BH280" s="83"/>
      <c r="BI280" s="83"/>
      <c r="BJ280" s="83"/>
      <c r="BK280" s="83"/>
      <c r="BL280" s="83"/>
      <c r="BM280" s="83"/>
      <c r="BN280" s="83"/>
      <c r="BO280" s="83"/>
      <c r="BP280" s="83"/>
      <c r="BQ280" s="83"/>
      <c r="BR280" s="83"/>
      <c r="BS280" s="83"/>
      <c r="BT280" s="83"/>
      <c r="BU280" s="83"/>
      <c r="BV280" s="83"/>
      <c r="BW280" s="83"/>
      <c r="BX280" s="83"/>
      <c r="BY280" s="83"/>
      <c r="BZ280" s="83"/>
      <c r="CA280" s="83"/>
      <c r="CB280" s="83"/>
      <c r="CC280" s="83"/>
      <c r="CD280" s="83"/>
      <c r="CE280" s="83"/>
      <c r="CF280" s="83"/>
      <c r="CG280" s="83"/>
      <c r="CH280" s="83"/>
      <c r="CI280" s="83"/>
      <c r="CJ280" s="83"/>
      <c r="CK280" s="83"/>
      <c r="CL280" s="83"/>
      <c r="CM280" s="83"/>
      <c r="CN280" s="86" t="str">
        <f t="shared" ref="CN280:CN283" si="3954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86" t="str">
        <f t="shared" ref="CO280:CO283" si="3955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86" t="str">
        <f t="shared" ref="CP280:CP283" si="3956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86" t="str">
        <f t="shared" ref="CQ280:CQ283" si="3957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86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S280" s="86"/>
      <c r="CT280" s="86"/>
      <c r="CU280" s="88" t="str">
        <f t="shared" si="3722"/>
        <v>|n</v>
      </c>
      <c r="CV280" s="19"/>
      <c r="DB280" s="66" t="str">
        <f t="shared" si="3723"/>
        <v/>
      </c>
      <c r="DC280" s="66" t="str">
        <f t="shared" si="3724"/>
        <v/>
      </c>
      <c r="DD280" s="66" t="str">
        <f t="shared" si="3725"/>
        <v/>
      </c>
      <c r="DE280" s="66" t="str">
        <f t="shared" si="3726"/>
        <v/>
      </c>
      <c r="DF280" s="66" t="str">
        <f t="shared" si="3727"/>
        <v/>
      </c>
      <c r="DG280" s="66" t="str">
        <f t="shared" si="3728"/>
        <v/>
      </c>
      <c r="DH280" s="66" t="str">
        <f t="shared" si="3729"/>
        <v/>
      </c>
      <c r="DI280" s="66" t="str">
        <f t="shared" si="3730"/>
        <v/>
      </c>
      <c r="DJ280" s="66" t="str">
        <f t="shared" si="3731"/>
        <v/>
      </c>
      <c r="DK280" s="66" t="str">
        <f t="shared" si="3732"/>
        <v/>
      </c>
      <c r="DL280" s="66" t="str">
        <f t="shared" si="3733"/>
        <v/>
      </c>
      <c r="DM280" s="66" t="str">
        <f t="shared" si="3734"/>
        <v/>
      </c>
      <c r="DN280" s="66" t="str">
        <f t="shared" si="3735"/>
        <v/>
      </c>
      <c r="DO280" s="66" t="str">
        <f t="shared" si="3736"/>
        <v/>
      </c>
      <c r="DP280" s="66" t="str">
        <f t="shared" si="3737"/>
        <v/>
      </c>
      <c r="DQ280" s="66" t="str">
        <f t="shared" si="3738"/>
        <v/>
      </c>
      <c r="DR280" s="66" t="str">
        <f t="shared" si="3739"/>
        <v/>
      </c>
      <c r="DS280" s="66" t="str">
        <f t="shared" si="3740"/>
        <v/>
      </c>
      <c r="DT280" s="66" t="str">
        <f t="shared" si="3741"/>
        <v/>
      </c>
      <c r="DU280" s="66" t="str">
        <f t="shared" si="3742"/>
        <v/>
      </c>
      <c r="DV280" s="66" t="str">
        <f t="shared" si="3743"/>
        <v/>
      </c>
      <c r="DW280" s="66" t="str">
        <f t="shared" si="3744"/>
        <v/>
      </c>
      <c r="DX280" s="66" t="str">
        <f t="shared" si="3745"/>
        <v/>
      </c>
      <c r="DY280" s="66" t="str">
        <f t="shared" si="3746"/>
        <v/>
      </c>
      <c r="DZ280" s="66" t="str">
        <f t="shared" si="3747"/>
        <v/>
      </c>
      <c r="EA280" s="66" t="str">
        <f t="shared" si="3748"/>
        <v/>
      </c>
      <c r="EB280" s="66" t="str">
        <f t="shared" si="3749"/>
        <v/>
      </c>
      <c r="EC280" s="66" t="str">
        <f t="shared" si="3750"/>
        <v/>
      </c>
      <c r="ED280" s="66" t="str">
        <f t="shared" si="3751"/>
        <v/>
      </c>
      <c r="EE280" s="66" t="str">
        <f t="shared" si="3752"/>
        <v/>
      </c>
      <c r="EF280" s="66" t="str">
        <f t="shared" si="3753"/>
        <v/>
      </c>
      <c r="EG280" s="66" t="str">
        <f t="shared" si="3754"/>
        <v/>
      </c>
      <c r="EH280" s="66" t="str">
        <f t="shared" si="3755"/>
        <v/>
      </c>
      <c r="EI280" s="66" t="str">
        <f t="shared" si="3756"/>
        <v/>
      </c>
      <c r="EJ280" s="66" t="str">
        <f t="shared" si="3757"/>
        <v/>
      </c>
      <c r="EK280" s="66" t="str">
        <f t="shared" si="3758"/>
        <v/>
      </c>
      <c r="EL280" s="66" t="str">
        <f t="shared" si="3759"/>
        <v/>
      </c>
      <c r="EM280" s="66" t="str">
        <f t="shared" si="3760"/>
        <v/>
      </c>
      <c r="EN280" s="66" t="str">
        <f t="shared" si="3761"/>
        <v/>
      </c>
      <c r="EO280" s="66" t="str">
        <f t="shared" si="3762"/>
        <v/>
      </c>
      <c r="EP280" s="66" t="str">
        <f t="shared" si="3763"/>
        <v/>
      </c>
      <c r="EQ280" s="66" t="str">
        <f t="shared" si="3764"/>
        <v/>
      </c>
      <c r="ER280" s="66" t="str">
        <f t="shared" si="3765"/>
        <v/>
      </c>
      <c r="ES280" s="66" t="str">
        <f t="shared" si="3766"/>
        <v/>
      </c>
      <c r="ET280" s="66" t="str">
        <f t="shared" si="3767"/>
        <v/>
      </c>
      <c r="EU280" s="66" t="str">
        <f t="shared" si="3768"/>
        <v/>
      </c>
      <c r="EV280" s="66" t="str">
        <f t="shared" si="3769"/>
        <v/>
      </c>
      <c r="EW280" s="66" t="str">
        <f t="shared" si="3770"/>
        <v/>
      </c>
      <c r="EX280" s="66" t="str">
        <f t="shared" si="3771"/>
        <v/>
      </c>
      <c r="EY280" s="66" t="str">
        <f t="shared" si="3772"/>
        <v/>
      </c>
      <c r="EZ280" s="66" t="str">
        <f t="shared" si="3773"/>
        <v/>
      </c>
      <c r="FA280" s="66" t="str">
        <f t="shared" si="3774"/>
        <v/>
      </c>
      <c r="FB280" s="66" t="str">
        <f t="shared" si="3775"/>
        <v/>
      </c>
      <c r="FC280" s="66" t="str">
        <f t="shared" si="3776"/>
        <v/>
      </c>
      <c r="FD280" s="66" t="str">
        <f t="shared" si="3777"/>
        <v/>
      </c>
      <c r="FE280" s="66" t="str">
        <f t="shared" si="3778"/>
        <v/>
      </c>
      <c r="FF280" s="66" t="str">
        <f t="shared" si="3779"/>
        <v/>
      </c>
      <c r="FG280" s="66" t="str">
        <f t="shared" si="3780"/>
        <v/>
      </c>
      <c r="FH280" s="66" t="str">
        <f t="shared" si="3781"/>
        <v/>
      </c>
      <c r="FI280" s="66" t="str">
        <f t="shared" si="3782"/>
        <v/>
      </c>
      <c r="FJ280" s="66" t="str">
        <f t="shared" si="3783"/>
        <v/>
      </c>
      <c r="FK280" s="66" t="str">
        <f t="shared" si="3784"/>
        <v/>
      </c>
      <c r="FL280" s="66" t="str">
        <f t="shared" si="3785"/>
        <v/>
      </c>
      <c r="FM280" s="66" t="str">
        <f t="shared" si="3786"/>
        <v/>
      </c>
      <c r="FN280" s="66" t="str">
        <f t="shared" si="3787"/>
        <v/>
      </c>
      <c r="FO280" s="66" t="str">
        <f t="shared" si="3788"/>
        <v/>
      </c>
      <c r="FP280" s="66" t="str">
        <f t="shared" si="3789"/>
        <v/>
      </c>
      <c r="FQ280" s="66" t="str">
        <f t="shared" si="3790"/>
        <v/>
      </c>
      <c r="FR280" s="66" t="str">
        <f t="shared" si="3791"/>
        <v/>
      </c>
      <c r="FS280" s="66" t="str">
        <f t="shared" si="3792"/>
        <v/>
      </c>
    </row>
    <row r="281" spans="1:175" s="33" customFormat="1" ht="16.5">
      <c r="A281" s="122"/>
      <c r="B281" s="1"/>
      <c r="C281" s="122"/>
      <c r="D281" s="67"/>
      <c r="E281" s="68"/>
      <c r="F281" s="123"/>
      <c r="G281" s="124"/>
      <c r="H281" s="124"/>
      <c r="I281" s="124"/>
      <c r="J281" s="124"/>
      <c r="K281" s="124"/>
      <c r="L281" s="124"/>
      <c r="M281" s="124"/>
      <c r="N281" s="124"/>
      <c r="O281" s="124"/>
      <c r="P281" s="73"/>
      <c r="Q281" s="73"/>
      <c r="R281" s="73"/>
      <c r="S281" s="73"/>
      <c r="T281" s="80"/>
      <c r="U281" s="77"/>
      <c r="V281" s="83"/>
      <c r="W281" s="83"/>
      <c r="X281" s="83"/>
      <c r="Y281" s="83"/>
      <c r="Z281" s="83"/>
      <c r="AA281" s="83"/>
      <c r="AB281" s="83"/>
      <c r="AC281" s="83"/>
      <c r="AD281" s="83"/>
      <c r="AE281" s="83"/>
      <c r="AF281" s="83"/>
      <c r="AG281" s="83"/>
      <c r="AH281" s="83"/>
      <c r="AI281" s="83"/>
      <c r="AJ281" s="83"/>
      <c r="AK281" s="83"/>
      <c r="AL281" s="83"/>
      <c r="AM281" s="83"/>
      <c r="AN281" s="83"/>
      <c r="AO281" s="83"/>
      <c r="AP281" s="83"/>
      <c r="AQ281" s="83"/>
      <c r="AR281" s="84"/>
      <c r="AS281" s="84"/>
      <c r="AT281" s="83"/>
      <c r="AU281" s="83"/>
      <c r="AV281" s="83"/>
      <c r="AW281" s="83"/>
      <c r="AX281" s="83"/>
      <c r="AY281" s="83"/>
      <c r="AZ281" s="83"/>
      <c r="BA281" s="83"/>
      <c r="BB281" s="83"/>
      <c r="BC281" s="83"/>
      <c r="BD281" s="83"/>
      <c r="BE281" s="83"/>
      <c r="BF281" s="83"/>
      <c r="BG281" s="83"/>
      <c r="BH281" s="83"/>
      <c r="BI281" s="83"/>
      <c r="BJ281" s="83"/>
      <c r="BK281" s="83"/>
      <c r="BL281" s="83"/>
      <c r="BM281" s="83"/>
      <c r="BN281" s="83"/>
      <c r="BO281" s="83"/>
      <c r="BP281" s="83"/>
      <c r="BQ281" s="83"/>
      <c r="BR281" s="83"/>
      <c r="BS281" s="83"/>
      <c r="BT281" s="83"/>
      <c r="BU281" s="83"/>
      <c r="BV281" s="83"/>
      <c r="BW281" s="83"/>
      <c r="BX281" s="83"/>
      <c r="BY281" s="83"/>
      <c r="BZ281" s="83"/>
      <c r="CA281" s="83"/>
      <c r="CB281" s="83"/>
      <c r="CC281" s="83"/>
      <c r="CD281" s="83"/>
      <c r="CE281" s="83"/>
      <c r="CF281" s="83"/>
      <c r="CG281" s="83"/>
      <c r="CH281" s="83"/>
      <c r="CI281" s="83"/>
      <c r="CJ281" s="83"/>
      <c r="CK281" s="83"/>
      <c r="CL281" s="83"/>
      <c r="CM281" s="83"/>
      <c r="CN281" s="86" t="str">
        <f t="shared" si="3954"/>
        <v>InitUnitState('',,,,,,,,,,)</v>
      </c>
      <c r="CO281" s="86" t="str">
        <f t="shared" si="3955"/>
        <v>InitUnitNormal('',,,,,,,,,,)</v>
      </c>
      <c r="CP281" s="86" t="str">
        <f t="shared" si="3956"/>
        <v>InitUnitMagic('',,,,,,,,,,)</v>
      </c>
      <c r="CQ281" s="86" t="str">
        <f t="shared" si="3957"/>
        <v>InitUnitAdd('',,,,,,,,,,)</v>
      </c>
      <c r="CR281" s="86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S281" s="86"/>
      <c r="CT281" s="86"/>
      <c r="CU281" s="88" t="str">
        <f t="shared" si="3722"/>
        <v>|n</v>
      </c>
      <c r="CV281" s="19"/>
      <c r="DB281" s="66" t="str">
        <f t="shared" si="3723"/>
        <v/>
      </c>
      <c r="DC281" s="66" t="str">
        <f t="shared" si="3724"/>
        <v/>
      </c>
      <c r="DD281" s="66" t="str">
        <f t="shared" si="3725"/>
        <v/>
      </c>
      <c r="DE281" s="66" t="str">
        <f t="shared" si="3726"/>
        <v/>
      </c>
      <c r="DF281" s="66" t="str">
        <f t="shared" si="3727"/>
        <v/>
      </c>
      <c r="DG281" s="66" t="str">
        <f t="shared" si="3728"/>
        <v/>
      </c>
      <c r="DH281" s="66" t="str">
        <f t="shared" si="3729"/>
        <v/>
      </c>
      <c r="DI281" s="66" t="str">
        <f t="shared" si="3730"/>
        <v/>
      </c>
      <c r="DJ281" s="66" t="str">
        <f t="shared" si="3731"/>
        <v/>
      </c>
      <c r="DK281" s="66" t="str">
        <f t="shared" si="3732"/>
        <v/>
      </c>
      <c r="DL281" s="66" t="str">
        <f t="shared" si="3733"/>
        <v/>
      </c>
      <c r="DM281" s="66" t="str">
        <f t="shared" si="3734"/>
        <v/>
      </c>
      <c r="DN281" s="66" t="str">
        <f t="shared" si="3735"/>
        <v/>
      </c>
      <c r="DO281" s="66" t="str">
        <f t="shared" si="3736"/>
        <v/>
      </c>
      <c r="DP281" s="66" t="str">
        <f t="shared" si="3737"/>
        <v/>
      </c>
      <c r="DQ281" s="66" t="str">
        <f t="shared" si="3738"/>
        <v/>
      </c>
      <c r="DR281" s="66" t="str">
        <f t="shared" si="3739"/>
        <v/>
      </c>
      <c r="DS281" s="66" t="str">
        <f t="shared" si="3740"/>
        <v/>
      </c>
      <c r="DT281" s="66" t="str">
        <f t="shared" si="3741"/>
        <v/>
      </c>
      <c r="DU281" s="66" t="str">
        <f t="shared" si="3742"/>
        <v/>
      </c>
      <c r="DV281" s="66" t="str">
        <f t="shared" si="3743"/>
        <v/>
      </c>
      <c r="DW281" s="66" t="str">
        <f t="shared" si="3744"/>
        <v/>
      </c>
      <c r="DX281" s="66" t="str">
        <f t="shared" si="3745"/>
        <v/>
      </c>
      <c r="DY281" s="66" t="str">
        <f t="shared" si="3746"/>
        <v/>
      </c>
      <c r="DZ281" s="66" t="str">
        <f t="shared" si="3747"/>
        <v/>
      </c>
      <c r="EA281" s="66" t="str">
        <f t="shared" si="3748"/>
        <v/>
      </c>
      <c r="EB281" s="66" t="str">
        <f t="shared" si="3749"/>
        <v/>
      </c>
      <c r="EC281" s="66" t="str">
        <f t="shared" si="3750"/>
        <v/>
      </c>
      <c r="ED281" s="66" t="str">
        <f t="shared" si="3751"/>
        <v/>
      </c>
      <c r="EE281" s="66" t="str">
        <f t="shared" si="3752"/>
        <v/>
      </c>
      <c r="EF281" s="66" t="str">
        <f t="shared" si="3753"/>
        <v/>
      </c>
      <c r="EG281" s="66" t="str">
        <f t="shared" si="3754"/>
        <v/>
      </c>
      <c r="EH281" s="66" t="str">
        <f t="shared" si="3755"/>
        <v/>
      </c>
      <c r="EI281" s="66" t="str">
        <f t="shared" si="3756"/>
        <v/>
      </c>
      <c r="EJ281" s="66" t="str">
        <f t="shared" si="3757"/>
        <v/>
      </c>
      <c r="EK281" s="66" t="str">
        <f t="shared" si="3758"/>
        <v/>
      </c>
      <c r="EL281" s="66" t="str">
        <f t="shared" si="3759"/>
        <v/>
      </c>
      <c r="EM281" s="66" t="str">
        <f t="shared" si="3760"/>
        <v/>
      </c>
      <c r="EN281" s="66" t="str">
        <f t="shared" si="3761"/>
        <v/>
      </c>
      <c r="EO281" s="66" t="str">
        <f t="shared" si="3762"/>
        <v/>
      </c>
      <c r="EP281" s="66" t="str">
        <f t="shared" si="3763"/>
        <v/>
      </c>
      <c r="EQ281" s="66" t="str">
        <f t="shared" si="3764"/>
        <v/>
      </c>
      <c r="ER281" s="66" t="str">
        <f t="shared" si="3765"/>
        <v/>
      </c>
      <c r="ES281" s="66" t="str">
        <f t="shared" si="3766"/>
        <v/>
      </c>
      <c r="ET281" s="66" t="str">
        <f t="shared" si="3767"/>
        <v/>
      </c>
      <c r="EU281" s="66" t="str">
        <f t="shared" si="3768"/>
        <v/>
      </c>
      <c r="EV281" s="66" t="str">
        <f t="shared" si="3769"/>
        <v/>
      </c>
      <c r="EW281" s="66" t="str">
        <f t="shared" si="3770"/>
        <v/>
      </c>
      <c r="EX281" s="66" t="str">
        <f t="shared" si="3771"/>
        <v/>
      </c>
      <c r="EY281" s="66" t="str">
        <f t="shared" si="3772"/>
        <v/>
      </c>
      <c r="EZ281" s="66" t="str">
        <f t="shared" si="3773"/>
        <v/>
      </c>
      <c r="FA281" s="66" t="str">
        <f t="shared" si="3774"/>
        <v/>
      </c>
      <c r="FB281" s="66" t="str">
        <f t="shared" si="3775"/>
        <v/>
      </c>
      <c r="FC281" s="66" t="str">
        <f t="shared" si="3776"/>
        <v/>
      </c>
      <c r="FD281" s="66" t="str">
        <f t="shared" si="3777"/>
        <v/>
      </c>
      <c r="FE281" s="66" t="str">
        <f t="shared" si="3778"/>
        <v/>
      </c>
      <c r="FF281" s="66" t="str">
        <f t="shared" si="3779"/>
        <v/>
      </c>
      <c r="FG281" s="66" t="str">
        <f t="shared" si="3780"/>
        <v/>
      </c>
      <c r="FH281" s="66" t="str">
        <f t="shared" si="3781"/>
        <v/>
      </c>
      <c r="FI281" s="66" t="str">
        <f t="shared" si="3782"/>
        <v/>
      </c>
      <c r="FJ281" s="66" t="str">
        <f t="shared" si="3783"/>
        <v/>
      </c>
      <c r="FK281" s="66" t="str">
        <f t="shared" si="3784"/>
        <v/>
      </c>
      <c r="FL281" s="66" t="str">
        <f t="shared" si="3785"/>
        <v/>
      </c>
      <c r="FM281" s="66" t="str">
        <f t="shared" si="3786"/>
        <v/>
      </c>
      <c r="FN281" s="66" t="str">
        <f t="shared" si="3787"/>
        <v/>
      </c>
      <c r="FO281" s="66" t="str">
        <f t="shared" si="3788"/>
        <v/>
      </c>
      <c r="FP281" s="66" t="str">
        <f t="shared" si="3789"/>
        <v/>
      </c>
      <c r="FQ281" s="66" t="str">
        <f t="shared" si="3790"/>
        <v/>
      </c>
      <c r="FR281" s="66" t="str">
        <f t="shared" si="3791"/>
        <v/>
      </c>
      <c r="FS281" s="66" t="str">
        <f t="shared" si="3792"/>
        <v/>
      </c>
    </row>
    <row r="282" spans="1:175" s="33" customFormat="1" ht="16.5">
      <c r="A282" s="122"/>
      <c r="B282" s="1"/>
      <c r="C282" s="122"/>
      <c r="D282" s="67"/>
      <c r="E282" s="68"/>
      <c r="F282" s="123"/>
      <c r="G282" s="124"/>
      <c r="H282" s="124"/>
      <c r="I282" s="124"/>
      <c r="J282" s="124"/>
      <c r="K282" s="124"/>
      <c r="L282" s="124"/>
      <c r="M282" s="124"/>
      <c r="N282" s="124"/>
      <c r="O282" s="124"/>
      <c r="P282" s="73"/>
      <c r="Q282" s="73"/>
      <c r="R282" s="73"/>
      <c r="S282" s="73"/>
      <c r="T282" s="80"/>
      <c r="U282" s="77"/>
      <c r="V282" s="83"/>
      <c r="W282" s="83"/>
      <c r="X282" s="83"/>
      <c r="Y282" s="83"/>
      <c r="Z282" s="83"/>
      <c r="AA282" s="83"/>
      <c r="AB282" s="83"/>
      <c r="AC282" s="83"/>
      <c r="AD282" s="83"/>
      <c r="AE282" s="83"/>
      <c r="AF282" s="83"/>
      <c r="AG282" s="83"/>
      <c r="AH282" s="83"/>
      <c r="AI282" s="83"/>
      <c r="AJ282" s="83"/>
      <c r="AK282" s="83"/>
      <c r="AL282" s="83"/>
      <c r="AM282" s="83"/>
      <c r="AN282" s="83"/>
      <c r="AO282" s="83"/>
      <c r="AP282" s="83"/>
      <c r="AQ282" s="83"/>
      <c r="AR282" s="84"/>
      <c r="AS282" s="84"/>
      <c r="AT282" s="83"/>
      <c r="AU282" s="83"/>
      <c r="AV282" s="83"/>
      <c r="AW282" s="83"/>
      <c r="AX282" s="83"/>
      <c r="AY282" s="83"/>
      <c r="AZ282" s="83"/>
      <c r="BA282" s="83"/>
      <c r="BB282" s="83"/>
      <c r="BC282" s="83"/>
      <c r="BD282" s="83"/>
      <c r="BE282" s="83"/>
      <c r="BF282" s="83"/>
      <c r="BG282" s="83"/>
      <c r="BH282" s="83"/>
      <c r="BI282" s="83"/>
      <c r="BJ282" s="83"/>
      <c r="BK282" s="83"/>
      <c r="BL282" s="83"/>
      <c r="BM282" s="83"/>
      <c r="BN282" s="83"/>
      <c r="BO282" s="83"/>
      <c r="BP282" s="83"/>
      <c r="BQ282" s="83"/>
      <c r="BR282" s="83"/>
      <c r="BS282" s="83"/>
      <c r="BT282" s="83"/>
      <c r="BU282" s="83"/>
      <c r="BV282" s="83"/>
      <c r="BW282" s="83"/>
      <c r="BX282" s="83"/>
      <c r="BY282" s="83"/>
      <c r="BZ282" s="83"/>
      <c r="CA282" s="83"/>
      <c r="CB282" s="83"/>
      <c r="CC282" s="83"/>
      <c r="CD282" s="83"/>
      <c r="CE282" s="83"/>
      <c r="CF282" s="83"/>
      <c r="CG282" s="83"/>
      <c r="CH282" s="83"/>
      <c r="CI282" s="83"/>
      <c r="CJ282" s="83"/>
      <c r="CK282" s="83"/>
      <c r="CL282" s="83"/>
      <c r="CM282" s="83"/>
      <c r="CN282" s="86" t="str">
        <f t="shared" si="3954"/>
        <v>InitUnitState('',,,,,,,,,,)</v>
      </c>
      <c r="CO282" s="86" t="str">
        <f t="shared" si="3955"/>
        <v>InitUnitNormal('',,,,,,,,,,)</v>
      </c>
      <c r="CP282" s="86" t="str">
        <f t="shared" si="3956"/>
        <v>InitUnitMagic('',,,,,,,,,,)</v>
      </c>
      <c r="CQ282" s="86" t="str">
        <f t="shared" si="3957"/>
        <v>InitUnitAdd('',,,,,,,,,,)</v>
      </c>
      <c r="CR282" s="86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284&amp;CR$1&amp;")"</f>
        <v>InitEquipData('',,"",,,,,'','','','','','',"")</v>
      </c>
      <c r="CS282" s="86"/>
      <c r="CT282" s="86"/>
      <c r="CU282" s="88" t="str">
        <f t="shared" si="3722"/>
        <v>|n</v>
      </c>
      <c r="CV282" s="19"/>
      <c r="DB282" s="66" t="str">
        <f t="shared" si="3723"/>
        <v/>
      </c>
      <c r="DC282" s="66" t="str">
        <f t="shared" si="3724"/>
        <v/>
      </c>
      <c r="DD282" s="66" t="str">
        <f t="shared" si="3725"/>
        <v/>
      </c>
      <c r="DE282" s="66" t="str">
        <f t="shared" si="3726"/>
        <v/>
      </c>
      <c r="DF282" s="66" t="str">
        <f t="shared" si="3727"/>
        <v/>
      </c>
      <c r="DG282" s="66" t="str">
        <f t="shared" si="3728"/>
        <v/>
      </c>
      <c r="DH282" s="66" t="str">
        <f t="shared" si="3729"/>
        <v/>
      </c>
      <c r="DI282" s="66" t="str">
        <f t="shared" si="3730"/>
        <v/>
      </c>
      <c r="DJ282" s="66" t="str">
        <f t="shared" si="3731"/>
        <v/>
      </c>
      <c r="DK282" s="66" t="str">
        <f t="shared" si="3732"/>
        <v/>
      </c>
      <c r="DL282" s="66" t="str">
        <f t="shared" si="3733"/>
        <v/>
      </c>
      <c r="DM282" s="66" t="str">
        <f t="shared" si="3734"/>
        <v/>
      </c>
      <c r="DN282" s="66" t="str">
        <f t="shared" si="3735"/>
        <v/>
      </c>
      <c r="DO282" s="66" t="str">
        <f t="shared" si="3736"/>
        <v/>
      </c>
      <c r="DP282" s="66" t="str">
        <f t="shared" si="3737"/>
        <v/>
      </c>
      <c r="DQ282" s="66" t="str">
        <f t="shared" si="3738"/>
        <v/>
      </c>
      <c r="DR282" s="66" t="str">
        <f t="shared" si="3739"/>
        <v/>
      </c>
      <c r="DS282" s="66" t="str">
        <f t="shared" si="3740"/>
        <v/>
      </c>
      <c r="DT282" s="66" t="str">
        <f t="shared" si="3741"/>
        <v/>
      </c>
      <c r="DU282" s="66" t="str">
        <f t="shared" si="3742"/>
        <v/>
      </c>
      <c r="DV282" s="66" t="str">
        <f t="shared" si="3743"/>
        <v/>
      </c>
      <c r="DW282" s="66" t="str">
        <f t="shared" si="3744"/>
        <v/>
      </c>
      <c r="DX282" s="66" t="str">
        <f t="shared" si="3745"/>
        <v/>
      </c>
      <c r="DY282" s="66" t="str">
        <f t="shared" si="3746"/>
        <v/>
      </c>
      <c r="DZ282" s="66" t="str">
        <f t="shared" si="3747"/>
        <v/>
      </c>
      <c r="EA282" s="66" t="str">
        <f t="shared" si="3748"/>
        <v/>
      </c>
      <c r="EB282" s="66" t="str">
        <f t="shared" si="3749"/>
        <v/>
      </c>
      <c r="EC282" s="66" t="str">
        <f t="shared" si="3750"/>
        <v/>
      </c>
      <c r="ED282" s="66" t="str">
        <f t="shared" si="3751"/>
        <v/>
      </c>
      <c r="EE282" s="66" t="str">
        <f t="shared" si="3752"/>
        <v/>
      </c>
      <c r="EF282" s="66" t="str">
        <f t="shared" si="3753"/>
        <v/>
      </c>
      <c r="EG282" s="66" t="str">
        <f t="shared" si="3754"/>
        <v/>
      </c>
      <c r="EH282" s="66" t="str">
        <f t="shared" si="3755"/>
        <v/>
      </c>
      <c r="EI282" s="66" t="str">
        <f t="shared" si="3756"/>
        <v/>
      </c>
      <c r="EJ282" s="66" t="str">
        <f t="shared" si="3757"/>
        <v/>
      </c>
      <c r="EK282" s="66" t="str">
        <f t="shared" si="3758"/>
        <v/>
      </c>
      <c r="EL282" s="66" t="str">
        <f t="shared" si="3759"/>
        <v/>
      </c>
      <c r="EM282" s="66" t="str">
        <f t="shared" si="3760"/>
        <v/>
      </c>
      <c r="EN282" s="66" t="str">
        <f t="shared" si="3761"/>
        <v/>
      </c>
      <c r="EO282" s="66" t="str">
        <f t="shared" si="3762"/>
        <v/>
      </c>
      <c r="EP282" s="66" t="str">
        <f t="shared" si="3763"/>
        <v/>
      </c>
      <c r="EQ282" s="66" t="str">
        <f t="shared" si="3764"/>
        <v/>
      </c>
      <c r="ER282" s="66" t="str">
        <f t="shared" si="3765"/>
        <v/>
      </c>
      <c r="ES282" s="66" t="str">
        <f t="shared" si="3766"/>
        <v/>
      </c>
      <c r="ET282" s="66" t="str">
        <f t="shared" si="3767"/>
        <v/>
      </c>
      <c r="EU282" s="66" t="str">
        <f t="shared" si="3768"/>
        <v/>
      </c>
      <c r="EV282" s="66" t="str">
        <f t="shared" si="3769"/>
        <v/>
      </c>
      <c r="EW282" s="66" t="str">
        <f t="shared" si="3770"/>
        <v/>
      </c>
      <c r="EX282" s="66" t="str">
        <f t="shared" si="3771"/>
        <v/>
      </c>
      <c r="EY282" s="66" t="str">
        <f t="shared" si="3772"/>
        <v/>
      </c>
      <c r="EZ282" s="66" t="str">
        <f t="shared" si="3773"/>
        <v/>
      </c>
      <c r="FA282" s="66" t="str">
        <f t="shared" si="3774"/>
        <v/>
      </c>
      <c r="FB282" s="66" t="str">
        <f t="shared" si="3775"/>
        <v/>
      </c>
      <c r="FC282" s="66" t="str">
        <f t="shared" si="3776"/>
        <v/>
      </c>
      <c r="FD282" s="66" t="str">
        <f t="shared" si="3777"/>
        <v/>
      </c>
      <c r="FE282" s="66" t="str">
        <f t="shared" si="3778"/>
        <v/>
      </c>
      <c r="FF282" s="66" t="str">
        <f t="shared" si="3779"/>
        <v/>
      </c>
      <c r="FG282" s="66" t="str">
        <f t="shared" si="3780"/>
        <v/>
      </c>
      <c r="FH282" s="66" t="str">
        <f t="shared" si="3781"/>
        <v/>
      </c>
      <c r="FI282" s="66" t="str">
        <f t="shared" si="3782"/>
        <v/>
      </c>
      <c r="FJ282" s="66" t="str">
        <f t="shared" si="3783"/>
        <v/>
      </c>
      <c r="FK282" s="66" t="str">
        <f t="shared" si="3784"/>
        <v/>
      </c>
      <c r="FL282" s="66" t="str">
        <f t="shared" si="3785"/>
        <v/>
      </c>
      <c r="FM282" s="66" t="str">
        <f t="shared" si="3786"/>
        <v/>
      </c>
      <c r="FN282" s="66" t="str">
        <f t="shared" si="3787"/>
        <v/>
      </c>
      <c r="FO282" s="66" t="str">
        <f t="shared" si="3788"/>
        <v/>
      </c>
      <c r="FP282" s="66" t="str">
        <f t="shared" si="3789"/>
        <v/>
      </c>
      <c r="FQ282" s="66" t="str">
        <f t="shared" si="3790"/>
        <v/>
      </c>
      <c r="FR282" s="66" t="str">
        <f t="shared" si="3791"/>
        <v/>
      </c>
      <c r="FS282" s="66" t="str">
        <f t="shared" si="3792"/>
        <v/>
      </c>
    </row>
    <row r="283" spans="1:175" s="33" customFormat="1" ht="16.5">
      <c r="A283" s="122"/>
      <c r="B283" s="1"/>
      <c r="C283" s="122"/>
      <c r="D283" s="67"/>
      <c r="E283" s="68"/>
      <c r="F283" s="123"/>
      <c r="G283" s="124"/>
      <c r="H283" s="124"/>
      <c r="I283" s="124"/>
      <c r="J283" s="124"/>
      <c r="K283" s="124"/>
      <c r="L283" s="124"/>
      <c r="M283" s="124"/>
      <c r="N283" s="124"/>
      <c r="O283" s="124"/>
      <c r="P283" s="73"/>
      <c r="Q283" s="73"/>
      <c r="R283" s="73"/>
      <c r="S283" s="73"/>
      <c r="T283" s="80"/>
      <c r="U283" s="77"/>
      <c r="V283" s="83"/>
      <c r="W283" s="83"/>
      <c r="X283" s="83"/>
      <c r="Y283" s="83"/>
      <c r="Z283" s="83"/>
      <c r="AA283" s="83"/>
      <c r="AB283" s="83"/>
      <c r="AC283" s="83"/>
      <c r="AD283" s="83"/>
      <c r="AE283" s="83"/>
      <c r="AF283" s="83"/>
      <c r="AG283" s="83"/>
      <c r="AH283" s="83"/>
      <c r="AI283" s="83"/>
      <c r="AJ283" s="83"/>
      <c r="AK283" s="83"/>
      <c r="AL283" s="83"/>
      <c r="AM283" s="83"/>
      <c r="AN283" s="83"/>
      <c r="AO283" s="83"/>
      <c r="AP283" s="83"/>
      <c r="AQ283" s="83"/>
      <c r="AR283" s="84"/>
      <c r="AS283" s="84"/>
      <c r="AT283" s="83"/>
      <c r="AU283" s="83"/>
      <c r="AV283" s="83"/>
      <c r="AW283" s="83"/>
      <c r="AX283" s="83"/>
      <c r="AY283" s="83"/>
      <c r="AZ283" s="83"/>
      <c r="BA283" s="83"/>
      <c r="BB283" s="83"/>
      <c r="BC283" s="83"/>
      <c r="BD283" s="83"/>
      <c r="BE283" s="83"/>
      <c r="BF283" s="83"/>
      <c r="BG283" s="83"/>
      <c r="BH283" s="83"/>
      <c r="BI283" s="83"/>
      <c r="BJ283" s="83"/>
      <c r="BK283" s="83"/>
      <c r="BL283" s="83"/>
      <c r="BM283" s="83"/>
      <c r="BN283" s="83"/>
      <c r="BO283" s="83"/>
      <c r="BP283" s="83"/>
      <c r="BQ283" s="83"/>
      <c r="BR283" s="83"/>
      <c r="BS283" s="83"/>
      <c r="BT283" s="83"/>
      <c r="BU283" s="83"/>
      <c r="BV283" s="83"/>
      <c r="BW283" s="83"/>
      <c r="BX283" s="83"/>
      <c r="BY283" s="83"/>
      <c r="BZ283" s="83"/>
      <c r="CA283" s="83"/>
      <c r="CB283" s="83"/>
      <c r="CC283" s="83"/>
      <c r="CD283" s="83"/>
      <c r="CE283" s="83"/>
      <c r="CF283" s="83"/>
      <c r="CG283" s="83"/>
      <c r="CH283" s="83"/>
      <c r="CI283" s="83"/>
      <c r="CJ283" s="83"/>
      <c r="CK283" s="83"/>
      <c r="CL283" s="83"/>
      <c r="CM283" s="83"/>
      <c r="CN283" s="86" t="str">
        <f t="shared" si="3954"/>
        <v>InitUnitState('',,,,,,,,,,)</v>
      </c>
      <c r="CO283" s="86" t="str">
        <f t="shared" si="3955"/>
        <v>InitUnitNormal('',,,,,,,,,,)</v>
      </c>
      <c r="CP283" s="86" t="str">
        <f t="shared" si="3956"/>
        <v>InitUnitMagic('',,,,,,,,,,)</v>
      </c>
      <c r="CQ283" s="86" t="str">
        <f t="shared" si="3957"/>
        <v>InitUnitAdd('',,,,,,,,,,)</v>
      </c>
      <c r="CR283" s="86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285&amp;CR$1&amp;")"</f>
        <v>InitEquipData('',,"",,,,,'','','','','','',"")</v>
      </c>
      <c r="CS283" s="86"/>
      <c r="CT283" s="86"/>
      <c r="CU283" s="88" t="str">
        <f t="shared" si="3722"/>
        <v>|n</v>
      </c>
      <c r="CV283" s="19"/>
      <c r="DB283" s="66" t="str">
        <f t="shared" si="3723"/>
        <v/>
      </c>
      <c r="DC283" s="66" t="str">
        <f t="shared" si="3724"/>
        <v/>
      </c>
      <c r="DD283" s="66" t="str">
        <f t="shared" si="3725"/>
        <v/>
      </c>
      <c r="DE283" s="66" t="str">
        <f t="shared" si="3726"/>
        <v/>
      </c>
      <c r="DF283" s="66" t="str">
        <f t="shared" si="3727"/>
        <v/>
      </c>
      <c r="DG283" s="66" t="str">
        <f t="shared" si="3728"/>
        <v/>
      </c>
      <c r="DH283" s="66" t="str">
        <f t="shared" si="3729"/>
        <v/>
      </c>
      <c r="DI283" s="66" t="str">
        <f t="shared" si="3730"/>
        <v/>
      </c>
      <c r="DJ283" s="66" t="str">
        <f t="shared" si="3731"/>
        <v/>
      </c>
      <c r="DK283" s="66" t="str">
        <f t="shared" si="3732"/>
        <v/>
      </c>
      <c r="DL283" s="66" t="str">
        <f t="shared" si="3733"/>
        <v/>
      </c>
      <c r="DM283" s="66" t="str">
        <f t="shared" si="3734"/>
        <v/>
      </c>
      <c r="DN283" s="66" t="str">
        <f t="shared" si="3735"/>
        <v/>
      </c>
      <c r="DO283" s="66" t="str">
        <f t="shared" si="3736"/>
        <v/>
      </c>
      <c r="DP283" s="66" t="str">
        <f t="shared" si="3737"/>
        <v/>
      </c>
      <c r="DQ283" s="66" t="str">
        <f t="shared" si="3738"/>
        <v/>
      </c>
      <c r="DR283" s="66" t="str">
        <f t="shared" si="3739"/>
        <v/>
      </c>
      <c r="DS283" s="66" t="str">
        <f t="shared" si="3740"/>
        <v/>
      </c>
      <c r="DT283" s="66" t="str">
        <f t="shared" si="3741"/>
        <v/>
      </c>
      <c r="DU283" s="66" t="str">
        <f t="shared" si="3742"/>
        <v/>
      </c>
      <c r="DV283" s="66" t="str">
        <f t="shared" si="3743"/>
        <v/>
      </c>
      <c r="DW283" s="66" t="str">
        <f t="shared" si="3744"/>
        <v/>
      </c>
      <c r="DX283" s="66" t="str">
        <f t="shared" si="3745"/>
        <v/>
      </c>
      <c r="DY283" s="66" t="str">
        <f t="shared" si="3746"/>
        <v/>
      </c>
      <c r="DZ283" s="66" t="str">
        <f t="shared" si="3747"/>
        <v/>
      </c>
      <c r="EA283" s="66" t="str">
        <f t="shared" si="3748"/>
        <v/>
      </c>
      <c r="EB283" s="66" t="str">
        <f t="shared" si="3749"/>
        <v/>
      </c>
      <c r="EC283" s="66" t="str">
        <f t="shared" si="3750"/>
        <v/>
      </c>
      <c r="ED283" s="66" t="str">
        <f t="shared" si="3751"/>
        <v/>
      </c>
      <c r="EE283" s="66" t="str">
        <f t="shared" si="3752"/>
        <v/>
      </c>
      <c r="EF283" s="66" t="str">
        <f t="shared" si="3753"/>
        <v/>
      </c>
      <c r="EG283" s="66" t="str">
        <f t="shared" si="3754"/>
        <v/>
      </c>
      <c r="EH283" s="66" t="str">
        <f t="shared" si="3755"/>
        <v/>
      </c>
      <c r="EI283" s="66" t="str">
        <f t="shared" si="3756"/>
        <v/>
      </c>
      <c r="EJ283" s="66" t="str">
        <f t="shared" si="3757"/>
        <v/>
      </c>
      <c r="EK283" s="66" t="str">
        <f t="shared" si="3758"/>
        <v/>
      </c>
      <c r="EL283" s="66" t="str">
        <f t="shared" si="3759"/>
        <v/>
      </c>
      <c r="EM283" s="66" t="str">
        <f t="shared" si="3760"/>
        <v/>
      </c>
      <c r="EN283" s="66" t="str">
        <f t="shared" si="3761"/>
        <v/>
      </c>
      <c r="EO283" s="66" t="str">
        <f t="shared" si="3762"/>
        <v/>
      </c>
      <c r="EP283" s="66" t="str">
        <f t="shared" si="3763"/>
        <v/>
      </c>
      <c r="EQ283" s="66" t="str">
        <f t="shared" si="3764"/>
        <v/>
      </c>
      <c r="ER283" s="66" t="str">
        <f t="shared" si="3765"/>
        <v/>
      </c>
      <c r="ES283" s="66" t="str">
        <f t="shared" si="3766"/>
        <v/>
      </c>
      <c r="ET283" s="66" t="str">
        <f t="shared" si="3767"/>
        <v/>
      </c>
      <c r="EU283" s="66" t="str">
        <f t="shared" si="3768"/>
        <v/>
      </c>
      <c r="EV283" s="66" t="str">
        <f t="shared" si="3769"/>
        <v/>
      </c>
      <c r="EW283" s="66" t="str">
        <f t="shared" si="3770"/>
        <v/>
      </c>
      <c r="EX283" s="66" t="str">
        <f t="shared" si="3771"/>
        <v/>
      </c>
      <c r="EY283" s="66" t="str">
        <f t="shared" si="3772"/>
        <v/>
      </c>
      <c r="EZ283" s="66" t="str">
        <f t="shared" si="3773"/>
        <v/>
      </c>
      <c r="FA283" s="66" t="str">
        <f t="shared" si="3774"/>
        <v/>
      </c>
      <c r="FB283" s="66" t="str">
        <f t="shared" si="3775"/>
        <v/>
      </c>
      <c r="FC283" s="66" t="str">
        <f t="shared" si="3776"/>
        <v/>
      </c>
      <c r="FD283" s="66" t="str">
        <f t="shared" si="3777"/>
        <v/>
      </c>
      <c r="FE283" s="66" t="str">
        <f t="shared" si="3778"/>
        <v/>
      </c>
      <c r="FF283" s="66" t="str">
        <f t="shared" si="3779"/>
        <v/>
      </c>
      <c r="FG283" s="66" t="str">
        <f t="shared" si="3780"/>
        <v/>
      </c>
      <c r="FH283" s="66" t="str">
        <f t="shared" si="3781"/>
        <v/>
      </c>
      <c r="FI283" s="66" t="str">
        <f t="shared" si="3782"/>
        <v/>
      </c>
      <c r="FJ283" s="66" t="str">
        <f t="shared" si="3783"/>
        <v/>
      </c>
      <c r="FK283" s="66" t="str">
        <f t="shared" si="3784"/>
        <v/>
      </c>
      <c r="FL283" s="66" t="str">
        <f t="shared" si="3785"/>
        <v/>
      </c>
      <c r="FM283" s="66" t="str">
        <f t="shared" si="3786"/>
        <v/>
      </c>
      <c r="FN283" s="66" t="str">
        <f t="shared" si="3787"/>
        <v/>
      </c>
      <c r="FO283" s="66" t="str">
        <f t="shared" si="3788"/>
        <v/>
      </c>
      <c r="FP283" s="66" t="str">
        <f t="shared" si="3789"/>
        <v/>
      </c>
      <c r="FQ283" s="66" t="str">
        <f t="shared" si="3790"/>
        <v/>
      </c>
      <c r="FR283" s="66" t="str">
        <f t="shared" si="3791"/>
        <v/>
      </c>
      <c r="FS283" s="66" t="str">
        <f t="shared" si="3792"/>
        <v/>
      </c>
    </row>
    <row r="284" spans="1:175" ht="16.5">
      <c r="A284" s="2"/>
      <c r="B284" s="35"/>
      <c r="C284" s="2"/>
      <c r="E284" s="126"/>
      <c r="T284" s="128"/>
      <c r="U284" s="77"/>
      <c r="CU284" s="88" t="str">
        <f t="shared" si="3722"/>
        <v>|n</v>
      </c>
      <c r="CW284" s="33"/>
      <c r="CX284" s="33"/>
      <c r="CY284" s="33"/>
      <c r="CZ284" s="33"/>
      <c r="DA284" s="33"/>
      <c r="DB284" s="66" t="str">
        <f t="shared" si="3723"/>
        <v/>
      </c>
      <c r="DC284" s="66" t="str">
        <f t="shared" si="3724"/>
        <v/>
      </c>
      <c r="DD284" s="66" t="str">
        <f t="shared" si="3725"/>
        <v/>
      </c>
      <c r="DE284" s="66" t="str">
        <f t="shared" si="3726"/>
        <v/>
      </c>
      <c r="DF284" s="66" t="str">
        <f t="shared" si="3727"/>
        <v/>
      </c>
      <c r="DG284" s="66" t="str">
        <f t="shared" si="3728"/>
        <v/>
      </c>
      <c r="DH284" s="66" t="str">
        <f t="shared" si="3729"/>
        <v/>
      </c>
      <c r="DI284" s="66" t="str">
        <f t="shared" si="3730"/>
        <v/>
      </c>
      <c r="DJ284" s="66" t="str">
        <f t="shared" si="3731"/>
        <v/>
      </c>
      <c r="DK284" s="66" t="str">
        <f t="shared" si="3732"/>
        <v/>
      </c>
      <c r="DL284" s="66" t="str">
        <f t="shared" si="3733"/>
        <v/>
      </c>
      <c r="DM284" s="66" t="str">
        <f t="shared" si="3734"/>
        <v/>
      </c>
      <c r="DN284" s="66" t="str">
        <f t="shared" si="3735"/>
        <v/>
      </c>
      <c r="DO284" s="66" t="str">
        <f t="shared" si="3736"/>
        <v/>
      </c>
      <c r="DP284" s="66" t="str">
        <f t="shared" si="3737"/>
        <v/>
      </c>
      <c r="DQ284" s="66" t="str">
        <f t="shared" si="3738"/>
        <v/>
      </c>
      <c r="DR284" s="66" t="str">
        <f t="shared" si="3739"/>
        <v/>
      </c>
      <c r="DS284" s="66" t="str">
        <f t="shared" si="3740"/>
        <v/>
      </c>
      <c r="DT284" s="66" t="str">
        <f t="shared" si="3741"/>
        <v/>
      </c>
      <c r="DU284" s="66" t="str">
        <f t="shared" si="3742"/>
        <v/>
      </c>
      <c r="DV284" s="66" t="str">
        <f t="shared" si="3743"/>
        <v/>
      </c>
      <c r="DW284" s="66" t="str">
        <f t="shared" si="3744"/>
        <v/>
      </c>
      <c r="DX284" s="66" t="str">
        <f t="shared" si="3745"/>
        <v/>
      </c>
      <c r="DY284" s="66" t="str">
        <f t="shared" si="3746"/>
        <v/>
      </c>
      <c r="DZ284" s="66" t="str">
        <f t="shared" si="3747"/>
        <v/>
      </c>
      <c r="EA284" s="66" t="str">
        <f t="shared" si="3748"/>
        <v/>
      </c>
      <c r="EB284" s="66" t="str">
        <f t="shared" si="3749"/>
        <v/>
      </c>
      <c r="EC284" s="66" t="str">
        <f t="shared" si="3750"/>
        <v/>
      </c>
      <c r="ED284" s="66" t="str">
        <f t="shared" si="3751"/>
        <v/>
      </c>
      <c r="EE284" s="66" t="str">
        <f t="shared" si="3752"/>
        <v/>
      </c>
      <c r="EF284" s="66" t="str">
        <f t="shared" si="3753"/>
        <v/>
      </c>
      <c r="EG284" s="66" t="str">
        <f t="shared" si="3754"/>
        <v/>
      </c>
      <c r="EH284" s="66" t="str">
        <f t="shared" si="3755"/>
        <v/>
      </c>
      <c r="EI284" s="66" t="str">
        <f t="shared" si="3756"/>
        <v/>
      </c>
      <c r="EJ284" s="66" t="str">
        <f t="shared" si="3757"/>
        <v/>
      </c>
      <c r="EK284" s="66" t="str">
        <f t="shared" si="3758"/>
        <v/>
      </c>
      <c r="EL284" s="66" t="str">
        <f t="shared" si="3759"/>
        <v/>
      </c>
      <c r="EM284" s="66" t="str">
        <f t="shared" si="3760"/>
        <v/>
      </c>
      <c r="EN284" s="66" t="str">
        <f t="shared" si="3761"/>
        <v/>
      </c>
      <c r="EO284" s="66" t="str">
        <f t="shared" si="3762"/>
        <v/>
      </c>
      <c r="EP284" s="66" t="str">
        <f t="shared" si="3763"/>
        <v/>
      </c>
      <c r="EQ284" s="66" t="str">
        <f t="shared" si="3764"/>
        <v/>
      </c>
      <c r="ER284" s="66" t="str">
        <f t="shared" si="3765"/>
        <v/>
      </c>
      <c r="ES284" s="66" t="str">
        <f t="shared" si="3766"/>
        <v/>
      </c>
      <c r="ET284" s="66" t="str">
        <f t="shared" si="3767"/>
        <v/>
      </c>
      <c r="EU284" s="66" t="str">
        <f t="shared" si="3768"/>
        <v/>
      </c>
      <c r="EV284" s="66" t="str">
        <f t="shared" si="3769"/>
        <v/>
      </c>
      <c r="EW284" s="66" t="str">
        <f t="shared" si="3770"/>
        <v/>
      </c>
      <c r="EX284" s="66" t="str">
        <f t="shared" si="3771"/>
        <v/>
      </c>
      <c r="EY284" s="66" t="str">
        <f t="shared" si="3772"/>
        <v/>
      </c>
      <c r="EZ284" s="66" t="str">
        <f t="shared" si="3773"/>
        <v/>
      </c>
      <c r="FA284" s="66" t="str">
        <f t="shared" si="3774"/>
        <v/>
      </c>
      <c r="FB284" s="66" t="str">
        <f t="shared" si="3775"/>
        <v/>
      </c>
      <c r="FC284" s="66" t="str">
        <f t="shared" si="3776"/>
        <v/>
      </c>
      <c r="FD284" s="66" t="str">
        <f t="shared" si="3777"/>
        <v/>
      </c>
      <c r="FE284" s="66" t="str">
        <f t="shared" si="3778"/>
        <v/>
      </c>
      <c r="FF284" s="66" t="str">
        <f t="shared" si="3779"/>
        <v/>
      </c>
      <c r="FG284" s="66" t="str">
        <f t="shared" si="3780"/>
        <v/>
      </c>
      <c r="FH284" s="66" t="str">
        <f t="shared" si="3781"/>
        <v/>
      </c>
      <c r="FI284" s="66" t="str">
        <f t="shared" si="3782"/>
        <v/>
      </c>
      <c r="FJ284" s="66" t="str">
        <f t="shared" si="3783"/>
        <v/>
      </c>
      <c r="FK284" s="66" t="str">
        <f t="shared" si="3784"/>
        <v/>
      </c>
      <c r="FL284" s="66" t="str">
        <f t="shared" si="3785"/>
        <v/>
      </c>
      <c r="FM284" s="66" t="str">
        <f t="shared" si="3786"/>
        <v/>
      </c>
      <c r="FN284" s="66" t="str">
        <f t="shared" si="3787"/>
        <v/>
      </c>
      <c r="FO284" s="66" t="str">
        <f t="shared" si="3788"/>
        <v/>
      </c>
      <c r="FP284" s="66" t="str">
        <f t="shared" si="3789"/>
        <v/>
      </c>
      <c r="FQ284" s="66" t="str">
        <f t="shared" si="3790"/>
        <v/>
      </c>
      <c r="FR284" s="66" t="str">
        <f t="shared" si="3791"/>
        <v/>
      </c>
      <c r="FS284" s="66" t="str">
        <f t="shared" si="3792"/>
        <v/>
      </c>
    </row>
    <row r="285" spans="1:175" ht="16.5">
      <c r="A285" s="2"/>
      <c r="B285" s="35"/>
      <c r="C285" s="2"/>
      <c r="E285" s="126"/>
      <c r="T285" s="128"/>
      <c r="U285" s="77"/>
      <c r="CU285" s="88" t="str">
        <f t="shared" si="3722"/>
        <v>|n</v>
      </c>
      <c r="CW285" s="33"/>
      <c r="CX285" s="33"/>
      <c r="CY285" s="33"/>
      <c r="CZ285" s="33"/>
      <c r="DA285" s="33"/>
      <c r="DB285" s="66" t="str">
        <f t="shared" si="3723"/>
        <v/>
      </c>
      <c r="DC285" s="66" t="str">
        <f t="shared" si="3724"/>
        <v/>
      </c>
      <c r="DD285" s="66" t="str">
        <f t="shared" si="3725"/>
        <v/>
      </c>
      <c r="DE285" s="66" t="str">
        <f t="shared" si="3726"/>
        <v/>
      </c>
      <c r="DF285" s="66" t="str">
        <f t="shared" si="3727"/>
        <v/>
      </c>
      <c r="DG285" s="66" t="str">
        <f t="shared" si="3728"/>
        <v/>
      </c>
      <c r="DH285" s="66" t="str">
        <f t="shared" si="3729"/>
        <v/>
      </c>
      <c r="DI285" s="66" t="str">
        <f t="shared" si="3730"/>
        <v/>
      </c>
      <c r="DJ285" s="66" t="str">
        <f t="shared" si="3731"/>
        <v/>
      </c>
      <c r="DK285" s="66" t="str">
        <f t="shared" si="3732"/>
        <v/>
      </c>
      <c r="DL285" s="66" t="str">
        <f t="shared" si="3733"/>
        <v/>
      </c>
      <c r="DM285" s="66" t="str">
        <f t="shared" si="3734"/>
        <v/>
      </c>
      <c r="DN285" s="66" t="str">
        <f t="shared" si="3735"/>
        <v/>
      </c>
      <c r="DO285" s="66" t="str">
        <f t="shared" si="3736"/>
        <v/>
      </c>
      <c r="DP285" s="66" t="str">
        <f t="shared" si="3737"/>
        <v/>
      </c>
      <c r="DQ285" s="66" t="str">
        <f t="shared" si="3738"/>
        <v/>
      </c>
      <c r="DR285" s="66" t="str">
        <f t="shared" si="3739"/>
        <v/>
      </c>
      <c r="DS285" s="66" t="str">
        <f t="shared" si="3740"/>
        <v/>
      </c>
      <c r="DT285" s="66" t="str">
        <f t="shared" si="3741"/>
        <v/>
      </c>
      <c r="DU285" s="66" t="str">
        <f t="shared" si="3742"/>
        <v/>
      </c>
      <c r="DV285" s="66" t="str">
        <f t="shared" si="3743"/>
        <v/>
      </c>
      <c r="DW285" s="66" t="str">
        <f t="shared" si="3744"/>
        <v/>
      </c>
      <c r="DX285" s="66" t="str">
        <f t="shared" si="3745"/>
        <v/>
      </c>
      <c r="DY285" s="66" t="str">
        <f t="shared" si="3746"/>
        <v/>
      </c>
      <c r="DZ285" s="66" t="str">
        <f t="shared" si="3747"/>
        <v/>
      </c>
      <c r="EA285" s="66" t="str">
        <f t="shared" si="3748"/>
        <v/>
      </c>
      <c r="EB285" s="66" t="str">
        <f t="shared" si="3749"/>
        <v/>
      </c>
      <c r="EC285" s="66" t="str">
        <f t="shared" si="3750"/>
        <v/>
      </c>
      <c r="ED285" s="66" t="str">
        <f t="shared" si="3751"/>
        <v/>
      </c>
      <c r="EE285" s="66" t="str">
        <f t="shared" si="3752"/>
        <v/>
      </c>
      <c r="EF285" s="66" t="str">
        <f t="shared" si="3753"/>
        <v/>
      </c>
      <c r="EG285" s="66" t="str">
        <f t="shared" si="3754"/>
        <v/>
      </c>
      <c r="EH285" s="66" t="str">
        <f t="shared" si="3755"/>
        <v/>
      </c>
      <c r="EI285" s="66" t="str">
        <f t="shared" si="3756"/>
        <v/>
      </c>
      <c r="EJ285" s="66" t="str">
        <f t="shared" si="3757"/>
        <v/>
      </c>
      <c r="EK285" s="66" t="str">
        <f t="shared" si="3758"/>
        <v/>
      </c>
      <c r="EL285" s="66" t="str">
        <f t="shared" si="3759"/>
        <v/>
      </c>
      <c r="EM285" s="66" t="str">
        <f t="shared" si="3760"/>
        <v/>
      </c>
      <c r="EN285" s="66" t="str">
        <f t="shared" si="3761"/>
        <v/>
      </c>
      <c r="EO285" s="66" t="str">
        <f t="shared" si="3762"/>
        <v/>
      </c>
      <c r="EP285" s="66" t="str">
        <f t="shared" si="3763"/>
        <v/>
      </c>
      <c r="EQ285" s="66" t="str">
        <f t="shared" si="3764"/>
        <v/>
      </c>
      <c r="ER285" s="66" t="str">
        <f t="shared" si="3765"/>
        <v/>
      </c>
      <c r="ES285" s="66" t="str">
        <f t="shared" si="3766"/>
        <v/>
      </c>
      <c r="ET285" s="66" t="str">
        <f t="shared" si="3767"/>
        <v/>
      </c>
      <c r="EU285" s="66" t="str">
        <f t="shared" si="3768"/>
        <v/>
      </c>
      <c r="EV285" s="66" t="str">
        <f t="shared" si="3769"/>
        <v/>
      </c>
      <c r="EW285" s="66" t="str">
        <f t="shared" si="3770"/>
        <v/>
      </c>
      <c r="EX285" s="66" t="str">
        <f t="shared" si="3771"/>
        <v/>
      </c>
      <c r="EY285" s="66" t="str">
        <f t="shared" si="3772"/>
        <v/>
      </c>
      <c r="EZ285" s="66" t="str">
        <f t="shared" si="3773"/>
        <v/>
      </c>
      <c r="FA285" s="66" t="str">
        <f t="shared" si="3774"/>
        <v/>
      </c>
      <c r="FB285" s="66" t="str">
        <f t="shared" si="3775"/>
        <v/>
      </c>
      <c r="FC285" s="66" t="str">
        <f t="shared" si="3776"/>
        <v/>
      </c>
      <c r="FD285" s="66" t="str">
        <f t="shared" si="3777"/>
        <v/>
      </c>
      <c r="FE285" s="66" t="str">
        <f t="shared" si="3778"/>
        <v/>
      </c>
      <c r="FF285" s="66" t="str">
        <f t="shared" si="3779"/>
        <v/>
      </c>
      <c r="FG285" s="66" t="str">
        <f t="shared" si="3780"/>
        <v/>
      </c>
      <c r="FH285" s="66" t="str">
        <f t="shared" si="3781"/>
        <v/>
      </c>
      <c r="FI285" s="66" t="str">
        <f t="shared" si="3782"/>
        <v/>
      </c>
      <c r="FJ285" s="66" t="str">
        <f t="shared" si="3783"/>
        <v/>
      </c>
      <c r="FK285" s="66" t="str">
        <f t="shared" si="3784"/>
        <v/>
      </c>
      <c r="FL285" s="66" t="str">
        <f t="shared" si="3785"/>
        <v/>
      </c>
      <c r="FM285" s="66" t="str">
        <f t="shared" si="3786"/>
        <v/>
      </c>
      <c r="FN285" s="66" t="str">
        <f t="shared" si="3787"/>
        <v/>
      </c>
      <c r="FO285" s="66" t="str">
        <f t="shared" si="3788"/>
        <v/>
      </c>
      <c r="FP285" s="66" t="str">
        <f t="shared" si="3789"/>
        <v/>
      </c>
      <c r="FQ285" s="66" t="str">
        <f t="shared" si="3790"/>
        <v/>
      </c>
      <c r="FR285" s="66" t="str">
        <f t="shared" si="3791"/>
        <v/>
      </c>
      <c r="FS285" s="66" t="str">
        <f t="shared" si="3792"/>
        <v/>
      </c>
    </row>
    <row r="286" spans="1:175" ht="16.5">
      <c r="A286" s="2"/>
      <c r="B286" s="35"/>
      <c r="C286" s="2"/>
      <c r="E286" s="126"/>
      <c r="T286" s="128"/>
      <c r="U286" s="77"/>
      <c r="CU286" s="88" t="str">
        <f t="shared" si="3722"/>
        <v>|n</v>
      </c>
      <c r="CW286" s="33"/>
      <c r="CX286" s="33"/>
      <c r="CY286" s="33"/>
      <c r="CZ286" s="33"/>
      <c r="DA286" s="33"/>
      <c r="DB286" s="66" t="str">
        <f t="shared" si="3723"/>
        <v/>
      </c>
      <c r="DC286" s="66" t="str">
        <f t="shared" si="3724"/>
        <v/>
      </c>
      <c r="DD286" s="66" t="str">
        <f t="shared" si="3725"/>
        <v/>
      </c>
      <c r="DE286" s="66" t="str">
        <f t="shared" si="3726"/>
        <v/>
      </c>
      <c r="DF286" s="66" t="str">
        <f t="shared" si="3727"/>
        <v/>
      </c>
      <c r="DG286" s="66" t="str">
        <f t="shared" si="3728"/>
        <v/>
      </c>
      <c r="DH286" s="66" t="str">
        <f t="shared" si="3729"/>
        <v/>
      </c>
      <c r="DI286" s="66" t="str">
        <f t="shared" si="3730"/>
        <v/>
      </c>
      <c r="DJ286" s="66" t="str">
        <f t="shared" si="3731"/>
        <v/>
      </c>
      <c r="DK286" s="66" t="str">
        <f t="shared" si="3732"/>
        <v/>
      </c>
      <c r="DL286" s="66" t="str">
        <f t="shared" si="3733"/>
        <v/>
      </c>
      <c r="DM286" s="66" t="str">
        <f t="shared" si="3734"/>
        <v/>
      </c>
      <c r="DN286" s="66" t="str">
        <f t="shared" si="3735"/>
        <v/>
      </c>
      <c r="DO286" s="66" t="str">
        <f t="shared" si="3736"/>
        <v/>
      </c>
      <c r="DP286" s="66" t="str">
        <f t="shared" si="3737"/>
        <v/>
      </c>
      <c r="DQ286" s="66" t="str">
        <f t="shared" si="3738"/>
        <v/>
      </c>
      <c r="DR286" s="66" t="str">
        <f t="shared" si="3739"/>
        <v/>
      </c>
      <c r="DS286" s="66" t="str">
        <f t="shared" si="3740"/>
        <v/>
      </c>
      <c r="DT286" s="66" t="str">
        <f t="shared" si="3741"/>
        <v/>
      </c>
      <c r="DU286" s="66" t="str">
        <f t="shared" si="3742"/>
        <v/>
      </c>
      <c r="DV286" s="66" t="str">
        <f t="shared" si="3743"/>
        <v/>
      </c>
      <c r="DW286" s="66" t="str">
        <f t="shared" si="3744"/>
        <v/>
      </c>
      <c r="DX286" s="66" t="str">
        <f t="shared" si="3745"/>
        <v/>
      </c>
      <c r="DY286" s="66" t="str">
        <f t="shared" si="3746"/>
        <v/>
      </c>
      <c r="DZ286" s="66" t="str">
        <f t="shared" si="3747"/>
        <v/>
      </c>
      <c r="EA286" s="66" t="str">
        <f t="shared" si="3748"/>
        <v/>
      </c>
      <c r="EB286" s="66" t="str">
        <f t="shared" si="3749"/>
        <v/>
      </c>
      <c r="EC286" s="66" t="str">
        <f t="shared" si="3750"/>
        <v/>
      </c>
      <c r="ED286" s="66" t="str">
        <f t="shared" si="3751"/>
        <v/>
      </c>
      <c r="EE286" s="66" t="str">
        <f t="shared" si="3752"/>
        <v/>
      </c>
      <c r="EF286" s="66" t="str">
        <f t="shared" si="3753"/>
        <v/>
      </c>
      <c r="EG286" s="66" t="str">
        <f t="shared" si="3754"/>
        <v/>
      </c>
      <c r="EH286" s="66" t="str">
        <f t="shared" si="3755"/>
        <v/>
      </c>
      <c r="EI286" s="66" t="str">
        <f t="shared" si="3756"/>
        <v/>
      </c>
      <c r="EJ286" s="66" t="str">
        <f t="shared" si="3757"/>
        <v/>
      </c>
      <c r="EK286" s="66" t="str">
        <f t="shared" si="3758"/>
        <v/>
      </c>
      <c r="EL286" s="66" t="str">
        <f t="shared" si="3759"/>
        <v/>
      </c>
      <c r="EM286" s="66" t="str">
        <f t="shared" si="3760"/>
        <v/>
      </c>
      <c r="EN286" s="66" t="str">
        <f t="shared" si="3761"/>
        <v/>
      </c>
      <c r="EO286" s="66" t="str">
        <f t="shared" si="3762"/>
        <v/>
      </c>
      <c r="EP286" s="66" t="str">
        <f t="shared" si="3763"/>
        <v/>
      </c>
      <c r="EQ286" s="66" t="str">
        <f t="shared" si="3764"/>
        <v/>
      </c>
      <c r="ER286" s="66" t="str">
        <f t="shared" si="3765"/>
        <v/>
      </c>
      <c r="ES286" s="66" t="str">
        <f t="shared" si="3766"/>
        <v/>
      </c>
      <c r="ET286" s="66" t="str">
        <f t="shared" si="3767"/>
        <v/>
      </c>
      <c r="EU286" s="66" t="str">
        <f t="shared" si="3768"/>
        <v/>
      </c>
      <c r="EV286" s="66" t="str">
        <f t="shared" si="3769"/>
        <v/>
      </c>
      <c r="EW286" s="66" t="str">
        <f t="shared" si="3770"/>
        <v/>
      </c>
      <c r="EX286" s="66" t="str">
        <f t="shared" si="3771"/>
        <v/>
      </c>
      <c r="EY286" s="66" t="str">
        <f t="shared" si="3772"/>
        <v/>
      </c>
      <c r="EZ286" s="66" t="str">
        <f t="shared" si="3773"/>
        <v/>
      </c>
      <c r="FA286" s="66" t="str">
        <f t="shared" si="3774"/>
        <v/>
      </c>
      <c r="FB286" s="66" t="str">
        <f t="shared" si="3775"/>
        <v/>
      </c>
      <c r="FC286" s="66" t="str">
        <f t="shared" si="3776"/>
        <v/>
      </c>
      <c r="FD286" s="66" t="str">
        <f t="shared" si="3777"/>
        <v/>
      </c>
      <c r="FE286" s="66" t="str">
        <f t="shared" si="3778"/>
        <v/>
      </c>
      <c r="FF286" s="66" t="str">
        <f t="shared" si="3779"/>
        <v/>
      </c>
      <c r="FG286" s="66" t="str">
        <f t="shared" si="3780"/>
        <v/>
      </c>
      <c r="FH286" s="66" t="str">
        <f t="shared" si="3781"/>
        <v/>
      </c>
      <c r="FI286" s="66" t="str">
        <f t="shared" si="3782"/>
        <v/>
      </c>
      <c r="FJ286" s="66" t="str">
        <f t="shared" si="3783"/>
        <v/>
      </c>
      <c r="FK286" s="66" t="str">
        <f t="shared" si="3784"/>
        <v/>
      </c>
      <c r="FL286" s="66" t="str">
        <f t="shared" si="3785"/>
        <v/>
      </c>
      <c r="FM286" s="66" t="str">
        <f t="shared" si="3786"/>
        <v/>
      </c>
      <c r="FN286" s="66" t="str">
        <f t="shared" si="3787"/>
        <v/>
      </c>
      <c r="FO286" s="66" t="str">
        <f t="shared" si="3788"/>
        <v/>
      </c>
      <c r="FP286" s="66" t="str">
        <f t="shared" si="3789"/>
        <v/>
      </c>
      <c r="FQ286" s="66" t="str">
        <f t="shared" si="3790"/>
        <v/>
      </c>
      <c r="FR286" s="66" t="str">
        <f t="shared" si="3791"/>
        <v/>
      </c>
      <c r="FS286" s="66" t="str">
        <f t="shared" si="3792"/>
        <v/>
      </c>
    </row>
    <row r="287" spans="1:175" ht="16.5">
      <c r="A287" s="2"/>
      <c r="B287" s="35"/>
      <c r="C287" s="2"/>
      <c r="E287" s="126"/>
      <c r="T287" s="128"/>
      <c r="U287" s="77"/>
      <c r="CU287" s="88" t="str">
        <f t="shared" si="3722"/>
        <v>|n</v>
      </c>
      <c r="CW287" s="33"/>
      <c r="CX287" s="33"/>
      <c r="CY287" s="33"/>
      <c r="CZ287" s="33"/>
      <c r="DA287" s="33"/>
      <c r="DB287" s="66" t="str">
        <f t="shared" si="3723"/>
        <v/>
      </c>
      <c r="DC287" s="66" t="str">
        <f t="shared" si="3724"/>
        <v/>
      </c>
      <c r="DD287" s="66" t="str">
        <f t="shared" si="3725"/>
        <v/>
      </c>
      <c r="DE287" s="66" t="str">
        <f t="shared" si="3726"/>
        <v/>
      </c>
      <c r="DF287" s="66" t="str">
        <f t="shared" si="3727"/>
        <v/>
      </c>
      <c r="DG287" s="66" t="str">
        <f t="shared" si="3728"/>
        <v/>
      </c>
      <c r="DH287" s="66" t="str">
        <f t="shared" si="3729"/>
        <v/>
      </c>
      <c r="DI287" s="66" t="str">
        <f t="shared" si="3730"/>
        <v/>
      </c>
      <c r="DJ287" s="66" t="str">
        <f t="shared" si="3731"/>
        <v/>
      </c>
      <c r="DK287" s="66" t="str">
        <f t="shared" si="3732"/>
        <v/>
      </c>
      <c r="DL287" s="66" t="str">
        <f t="shared" si="3733"/>
        <v/>
      </c>
      <c r="DM287" s="66" t="str">
        <f t="shared" si="3734"/>
        <v/>
      </c>
      <c r="DN287" s="66" t="str">
        <f t="shared" si="3735"/>
        <v/>
      </c>
      <c r="DO287" s="66" t="str">
        <f t="shared" si="3736"/>
        <v/>
      </c>
      <c r="DP287" s="66" t="str">
        <f t="shared" si="3737"/>
        <v/>
      </c>
      <c r="DQ287" s="66" t="str">
        <f t="shared" si="3738"/>
        <v/>
      </c>
      <c r="DR287" s="66" t="str">
        <f t="shared" si="3739"/>
        <v/>
      </c>
      <c r="DS287" s="66" t="str">
        <f t="shared" si="3740"/>
        <v/>
      </c>
      <c r="DT287" s="66" t="str">
        <f t="shared" si="3741"/>
        <v/>
      </c>
      <c r="DU287" s="66" t="str">
        <f t="shared" si="3742"/>
        <v/>
      </c>
      <c r="DV287" s="66" t="str">
        <f t="shared" si="3743"/>
        <v/>
      </c>
      <c r="DW287" s="66" t="str">
        <f t="shared" si="3744"/>
        <v/>
      </c>
      <c r="DX287" s="66" t="str">
        <f t="shared" si="3745"/>
        <v/>
      </c>
      <c r="DY287" s="66" t="str">
        <f t="shared" si="3746"/>
        <v/>
      </c>
      <c r="DZ287" s="66" t="str">
        <f t="shared" si="3747"/>
        <v/>
      </c>
      <c r="EA287" s="66" t="str">
        <f t="shared" si="3748"/>
        <v/>
      </c>
      <c r="EB287" s="66" t="str">
        <f t="shared" si="3749"/>
        <v/>
      </c>
      <c r="EC287" s="66" t="str">
        <f t="shared" si="3750"/>
        <v/>
      </c>
      <c r="ED287" s="66" t="str">
        <f t="shared" si="3751"/>
        <v/>
      </c>
      <c r="EE287" s="66" t="str">
        <f t="shared" si="3752"/>
        <v/>
      </c>
      <c r="EF287" s="66" t="str">
        <f t="shared" si="3753"/>
        <v/>
      </c>
      <c r="EG287" s="66" t="str">
        <f t="shared" si="3754"/>
        <v/>
      </c>
      <c r="EH287" s="66" t="str">
        <f t="shared" si="3755"/>
        <v/>
      </c>
      <c r="EI287" s="66" t="str">
        <f t="shared" si="3756"/>
        <v/>
      </c>
      <c r="EJ287" s="66" t="str">
        <f t="shared" si="3757"/>
        <v/>
      </c>
      <c r="EK287" s="66" t="str">
        <f t="shared" si="3758"/>
        <v/>
      </c>
      <c r="EL287" s="66" t="str">
        <f t="shared" si="3759"/>
        <v/>
      </c>
      <c r="EM287" s="66" t="str">
        <f t="shared" si="3760"/>
        <v/>
      </c>
      <c r="EN287" s="66" t="str">
        <f t="shared" si="3761"/>
        <v/>
      </c>
      <c r="EO287" s="66" t="str">
        <f t="shared" si="3762"/>
        <v/>
      </c>
      <c r="EP287" s="66" t="str">
        <f t="shared" si="3763"/>
        <v/>
      </c>
      <c r="EQ287" s="66" t="str">
        <f t="shared" si="3764"/>
        <v/>
      </c>
      <c r="ER287" s="66" t="str">
        <f t="shared" si="3765"/>
        <v/>
      </c>
      <c r="ES287" s="66" t="str">
        <f t="shared" si="3766"/>
        <v/>
      </c>
      <c r="ET287" s="66" t="str">
        <f t="shared" si="3767"/>
        <v/>
      </c>
      <c r="EU287" s="66" t="str">
        <f t="shared" si="3768"/>
        <v/>
      </c>
      <c r="EV287" s="66" t="str">
        <f t="shared" si="3769"/>
        <v/>
      </c>
      <c r="EW287" s="66" t="str">
        <f t="shared" si="3770"/>
        <v/>
      </c>
      <c r="EX287" s="66" t="str">
        <f t="shared" si="3771"/>
        <v/>
      </c>
      <c r="EY287" s="66" t="str">
        <f t="shared" si="3772"/>
        <v/>
      </c>
      <c r="EZ287" s="66" t="str">
        <f t="shared" si="3773"/>
        <v/>
      </c>
      <c r="FA287" s="66" t="str">
        <f t="shared" si="3774"/>
        <v/>
      </c>
      <c r="FB287" s="66" t="str">
        <f t="shared" si="3775"/>
        <v/>
      </c>
      <c r="FC287" s="66" t="str">
        <f t="shared" si="3776"/>
        <v/>
      </c>
      <c r="FD287" s="66" t="str">
        <f t="shared" si="3777"/>
        <v/>
      </c>
      <c r="FE287" s="66" t="str">
        <f t="shared" si="3778"/>
        <v/>
      </c>
      <c r="FF287" s="66" t="str">
        <f t="shared" si="3779"/>
        <v/>
      </c>
      <c r="FG287" s="66" t="str">
        <f t="shared" si="3780"/>
        <v/>
      </c>
      <c r="FH287" s="66" t="str">
        <f t="shared" si="3781"/>
        <v/>
      </c>
      <c r="FI287" s="66" t="str">
        <f t="shared" si="3782"/>
        <v/>
      </c>
      <c r="FJ287" s="66" t="str">
        <f t="shared" si="3783"/>
        <v/>
      </c>
      <c r="FK287" s="66" t="str">
        <f t="shared" si="3784"/>
        <v/>
      </c>
      <c r="FL287" s="66" t="str">
        <f t="shared" si="3785"/>
        <v/>
      </c>
      <c r="FM287" s="66" t="str">
        <f t="shared" si="3786"/>
        <v/>
      </c>
      <c r="FN287" s="66" t="str">
        <f t="shared" si="3787"/>
        <v/>
      </c>
      <c r="FO287" s="66" t="str">
        <f t="shared" si="3788"/>
        <v/>
      </c>
      <c r="FP287" s="66" t="str">
        <f t="shared" si="3789"/>
        <v/>
      </c>
      <c r="FQ287" s="66" t="str">
        <f t="shared" si="3790"/>
        <v/>
      </c>
      <c r="FR287" s="66" t="str">
        <f t="shared" si="3791"/>
        <v/>
      </c>
      <c r="FS287" s="66" t="str">
        <f t="shared" si="3792"/>
        <v/>
      </c>
    </row>
    <row r="288" spans="1:175" ht="16.5">
      <c r="A288" s="2"/>
      <c r="B288" s="35"/>
      <c r="C288" s="2"/>
      <c r="E288" s="126"/>
      <c r="T288" s="128"/>
      <c r="U288" s="77"/>
      <c r="CU288" s="88" t="str">
        <f t="shared" si="3722"/>
        <v>|n</v>
      </c>
      <c r="CW288" s="33"/>
      <c r="CX288" s="33"/>
      <c r="CY288" s="33"/>
      <c r="CZ288" s="33"/>
      <c r="DA288" s="33"/>
      <c r="DB288" s="66" t="str">
        <f t="shared" si="3723"/>
        <v/>
      </c>
      <c r="DC288" s="66" t="str">
        <f t="shared" si="3724"/>
        <v/>
      </c>
      <c r="DD288" s="66" t="str">
        <f t="shared" si="3725"/>
        <v/>
      </c>
      <c r="DE288" s="66" t="str">
        <f t="shared" si="3726"/>
        <v/>
      </c>
      <c r="DF288" s="66" t="str">
        <f t="shared" si="3727"/>
        <v/>
      </c>
      <c r="DG288" s="66" t="str">
        <f t="shared" si="3728"/>
        <v/>
      </c>
      <c r="DH288" s="66" t="str">
        <f t="shared" si="3729"/>
        <v/>
      </c>
      <c r="DI288" s="66" t="str">
        <f t="shared" si="3730"/>
        <v/>
      </c>
      <c r="DJ288" s="66" t="str">
        <f t="shared" si="3731"/>
        <v/>
      </c>
      <c r="DK288" s="66" t="str">
        <f t="shared" si="3732"/>
        <v/>
      </c>
      <c r="DL288" s="66" t="str">
        <f t="shared" si="3733"/>
        <v/>
      </c>
      <c r="DM288" s="66" t="str">
        <f t="shared" si="3734"/>
        <v/>
      </c>
      <c r="DN288" s="66" t="str">
        <f t="shared" si="3735"/>
        <v/>
      </c>
      <c r="DO288" s="66" t="str">
        <f t="shared" si="3736"/>
        <v/>
      </c>
      <c r="DP288" s="66" t="str">
        <f t="shared" si="3737"/>
        <v/>
      </c>
      <c r="DQ288" s="66" t="str">
        <f t="shared" si="3738"/>
        <v/>
      </c>
      <c r="DR288" s="66" t="str">
        <f t="shared" si="3739"/>
        <v/>
      </c>
      <c r="DS288" s="66" t="str">
        <f t="shared" si="3740"/>
        <v/>
      </c>
      <c r="DT288" s="66" t="str">
        <f t="shared" si="3741"/>
        <v/>
      </c>
      <c r="DU288" s="66" t="str">
        <f t="shared" si="3742"/>
        <v/>
      </c>
      <c r="DV288" s="66" t="str">
        <f t="shared" si="3743"/>
        <v/>
      </c>
      <c r="DW288" s="66" t="str">
        <f t="shared" si="3744"/>
        <v/>
      </c>
      <c r="DX288" s="66" t="str">
        <f t="shared" si="3745"/>
        <v/>
      </c>
      <c r="DY288" s="66" t="str">
        <f t="shared" si="3746"/>
        <v/>
      </c>
      <c r="DZ288" s="66" t="str">
        <f t="shared" si="3747"/>
        <v/>
      </c>
      <c r="EA288" s="66" t="str">
        <f t="shared" si="3748"/>
        <v/>
      </c>
      <c r="EB288" s="66" t="str">
        <f t="shared" si="3749"/>
        <v/>
      </c>
      <c r="EC288" s="66" t="str">
        <f t="shared" si="3750"/>
        <v/>
      </c>
      <c r="ED288" s="66" t="str">
        <f t="shared" si="3751"/>
        <v/>
      </c>
      <c r="EE288" s="66" t="str">
        <f t="shared" si="3752"/>
        <v/>
      </c>
      <c r="EF288" s="66" t="str">
        <f t="shared" si="3753"/>
        <v/>
      </c>
      <c r="EG288" s="66" t="str">
        <f t="shared" si="3754"/>
        <v/>
      </c>
      <c r="EH288" s="66" t="str">
        <f t="shared" si="3755"/>
        <v/>
      </c>
      <c r="EI288" s="66" t="str">
        <f t="shared" si="3756"/>
        <v/>
      </c>
      <c r="EJ288" s="66" t="str">
        <f t="shared" si="3757"/>
        <v/>
      </c>
      <c r="EK288" s="66" t="str">
        <f t="shared" si="3758"/>
        <v/>
      </c>
      <c r="EL288" s="66" t="str">
        <f t="shared" si="3759"/>
        <v/>
      </c>
      <c r="EM288" s="66" t="str">
        <f t="shared" si="3760"/>
        <v/>
      </c>
      <c r="EN288" s="66" t="str">
        <f t="shared" si="3761"/>
        <v/>
      </c>
      <c r="EO288" s="66" t="str">
        <f t="shared" si="3762"/>
        <v/>
      </c>
      <c r="EP288" s="66" t="str">
        <f t="shared" si="3763"/>
        <v/>
      </c>
      <c r="EQ288" s="66" t="str">
        <f t="shared" si="3764"/>
        <v/>
      </c>
      <c r="ER288" s="66" t="str">
        <f t="shared" si="3765"/>
        <v/>
      </c>
      <c r="ES288" s="66" t="str">
        <f t="shared" si="3766"/>
        <v/>
      </c>
      <c r="ET288" s="66" t="str">
        <f t="shared" si="3767"/>
        <v/>
      </c>
      <c r="EU288" s="66" t="str">
        <f t="shared" si="3768"/>
        <v/>
      </c>
      <c r="EV288" s="66" t="str">
        <f t="shared" si="3769"/>
        <v/>
      </c>
      <c r="EW288" s="66" t="str">
        <f t="shared" si="3770"/>
        <v/>
      </c>
      <c r="EX288" s="66" t="str">
        <f t="shared" si="3771"/>
        <v/>
      </c>
      <c r="EY288" s="66" t="str">
        <f t="shared" si="3772"/>
        <v/>
      </c>
      <c r="EZ288" s="66" t="str">
        <f t="shared" si="3773"/>
        <v/>
      </c>
      <c r="FA288" s="66" t="str">
        <f t="shared" si="3774"/>
        <v/>
      </c>
      <c r="FB288" s="66" t="str">
        <f t="shared" si="3775"/>
        <v/>
      </c>
      <c r="FC288" s="66" t="str">
        <f t="shared" si="3776"/>
        <v/>
      </c>
      <c r="FD288" s="66" t="str">
        <f t="shared" si="3777"/>
        <v/>
      </c>
      <c r="FE288" s="66" t="str">
        <f t="shared" si="3778"/>
        <v/>
      </c>
      <c r="FF288" s="66" t="str">
        <f t="shared" si="3779"/>
        <v/>
      </c>
      <c r="FG288" s="66" t="str">
        <f t="shared" si="3780"/>
        <v/>
      </c>
      <c r="FH288" s="66" t="str">
        <f t="shared" si="3781"/>
        <v/>
      </c>
      <c r="FI288" s="66" t="str">
        <f t="shared" si="3782"/>
        <v/>
      </c>
      <c r="FJ288" s="66" t="str">
        <f t="shared" si="3783"/>
        <v/>
      </c>
      <c r="FK288" s="66" t="str">
        <f t="shared" si="3784"/>
        <v/>
      </c>
      <c r="FL288" s="66" t="str">
        <f t="shared" si="3785"/>
        <v/>
      </c>
      <c r="FM288" s="66" t="str">
        <f t="shared" si="3786"/>
        <v/>
      </c>
      <c r="FN288" s="66" t="str">
        <f t="shared" si="3787"/>
        <v/>
      </c>
      <c r="FO288" s="66" t="str">
        <f t="shared" si="3788"/>
        <v/>
      </c>
      <c r="FP288" s="66" t="str">
        <f t="shared" si="3789"/>
        <v/>
      </c>
      <c r="FQ288" s="66" t="str">
        <f t="shared" si="3790"/>
        <v/>
      </c>
      <c r="FR288" s="66" t="str">
        <f t="shared" si="3791"/>
        <v/>
      </c>
      <c r="FS288" s="66" t="str">
        <f t="shared" si="3792"/>
        <v/>
      </c>
    </row>
    <row r="289" spans="1:175" ht="16.5">
      <c r="A289" s="2"/>
      <c r="B289" s="35"/>
      <c r="C289" s="2"/>
      <c r="E289" s="126"/>
      <c r="T289" s="128"/>
      <c r="U289" s="77"/>
      <c r="CU289" s="88" t="str">
        <f t="shared" si="3722"/>
        <v>|n</v>
      </c>
      <c r="CW289" s="33"/>
      <c r="CX289" s="33"/>
      <c r="CY289" s="33"/>
      <c r="CZ289" s="33"/>
      <c r="DA289" s="33"/>
      <c r="DB289" s="66" t="str">
        <f t="shared" si="3723"/>
        <v/>
      </c>
      <c r="DC289" s="66" t="str">
        <f t="shared" si="3724"/>
        <v/>
      </c>
      <c r="DD289" s="66" t="str">
        <f t="shared" si="3725"/>
        <v/>
      </c>
      <c r="DE289" s="66" t="str">
        <f t="shared" si="3726"/>
        <v/>
      </c>
      <c r="DF289" s="66" t="str">
        <f t="shared" si="3727"/>
        <v/>
      </c>
      <c r="DG289" s="66" t="str">
        <f t="shared" si="3728"/>
        <v/>
      </c>
      <c r="DH289" s="66" t="str">
        <f t="shared" si="3729"/>
        <v/>
      </c>
      <c r="DI289" s="66" t="str">
        <f t="shared" si="3730"/>
        <v/>
      </c>
      <c r="DJ289" s="66" t="str">
        <f t="shared" si="3731"/>
        <v/>
      </c>
      <c r="DK289" s="66" t="str">
        <f t="shared" si="3732"/>
        <v/>
      </c>
      <c r="DL289" s="66" t="str">
        <f t="shared" si="3733"/>
        <v/>
      </c>
      <c r="DM289" s="66" t="str">
        <f t="shared" si="3734"/>
        <v/>
      </c>
      <c r="DN289" s="66" t="str">
        <f t="shared" si="3735"/>
        <v/>
      </c>
      <c r="DO289" s="66" t="str">
        <f t="shared" si="3736"/>
        <v/>
      </c>
      <c r="DP289" s="66" t="str">
        <f t="shared" si="3737"/>
        <v/>
      </c>
      <c r="DQ289" s="66" t="str">
        <f t="shared" si="3738"/>
        <v/>
      </c>
      <c r="DR289" s="66" t="str">
        <f t="shared" si="3739"/>
        <v/>
      </c>
      <c r="DS289" s="66" t="str">
        <f t="shared" si="3740"/>
        <v/>
      </c>
      <c r="DT289" s="66" t="str">
        <f t="shared" si="3741"/>
        <v/>
      </c>
      <c r="DU289" s="66" t="str">
        <f t="shared" si="3742"/>
        <v/>
      </c>
      <c r="DV289" s="66" t="str">
        <f t="shared" si="3743"/>
        <v/>
      </c>
      <c r="DW289" s="66" t="str">
        <f t="shared" si="3744"/>
        <v/>
      </c>
      <c r="DX289" s="66" t="str">
        <f t="shared" si="3745"/>
        <v/>
      </c>
      <c r="DY289" s="66" t="str">
        <f t="shared" si="3746"/>
        <v/>
      </c>
      <c r="DZ289" s="66" t="str">
        <f t="shared" si="3747"/>
        <v/>
      </c>
      <c r="EA289" s="66" t="str">
        <f t="shared" si="3748"/>
        <v/>
      </c>
      <c r="EB289" s="66" t="str">
        <f t="shared" si="3749"/>
        <v/>
      </c>
      <c r="EC289" s="66" t="str">
        <f t="shared" si="3750"/>
        <v/>
      </c>
      <c r="ED289" s="66" t="str">
        <f t="shared" si="3751"/>
        <v/>
      </c>
      <c r="EE289" s="66" t="str">
        <f t="shared" si="3752"/>
        <v/>
      </c>
      <c r="EF289" s="66" t="str">
        <f t="shared" si="3753"/>
        <v/>
      </c>
      <c r="EG289" s="66" t="str">
        <f t="shared" si="3754"/>
        <v/>
      </c>
      <c r="EH289" s="66" t="str">
        <f t="shared" si="3755"/>
        <v/>
      </c>
      <c r="EI289" s="66" t="str">
        <f t="shared" si="3756"/>
        <v/>
      </c>
      <c r="EJ289" s="66" t="str">
        <f t="shared" si="3757"/>
        <v/>
      </c>
      <c r="EK289" s="66" t="str">
        <f t="shared" si="3758"/>
        <v/>
      </c>
      <c r="EL289" s="66" t="str">
        <f t="shared" si="3759"/>
        <v/>
      </c>
      <c r="EM289" s="66" t="str">
        <f t="shared" si="3760"/>
        <v/>
      </c>
      <c r="EN289" s="66" t="str">
        <f t="shared" si="3761"/>
        <v/>
      </c>
      <c r="EO289" s="66" t="str">
        <f t="shared" si="3762"/>
        <v/>
      </c>
      <c r="EP289" s="66" t="str">
        <f t="shared" si="3763"/>
        <v/>
      </c>
      <c r="EQ289" s="66" t="str">
        <f t="shared" si="3764"/>
        <v/>
      </c>
      <c r="ER289" s="66" t="str">
        <f t="shared" si="3765"/>
        <v/>
      </c>
      <c r="ES289" s="66" t="str">
        <f t="shared" si="3766"/>
        <v/>
      </c>
      <c r="ET289" s="66" t="str">
        <f t="shared" si="3767"/>
        <v/>
      </c>
      <c r="EU289" s="66" t="str">
        <f t="shared" si="3768"/>
        <v/>
      </c>
      <c r="EV289" s="66" t="str">
        <f t="shared" si="3769"/>
        <v/>
      </c>
      <c r="EW289" s="66" t="str">
        <f t="shared" si="3770"/>
        <v/>
      </c>
      <c r="EX289" s="66" t="str">
        <f t="shared" si="3771"/>
        <v/>
      </c>
      <c r="EY289" s="66" t="str">
        <f t="shared" si="3772"/>
        <v/>
      </c>
      <c r="EZ289" s="66" t="str">
        <f t="shared" si="3773"/>
        <v/>
      </c>
      <c r="FA289" s="66" t="str">
        <f t="shared" si="3774"/>
        <v/>
      </c>
      <c r="FB289" s="66" t="str">
        <f t="shared" si="3775"/>
        <v/>
      </c>
      <c r="FC289" s="66" t="str">
        <f t="shared" si="3776"/>
        <v/>
      </c>
      <c r="FD289" s="66" t="str">
        <f t="shared" si="3777"/>
        <v/>
      </c>
      <c r="FE289" s="66" t="str">
        <f t="shared" si="3778"/>
        <v/>
      </c>
      <c r="FF289" s="66" t="str">
        <f t="shared" si="3779"/>
        <v/>
      </c>
      <c r="FG289" s="66" t="str">
        <f t="shared" si="3780"/>
        <v/>
      </c>
      <c r="FH289" s="66" t="str">
        <f t="shared" si="3781"/>
        <v/>
      </c>
      <c r="FI289" s="66" t="str">
        <f t="shared" si="3782"/>
        <v/>
      </c>
      <c r="FJ289" s="66" t="str">
        <f t="shared" si="3783"/>
        <v/>
      </c>
      <c r="FK289" s="66" t="str">
        <f t="shared" si="3784"/>
        <v/>
      </c>
      <c r="FL289" s="66" t="str">
        <f t="shared" si="3785"/>
        <v/>
      </c>
      <c r="FM289" s="66" t="str">
        <f t="shared" si="3786"/>
        <v/>
      </c>
      <c r="FN289" s="66" t="str">
        <f t="shared" si="3787"/>
        <v/>
      </c>
      <c r="FO289" s="66" t="str">
        <f t="shared" si="3788"/>
        <v/>
      </c>
      <c r="FP289" s="66" t="str">
        <f t="shared" si="3789"/>
        <v/>
      </c>
      <c r="FQ289" s="66" t="str">
        <f t="shared" si="3790"/>
        <v/>
      </c>
      <c r="FR289" s="66" t="str">
        <f t="shared" si="3791"/>
        <v/>
      </c>
      <c r="FS289" s="66" t="str">
        <f t="shared" si="3792"/>
        <v/>
      </c>
    </row>
    <row r="290" spans="1:175" ht="16.5">
      <c r="A290" s="2"/>
      <c r="B290" s="35"/>
      <c r="C290" s="2"/>
      <c r="E290" s="126"/>
      <c r="T290" s="128"/>
      <c r="U290" s="77"/>
      <c r="CU290" s="88" t="str">
        <f t="shared" si="3722"/>
        <v>|n</v>
      </c>
      <c r="CW290" s="33"/>
      <c r="CX290" s="33"/>
      <c r="CY290" s="33"/>
      <c r="CZ290" s="33"/>
      <c r="DA290" s="33"/>
      <c r="DB290" s="66" t="str">
        <f t="shared" si="3723"/>
        <v/>
      </c>
      <c r="DC290" s="66" t="str">
        <f t="shared" si="3724"/>
        <v/>
      </c>
      <c r="DD290" s="66" t="str">
        <f t="shared" si="3725"/>
        <v/>
      </c>
      <c r="DE290" s="66" t="str">
        <f t="shared" si="3726"/>
        <v/>
      </c>
      <c r="DF290" s="66" t="str">
        <f t="shared" si="3727"/>
        <v/>
      </c>
      <c r="DG290" s="66" t="str">
        <f t="shared" si="3728"/>
        <v/>
      </c>
      <c r="DH290" s="66" t="str">
        <f t="shared" si="3729"/>
        <v/>
      </c>
      <c r="DI290" s="66" t="str">
        <f t="shared" si="3730"/>
        <v/>
      </c>
      <c r="DJ290" s="66" t="str">
        <f t="shared" si="3731"/>
        <v/>
      </c>
      <c r="DK290" s="66" t="str">
        <f t="shared" si="3732"/>
        <v/>
      </c>
      <c r="DL290" s="66" t="str">
        <f t="shared" si="3733"/>
        <v/>
      </c>
      <c r="DM290" s="66" t="str">
        <f t="shared" si="3734"/>
        <v/>
      </c>
      <c r="DN290" s="66" t="str">
        <f t="shared" si="3735"/>
        <v/>
      </c>
      <c r="DO290" s="66" t="str">
        <f t="shared" si="3736"/>
        <v/>
      </c>
      <c r="DP290" s="66" t="str">
        <f t="shared" si="3737"/>
        <v/>
      </c>
      <c r="DQ290" s="66" t="str">
        <f t="shared" si="3738"/>
        <v/>
      </c>
      <c r="DR290" s="66" t="str">
        <f t="shared" si="3739"/>
        <v/>
      </c>
      <c r="DS290" s="66" t="str">
        <f t="shared" si="3740"/>
        <v/>
      </c>
      <c r="DT290" s="66" t="str">
        <f t="shared" si="3741"/>
        <v/>
      </c>
      <c r="DU290" s="66" t="str">
        <f t="shared" si="3742"/>
        <v/>
      </c>
      <c r="DV290" s="66" t="str">
        <f t="shared" si="3743"/>
        <v/>
      </c>
      <c r="DW290" s="66" t="str">
        <f t="shared" si="3744"/>
        <v/>
      </c>
      <c r="DX290" s="66" t="str">
        <f t="shared" si="3745"/>
        <v/>
      </c>
      <c r="DY290" s="66" t="str">
        <f t="shared" si="3746"/>
        <v/>
      </c>
      <c r="DZ290" s="66" t="str">
        <f t="shared" si="3747"/>
        <v/>
      </c>
      <c r="EA290" s="66" t="str">
        <f t="shared" si="3748"/>
        <v/>
      </c>
      <c r="EB290" s="66" t="str">
        <f t="shared" si="3749"/>
        <v/>
      </c>
      <c r="EC290" s="66" t="str">
        <f t="shared" si="3750"/>
        <v/>
      </c>
      <c r="ED290" s="66" t="str">
        <f t="shared" si="3751"/>
        <v/>
      </c>
      <c r="EE290" s="66" t="str">
        <f t="shared" si="3752"/>
        <v/>
      </c>
      <c r="EF290" s="66" t="str">
        <f t="shared" si="3753"/>
        <v/>
      </c>
      <c r="EG290" s="66" t="str">
        <f t="shared" si="3754"/>
        <v/>
      </c>
      <c r="EH290" s="66" t="str">
        <f t="shared" si="3755"/>
        <v/>
      </c>
      <c r="EI290" s="66" t="str">
        <f t="shared" si="3756"/>
        <v/>
      </c>
      <c r="EJ290" s="66" t="str">
        <f t="shared" si="3757"/>
        <v/>
      </c>
      <c r="EK290" s="66" t="str">
        <f t="shared" si="3758"/>
        <v/>
      </c>
      <c r="EL290" s="66" t="str">
        <f t="shared" si="3759"/>
        <v/>
      </c>
      <c r="EM290" s="66" t="str">
        <f t="shared" si="3760"/>
        <v/>
      </c>
      <c r="EN290" s="66" t="str">
        <f t="shared" si="3761"/>
        <v/>
      </c>
      <c r="EO290" s="66" t="str">
        <f t="shared" si="3762"/>
        <v/>
      </c>
      <c r="EP290" s="66" t="str">
        <f t="shared" si="3763"/>
        <v/>
      </c>
      <c r="EQ290" s="66" t="str">
        <f t="shared" si="3764"/>
        <v/>
      </c>
      <c r="ER290" s="66" t="str">
        <f t="shared" si="3765"/>
        <v/>
      </c>
      <c r="ES290" s="66" t="str">
        <f t="shared" si="3766"/>
        <v/>
      </c>
      <c r="ET290" s="66" t="str">
        <f t="shared" si="3767"/>
        <v/>
      </c>
      <c r="EU290" s="66" t="str">
        <f t="shared" si="3768"/>
        <v/>
      </c>
      <c r="EV290" s="66" t="str">
        <f t="shared" si="3769"/>
        <v/>
      </c>
      <c r="EW290" s="66" t="str">
        <f t="shared" si="3770"/>
        <v/>
      </c>
      <c r="EX290" s="66" t="str">
        <f t="shared" si="3771"/>
        <v/>
      </c>
      <c r="EY290" s="66" t="str">
        <f t="shared" si="3772"/>
        <v/>
      </c>
      <c r="EZ290" s="66" t="str">
        <f t="shared" si="3773"/>
        <v/>
      </c>
      <c r="FA290" s="66" t="str">
        <f t="shared" si="3774"/>
        <v/>
      </c>
      <c r="FB290" s="66" t="str">
        <f t="shared" si="3775"/>
        <v/>
      </c>
      <c r="FC290" s="66" t="str">
        <f t="shared" si="3776"/>
        <v/>
      </c>
      <c r="FD290" s="66" t="str">
        <f t="shared" si="3777"/>
        <v/>
      </c>
      <c r="FE290" s="66" t="str">
        <f t="shared" si="3778"/>
        <v/>
      </c>
      <c r="FF290" s="66" t="str">
        <f t="shared" si="3779"/>
        <v/>
      </c>
      <c r="FG290" s="66" t="str">
        <f t="shared" si="3780"/>
        <v/>
      </c>
      <c r="FH290" s="66" t="str">
        <f t="shared" si="3781"/>
        <v/>
      </c>
      <c r="FI290" s="66" t="str">
        <f t="shared" si="3782"/>
        <v/>
      </c>
      <c r="FJ290" s="66" t="str">
        <f t="shared" si="3783"/>
        <v/>
      </c>
      <c r="FK290" s="66" t="str">
        <f t="shared" si="3784"/>
        <v/>
      </c>
      <c r="FL290" s="66" t="str">
        <f t="shared" si="3785"/>
        <v/>
      </c>
      <c r="FM290" s="66" t="str">
        <f t="shared" si="3786"/>
        <v/>
      </c>
      <c r="FN290" s="66" t="str">
        <f t="shared" si="3787"/>
        <v/>
      </c>
      <c r="FO290" s="66" t="str">
        <f t="shared" si="3788"/>
        <v/>
      </c>
      <c r="FP290" s="66" t="str">
        <f t="shared" si="3789"/>
        <v/>
      </c>
      <c r="FQ290" s="66" t="str">
        <f t="shared" si="3790"/>
        <v/>
      </c>
      <c r="FR290" s="66" t="str">
        <f t="shared" si="3791"/>
        <v/>
      </c>
      <c r="FS290" s="66" t="str">
        <f t="shared" si="3792"/>
        <v/>
      </c>
    </row>
    <row r="291" spans="1:175" ht="16.5">
      <c r="A291" s="2"/>
      <c r="B291" s="35"/>
      <c r="C291" s="2"/>
      <c r="E291" s="126"/>
      <c r="T291" s="128"/>
      <c r="U291" s="77"/>
      <c r="CU291" s="88" t="str">
        <f t="shared" si="3722"/>
        <v>|n</v>
      </c>
      <c r="CW291" s="33"/>
      <c r="CX291" s="33"/>
      <c r="CY291" s="33"/>
      <c r="CZ291" s="33"/>
      <c r="DA291" s="33"/>
      <c r="DB291" s="66" t="str">
        <f t="shared" si="3723"/>
        <v/>
      </c>
      <c r="DC291" s="66" t="str">
        <f t="shared" si="3724"/>
        <v/>
      </c>
      <c r="DD291" s="66" t="str">
        <f t="shared" si="3725"/>
        <v/>
      </c>
      <c r="DE291" s="66" t="str">
        <f t="shared" si="3726"/>
        <v/>
      </c>
      <c r="DF291" s="66" t="str">
        <f t="shared" si="3727"/>
        <v/>
      </c>
      <c r="DG291" s="66" t="str">
        <f t="shared" si="3728"/>
        <v/>
      </c>
      <c r="DH291" s="66" t="str">
        <f t="shared" si="3729"/>
        <v/>
      </c>
      <c r="DI291" s="66" t="str">
        <f t="shared" si="3730"/>
        <v/>
      </c>
      <c r="DJ291" s="66" t="str">
        <f t="shared" si="3731"/>
        <v/>
      </c>
      <c r="DK291" s="66" t="str">
        <f t="shared" si="3732"/>
        <v/>
      </c>
      <c r="DL291" s="66" t="str">
        <f t="shared" si="3733"/>
        <v/>
      </c>
      <c r="DM291" s="66" t="str">
        <f t="shared" si="3734"/>
        <v/>
      </c>
      <c r="DN291" s="66" t="str">
        <f t="shared" si="3735"/>
        <v/>
      </c>
      <c r="DO291" s="66" t="str">
        <f t="shared" si="3736"/>
        <v/>
      </c>
      <c r="DP291" s="66" t="str">
        <f t="shared" si="3737"/>
        <v/>
      </c>
      <c r="DQ291" s="66" t="str">
        <f t="shared" si="3738"/>
        <v/>
      </c>
      <c r="DR291" s="66" t="str">
        <f t="shared" si="3739"/>
        <v/>
      </c>
      <c r="DS291" s="66" t="str">
        <f t="shared" si="3740"/>
        <v/>
      </c>
      <c r="DT291" s="66" t="str">
        <f t="shared" si="3741"/>
        <v/>
      </c>
      <c r="DU291" s="66" t="str">
        <f t="shared" si="3742"/>
        <v/>
      </c>
      <c r="DV291" s="66" t="str">
        <f t="shared" si="3743"/>
        <v/>
      </c>
      <c r="DW291" s="66" t="str">
        <f t="shared" si="3744"/>
        <v/>
      </c>
      <c r="DX291" s="66" t="str">
        <f t="shared" si="3745"/>
        <v/>
      </c>
      <c r="DY291" s="66" t="str">
        <f t="shared" si="3746"/>
        <v/>
      </c>
      <c r="DZ291" s="66" t="str">
        <f t="shared" si="3747"/>
        <v/>
      </c>
      <c r="EA291" s="66" t="str">
        <f t="shared" si="3748"/>
        <v/>
      </c>
      <c r="EB291" s="66" t="str">
        <f t="shared" si="3749"/>
        <v/>
      </c>
      <c r="EC291" s="66" t="str">
        <f t="shared" si="3750"/>
        <v/>
      </c>
      <c r="ED291" s="66" t="str">
        <f t="shared" si="3751"/>
        <v/>
      </c>
      <c r="EE291" s="66" t="str">
        <f t="shared" si="3752"/>
        <v/>
      </c>
      <c r="EF291" s="66" t="str">
        <f t="shared" si="3753"/>
        <v/>
      </c>
      <c r="EG291" s="66" t="str">
        <f t="shared" si="3754"/>
        <v/>
      </c>
      <c r="EH291" s="66" t="str">
        <f t="shared" si="3755"/>
        <v/>
      </c>
      <c r="EI291" s="66" t="str">
        <f t="shared" si="3756"/>
        <v/>
      </c>
      <c r="EJ291" s="66" t="str">
        <f t="shared" si="3757"/>
        <v/>
      </c>
      <c r="EK291" s="66" t="str">
        <f t="shared" si="3758"/>
        <v/>
      </c>
      <c r="EL291" s="66" t="str">
        <f t="shared" si="3759"/>
        <v/>
      </c>
      <c r="EM291" s="66" t="str">
        <f t="shared" si="3760"/>
        <v/>
      </c>
      <c r="EN291" s="66" t="str">
        <f t="shared" si="3761"/>
        <v/>
      </c>
      <c r="EO291" s="66" t="str">
        <f t="shared" si="3762"/>
        <v/>
      </c>
      <c r="EP291" s="66" t="str">
        <f t="shared" si="3763"/>
        <v/>
      </c>
      <c r="EQ291" s="66" t="str">
        <f t="shared" si="3764"/>
        <v/>
      </c>
      <c r="ER291" s="66" t="str">
        <f t="shared" si="3765"/>
        <v/>
      </c>
      <c r="ES291" s="66" t="str">
        <f t="shared" si="3766"/>
        <v/>
      </c>
      <c r="ET291" s="66" t="str">
        <f t="shared" si="3767"/>
        <v/>
      </c>
      <c r="EU291" s="66" t="str">
        <f t="shared" si="3768"/>
        <v/>
      </c>
      <c r="EV291" s="66" t="str">
        <f t="shared" si="3769"/>
        <v/>
      </c>
      <c r="EW291" s="66" t="str">
        <f t="shared" si="3770"/>
        <v/>
      </c>
      <c r="EX291" s="66" t="str">
        <f t="shared" si="3771"/>
        <v/>
      </c>
      <c r="EY291" s="66" t="str">
        <f t="shared" si="3772"/>
        <v/>
      </c>
      <c r="EZ291" s="66" t="str">
        <f t="shared" si="3773"/>
        <v/>
      </c>
      <c r="FA291" s="66" t="str">
        <f t="shared" si="3774"/>
        <v/>
      </c>
      <c r="FB291" s="66" t="str">
        <f t="shared" si="3775"/>
        <v/>
      </c>
      <c r="FC291" s="66" t="str">
        <f t="shared" si="3776"/>
        <v/>
      </c>
      <c r="FD291" s="66" t="str">
        <f t="shared" si="3777"/>
        <v/>
      </c>
      <c r="FE291" s="66" t="str">
        <f t="shared" si="3778"/>
        <v/>
      </c>
      <c r="FF291" s="66" t="str">
        <f t="shared" si="3779"/>
        <v/>
      </c>
      <c r="FG291" s="66" t="str">
        <f t="shared" si="3780"/>
        <v/>
      </c>
      <c r="FH291" s="66" t="str">
        <f t="shared" si="3781"/>
        <v/>
      </c>
      <c r="FI291" s="66" t="str">
        <f t="shared" si="3782"/>
        <v/>
      </c>
      <c r="FJ291" s="66" t="str">
        <f t="shared" si="3783"/>
        <v/>
      </c>
      <c r="FK291" s="66" t="str">
        <f t="shared" si="3784"/>
        <v/>
      </c>
      <c r="FL291" s="66" t="str">
        <f t="shared" si="3785"/>
        <v/>
      </c>
      <c r="FM291" s="66" t="str">
        <f t="shared" si="3786"/>
        <v/>
      </c>
      <c r="FN291" s="66" t="str">
        <f t="shared" si="3787"/>
        <v/>
      </c>
      <c r="FO291" s="66" t="str">
        <f t="shared" si="3788"/>
        <v/>
      </c>
      <c r="FP291" s="66" t="str">
        <f t="shared" si="3789"/>
        <v/>
      </c>
      <c r="FQ291" s="66" t="str">
        <f t="shared" si="3790"/>
        <v/>
      </c>
      <c r="FR291" s="66" t="str">
        <f t="shared" si="3791"/>
        <v/>
      </c>
      <c r="FS291" s="66" t="str">
        <f t="shared" si="3792"/>
        <v/>
      </c>
    </row>
    <row r="292" spans="1:175" ht="16.5">
      <c r="A292" s="2"/>
      <c r="B292" s="35"/>
      <c r="C292" s="2"/>
      <c r="E292" s="126"/>
      <c r="T292" s="128"/>
      <c r="U292" s="77"/>
      <c r="CU292" s="88" t="str">
        <f t="shared" si="3722"/>
        <v>|n</v>
      </c>
      <c r="CW292" s="33"/>
      <c r="CX292" s="33"/>
      <c r="CY292" s="33"/>
      <c r="CZ292" s="33"/>
      <c r="DA292" s="33"/>
      <c r="DB292" s="66" t="str">
        <f t="shared" si="3723"/>
        <v/>
      </c>
      <c r="DC292" s="66" t="str">
        <f t="shared" si="3724"/>
        <v/>
      </c>
      <c r="DD292" s="66" t="str">
        <f t="shared" si="3725"/>
        <v/>
      </c>
      <c r="DE292" s="66" t="str">
        <f t="shared" si="3726"/>
        <v/>
      </c>
      <c r="DF292" s="66" t="str">
        <f t="shared" si="3727"/>
        <v/>
      </c>
      <c r="DG292" s="66" t="str">
        <f t="shared" si="3728"/>
        <v/>
      </c>
      <c r="DH292" s="66" t="str">
        <f t="shared" si="3729"/>
        <v/>
      </c>
      <c r="DI292" s="66" t="str">
        <f t="shared" si="3730"/>
        <v/>
      </c>
      <c r="DJ292" s="66" t="str">
        <f t="shared" si="3731"/>
        <v/>
      </c>
      <c r="DK292" s="66" t="str">
        <f t="shared" si="3732"/>
        <v/>
      </c>
      <c r="DL292" s="66" t="str">
        <f t="shared" si="3733"/>
        <v/>
      </c>
      <c r="DM292" s="66" t="str">
        <f t="shared" si="3734"/>
        <v/>
      </c>
      <c r="DN292" s="66" t="str">
        <f t="shared" si="3735"/>
        <v/>
      </c>
      <c r="DO292" s="66" t="str">
        <f t="shared" si="3736"/>
        <v/>
      </c>
      <c r="DP292" s="66" t="str">
        <f t="shared" si="3737"/>
        <v/>
      </c>
      <c r="DQ292" s="66" t="str">
        <f t="shared" si="3738"/>
        <v/>
      </c>
      <c r="DR292" s="66" t="str">
        <f t="shared" si="3739"/>
        <v/>
      </c>
      <c r="DS292" s="66" t="str">
        <f t="shared" si="3740"/>
        <v/>
      </c>
      <c r="DT292" s="66" t="str">
        <f t="shared" si="3741"/>
        <v/>
      </c>
      <c r="DU292" s="66" t="str">
        <f t="shared" si="3742"/>
        <v/>
      </c>
      <c r="DV292" s="66" t="str">
        <f t="shared" si="3743"/>
        <v/>
      </c>
      <c r="DW292" s="66" t="str">
        <f t="shared" si="3744"/>
        <v/>
      </c>
      <c r="DX292" s="66" t="str">
        <f t="shared" si="3745"/>
        <v/>
      </c>
      <c r="DY292" s="66" t="str">
        <f t="shared" si="3746"/>
        <v/>
      </c>
      <c r="DZ292" s="66" t="str">
        <f t="shared" si="3747"/>
        <v/>
      </c>
      <c r="EA292" s="66" t="str">
        <f t="shared" si="3748"/>
        <v/>
      </c>
      <c r="EB292" s="66" t="str">
        <f t="shared" si="3749"/>
        <v/>
      </c>
      <c r="EC292" s="66" t="str">
        <f t="shared" si="3750"/>
        <v/>
      </c>
      <c r="ED292" s="66" t="str">
        <f t="shared" si="3751"/>
        <v/>
      </c>
      <c r="EE292" s="66" t="str">
        <f t="shared" si="3752"/>
        <v/>
      </c>
      <c r="EF292" s="66" t="str">
        <f t="shared" si="3753"/>
        <v/>
      </c>
      <c r="EG292" s="66" t="str">
        <f t="shared" si="3754"/>
        <v/>
      </c>
      <c r="EH292" s="66" t="str">
        <f t="shared" si="3755"/>
        <v/>
      </c>
      <c r="EI292" s="66" t="str">
        <f t="shared" si="3756"/>
        <v/>
      </c>
      <c r="EJ292" s="66" t="str">
        <f t="shared" si="3757"/>
        <v/>
      </c>
      <c r="EK292" s="66" t="str">
        <f t="shared" si="3758"/>
        <v/>
      </c>
      <c r="EL292" s="66" t="str">
        <f t="shared" si="3759"/>
        <v/>
      </c>
      <c r="EM292" s="66" t="str">
        <f t="shared" si="3760"/>
        <v/>
      </c>
      <c r="EN292" s="66" t="str">
        <f t="shared" si="3761"/>
        <v/>
      </c>
      <c r="EO292" s="66" t="str">
        <f t="shared" si="3762"/>
        <v/>
      </c>
      <c r="EP292" s="66" t="str">
        <f t="shared" si="3763"/>
        <v/>
      </c>
      <c r="EQ292" s="66" t="str">
        <f t="shared" si="3764"/>
        <v/>
      </c>
      <c r="ER292" s="66" t="str">
        <f t="shared" si="3765"/>
        <v/>
      </c>
      <c r="ES292" s="66" t="str">
        <f t="shared" si="3766"/>
        <v/>
      </c>
      <c r="ET292" s="66" t="str">
        <f t="shared" si="3767"/>
        <v/>
      </c>
      <c r="EU292" s="66" t="str">
        <f t="shared" si="3768"/>
        <v/>
      </c>
      <c r="EV292" s="66" t="str">
        <f t="shared" si="3769"/>
        <v/>
      </c>
      <c r="EW292" s="66" t="str">
        <f t="shared" si="3770"/>
        <v/>
      </c>
      <c r="EX292" s="66" t="str">
        <f t="shared" si="3771"/>
        <v/>
      </c>
      <c r="EY292" s="66" t="str">
        <f t="shared" si="3772"/>
        <v/>
      </c>
      <c r="EZ292" s="66" t="str">
        <f t="shared" si="3773"/>
        <v/>
      </c>
      <c r="FA292" s="66" t="str">
        <f t="shared" si="3774"/>
        <v/>
      </c>
      <c r="FB292" s="66" t="str">
        <f t="shared" si="3775"/>
        <v/>
      </c>
      <c r="FC292" s="66" t="str">
        <f t="shared" si="3776"/>
        <v/>
      </c>
      <c r="FD292" s="66" t="str">
        <f t="shared" si="3777"/>
        <v/>
      </c>
      <c r="FE292" s="66" t="str">
        <f t="shared" si="3778"/>
        <v/>
      </c>
      <c r="FF292" s="66" t="str">
        <f t="shared" si="3779"/>
        <v/>
      </c>
      <c r="FG292" s="66" t="str">
        <f t="shared" si="3780"/>
        <v/>
      </c>
      <c r="FH292" s="66" t="str">
        <f t="shared" si="3781"/>
        <v/>
      </c>
      <c r="FI292" s="66" t="str">
        <f t="shared" si="3782"/>
        <v/>
      </c>
      <c r="FJ292" s="66" t="str">
        <f t="shared" si="3783"/>
        <v/>
      </c>
      <c r="FK292" s="66" t="str">
        <f t="shared" si="3784"/>
        <v/>
      </c>
      <c r="FL292" s="66" t="str">
        <f t="shared" si="3785"/>
        <v/>
      </c>
      <c r="FM292" s="66" t="str">
        <f t="shared" si="3786"/>
        <v/>
      </c>
      <c r="FN292" s="66" t="str">
        <f t="shared" si="3787"/>
        <v/>
      </c>
      <c r="FO292" s="66" t="str">
        <f t="shared" si="3788"/>
        <v/>
      </c>
      <c r="FP292" s="66" t="str">
        <f t="shared" si="3789"/>
        <v/>
      </c>
      <c r="FQ292" s="66" t="str">
        <f t="shared" si="3790"/>
        <v/>
      </c>
      <c r="FR292" s="66" t="str">
        <f t="shared" si="3791"/>
        <v/>
      </c>
      <c r="FS292" s="66" t="str">
        <f t="shared" si="3792"/>
        <v/>
      </c>
    </row>
    <row r="293" spans="1:175" ht="16.5">
      <c r="A293" s="2"/>
      <c r="B293" s="35"/>
      <c r="C293" s="2"/>
      <c r="E293" s="126"/>
      <c r="T293" s="128"/>
      <c r="U293" s="77"/>
      <c r="CU293" s="88" t="str">
        <f t="shared" si="3722"/>
        <v>|n</v>
      </c>
      <c r="CW293" s="33"/>
      <c r="CX293" s="33"/>
      <c r="CY293" s="33"/>
      <c r="CZ293" s="33"/>
      <c r="DA293" s="33"/>
      <c r="DB293" s="66" t="str">
        <f t="shared" si="3723"/>
        <v/>
      </c>
      <c r="DC293" s="66" t="str">
        <f t="shared" si="3724"/>
        <v/>
      </c>
      <c r="DD293" s="66" t="str">
        <f t="shared" si="3725"/>
        <v/>
      </c>
      <c r="DE293" s="66" t="str">
        <f t="shared" si="3726"/>
        <v/>
      </c>
      <c r="DF293" s="66" t="str">
        <f t="shared" si="3727"/>
        <v/>
      </c>
      <c r="DG293" s="66" t="str">
        <f t="shared" si="3728"/>
        <v/>
      </c>
      <c r="DH293" s="66" t="str">
        <f t="shared" si="3729"/>
        <v/>
      </c>
      <c r="DI293" s="66" t="str">
        <f t="shared" si="3730"/>
        <v/>
      </c>
      <c r="DJ293" s="66" t="str">
        <f t="shared" si="3731"/>
        <v/>
      </c>
      <c r="DK293" s="66" t="str">
        <f t="shared" si="3732"/>
        <v/>
      </c>
      <c r="DL293" s="66" t="str">
        <f t="shared" si="3733"/>
        <v/>
      </c>
      <c r="DM293" s="66" t="str">
        <f t="shared" si="3734"/>
        <v/>
      </c>
      <c r="DN293" s="66" t="str">
        <f t="shared" si="3735"/>
        <v/>
      </c>
      <c r="DO293" s="66" t="str">
        <f t="shared" si="3736"/>
        <v/>
      </c>
      <c r="DP293" s="66" t="str">
        <f t="shared" si="3737"/>
        <v/>
      </c>
      <c r="DQ293" s="66" t="str">
        <f t="shared" si="3738"/>
        <v/>
      </c>
      <c r="DR293" s="66" t="str">
        <f t="shared" si="3739"/>
        <v/>
      </c>
      <c r="DS293" s="66" t="str">
        <f t="shared" si="3740"/>
        <v/>
      </c>
      <c r="DT293" s="66" t="str">
        <f t="shared" si="3741"/>
        <v/>
      </c>
      <c r="DU293" s="66" t="str">
        <f t="shared" si="3742"/>
        <v/>
      </c>
      <c r="DV293" s="66" t="str">
        <f t="shared" si="3743"/>
        <v/>
      </c>
      <c r="DW293" s="66" t="str">
        <f t="shared" si="3744"/>
        <v/>
      </c>
      <c r="DX293" s="66" t="str">
        <f t="shared" si="3745"/>
        <v/>
      </c>
      <c r="DY293" s="66" t="str">
        <f t="shared" si="3746"/>
        <v/>
      </c>
      <c r="DZ293" s="66" t="str">
        <f t="shared" si="3747"/>
        <v/>
      </c>
      <c r="EA293" s="66" t="str">
        <f t="shared" si="3748"/>
        <v/>
      </c>
      <c r="EB293" s="66" t="str">
        <f t="shared" si="3749"/>
        <v/>
      </c>
      <c r="EC293" s="66" t="str">
        <f t="shared" si="3750"/>
        <v/>
      </c>
      <c r="ED293" s="66" t="str">
        <f t="shared" si="3751"/>
        <v/>
      </c>
      <c r="EE293" s="66" t="str">
        <f t="shared" si="3752"/>
        <v/>
      </c>
      <c r="EF293" s="66" t="str">
        <f t="shared" si="3753"/>
        <v/>
      </c>
      <c r="EG293" s="66" t="str">
        <f t="shared" si="3754"/>
        <v/>
      </c>
      <c r="EH293" s="66" t="str">
        <f t="shared" si="3755"/>
        <v/>
      </c>
      <c r="EI293" s="66" t="str">
        <f t="shared" si="3756"/>
        <v/>
      </c>
      <c r="EJ293" s="66" t="str">
        <f t="shared" si="3757"/>
        <v/>
      </c>
      <c r="EK293" s="66" t="str">
        <f t="shared" si="3758"/>
        <v/>
      </c>
      <c r="EL293" s="66" t="str">
        <f t="shared" si="3759"/>
        <v/>
      </c>
      <c r="EM293" s="66" t="str">
        <f t="shared" si="3760"/>
        <v/>
      </c>
      <c r="EN293" s="66" t="str">
        <f t="shared" si="3761"/>
        <v/>
      </c>
      <c r="EO293" s="66" t="str">
        <f t="shared" si="3762"/>
        <v/>
      </c>
      <c r="EP293" s="66" t="str">
        <f t="shared" si="3763"/>
        <v/>
      </c>
      <c r="EQ293" s="66" t="str">
        <f t="shared" si="3764"/>
        <v/>
      </c>
      <c r="ER293" s="66" t="str">
        <f t="shared" si="3765"/>
        <v/>
      </c>
      <c r="ES293" s="66" t="str">
        <f t="shared" si="3766"/>
        <v/>
      </c>
      <c r="ET293" s="66" t="str">
        <f t="shared" si="3767"/>
        <v/>
      </c>
      <c r="EU293" s="66" t="str">
        <f t="shared" si="3768"/>
        <v/>
      </c>
      <c r="EV293" s="66" t="str">
        <f t="shared" si="3769"/>
        <v/>
      </c>
      <c r="EW293" s="66" t="str">
        <f t="shared" si="3770"/>
        <v/>
      </c>
      <c r="EX293" s="66" t="str">
        <f t="shared" si="3771"/>
        <v/>
      </c>
      <c r="EY293" s="66" t="str">
        <f t="shared" si="3772"/>
        <v/>
      </c>
      <c r="EZ293" s="66" t="str">
        <f t="shared" si="3773"/>
        <v/>
      </c>
      <c r="FA293" s="66" t="str">
        <f t="shared" si="3774"/>
        <v/>
      </c>
      <c r="FB293" s="66" t="str">
        <f t="shared" si="3775"/>
        <v/>
      </c>
      <c r="FC293" s="66" t="str">
        <f t="shared" si="3776"/>
        <v/>
      </c>
      <c r="FD293" s="66" t="str">
        <f t="shared" si="3777"/>
        <v/>
      </c>
      <c r="FE293" s="66" t="str">
        <f t="shared" si="3778"/>
        <v/>
      </c>
      <c r="FF293" s="66" t="str">
        <f t="shared" si="3779"/>
        <v/>
      </c>
      <c r="FG293" s="66" t="str">
        <f t="shared" si="3780"/>
        <v/>
      </c>
      <c r="FH293" s="66" t="str">
        <f t="shared" si="3781"/>
        <v/>
      </c>
      <c r="FI293" s="66" t="str">
        <f t="shared" si="3782"/>
        <v/>
      </c>
      <c r="FJ293" s="66" t="str">
        <f t="shared" si="3783"/>
        <v/>
      </c>
      <c r="FK293" s="66" t="str">
        <f t="shared" si="3784"/>
        <v/>
      </c>
      <c r="FL293" s="66" t="str">
        <f t="shared" si="3785"/>
        <v/>
      </c>
      <c r="FM293" s="66" t="str">
        <f t="shared" si="3786"/>
        <v/>
      </c>
      <c r="FN293" s="66" t="str">
        <f t="shared" si="3787"/>
        <v/>
      </c>
      <c r="FO293" s="66" t="str">
        <f t="shared" si="3788"/>
        <v/>
      </c>
      <c r="FP293" s="66" t="str">
        <f t="shared" si="3789"/>
        <v/>
      </c>
      <c r="FQ293" s="66" t="str">
        <f t="shared" si="3790"/>
        <v/>
      </c>
      <c r="FR293" s="66" t="str">
        <f t="shared" si="3791"/>
        <v/>
      </c>
      <c r="FS293" s="66" t="str">
        <f t="shared" si="3792"/>
        <v/>
      </c>
    </row>
    <row r="294" spans="1:175" ht="16.5">
      <c r="A294" s="2"/>
      <c r="B294" s="35"/>
      <c r="C294" s="2"/>
      <c r="E294" s="126"/>
      <c r="T294" s="128"/>
      <c r="U294" s="77"/>
      <c r="CU294" s="88" t="str">
        <f t="shared" si="3722"/>
        <v>|n</v>
      </c>
      <c r="CW294" s="33"/>
      <c r="CX294" s="33"/>
      <c r="CY294" s="33"/>
      <c r="CZ294" s="33"/>
      <c r="DA294" s="33"/>
      <c r="DB294" s="66" t="str">
        <f t="shared" si="3723"/>
        <v/>
      </c>
      <c r="DC294" s="66" t="str">
        <f t="shared" si="3724"/>
        <v/>
      </c>
      <c r="DD294" s="66" t="str">
        <f t="shared" si="3725"/>
        <v/>
      </c>
      <c r="DE294" s="66" t="str">
        <f t="shared" si="3726"/>
        <v/>
      </c>
      <c r="DF294" s="66" t="str">
        <f t="shared" si="3727"/>
        <v/>
      </c>
      <c r="DG294" s="66" t="str">
        <f t="shared" si="3728"/>
        <v/>
      </c>
      <c r="DH294" s="66" t="str">
        <f t="shared" si="3729"/>
        <v/>
      </c>
      <c r="DI294" s="66" t="str">
        <f t="shared" si="3730"/>
        <v/>
      </c>
      <c r="DJ294" s="66" t="str">
        <f t="shared" si="3731"/>
        <v/>
      </c>
      <c r="DK294" s="66" t="str">
        <f t="shared" si="3732"/>
        <v/>
      </c>
      <c r="DL294" s="66" t="str">
        <f t="shared" si="3733"/>
        <v/>
      </c>
      <c r="DM294" s="66" t="str">
        <f t="shared" si="3734"/>
        <v/>
      </c>
      <c r="DN294" s="66" t="str">
        <f t="shared" si="3735"/>
        <v/>
      </c>
      <c r="DO294" s="66" t="str">
        <f t="shared" si="3736"/>
        <v/>
      </c>
      <c r="DP294" s="66" t="str">
        <f t="shared" si="3737"/>
        <v/>
      </c>
      <c r="DQ294" s="66" t="str">
        <f t="shared" si="3738"/>
        <v/>
      </c>
      <c r="DR294" s="66" t="str">
        <f t="shared" si="3739"/>
        <v/>
      </c>
      <c r="DS294" s="66" t="str">
        <f t="shared" si="3740"/>
        <v/>
      </c>
      <c r="DT294" s="66" t="str">
        <f t="shared" si="3741"/>
        <v/>
      </c>
      <c r="DU294" s="66" t="str">
        <f t="shared" si="3742"/>
        <v/>
      </c>
      <c r="DV294" s="66" t="str">
        <f t="shared" si="3743"/>
        <v/>
      </c>
      <c r="DW294" s="66" t="str">
        <f t="shared" si="3744"/>
        <v/>
      </c>
      <c r="DX294" s="66" t="str">
        <f t="shared" si="3745"/>
        <v/>
      </c>
      <c r="DY294" s="66" t="str">
        <f t="shared" si="3746"/>
        <v/>
      </c>
      <c r="DZ294" s="66" t="str">
        <f t="shared" si="3747"/>
        <v/>
      </c>
      <c r="EA294" s="66" t="str">
        <f t="shared" si="3748"/>
        <v/>
      </c>
      <c r="EB294" s="66" t="str">
        <f t="shared" si="3749"/>
        <v/>
      </c>
      <c r="EC294" s="66" t="str">
        <f t="shared" si="3750"/>
        <v/>
      </c>
      <c r="ED294" s="66" t="str">
        <f t="shared" si="3751"/>
        <v/>
      </c>
      <c r="EE294" s="66" t="str">
        <f t="shared" si="3752"/>
        <v/>
      </c>
      <c r="EF294" s="66" t="str">
        <f t="shared" si="3753"/>
        <v/>
      </c>
      <c r="EG294" s="66" t="str">
        <f t="shared" si="3754"/>
        <v/>
      </c>
      <c r="EH294" s="66" t="str">
        <f t="shared" si="3755"/>
        <v/>
      </c>
      <c r="EI294" s="66" t="str">
        <f t="shared" si="3756"/>
        <v/>
      </c>
      <c r="EJ294" s="66" t="str">
        <f t="shared" si="3757"/>
        <v/>
      </c>
      <c r="EK294" s="66" t="str">
        <f t="shared" si="3758"/>
        <v/>
      </c>
      <c r="EL294" s="66" t="str">
        <f t="shared" si="3759"/>
        <v/>
      </c>
      <c r="EM294" s="66" t="str">
        <f t="shared" si="3760"/>
        <v/>
      </c>
      <c r="EN294" s="66" t="str">
        <f t="shared" si="3761"/>
        <v/>
      </c>
      <c r="EO294" s="66" t="str">
        <f t="shared" si="3762"/>
        <v/>
      </c>
      <c r="EP294" s="66" t="str">
        <f t="shared" si="3763"/>
        <v/>
      </c>
      <c r="EQ294" s="66" t="str">
        <f t="shared" si="3764"/>
        <v/>
      </c>
      <c r="ER294" s="66" t="str">
        <f t="shared" si="3765"/>
        <v/>
      </c>
      <c r="ES294" s="66" t="str">
        <f t="shared" si="3766"/>
        <v/>
      </c>
      <c r="ET294" s="66" t="str">
        <f t="shared" si="3767"/>
        <v/>
      </c>
      <c r="EU294" s="66" t="str">
        <f t="shared" si="3768"/>
        <v/>
      </c>
      <c r="EV294" s="66" t="str">
        <f t="shared" si="3769"/>
        <v/>
      </c>
      <c r="EW294" s="66" t="str">
        <f t="shared" si="3770"/>
        <v/>
      </c>
      <c r="EX294" s="66" t="str">
        <f t="shared" si="3771"/>
        <v/>
      </c>
      <c r="EY294" s="66" t="str">
        <f t="shared" si="3772"/>
        <v/>
      </c>
      <c r="EZ294" s="66" t="str">
        <f t="shared" si="3773"/>
        <v/>
      </c>
      <c r="FA294" s="66" t="str">
        <f t="shared" si="3774"/>
        <v/>
      </c>
      <c r="FB294" s="66" t="str">
        <f t="shared" si="3775"/>
        <v/>
      </c>
      <c r="FC294" s="66" t="str">
        <f t="shared" si="3776"/>
        <v/>
      </c>
      <c r="FD294" s="66" t="str">
        <f t="shared" si="3777"/>
        <v/>
      </c>
      <c r="FE294" s="66" t="str">
        <f t="shared" si="3778"/>
        <v/>
      </c>
      <c r="FF294" s="66" t="str">
        <f t="shared" si="3779"/>
        <v/>
      </c>
      <c r="FG294" s="66" t="str">
        <f t="shared" si="3780"/>
        <v/>
      </c>
      <c r="FH294" s="66" t="str">
        <f t="shared" si="3781"/>
        <v/>
      </c>
      <c r="FI294" s="66" t="str">
        <f t="shared" si="3782"/>
        <v/>
      </c>
      <c r="FJ294" s="66" t="str">
        <f t="shared" si="3783"/>
        <v/>
      </c>
      <c r="FK294" s="66" t="str">
        <f t="shared" si="3784"/>
        <v/>
      </c>
      <c r="FL294" s="66" t="str">
        <f t="shared" si="3785"/>
        <v/>
      </c>
      <c r="FM294" s="66" t="str">
        <f t="shared" si="3786"/>
        <v/>
      </c>
      <c r="FN294" s="66" t="str">
        <f t="shared" si="3787"/>
        <v/>
      </c>
      <c r="FO294" s="66" t="str">
        <f t="shared" si="3788"/>
        <v/>
      </c>
      <c r="FP294" s="66" t="str">
        <f t="shared" si="3789"/>
        <v/>
      </c>
      <c r="FQ294" s="66" t="str">
        <f t="shared" si="3790"/>
        <v/>
      </c>
      <c r="FR294" s="66" t="str">
        <f t="shared" si="3791"/>
        <v/>
      </c>
      <c r="FS294" s="66" t="str">
        <f t="shared" si="3792"/>
        <v/>
      </c>
    </row>
    <row r="295" spans="1:175" ht="16.5">
      <c r="A295" s="2"/>
      <c r="B295" s="35"/>
      <c r="C295" s="2"/>
      <c r="E295" s="126"/>
      <c r="T295" s="128"/>
      <c r="U295" s="77"/>
      <c r="CU295" s="88" t="str">
        <f t="shared" si="3722"/>
        <v>|n</v>
      </c>
      <c r="CW295" s="33"/>
      <c r="CX295" s="33"/>
      <c r="CY295" s="33"/>
      <c r="CZ295" s="33"/>
      <c r="DA295" s="33"/>
      <c r="DB295" s="66" t="str">
        <f t="shared" si="3723"/>
        <v/>
      </c>
      <c r="DC295" s="66" t="str">
        <f t="shared" si="3724"/>
        <v/>
      </c>
      <c r="DD295" s="66" t="str">
        <f t="shared" si="3725"/>
        <v/>
      </c>
      <c r="DE295" s="66" t="str">
        <f t="shared" si="3726"/>
        <v/>
      </c>
      <c r="DF295" s="66" t="str">
        <f t="shared" si="3727"/>
        <v/>
      </c>
      <c r="DG295" s="66" t="str">
        <f t="shared" si="3728"/>
        <v/>
      </c>
      <c r="DH295" s="66" t="str">
        <f t="shared" si="3729"/>
        <v/>
      </c>
      <c r="DI295" s="66" t="str">
        <f t="shared" si="3730"/>
        <v/>
      </c>
      <c r="DJ295" s="66" t="str">
        <f t="shared" si="3731"/>
        <v/>
      </c>
      <c r="DK295" s="66" t="str">
        <f t="shared" si="3732"/>
        <v/>
      </c>
      <c r="DL295" s="66" t="str">
        <f t="shared" si="3733"/>
        <v/>
      </c>
      <c r="DM295" s="66" t="str">
        <f t="shared" si="3734"/>
        <v/>
      </c>
      <c r="DN295" s="66" t="str">
        <f t="shared" si="3735"/>
        <v/>
      </c>
      <c r="DO295" s="66" t="str">
        <f t="shared" si="3736"/>
        <v/>
      </c>
      <c r="DP295" s="66" t="str">
        <f t="shared" si="3737"/>
        <v/>
      </c>
      <c r="DQ295" s="66" t="str">
        <f t="shared" si="3738"/>
        <v/>
      </c>
      <c r="DR295" s="66" t="str">
        <f t="shared" si="3739"/>
        <v/>
      </c>
      <c r="DS295" s="66" t="str">
        <f t="shared" si="3740"/>
        <v/>
      </c>
      <c r="DT295" s="66" t="str">
        <f t="shared" si="3741"/>
        <v/>
      </c>
      <c r="DU295" s="66" t="str">
        <f t="shared" si="3742"/>
        <v/>
      </c>
      <c r="DV295" s="66" t="str">
        <f t="shared" si="3743"/>
        <v/>
      </c>
      <c r="DW295" s="66" t="str">
        <f t="shared" si="3744"/>
        <v/>
      </c>
      <c r="DX295" s="66" t="str">
        <f t="shared" si="3745"/>
        <v/>
      </c>
      <c r="DY295" s="66" t="str">
        <f t="shared" si="3746"/>
        <v/>
      </c>
      <c r="DZ295" s="66" t="str">
        <f t="shared" si="3747"/>
        <v/>
      </c>
      <c r="EA295" s="66" t="str">
        <f t="shared" si="3748"/>
        <v/>
      </c>
      <c r="EB295" s="66" t="str">
        <f t="shared" si="3749"/>
        <v/>
      </c>
      <c r="EC295" s="66" t="str">
        <f t="shared" si="3750"/>
        <v/>
      </c>
      <c r="ED295" s="66" t="str">
        <f t="shared" si="3751"/>
        <v/>
      </c>
      <c r="EE295" s="66" t="str">
        <f t="shared" si="3752"/>
        <v/>
      </c>
      <c r="EF295" s="66" t="str">
        <f t="shared" si="3753"/>
        <v/>
      </c>
      <c r="EG295" s="66" t="str">
        <f t="shared" si="3754"/>
        <v/>
      </c>
      <c r="EH295" s="66" t="str">
        <f t="shared" si="3755"/>
        <v/>
      </c>
      <c r="EI295" s="66" t="str">
        <f t="shared" si="3756"/>
        <v/>
      </c>
      <c r="EJ295" s="66" t="str">
        <f t="shared" si="3757"/>
        <v/>
      </c>
      <c r="EK295" s="66" t="str">
        <f t="shared" si="3758"/>
        <v/>
      </c>
      <c r="EL295" s="66" t="str">
        <f t="shared" si="3759"/>
        <v/>
      </c>
      <c r="EM295" s="66" t="str">
        <f t="shared" si="3760"/>
        <v/>
      </c>
      <c r="EN295" s="66" t="str">
        <f t="shared" si="3761"/>
        <v/>
      </c>
      <c r="EO295" s="66" t="str">
        <f t="shared" si="3762"/>
        <v/>
      </c>
      <c r="EP295" s="66" t="str">
        <f t="shared" si="3763"/>
        <v/>
      </c>
      <c r="EQ295" s="66" t="str">
        <f t="shared" si="3764"/>
        <v/>
      </c>
      <c r="ER295" s="66" t="str">
        <f t="shared" si="3765"/>
        <v/>
      </c>
      <c r="ES295" s="66" t="str">
        <f t="shared" si="3766"/>
        <v/>
      </c>
      <c r="ET295" s="66" t="str">
        <f t="shared" si="3767"/>
        <v/>
      </c>
      <c r="EU295" s="66" t="str">
        <f t="shared" si="3768"/>
        <v/>
      </c>
      <c r="EV295" s="66" t="str">
        <f t="shared" si="3769"/>
        <v/>
      </c>
      <c r="EW295" s="66" t="str">
        <f t="shared" si="3770"/>
        <v/>
      </c>
      <c r="EX295" s="66" t="str">
        <f t="shared" si="3771"/>
        <v/>
      </c>
      <c r="EY295" s="66" t="str">
        <f t="shared" si="3772"/>
        <v/>
      </c>
      <c r="EZ295" s="66" t="str">
        <f t="shared" si="3773"/>
        <v/>
      </c>
      <c r="FA295" s="66" t="str">
        <f t="shared" si="3774"/>
        <v/>
      </c>
      <c r="FB295" s="66" t="str">
        <f t="shared" si="3775"/>
        <v/>
      </c>
      <c r="FC295" s="66" t="str">
        <f t="shared" si="3776"/>
        <v/>
      </c>
      <c r="FD295" s="66" t="str">
        <f t="shared" si="3777"/>
        <v/>
      </c>
      <c r="FE295" s="66" t="str">
        <f t="shared" si="3778"/>
        <v/>
      </c>
      <c r="FF295" s="66" t="str">
        <f t="shared" si="3779"/>
        <v/>
      </c>
      <c r="FG295" s="66" t="str">
        <f t="shared" si="3780"/>
        <v/>
      </c>
      <c r="FH295" s="66" t="str">
        <f t="shared" si="3781"/>
        <v/>
      </c>
      <c r="FI295" s="66" t="str">
        <f t="shared" si="3782"/>
        <v/>
      </c>
      <c r="FJ295" s="66" t="str">
        <f t="shared" si="3783"/>
        <v/>
      </c>
      <c r="FK295" s="66" t="str">
        <f t="shared" si="3784"/>
        <v/>
      </c>
      <c r="FL295" s="66" t="str">
        <f t="shared" si="3785"/>
        <v/>
      </c>
      <c r="FM295" s="66" t="str">
        <f t="shared" si="3786"/>
        <v/>
      </c>
      <c r="FN295" s="66" t="str">
        <f t="shared" si="3787"/>
        <v/>
      </c>
      <c r="FO295" s="66" t="str">
        <f t="shared" si="3788"/>
        <v/>
      </c>
      <c r="FP295" s="66" t="str">
        <f t="shared" si="3789"/>
        <v/>
      </c>
      <c r="FQ295" s="66" t="str">
        <f t="shared" si="3790"/>
        <v/>
      </c>
      <c r="FR295" s="66" t="str">
        <f t="shared" si="3791"/>
        <v/>
      </c>
      <c r="FS295" s="66" t="str">
        <f t="shared" si="3792"/>
        <v/>
      </c>
    </row>
    <row r="296" spans="1:175" ht="16.5">
      <c r="A296" s="2"/>
      <c r="B296" s="35"/>
      <c r="C296" s="2"/>
      <c r="E296" s="126"/>
      <c r="T296" s="128"/>
      <c r="U296" s="77"/>
      <c r="CU296" s="88" t="str">
        <f t="shared" si="3722"/>
        <v>|n</v>
      </c>
      <c r="CW296" s="33"/>
      <c r="CX296" s="33"/>
      <c r="CY296" s="33"/>
      <c r="CZ296" s="33"/>
      <c r="DA296" s="33"/>
      <c r="DB296" s="66" t="str">
        <f t="shared" si="3723"/>
        <v/>
      </c>
      <c r="DC296" s="66" t="str">
        <f t="shared" si="3724"/>
        <v/>
      </c>
      <c r="DD296" s="66" t="str">
        <f t="shared" si="3725"/>
        <v/>
      </c>
      <c r="DE296" s="66" t="str">
        <f t="shared" si="3726"/>
        <v/>
      </c>
      <c r="DF296" s="66" t="str">
        <f t="shared" si="3727"/>
        <v/>
      </c>
      <c r="DG296" s="66" t="str">
        <f t="shared" si="3728"/>
        <v/>
      </c>
      <c r="DH296" s="66" t="str">
        <f t="shared" si="3729"/>
        <v/>
      </c>
      <c r="DI296" s="66" t="str">
        <f t="shared" si="3730"/>
        <v/>
      </c>
      <c r="DJ296" s="66" t="str">
        <f t="shared" si="3731"/>
        <v/>
      </c>
      <c r="DK296" s="66" t="str">
        <f t="shared" si="3732"/>
        <v/>
      </c>
      <c r="DL296" s="66" t="str">
        <f t="shared" si="3733"/>
        <v/>
      </c>
      <c r="DM296" s="66" t="str">
        <f t="shared" si="3734"/>
        <v/>
      </c>
      <c r="DN296" s="66" t="str">
        <f t="shared" si="3735"/>
        <v/>
      </c>
      <c r="DO296" s="66" t="str">
        <f t="shared" si="3736"/>
        <v/>
      </c>
      <c r="DP296" s="66" t="str">
        <f t="shared" si="3737"/>
        <v/>
      </c>
      <c r="DQ296" s="66" t="str">
        <f t="shared" si="3738"/>
        <v/>
      </c>
      <c r="DR296" s="66" t="str">
        <f t="shared" si="3739"/>
        <v/>
      </c>
      <c r="DS296" s="66" t="str">
        <f t="shared" si="3740"/>
        <v/>
      </c>
      <c r="DT296" s="66" t="str">
        <f t="shared" si="3741"/>
        <v/>
      </c>
      <c r="DU296" s="66" t="str">
        <f t="shared" si="3742"/>
        <v/>
      </c>
      <c r="DV296" s="66" t="str">
        <f t="shared" si="3743"/>
        <v/>
      </c>
      <c r="DW296" s="66" t="str">
        <f t="shared" si="3744"/>
        <v/>
      </c>
      <c r="DX296" s="66" t="str">
        <f t="shared" si="3745"/>
        <v/>
      </c>
      <c r="DY296" s="66" t="str">
        <f t="shared" si="3746"/>
        <v/>
      </c>
      <c r="DZ296" s="66" t="str">
        <f t="shared" si="3747"/>
        <v/>
      </c>
      <c r="EA296" s="66" t="str">
        <f t="shared" si="3748"/>
        <v/>
      </c>
      <c r="EB296" s="66" t="str">
        <f t="shared" si="3749"/>
        <v/>
      </c>
      <c r="EC296" s="66" t="str">
        <f t="shared" si="3750"/>
        <v/>
      </c>
      <c r="ED296" s="66" t="str">
        <f t="shared" si="3751"/>
        <v/>
      </c>
      <c r="EE296" s="66" t="str">
        <f t="shared" si="3752"/>
        <v/>
      </c>
      <c r="EF296" s="66" t="str">
        <f t="shared" si="3753"/>
        <v/>
      </c>
      <c r="EG296" s="66" t="str">
        <f t="shared" si="3754"/>
        <v/>
      </c>
      <c r="EH296" s="66" t="str">
        <f t="shared" si="3755"/>
        <v/>
      </c>
      <c r="EI296" s="66" t="str">
        <f t="shared" si="3756"/>
        <v/>
      </c>
      <c r="EJ296" s="66" t="str">
        <f t="shared" si="3757"/>
        <v/>
      </c>
      <c r="EK296" s="66" t="str">
        <f t="shared" si="3758"/>
        <v/>
      </c>
      <c r="EL296" s="66" t="str">
        <f t="shared" si="3759"/>
        <v/>
      </c>
      <c r="EM296" s="66" t="str">
        <f t="shared" si="3760"/>
        <v/>
      </c>
      <c r="EN296" s="66" t="str">
        <f t="shared" si="3761"/>
        <v/>
      </c>
      <c r="EO296" s="66" t="str">
        <f t="shared" si="3762"/>
        <v/>
      </c>
      <c r="EP296" s="66" t="str">
        <f t="shared" si="3763"/>
        <v/>
      </c>
      <c r="EQ296" s="66" t="str">
        <f t="shared" si="3764"/>
        <v/>
      </c>
      <c r="ER296" s="66" t="str">
        <f t="shared" si="3765"/>
        <v/>
      </c>
      <c r="ES296" s="66" t="str">
        <f t="shared" si="3766"/>
        <v/>
      </c>
      <c r="ET296" s="66" t="str">
        <f t="shared" si="3767"/>
        <v/>
      </c>
      <c r="EU296" s="66" t="str">
        <f t="shared" si="3768"/>
        <v/>
      </c>
      <c r="EV296" s="66" t="str">
        <f t="shared" si="3769"/>
        <v/>
      </c>
      <c r="EW296" s="66" t="str">
        <f t="shared" si="3770"/>
        <v/>
      </c>
      <c r="EX296" s="66" t="str">
        <f t="shared" si="3771"/>
        <v/>
      </c>
      <c r="EY296" s="66" t="str">
        <f t="shared" si="3772"/>
        <v/>
      </c>
      <c r="EZ296" s="66" t="str">
        <f t="shared" si="3773"/>
        <v/>
      </c>
      <c r="FA296" s="66" t="str">
        <f t="shared" si="3774"/>
        <v/>
      </c>
      <c r="FB296" s="66" t="str">
        <f t="shared" si="3775"/>
        <v/>
      </c>
      <c r="FC296" s="66" t="str">
        <f t="shared" si="3776"/>
        <v/>
      </c>
      <c r="FD296" s="66" t="str">
        <f t="shared" si="3777"/>
        <v/>
      </c>
      <c r="FE296" s="66" t="str">
        <f t="shared" si="3778"/>
        <v/>
      </c>
      <c r="FF296" s="66" t="str">
        <f t="shared" si="3779"/>
        <v/>
      </c>
      <c r="FG296" s="66" t="str">
        <f t="shared" si="3780"/>
        <v/>
      </c>
      <c r="FH296" s="66" t="str">
        <f t="shared" si="3781"/>
        <v/>
      </c>
      <c r="FI296" s="66" t="str">
        <f t="shared" si="3782"/>
        <v/>
      </c>
      <c r="FJ296" s="66" t="str">
        <f t="shared" si="3783"/>
        <v/>
      </c>
      <c r="FK296" s="66" t="str">
        <f t="shared" si="3784"/>
        <v/>
      </c>
      <c r="FL296" s="66" t="str">
        <f t="shared" si="3785"/>
        <v/>
      </c>
      <c r="FM296" s="66" t="str">
        <f t="shared" si="3786"/>
        <v/>
      </c>
      <c r="FN296" s="66" t="str">
        <f t="shared" si="3787"/>
        <v/>
      </c>
      <c r="FO296" s="66" t="str">
        <f t="shared" si="3788"/>
        <v/>
      </c>
      <c r="FP296" s="66" t="str">
        <f t="shared" si="3789"/>
        <v/>
      </c>
      <c r="FQ296" s="66" t="str">
        <f t="shared" si="3790"/>
        <v/>
      </c>
      <c r="FR296" s="66" t="str">
        <f t="shared" si="3791"/>
        <v/>
      </c>
      <c r="FS296" s="66" t="str">
        <f t="shared" si="3792"/>
        <v/>
      </c>
    </row>
    <row r="297" spans="1:175" ht="16.5">
      <c r="A297" s="2"/>
      <c r="B297" s="35"/>
      <c r="C297" s="2"/>
      <c r="E297" s="126"/>
      <c r="T297" s="128"/>
      <c r="U297" s="77"/>
      <c r="CU297" s="88" t="str">
        <f t="shared" si="3722"/>
        <v>|n</v>
      </c>
      <c r="CW297" s="33"/>
      <c r="CX297" s="33"/>
      <c r="CY297" s="33"/>
      <c r="CZ297" s="33"/>
      <c r="DA297" s="33"/>
      <c r="DB297" s="66" t="str">
        <f t="shared" si="3723"/>
        <v/>
      </c>
      <c r="DC297" s="66" t="str">
        <f t="shared" si="3724"/>
        <v/>
      </c>
      <c r="DD297" s="66" t="str">
        <f t="shared" si="3725"/>
        <v/>
      </c>
      <c r="DE297" s="66" t="str">
        <f t="shared" si="3726"/>
        <v/>
      </c>
      <c r="DF297" s="66" t="str">
        <f t="shared" si="3727"/>
        <v/>
      </c>
      <c r="DG297" s="66" t="str">
        <f t="shared" si="3728"/>
        <v/>
      </c>
      <c r="DH297" s="66" t="str">
        <f t="shared" si="3729"/>
        <v/>
      </c>
      <c r="DI297" s="66" t="str">
        <f t="shared" si="3730"/>
        <v/>
      </c>
      <c r="DJ297" s="66" t="str">
        <f t="shared" si="3731"/>
        <v/>
      </c>
      <c r="DK297" s="66" t="str">
        <f t="shared" si="3732"/>
        <v/>
      </c>
      <c r="DL297" s="66" t="str">
        <f t="shared" si="3733"/>
        <v/>
      </c>
      <c r="DM297" s="66" t="str">
        <f t="shared" si="3734"/>
        <v/>
      </c>
      <c r="DN297" s="66" t="str">
        <f t="shared" si="3735"/>
        <v/>
      </c>
      <c r="DO297" s="66" t="str">
        <f t="shared" si="3736"/>
        <v/>
      </c>
      <c r="DP297" s="66" t="str">
        <f t="shared" si="3737"/>
        <v/>
      </c>
      <c r="DQ297" s="66" t="str">
        <f t="shared" si="3738"/>
        <v/>
      </c>
      <c r="DR297" s="66" t="str">
        <f t="shared" si="3739"/>
        <v/>
      </c>
      <c r="DS297" s="66" t="str">
        <f t="shared" si="3740"/>
        <v/>
      </c>
      <c r="DT297" s="66" t="str">
        <f t="shared" si="3741"/>
        <v/>
      </c>
      <c r="DU297" s="66" t="str">
        <f t="shared" si="3742"/>
        <v/>
      </c>
      <c r="DV297" s="66" t="str">
        <f t="shared" si="3743"/>
        <v/>
      </c>
      <c r="DW297" s="66" t="str">
        <f t="shared" si="3744"/>
        <v/>
      </c>
      <c r="DX297" s="66" t="str">
        <f t="shared" si="3745"/>
        <v/>
      </c>
      <c r="DY297" s="66" t="str">
        <f t="shared" si="3746"/>
        <v/>
      </c>
      <c r="DZ297" s="66" t="str">
        <f t="shared" si="3747"/>
        <v/>
      </c>
      <c r="EA297" s="66" t="str">
        <f t="shared" si="3748"/>
        <v/>
      </c>
      <c r="EB297" s="66" t="str">
        <f t="shared" si="3749"/>
        <v/>
      </c>
      <c r="EC297" s="66" t="str">
        <f t="shared" si="3750"/>
        <v/>
      </c>
      <c r="ED297" s="66" t="str">
        <f t="shared" si="3751"/>
        <v/>
      </c>
      <c r="EE297" s="66" t="str">
        <f t="shared" si="3752"/>
        <v/>
      </c>
      <c r="EF297" s="66" t="str">
        <f t="shared" si="3753"/>
        <v/>
      </c>
      <c r="EG297" s="66" t="str">
        <f t="shared" si="3754"/>
        <v/>
      </c>
      <c r="EH297" s="66" t="str">
        <f t="shared" si="3755"/>
        <v/>
      </c>
      <c r="EI297" s="66" t="str">
        <f t="shared" si="3756"/>
        <v/>
      </c>
      <c r="EJ297" s="66" t="str">
        <f t="shared" si="3757"/>
        <v/>
      </c>
      <c r="EK297" s="66" t="str">
        <f t="shared" si="3758"/>
        <v/>
      </c>
      <c r="EL297" s="66" t="str">
        <f t="shared" si="3759"/>
        <v/>
      </c>
      <c r="EM297" s="66" t="str">
        <f t="shared" si="3760"/>
        <v/>
      </c>
      <c r="EN297" s="66" t="str">
        <f t="shared" si="3761"/>
        <v/>
      </c>
      <c r="EO297" s="66" t="str">
        <f t="shared" si="3762"/>
        <v/>
      </c>
      <c r="EP297" s="66" t="str">
        <f t="shared" si="3763"/>
        <v/>
      </c>
      <c r="EQ297" s="66" t="str">
        <f t="shared" si="3764"/>
        <v/>
      </c>
      <c r="ER297" s="66" t="str">
        <f t="shared" si="3765"/>
        <v/>
      </c>
      <c r="ES297" s="66" t="str">
        <f t="shared" si="3766"/>
        <v/>
      </c>
      <c r="ET297" s="66" t="str">
        <f t="shared" si="3767"/>
        <v/>
      </c>
      <c r="EU297" s="66" t="str">
        <f t="shared" si="3768"/>
        <v/>
      </c>
      <c r="EV297" s="66" t="str">
        <f t="shared" si="3769"/>
        <v/>
      </c>
      <c r="EW297" s="66" t="str">
        <f t="shared" si="3770"/>
        <v/>
      </c>
      <c r="EX297" s="66" t="str">
        <f t="shared" si="3771"/>
        <v/>
      </c>
      <c r="EY297" s="66" t="str">
        <f t="shared" si="3772"/>
        <v/>
      </c>
      <c r="EZ297" s="66" t="str">
        <f t="shared" si="3773"/>
        <v/>
      </c>
      <c r="FA297" s="66" t="str">
        <f t="shared" si="3774"/>
        <v/>
      </c>
      <c r="FB297" s="66" t="str">
        <f t="shared" si="3775"/>
        <v/>
      </c>
      <c r="FC297" s="66" t="str">
        <f t="shared" si="3776"/>
        <v/>
      </c>
      <c r="FD297" s="66" t="str">
        <f t="shared" si="3777"/>
        <v/>
      </c>
      <c r="FE297" s="66" t="str">
        <f t="shared" si="3778"/>
        <v/>
      </c>
      <c r="FF297" s="66" t="str">
        <f t="shared" si="3779"/>
        <v/>
      </c>
      <c r="FG297" s="66" t="str">
        <f t="shared" si="3780"/>
        <v/>
      </c>
      <c r="FH297" s="66" t="str">
        <f t="shared" si="3781"/>
        <v/>
      </c>
      <c r="FI297" s="66" t="str">
        <f t="shared" si="3782"/>
        <v/>
      </c>
      <c r="FJ297" s="66" t="str">
        <f t="shared" si="3783"/>
        <v/>
      </c>
      <c r="FK297" s="66" t="str">
        <f t="shared" si="3784"/>
        <v/>
      </c>
      <c r="FL297" s="66" t="str">
        <f t="shared" si="3785"/>
        <v/>
      </c>
      <c r="FM297" s="66" t="str">
        <f t="shared" si="3786"/>
        <v/>
      </c>
      <c r="FN297" s="66" t="str">
        <f t="shared" si="3787"/>
        <v/>
      </c>
      <c r="FO297" s="66" t="str">
        <f t="shared" si="3788"/>
        <v/>
      </c>
      <c r="FP297" s="66" t="str">
        <f t="shared" si="3789"/>
        <v/>
      </c>
      <c r="FQ297" s="66" t="str">
        <f t="shared" si="3790"/>
        <v/>
      </c>
      <c r="FR297" s="66" t="str">
        <f t="shared" si="3791"/>
        <v/>
      </c>
      <c r="FS297" s="66" t="str">
        <f t="shared" si="3792"/>
        <v/>
      </c>
    </row>
    <row r="298" spans="1:175">
      <c r="CN298" s="36" t="str">
        <f t="shared" ref="CN298:CN329" si="3958">"InitUnitState('"&amp;B298&amp;"',"&amp;V298&amp;","&amp;W298&amp;","&amp;X298&amp;","&amp;Y298&amp;","&amp;Z298&amp;","&amp;AA298&amp;","&amp;AB298&amp;","&amp;AC298&amp;","&amp;AD298&amp;","&amp;AE298&amp;")"</f>
        <v>InitUnitState('',,,,,,,,,,)</v>
      </c>
      <c r="CO298" s="36" t="str">
        <f t="shared" ref="CO298:CO329" si="3959">"InitUnitNormal('"&amp;B298&amp;"',"&amp;AF298&amp;","&amp;AG298&amp;","&amp;AH298&amp;","&amp;AI298&amp;","&amp;AJ298&amp;","&amp;AK298&amp;","&amp;AL298&amp;","&amp;AM298&amp;","&amp;AN298&amp;","&amp;AO298&amp;")"</f>
        <v>InitUnitNormal('',,,,,,,,,,)</v>
      </c>
      <c r="CP298" s="36" t="str">
        <f t="shared" ref="CP298:CP329" si="3960">"InitUnitMagic('"&amp;B298&amp;"',"&amp;AP298&amp;","&amp;AQ298&amp;","&amp;AR298&amp;","&amp;AS298&amp;","&amp;AT298&amp;","&amp;AU298&amp;","&amp;AV298&amp;","&amp;AW298&amp;","&amp;BI298&amp;","&amp;BJ298&amp;")"</f>
        <v>InitUnitMagic('',,,,,,,,,,)</v>
      </c>
      <c r="CQ298" s="36" t="str">
        <f t="shared" ref="CQ298:CQ329" si="3961">"InitUnitAdd('"&amp;B298&amp;"',"&amp;BK298&amp;","&amp;BL298&amp;","&amp;BM298&amp;","&amp;BN298&amp;","&amp;BO298&amp;","&amp;BP298&amp;","&amp;BQ298&amp;","&amp;BR298&amp;","&amp;BS298&amp;","&amp;BT298&amp;")"</f>
        <v>InitUnitAdd('',,,,,,,,,,)</v>
      </c>
      <c r="CR298" s="36" t="str">
        <f t="shared" ref="CR298:CR329" si="3962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InitEquipData('',,"",,,,,'','','','','','',"")</v>
      </c>
      <c r="CU298" s="19" t="str">
        <f t="shared" ref="CU298:CU310" si="3963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33"/>
      <c r="CX298" s="33"/>
      <c r="CY298" s="33"/>
      <c r="CZ298" s="33"/>
      <c r="DA298" s="33"/>
      <c r="DB298" s="66" t="str">
        <f t="shared" ref="DB298:DB318" si="3964">IF(V298="","","|n"&amp;DB$2&amp;"+"&amp;V298&amp;DB$1)</f>
        <v/>
      </c>
      <c r="DC298" s="66" t="str">
        <f t="shared" ref="DC298:DC318" si="3965">IF(W298="","","|n"&amp;DC$2&amp;"+"&amp;W298&amp;DC$1)</f>
        <v/>
      </c>
      <c r="DD298" s="66" t="str">
        <f t="shared" ref="DD298:DD318" si="3966">IF(X298="","","|n"&amp;DD$2&amp;"+"&amp;X298&amp;DD$1)</f>
        <v/>
      </c>
      <c r="DE298" s="66" t="str">
        <f t="shared" ref="DE298:DE318" si="3967">IF(Y298="","","|n"&amp;DE$2&amp;"+"&amp;Y298&amp;DE$1)</f>
        <v/>
      </c>
      <c r="DF298" s="66" t="str">
        <f t="shared" ref="DF298:DF318" si="3968">IF(Z298="","","|n"&amp;DF$2&amp;"+"&amp;Z298&amp;DF$1)</f>
        <v/>
      </c>
      <c r="DG298" s="66" t="str">
        <f t="shared" ref="DG298:DG318" si="3969">IF(AA298="","","|n"&amp;DG$2&amp;"+"&amp;AA298&amp;DG$1)</f>
        <v/>
      </c>
      <c r="DH298" s="66" t="str">
        <f t="shared" ref="DH298:DH318" si="3970">IF(AB298="","","|n"&amp;DH$2&amp;"+"&amp;AB298&amp;DH$1)</f>
        <v/>
      </c>
      <c r="DI298" s="66" t="str">
        <f t="shared" ref="DI298:DI318" si="3971">IF(AC298="","","|n"&amp;DI$2&amp;"+"&amp;AC298&amp;DI$1)</f>
        <v/>
      </c>
      <c r="DJ298" s="66" t="str">
        <f t="shared" ref="DJ298:DJ318" si="3972">IF(AD298="","","|n"&amp;DJ$2&amp;"+"&amp;AD298&amp;DJ$1)</f>
        <v/>
      </c>
      <c r="DK298" s="66" t="str">
        <f t="shared" ref="DK298:DK318" si="3973">IF(AE298="","","|n"&amp;DK$2&amp;"+"&amp;AE298&amp;DK$1)</f>
        <v/>
      </c>
      <c r="DL298" s="66" t="str">
        <f t="shared" ref="DL298:DL318" si="3974">IF(AF298="","","|n"&amp;DL$2&amp;"+"&amp;AF298&amp;DL$1)</f>
        <v/>
      </c>
      <c r="DM298" s="66" t="str">
        <f t="shared" ref="DM298:DM318" si="3975">IF(AG298="","","|n"&amp;DM$2&amp;"+"&amp;AG298&amp;DM$1)</f>
        <v/>
      </c>
      <c r="DN298" s="66" t="str">
        <f t="shared" ref="DN298:DN318" si="3976">IF(AH298="","","|n"&amp;DN$2&amp;"+"&amp;AH298&amp;DN$1)</f>
        <v/>
      </c>
      <c r="DO298" s="66" t="str">
        <f t="shared" ref="DO298:DO318" si="3977">IF(AI298="","","|n"&amp;DO$2&amp;"+"&amp;AI298&amp;DO$1)</f>
        <v/>
      </c>
      <c r="DP298" s="66" t="str">
        <f t="shared" ref="DP298:DP318" si="3978">IF(AJ298="","","|n"&amp;DP$2&amp;"+"&amp;AJ298&amp;DP$1)</f>
        <v/>
      </c>
      <c r="DQ298" s="66" t="str">
        <f t="shared" ref="DQ298:DQ318" si="3979">IF(AK298="","","|n"&amp;DQ$2&amp;"+"&amp;AK298&amp;DQ$1)</f>
        <v/>
      </c>
      <c r="DR298" s="66" t="str">
        <f t="shared" ref="DR298:DR318" si="3980">IF(AL298="","","|n"&amp;DR$2&amp;"+"&amp;AL298&amp;DR$1)</f>
        <v/>
      </c>
      <c r="DS298" s="66" t="str">
        <f t="shared" ref="DS298:DS318" si="3981">IF(AM298="","","|n"&amp;DS$2&amp;"+"&amp;AM298&amp;DS$1)</f>
        <v/>
      </c>
      <c r="DT298" s="66" t="str">
        <f t="shared" ref="DT298:DT318" si="3982">IF(AN298="","","|n"&amp;DT$2&amp;"+"&amp;AN298&amp;DT$1)</f>
        <v/>
      </c>
      <c r="DU298" s="66" t="str">
        <f t="shared" ref="DU298:DU318" si="3983">IF(AO298="","","|n"&amp;DU$2&amp;"+"&amp;AO298&amp;DU$1)</f>
        <v/>
      </c>
      <c r="DV298" s="66" t="str">
        <f t="shared" ref="DV298:DV318" si="3984">IF(AP298="","","|n"&amp;DV$2&amp;"+"&amp;AP298&amp;DV$1)</f>
        <v/>
      </c>
      <c r="DW298" s="66" t="str">
        <f t="shared" ref="DW298:DW318" si="3985">IF(AQ298="","","|n"&amp;DW$2&amp;"+"&amp;AQ298&amp;DW$1)</f>
        <v/>
      </c>
      <c r="DX298" s="66" t="str">
        <f t="shared" ref="DX298:DX318" si="3986">IF(AR298="","","|n"&amp;DX$2&amp;"+"&amp;AR298&amp;DX$1)</f>
        <v/>
      </c>
      <c r="DY298" s="66" t="str">
        <f t="shared" ref="DY298:DY318" si="3987">IF(AS298="","","|n"&amp;DY$2&amp;"+"&amp;AS298&amp;DY$1)</f>
        <v/>
      </c>
      <c r="DZ298" s="66" t="str">
        <f t="shared" ref="DZ298:DZ318" si="3988">IF(AT298="","","|n"&amp;DZ$2&amp;"+"&amp;AT298&amp;DZ$1)</f>
        <v/>
      </c>
      <c r="EA298" s="66" t="str">
        <f t="shared" ref="EA298:EA318" si="3989">IF(AU298="","","|n"&amp;EA$2&amp;"+"&amp;AU298&amp;EA$1)</f>
        <v/>
      </c>
      <c r="EB298" s="66" t="str">
        <f t="shared" ref="EB298:EB318" si="3990">IF(AV298="","","|n"&amp;EB$2&amp;"+"&amp;AV298&amp;EB$1)</f>
        <v/>
      </c>
      <c r="EC298" s="66" t="str">
        <f t="shared" ref="EC298:EC318" si="3991">IF(AW298="","","|n"&amp;EC$2&amp;"+"&amp;AW298&amp;EC$1)</f>
        <v/>
      </c>
      <c r="ED298" s="66" t="str">
        <f t="shared" ref="ED298:ED318" si="3992">IF(AX298="","","|n"&amp;ED$2&amp;"+"&amp;AX298&amp;ED$1)</f>
        <v/>
      </c>
      <c r="EE298" s="66" t="str">
        <f t="shared" ref="EE298:EE318" si="3993">IF(AY298="","","|n"&amp;EE$2&amp;"+"&amp;AY298&amp;EE$1)</f>
        <v/>
      </c>
      <c r="EF298" s="66" t="str">
        <f t="shared" ref="EF298:EF318" si="3994">IF(AZ298="","","|n"&amp;EF$2&amp;"+"&amp;AZ298&amp;EF$1)</f>
        <v/>
      </c>
      <c r="EG298" s="66" t="str">
        <f t="shared" ref="EG298:EG318" si="3995">IF(BA298="","","|n"&amp;EG$2&amp;"+"&amp;BA298&amp;EG$1)</f>
        <v/>
      </c>
      <c r="EH298" s="66" t="str">
        <f t="shared" ref="EH298:EH318" si="3996">IF(BB298="","","|n"&amp;EH$2&amp;"+"&amp;BB298&amp;EH$1)</f>
        <v/>
      </c>
      <c r="EI298" s="66" t="str">
        <f t="shared" ref="EI298:EI318" si="3997">IF(BC298="","","|n"&amp;EI$2&amp;"+"&amp;BC298&amp;EI$1)</f>
        <v/>
      </c>
      <c r="EJ298" s="66" t="str">
        <f t="shared" ref="EJ298:EJ318" si="3998">IF(BD298="","","|n"&amp;EJ$2&amp;"+"&amp;BD298&amp;EJ$1)</f>
        <v/>
      </c>
      <c r="EK298" s="66" t="str">
        <f t="shared" ref="EK298:EK318" si="3999">IF(BE298="","","|n"&amp;EK$2&amp;"+"&amp;BE298&amp;EK$1)</f>
        <v/>
      </c>
      <c r="EL298" s="66" t="str">
        <f t="shared" ref="EL298:EL318" si="4000">IF(BF298="","","|n"&amp;EL$2&amp;"+"&amp;BF298&amp;EL$1)</f>
        <v/>
      </c>
      <c r="EM298" s="66" t="str">
        <f t="shared" ref="EM298:EM318" si="4001">IF(BG298="","","|n"&amp;EM$2&amp;"+"&amp;BG298&amp;EM$1)</f>
        <v/>
      </c>
      <c r="EN298" s="66" t="str">
        <f t="shared" ref="EN298:EN318" si="4002">IF(BH298="","","|n"&amp;EN$2&amp;"+"&amp;BH298&amp;EN$1)</f>
        <v/>
      </c>
      <c r="EO298" s="66" t="str">
        <f t="shared" ref="EO298:EO318" si="4003">IF(BI298="","","|n"&amp;EO$2&amp;"+"&amp;BI298&amp;EO$1)</f>
        <v/>
      </c>
      <c r="EP298" s="66" t="str">
        <f t="shared" ref="EP298:EP318" si="4004">IF(BJ298="","","|n"&amp;EP$2&amp;"+"&amp;BJ298&amp;EP$1)</f>
        <v/>
      </c>
      <c r="EQ298" s="66" t="str">
        <f t="shared" ref="EQ298:EQ318" si="4005">IF(BK298="","","|n"&amp;EQ$2&amp;"+"&amp;BK298&amp;EQ$1)</f>
        <v/>
      </c>
      <c r="ER298" s="66" t="str">
        <f t="shared" ref="ER298:ER318" si="4006">IF(BL298="","","|n"&amp;ER$2&amp;"+"&amp;BL298&amp;ER$1)</f>
        <v/>
      </c>
      <c r="ES298" s="66" t="str">
        <f t="shared" ref="ES298:ES318" si="4007">IF(BM298="","","|n"&amp;ES$2&amp;"+"&amp;BM298&amp;ES$1)</f>
        <v/>
      </c>
      <c r="ET298" s="66" t="str">
        <f t="shared" ref="ET298:ET318" si="4008">IF(BN298="","","|n"&amp;ET$2&amp;"+"&amp;BN298&amp;ET$1)</f>
        <v/>
      </c>
      <c r="EU298" s="66" t="str">
        <f t="shared" ref="EU298:EU318" si="4009">IF(BO298="","","|n"&amp;EU$2&amp;"+"&amp;BO298&amp;EU$1)</f>
        <v/>
      </c>
      <c r="EV298" s="66" t="str">
        <f t="shared" ref="EV298:EV318" si="4010">IF(BP298="","","|n"&amp;EV$2&amp;"+"&amp;BP298&amp;EV$1)</f>
        <v/>
      </c>
      <c r="EW298" s="66" t="str">
        <f t="shared" ref="EW298:EW318" si="4011">IF(BQ298="","","|n"&amp;EW$2&amp;"+"&amp;BQ298&amp;EW$1)</f>
        <v/>
      </c>
      <c r="EX298" s="66" t="str">
        <f t="shared" ref="EX298:EX318" si="4012">IF(BR298="","","|n"&amp;EX$2&amp;"+"&amp;BR298&amp;EX$1)</f>
        <v/>
      </c>
      <c r="EY298" s="66" t="str">
        <f t="shared" ref="EY298:EY318" si="4013">IF(BS298="","","|n"&amp;EY$2&amp;"+"&amp;BS298&amp;EY$1)</f>
        <v/>
      </c>
      <c r="EZ298" s="66" t="str">
        <f t="shared" ref="EZ298:EZ318" si="4014">IF(BT298="","","|n"&amp;EZ$2&amp;"+"&amp;BT298&amp;EZ$1)</f>
        <v/>
      </c>
      <c r="FA298" s="66" t="str">
        <f t="shared" ref="FA298:FA318" si="4015">IF(BU298="","","|n"&amp;FA$2&amp;"+"&amp;BU298&amp;FA$1)</f>
        <v/>
      </c>
      <c r="FB298" s="66" t="str">
        <f t="shared" ref="FB298:FB318" si="4016">IF(BV298="","","|n"&amp;FB$2&amp;"+"&amp;BV298&amp;FB$1)</f>
        <v/>
      </c>
      <c r="FC298" s="66" t="str">
        <f t="shared" ref="FC298:FC318" si="4017">IF(BW298="","","|n"&amp;FC$2&amp;"+"&amp;BW298&amp;FC$1)</f>
        <v/>
      </c>
      <c r="FD298" s="66" t="str">
        <f t="shared" ref="FD298:FD318" si="4018">IF(BX298="","","|n"&amp;FD$2&amp;"+"&amp;BX298&amp;FD$1)</f>
        <v/>
      </c>
      <c r="FE298" s="66" t="str">
        <f t="shared" ref="FE298:FE318" si="4019">IF(BY298="","","|n"&amp;FE$2&amp;"+"&amp;BY298&amp;FE$1)</f>
        <v/>
      </c>
      <c r="FF298" s="66" t="str">
        <f t="shared" ref="FF298:FF318" si="4020">IF(BZ298="","","|n"&amp;FF$2&amp;"+"&amp;BZ298&amp;FF$1)</f>
        <v/>
      </c>
      <c r="FG298" s="66" t="str">
        <f t="shared" ref="FG298:FG318" si="4021">IF(CA298="","","|n"&amp;FG$2&amp;"+"&amp;CA298&amp;FG$1)</f>
        <v/>
      </c>
      <c r="FH298" s="66" t="str">
        <f t="shared" ref="FH298:FH318" si="4022">IF(CB298="","","|n"&amp;FH$2&amp;"+"&amp;CB298&amp;FH$1)</f>
        <v/>
      </c>
      <c r="FI298" s="66" t="str">
        <f t="shared" ref="FI298:FI318" si="4023">IF(CC298="","","|n"&amp;FI$2&amp;"+"&amp;CC298&amp;FI$1)</f>
        <v/>
      </c>
      <c r="FJ298" s="66" t="str">
        <f t="shared" ref="FJ298:FJ318" si="4024">IF(CD298="","","|n"&amp;FJ$2&amp;"+"&amp;CD298&amp;FJ$1)</f>
        <v/>
      </c>
      <c r="FK298" s="66" t="str">
        <f t="shared" ref="FK298:FK318" si="4025">IF(CE298="","","|n"&amp;FK$2&amp;"+"&amp;CE298&amp;FK$1)</f>
        <v/>
      </c>
      <c r="FL298" s="66" t="str">
        <f t="shared" ref="FL298:FL318" si="4026">IF(CF298="","","|n"&amp;FL$2&amp;"+"&amp;CF298&amp;FL$1)</f>
        <v/>
      </c>
      <c r="FM298" s="66" t="str">
        <f t="shared" ref="FM298:FM318" si="4027">IF(CG298="","","|n"&amp;FM$2&amp;"+"&amp;CG298&amp;FM$1)</f>
        <v/>
      </c>
      <c r="FN298" s="66" t="str">
        <f t="shared" ref="FN298:FN318" si="4028">IF(CH298="","","|n"&amp;FN$2&amp;"+"&amp;CH298&amp;FN$1)</f>
        <v/>
      </c>
      <c r="FO298" s="66" t="str">
        <f t="shared" ref="FO298:FO318" si="4029">IF(CI298="","","|n"&amp;FO$2&amp;"+"&amp;CI298&amp;FO$1)</f>
        <v/>
      </c>
      <c r="FP298" s="66" t="str">
        <f t="shared" ref="FP298:FP318" si="4030">IF(CJ298="","","|n"&amp;FP$2&amp;"+"&amp;CJ298&amp;FP$1)</f>
        <v/>
      </c>
      <c r="FQ298" s="66" t="str">
        <f t="shared" ref="FQ298:FQ318" si="4031">IF(CK298="","","|n"&amp;FQ$2&amp;"+"&amp;CK298&amp;FQ$1)</f>
        <v/>
      </c>
      <c r="FR298" s="66" t="str">
        <f t="shared" ref="FR298:FR318" si="4032">IF(CL298="","","|n"&amp;FR$2&amp;"+"&amp;CL298&amp;FR$1)</f>
        <v/>
      </c>
      <c r="FS298" s="66" t="str">
        <f t="shared" ref="FS298:FS318" si="4033">IF(CM298="","","|n"&amp;FS$2&amp;"+"&amp;CM298&amp;FS$1)</f>
        <v/>
      </c>
    </row>
    <row r="299" spans="1:175">
      <c r="CN299" s="36" t="str">
        <f t="shared" si="3958"/>
        <v>InitUnitState('',,,,,,,,,,)</v>
      </c>
      <c r="CO299" s="36" t="str">
        <f t="shared" si="3959"/>
        <v>InitUnitNormal('',,,,,,,,,,)</v>
      </c>
      <c r="CP299" s="36" t="str">
        <f t="shared" si="3960"/>
        <v>InitUnitMagic('',,,,,,,,,,)</v>
      </c>
      <c r="CQ299" s="36" t="str">
        <f t="shared" si="3961"/>
        <v>InitUnitAdd('',,,,,,,,,,)</v>
      </c>
      <c r="CR299" s="36" t="str">
        <f t="shared" si="3962"/>
        <v>InitEquipData('',,"",,,,,'','','','','','',"")</v>
      </c>
      <c r="CU299" s="19" t="str">
        <f t="shared" si="3963"/>
        <v>|n</v>
      </c>
      <c r="CW299" s="33"/>
      <c r="CX299" s="33"/>
      <c r="CY299" s="33"/>
      <c r="CZ299" s="33"/>
      <c r="DA299" s="33"/>
      <c r="DB299" s="66" t="str">
        <f t="shared" si="3964"/>
        <v/>
      </c>
      <c r="DC299" s="66" t="str">
        <f t="shared" si="3965"/>
        <v/>
      </c>
      <c r="DD299" s="66" t="str">
        <f t="shared" si="3966"/>
        <v/>
      </c>
      <c r="DE299" s="66" t="str">
        <f t="shared" si="3967"/>
        <v/>
      </c>
      <c r="DF299" s="66" t="str">
        <f t="shared" si="3968"/>
        <v/>
      </c>
      <c r="DG299" s="66" t="str">
        <f t="shared" si="3969"/>
        <v/>
      </c>
      <c r="DH299" s="66" t="str">
        <f t="shared" si="3970"/>
        <v/>
      </c>
      <c r="DI299" s="66" t="str">
        <f t="shared" si="3971"/>
        <v/>
      </c>
      <c r="DJ299" s="66" t="str">
        <f t="shared" si="3972"/>
        <v/>
      </c>
      <c r="DK299" s="66" t="str">
        <f t="shared" si="3973"/>
        <v/>
      </c>
      <c r="DL299" s="66" t="str">
        <f t="shared" si="3974"/>
        <v/>
      </c>
      <c r="DM299" s="66" t="str">
        <f t="shared" si="3975"/>
        <v/>
      </c>
      <c r="DN299" s="66" t="str">
        <f t="shared" si="3976"/>
        <v/>
      </c>
      <c r="DO299" s="66" t="str">
        <f t="shared" si="3977"/>
        <v/>
      </c>
      <c r="DP299" s="66" t="str">
        <f t="shared" si="3978"/>
        <v/>
      </c>
      <c r="DQ299" s="66" t="str">
        <f t="shared" si="3979"/>
        <v/>
      </c>
      <c r="DR299" s="66" t="str">
        <f t="shared" si="3980"/>
        <v/>
      </c>
      <c r="DS299" s="66" t="str">
        <f t="shared" si="3981"/>
        <v/>
      </c>
      <c r="DT299" s="66" t="str">
        <f t="shared" si="3982"/>
        <v/>
      </c>
      <c r="DU299" s="66" t="str">
        <f t="shared" si="3983"/>
        <v/>
      </c>
      <c r="DV299" s="66" t="str">
        <f t="shared" si="3984"/>
        <v/>
      </c>
      <c r="DW299" s="66" t="str">
        <f t="shared" si="3985"/>
        <v/>
      </c>
      <c r="DX299" s="66" t="str">
        <f t="shared" si="3986"/>
        <v/>
      </c>
      <c r="DY299" s="66" t="str">
        <f t="shared" si="3987"/>
        <v/>
      </c>
      <c r="DZ299" s="66" t="str">
        <f t="shared" si="3988"/>
        <v/>
      </c>
      <c r="EA299" s="66" t="str">
        <f t="shared" si="3989"/>
        <v/>
      </c>
      <c r="EB299" s="66" t="str">
        <f t="shared" si="3990"/>
        <v/>
      </c>
      <c r="EC299" s="66" t="str">
        <f t="shared" si="3991"/>
        <v/>
      </c>
      <c r="ED299" s="66" t="str">
        <f t="shared" si="3992"/>
        <v/>
      </c>
      <c r="EE299" s="66" t="str">
        <f t="shared" si="3993"/>
        <v/>
      </c>
      <c r="EF299" s="66" t="str">
        <f t="shared" si="3994"/>
        <v/>
      </c>
      <c r="EG299" s="66" t="str">
        <f t="shared" si="3995"/>
        <v/>
      </c>
      <c r="EH299" s="66" t="str">
        <f t="shared" si="3996"/>
        <v/>
      </c>
      <c r="EI299" s="66" t="str">
        <f t="shared" si="3997"/>
        <v/>
      </c>
      <c r="EJ299" s="66" t="str">
        <f t="shared" si="3998"/>
        <v/>
      </c>
      <c r="EK299" s="66" t="str">
        <f t="shared" si="3999"/>
        <v/>
      </c>
      <c r="EL299" s="66" t="str">
        <f t="shared" si="4000"/>
        <v/>
      </c>
      <c r="EM299" s="66" t="str">
        <f t="shared" si="4001"/>
        <v/>
      </c>
      <c r="EN299" s="66" t="str">
        <f t="shared" si="4002"/>
        <v/>
      </c>
      <c r="EO299" s="66" t="str">
        <f t="shared" si="4003"/>
        <v/>
      </c>
      <c r="EP299" s="66" t="str">
        <f t="shared" si="4004"/>
        <v/>
      </c>
      <c r="EQ299" s="66" t="str">
        <f t="shared" si="4005"/>
        <v/>
      </c>
      <c r="ER299" s="66" t="str">
        <f t="shared" si="4006"/>
        <v/>
      </c>
      <c r="ES299" s="66" t="str">
        <f t="shared" si="4007"/>
        <v/>
      </c>
      <c r="ET299" s="66" t="str">
        <f t="shared" si="4008"/>
        <v/>
      </c>
      <c r="EU299" s="66" t="str">
        <f t="shared" si="4009"/>
        <v/>
      </c>
      <c r="EV299" s="66" t="str">
        <f t="shared" si="4010"/>
        <v/>
      </c>
      <c r="EW299" s="66" t="str">
        <f t="shared" si="4011"/>
        <v/>
      </c>
      <c r="EX299" s="66" t="str">
        <f t="shared" si="4012"/>
        <v/>
      </c>
      <c r="EY299" s="66" t="str">
        <f t="shared" si="4013"/>
        <v/>
      </c>
      <c r="EZ299" s="66" t="str">
        <f t="shared" si="4014"/>
        <v/>
      </c>
      <c r="FA299" s="66" t="str">
        <f t="shared" si="4015"/>
        <v/>
      </c>
      <c r="FB299" s="66" t="str">
        <f t="shared" si="4016"/>
        <v/>
      </c>
      <c r="FC299" s="66" t="str">
        <f t="shared" si="4017"/>
        <v/>
      </c>
      <c r="FD299" s="66" t="str">
        <f t="shared" si="4018"/>
        <v/>
      </c>
      <c r="FE299" s="66" t="str">
        <f t="shared" si="4019"/>
        <v/>
      </c>
      <c r="FF299" s="66" t="str">
        <f t="shared" si="4020"/>
        <v/>
      </c>
      <c r="FG299" s="66" t="str">
        <f t="shared" si="4021"/>
        <v/>
      </c>
      <c r="FH299" s="66" t="str">
        <f t="shared" si="4022"/>
        <v/>
      </c>
      <c r="FI299" s="66" t="str">
        <f t="shared" si="4023"/>
        <v/>
      </c>
      <c r="FJ299" s="66" t="str">
        <f t="shared" si="4024"/>
        <v/>
      </c>
      <c r="FK299" s="66" t="str">
        <f t="shared" si="4025"/>
        <v/>
      </c>
      <c r="FL299" s="66" t="str">
        <f t="shared" si="4026"/>
        <v/>
      </c>
      <c r="FM299" s="66" t="str">
        <f t="shared" si="4027"/>
        <v/>
      </c>
      <c r="FN299" s="66" t="str">
        <f t="shared" si="4028"/>
        <v/>
      </c>
      <c r="FO299" s="66" t="str">
        <f t="shared" si="4029"/>
        <v/>
      </c>
      <c r="FP299" s="66" t="str">
        <f t="shared" si="4030"/>
        <v/>
      </c>
      <c r="FQ299" s="66" t="str">
        <f t="shared" si="4031"/>
        <v/>
      </c>
      <c r="FR299" s="66" t="str">
        <f t="shared" si="4032"/>
        <v/>
      </c>
      <c r="FS299" s="66" t="str">
        <f t="shared" si="4033"/>
        <v/>
      </c>
    </row>
    <row r="300" spans="1:175">
      <c r="CN300" s="36" t="str">
        <f t="shared" si="3958"/>
        <v>InitUnitState('',,,,,,,,,,)</v>
      </c>
      <c r="CO300" s="36" t="str">
        <f t="shared" si="3959"/>
        <v>InitUnitNormal('',,,,,,,,,,)</v>
      </c>
      <c r="CP300" s="36" t="str">
        <f t="shared" si="3960"/>
        <v>InitUnitMagic('',,,,,,,,,,)</v>
      </c>
      <c r="CQ300" s="36" t="str">
        <f t="shared" si="3961"/>
        <v>InitUnitAdd('',,,,,,,,,,)</v>
      </c>
      <c r="CR300" s="36" t="str">
        <f t="shared" si="3962"/>
        <v>InitEquipData('',,"",,,,,'','','','','','',"")</v>
      </c>
      <c r="CU300" s="19" t="str">
        <f t="shared" si="3963"/>
        <v>|n</v>
      </c>
      <c r="CW300" s="33"/>
      <c r="CX300" s="33"/>
      <c r="CY300" s="33"/>
      <c r="CZ300" s="33"/>
      <c r="DA300" s="33"/>
      <c r="DB300" s="66" t="str">
        <f t="shared" si="3964"/>
        <v/>
      </c>
      <c r="DC300" s="66" t="str">
        <f t="shared" si="3965"/>
        <v/>
      </c>
      <c r="DD300" s="66" t="str">
        <f t="shared" si="3966"/>
        <v/>
      </c>
      <c r="DE300" s="66" t="str">
        <f t="shared" si="3967"/>
        <v/>
      </c>
      <c r="DF300" s="66" t="str">
        <f t="shared" si="3968"/>
        <v/>
      </c>
      <c r="DG300" s="66" t="str">
        <f t="shared" si="3969"/>
        <v/>
      </c>
      <c r="DH300" s="66" t="str">
        <f t="shared" si="3970"/>
        <v/>
      </c>
      <c r="DI300" s="66" t="str">
        <f t="shared" si="3971"/>
        <v/>
      </c>
      <c r="DJ300" s="66" t="str">
        <f t="shared" si="3972"/>
        <v/>
      </c>
      <c r="DK300" s="66" t="str">
        <f t="shared" si="3973"/>
        <v/>
      </c>
      <c r="DL300" s="66" t="str">
        <f t="shared" si="3974"/>
        <v/>
      </c>
      <c r="DM300" s="66" t="str">
        <f t="shared" si="3975"/>
        <v/>
      </c>
      <c r="DN300" s="66" t="str">
        <f t="shared" si="3976"/>
        <v/>
      </c>
      <c r="DO300" s="66" t="str">
        <f t="shared" si="3977"/>
        <v/>
      </c>
      <c r="DP300" s="66" t="str">
        <f t="shared" si="3978"/>
        <v/>
      </c>
      <c r="DQ300" s="66" t="str">
        <f t="shared" si="3979"/>
        <v/>
      </c>
      <c r="DR300" s="66" t="str">
        <f t="shared" si="3980"/>
        <v/>
      </c>
      <c r="DS300" s="66" t="str">
        <f t="shared" si="3981"/>
        <v/>
      </c>
      <c r="DT300" s="66" t="str">
        <f t="shared" si="3982"/>
        <v/>
      </c>
      <c r="DU300" s="66" t="str">
        <f t="shared" si="3983"/>
        <v/>
      </c>
      <c r="DV300" s="66" t="str">
        <f t="shared" si="3984"/>
        <v/>
      </c>
      <c r="DW300" s="66" t="str">
        <f t="shared" si="3985"/>
        <v/>
      </c>
      <c r="DX300" s="66" t="str">
        <f t="shared" si="3986"/>
        <v/>
      </c>
      <c r="DY300" s="66" t="str">
        <f t="shared" si="3987"/>
        <v/>
      </c>
      <c r="DZ300" s="66" t="str">
        <f t="shared" si="3988"/>
        <v/>
      </c>
      <c r="EA300" s="66" t="str">
        <f t="shared" si="3989"/>
        <v/>
      </c>
      <c r="EB300" s="66" t="str">
        <f t="shared" si="3990"/>
        <v/>
      </c>
      <c r="EC300" s="66" t="str">
        <f t="shared" si="3991"/>
        <v/>
      </c>
      <c r="ED300" s="66" t="str">
        <f t="shared" si="3992"/>
        <v/>
      </c>
      <c r="EE300" s="66" t="str">
        <f t="shared" si="3993"/>
        <v/>
      </c>
      <c r="EF300" s="66" t="str">
        <f t="shared" si="3994"/>
        <v/>
      </c>
      <c r="EG300" s="66" t="str">
        <f t="shared" si="3995"/>
        <v/>
      </c>
      <c r="EH300" s="66" t="str">
        <f t="shared" si="3996"/>
        <v/>
      </c>
      <c r="EI300" s="66" t="str">
        <f t="shared" si="3997"/>
        <v/>
      </c>
      <c r="EJ300" s="66" t="str">
        <f t="shared" si="3998"/>
        <v/>
      </c>
      <c r="EK300" s="66" t="str">
        <f t="shared" si="3999"/>
        <v/>
      </c>
      <c r="EL300" s="66" t="str">
        <f t="shared" si="4000"/>
        <v/>
      </c>
      <c r="EM300" s="66" t="str">
        <f t="shared" si="4001"/>
        <v/>
      </c>
      <c r="EN300" s="66" t="str">
        <f t="shared" si="4002"/>
        <v/>
      </c>
      <c r="EO300" s="66" t="str">
        <f t="shared" si="4003"/>
        <v/>
      </c>
      <c r="EP300" s="66" t="str">
        <f t="shared" si="4004"/>
        <v/>
      </c>
      <c r="EQ300" s="66" t="str">
        <f t="shared" si="4005"/>
        <v/>
      </c>
      <c r="ER300" s="66" t="str">
        <f t="shared" si="4006"/>
        <v/>
      </c>
      <c r="ES300" s="66" t="str">
        <f t="shared" si="4007"/>
        <v/>
      </c>
      <c r="ET300" s="66" t="str">
        <f t="shared" si="4008"/>
        <v/>
      </c>
      <c r="EU300" s="66" t="str">
        <f t="shared" si="4009"/>
        <v/>
      </c>
      <c r="EV300" s="66" t="str">
        <f t="shared" si="4010"/>
        <v/>
      </c>
      <c r="EW300" s="66" t="str">
        <f t="shared" si="4011"/>
        <v/>
      </c>
      <c r="EX300" s="66" t="str">
        <f t="shared" si="4012"/>
        <v/>
      </c>
      <c r="EY300" s="66" t="str">
        <f t="shared" si="4013"/>
        <v/>
      </c>
      <c r="EZ300" s="66" t="str">
        <f t="shared" si="4014"/>
        <v/>
      </c>
      <c r="FA300" s="66" t="str">
        <f t="shared" si="4015"/>
        <v/>
      </c>
      <c r="FB300" s="66" t="str">
        <f t="shared" si="4016"/>
        <v/>
      </c>
      <c r="FC300" s="66" t="str">
        <f t="shared" si="4017"/>
        <v/>
      </c>
      <c r="FD300" s="66" t="str">
        <f t="shared" si="4018"/>
        <v/>
      </c>
      <c r="FE300" s="66" t="str">
        <f t="shared" si="4019"/>
        <v/>
      </c>
      <c r="FF300" s="66" t="str">
        <f t="shared" si="4020"/>
        <v/>
      </c>
      <c r="FG300" s="66" t="str">
        <f t="shared" si="4021"/>
        <v/>
      </c>
      <c r="FH300" s="66" t="str">
        <f t="shared" si="4022"/>
        <v/>
      </c>
      <c r="FI300" s="66" t="str">
        <f t="shared" si="4023"/>
        <v/>
      </c>
      <c r="FJ300" s="66" t="str">
        <f t="shared" si="4024"/>
        <v/>
      </c>
      <c r="FK300" s="66" t="str">
        <f t="shared" si="4025"/>
        <v/>
      </c>
      <c r="FL300" s="66" t="str">
        <f t="shared" si="4026"/>
        <v/>
      </c>
      <c r="FM300" s="66" t="str">
        <f t="shared" si="4027"/>
        <v/>
      </c>
      <c r="FN300" s="66" t="str">
        <f t="shared" si="4028"/>
        <v/>
      </c>
      <c r="FO300" s="66" t="str">
        <f t="shared" si="4029"/>
        <v/>
      </c>
      <c r="FP300" s="66" t="str">
        <f t="shared" si="4030"/>
        <v/>
      </c>
      <c r="FQ300" s="66" t="str">
        <f t="shared" si="4031"/>
        <v/>
      </c>
      <c r="FR300" s="66" t="str">
        <f t="shared" si="4032"/>
        <v/>
      </c>
      <c r="FS300" s="66" t="str">
        <f t="shared" si="4033"/>
        <v/>
      </c>
    </row>
    <row r="301" spans="1:175">
      <c r="CN301" s="36" t="str">
        <f t="shared" si="3958"/>
        <v>InitUnitState('',,,,,,,,,,)</v>
      </c>
      <c r="CO301" s="36" t="str">
        <f t="shared" si="3959"/>
        <v>InitUnitNormal('',,,,,,,,,,)</v>
      </c>
      <c r="CP301" s="36" t="str">
        <f t="shared" si="3960"/>
        <v>InitUnitMagic('',,,,,,,,,,)</v>
      </c>
      <c r="CQ301" s="36" t="str">
        <f t="shared" si="3961"/>
        <v>InitUnitAdd('',,,,,,,,,,)</v>
      </c>
      <c r="CR301" s="36" t="str">
        <f t="shared" si="3962"/>
        <v>InitEquipData('',,"",,,,,'','','','','','',"")</v>
      </c>
      <c r="CU301" s="19" t="str">
        <f t="shared" si="3963"/>
        <v>|n</v>
      </c>
      <c r="CW301" s="33"/>
      <c r="CX301" s="33"/>
      <c r="CY301" s="33"/>
      <c r="CZ301" s="33"/>
      <c r="DA301" s="33"/>
      <c r="DB301" s="66" t="str">
        <f t="shared" si="3964"/>
        <v/>
      </c>
      <c r="DC301" s="66" t="str">
        <f t="shared" si="3965"/>
        <v/>
      </c>
      <c r="DD301" s="66" t="str">
        <f t="shared" si="3966"/>
        <v/>
      </c>
      <c r="DE301" s="66" t="str">
        <f t="shared" si="3967"/>
        <v/>
      </c>
      <c r="DF301" s="66" t="str">
        <f t="shared" si="3968"/>
        <v/>
      </c>
      <c r="DG301" s="66" t="str">
        <f t="shared" si="3969"/>
        <v/>
      </c>
      <c r="DH301" s="66" t="str">
        <f t="shared" si="3970"/>
        <v/>
      </c>
      <c r="DI301" s="66" t="str">
        <f t="shared" si="3971"/>
        <v/>
      </c>
      <c r="DJ301" s="66" t="str">
        <f t="shared" si="3972"/>
        <v/>
      </c>
      <c r="DK301" s="66" t="str">
        <f t="shared" si="3973"/>
        <v/>
      </c>
      <c r="DL301" s="66" t="str">
        <f t="shared" si="3974"/>
        <v/>
      </c>
      <c r="DM301" s="66" t="str">
        <f t="shared" si="3975"/>
        <v/>
      </c>
      <c r="DN301" s="66" t="str">
        <f t="shared" si="3976"/>
        <v/>
      </c>
      <c r="DO301" s="66" t="str">
        <f t="shared" si="3977"/>
        <v/>
      </c>
      <c r="DP301" s="66" t="str">
        <f t="shared" si="3978"/>
        <v/>
      </c>
      <c r="DQ301" s="66" t="str">
        <f t="shared" si="3979"/>
        <v/>
      </c>
      <c r="DR301" s="66" t="str">
        <f t="shared" si="3980"/>
        <v/>
      </c>
      <c r="DS301" s="66" t="str">
        <f t="shared" si="3981"/>
        <v/>
      </c>
      <c r="DT301" s="66" t="str">
        <f t="shared" si="3982"/>
        <v/>
      </c>
      <c r="DU301" s="66" t="str">
        <f t="shared" si="3983"/>
        <v/>
      </c>
      <c r="DV301" s="66" t="str">
        <f t="shared" si="3984"/>
        <v/>
      </c>
      <c r="DW301" s="66" t="str">
        <f t="shared" si="3985"/>
        <v/>
      </c>
      <c r="DX301" s="66" t="str">
        <f t="shared" si="3986"/>
        <v/>
      </c>
      <c r="DY301" s="66" t="str">
        <f t="shared" si="3987"/>
        <v/>
      </c>
      <c r="DZ301" s="66" t="str">
        <f t="shared" si="3988"/>
        <v/>
      </c>
      <c r="EA301" s="66" t="str">
        <f t="shared" si="3989"/>
        <v/>
      </c>
      <c r="EB301" s="66" t="str">
        <f t="shared" si="3990"/>
        <v/>
      </c>
      <c r="EC301" s="66" t="str">
        <f t="shared" si="3991"/>
        <v/>
      </c>
      <c r="ED301" s="66" t="str">
        <f t="shared" si="3992"/>
        <v/>
      </c>
      <c r="EE301" s="66" t="str">
        <f t="shared" si="3993"/>
        <v/>
      </c>
      <c r="EF301" s="66" t="str">
        <f t="shared" si="3994"/>
        <v/>
      </c>
      <c r="EG301" s="66" t="str">
        <f t="shared" si="3995"/>
        <v/>
      </c>
      <c r="EH301" s="66" t="str">
        <f t="shared" si="3996"/>
        <v/>
      </c>
      <c r="EI301" s="66" t="str">
        <f t="shared" si="3997"/>
        <v/>
      </c>
      <c r="EJ301" s="66" t="str">
        <f t="shared" si="3998"/>
        <v/>
      </c>
      <c r="EK301" s="66" t="str">
        <f t="shared" si="3999"/>
        <v/>
      </c>
      <c r="EL301" s="66" t="str">
        <f t="shared" si="4000"/>
        <v/>
      </c>
      <c r="EM301" s="66" t="str">
        <f t="shared" si="4001"/>
        <v/>
      </c>
      <c r="EN301" s="66" t="str">
        <f t="shared" si="4002"/>
        <v/>
      </c>
      <c r="EO301" s="66" t="str">
        <f t="shared" si="4003"/>
        <v/>
      </c>
      <c r="EP301" s="66" t="str">
        <f t="shared" si="4004"/>
        <v/>
      </c>
      <c r="EQ301" s="66" t="str">
        <f t="shared" si="4005"/>
        <v/>
      </c>
      <c r="ER301" s="66" t="str">
        <f t="shared" si="4006"/>
        <v/>
      </c>
      <c r="ES301" s="66" t="str">
        <f t="shared" si="4007"/>
        <v/>
      </c>
      <c r="ET301" s="66" t="str">
        <f t="shared" si="4008"/>
        <v/>
      </c>
      <c r="EU301" s="66" t="str">
        <f t="shared" si="4009"/>
        <v/>
      </c>
      <c r="EV301" s="66" t="str">
        <f t="shared" si="4010"/>
        <v/>
      </c>
      <c r="EW301" s="66" t="str">
        <f t="shared" si="4011"/>
        <v/>
      </c>
      <c r="EX301" s="66" t="str">
        <f t="shared" si="4012"/>
        <v/>
      </c>
      <c r="EY301" s="66" t="str">
        <f t="shared" si="4013"/>
        <v/>
      </c>
      <c r="EZ301" s="66" t="str">
        <f t="shared" si="4014"/>
        <v/>
      </c>
      <c r="FA301" s="66" t="str">
        <f t="shared" si="4015"/>
        <v/>
      </c>
      <c r="FB301" s="66" t="str">
        <f t="shared" si="4016"/>
        <v/>
      </c>
      <c r="FC301" s="66" t="str">
        <f t="shared" si="4017"/>
        <v/>
      </c>
      <c r="FD301" s="66" t="str">
        <f t="shared" si="4018"/>
        <v/>
      </c>
      <c r="FE301" s="66" t="str">
        <f t="shared" si="4019"/>
        <v/>
      </c>
      <c r="FF301" s="66" t="str">
        <f t="shared" si="4020"/>
        <v/>
      </c>
      <c r="FG301" s="66" t="str">
        <f t="shared" si="4021"/>
        <v/>
      </c>
      <c r="FH301" s="66" t="str">
        <f t="shared" si="4022"/>
        <v/>
      </c>
      <c r="FI301" s="66" t="str">
        <f t="shared" si="4023"/>
        <v/>
      </c>
      <c r="FJ301" s="66" t="str">
        <f t="shared" si="4024"/>
        <v/>
      </c>
      <c r="FK301" s="66" t="str">
        <f t="shared" si="4025"/>
        <v/>
      </c>
      <c r="FL301" s="66" t="str">
        <f t="shared" si="4026"/>
        <v/>
      </c>
      <c r="FM301" s="66" t="str">
        <f t="shared" si="4027"/>
        <v/>
      </c>
      <c r="FN301" s="66" t="str">
        <f t="shared" si="4028"/>
        <v/>
      </c>
      <c r="FO301" s="66" t="str">
        <f t="shared" si="4029"/>
        <v/>
      </c>
      <c r="FP301" s="66" t="str">
        <f t="shared" si="4030"/>
        <v/>
      </c>
      <c r="FQ301" s="66" t="str">
        <f t="shared" si="4031"/>
        <v/>
      </c>
      <c r="FR301" s="66" t="str">
        <f t="shared" si="4032"/>
        <v/>
      </c>
      <c r="FS301" s="66" t="str">
        <f t="shared" si="4033"/>
        <v/>
      </c>
    </row>
    <row r="302" spans="1:175">
      <c r="CN302" s="36" t="str">
        <f t="shared" si="3958"/>
        <v>InitUnitState('',,,,,,,,,,)</v>
      </c>
      <c r="CO302" s="36" t="str">
        <f t="shared" si="3959"/>
        <v>InitUnitNormal('',,,,,,,,,,)</v>
      </c>
      <c r="CP302" s="36" t="str">
        <f t="shared" si="3960"/>
        <v>InitUnitMagic('',,,,,,,,,,)</v>
      </c>
      <c r="CQ302" s="36" t="str">
        <f t="shared" si="3961"/>
        <v>InitUnitAdd('',,,,,,,,,,)</v>
      </c>
      <c r="CR302" s="36" t="str">
        <f t="shared" si="3962"/>
        <v>InitEquipData('',,"",,,,,'','','','','','',"")</v>
      </c>
      <c r="CU302" s="19" t="str">
        <f t="shared" si="3963"/>
        <v>|n</v>
      </c>
      <c r="CW302" s="33"/>
      <c r="CX302" s="33"/>
      <c r="CY302" s="33"/>
      <c r="CZ302" s="33"/>
      <c r="DA302" s="33"/>
      <c r="DB302" s="66" t="str">
        <f t="shared" si="3964"/>
        <v/>
      </c>
      <c r="DC302" s="66" t="str">
        <f t="shared" si="3965"/>
        <v/>
      </c>
      <c r="DD302" s="66" t="str">
        <f t="shared" si="3966"/>
        <v/>
      </c>
      <c r="DE302" s="66" t="str">
        <f t="shared" si="3967"/>
        <v/>
      </c>
      <c r="DF302" s="66" t="str">
        <f t="shared" si="3968"/>
        <v/>
      </c>
      <c r="DG302" s="66" t="str">
        <f t="shared" si="3969"/>
        <v/>
      </c>
      <c r="DH302" s="66" t="str">
        <f t="shared" si="3970"/>
        <v/>
      </c>
      <c r="DI302" s="66" t="str">
        <f t="shared" si="3971"/>
        <v/>
      </c>
      <c r="DJ302" s="66" t="str">
        <f t="shared" si="3972"/>
        <v/>
      </c>
      <c r="DK302" s="66" t="str">
        <f t="shared" si="3973"/>
        <v/>
      </c>
      <c r="DL302" s="66" t="str">
        <f t="shared" si="3974"/>
        <v/>
      </c>
      <c r="DM302" s="66" t="str">
        <f t="shared" si="3975"/>
        <v/>
      </c>
      <c r="DN302" s="66" t="str">
        <f t="shared" si="3976"/>
        <v/>
      </c>
      <c r="DO302" s="66" t="str">
        <f t="shared" si="3977"/>
        <v/>
      </c>
      <c r="DP302" s="66" t="str">
        <f t="shared" si="3978"/>
        <v/>
      </c>
      <c r="DQ302" s="66" t="str">
        <f t="shared" si="3979"/>
        <v/>
      </c>
      <c r="DR302" s="66" t="str">
        <f t="shared" si="3980"/>
        <v/>
      </c>
      <c r="DS302" s="66" t="str">
        <f t="shared" si="3981"/>
        <v/>
      </c>
      <c r="DT302" s="66" t="str">
        <f t="shared" si="3982"/>
        <v/>
      </c>
      <c r="DU302" s="66" t="str">
        <f t="shared" si="3983"/>
        <v/>
      </c>
      <c r="DV302" s="66" t="str">
        <f t="shared" si="3984"/>
        <v/>
      </c>
      <c r="DW302" s="66" t="str">
        <f t="shared" si="3985"/>
        <v/>
      </c>
      <c r="DX302" s="66" t="str">
        <f t="shared" si="3986"/>
        <v/>
      </c>
      <c r="DY302" s="66" t="str">
        <f t="shared" si="3987"/>
        <v/>
      </c>
      <c r="DZ302" s="66" t="str">
        <f t="shared" si="3988"/>
        <v/>
      </c>
      <c r="EA302" s="66" t="str">
        <f t="shared" si="3989"/>
        <v/>
      </c>
      <c r="EB302" s="66" t="str">
        <f t="shared" si="3990"/>
        <v/>
      </c>
      <c r="EC302" s="66" t="str">
        <f t="shared" si="3991"/>
        <v/>
      </c>
      <c r="ED302" s="66" t="str">
        <f t="shared" si="3992"/>
        <v/>
      </c>
      <c r="EE302" s="66" t="str">
        <f t="shared" si="3993"/>
        <v/>
      </c>
      <c r="EF302" s="66" t="str">
        <f t="shared" si="3994"/>
        <v/>
      </c>
      <c r="EG302" s="66" t="str">
        <f t="shared" si="3995"/>
        <v/>
      </c>
      <c r="EH302" s="66" t="str">
        <f t="shared" si="3996"/>
        <v/>
      </c>
      <c r="EI302" s="66" t="str">
        <f t="shared" si="3997"/>
        <v/>
      </c>
      <c r="EJ302" s="66" t="str">
        <f t="shared" si="3998"/>
        <v/>
      </c>
      <c r="EK302" s="66" t="str">
        <f t="shared" si="3999"/>
        <v/>
      </c>
      <c r="EL302" s="66" t="str">
        <f t="shared" si="4000"/>
        <v/>
      </c>
      <c r="EM302" s="66" t="str">
        <f t="shared" si="4001"/>
        <v/>
      </c>
      <c r="EN302" s="66" t="str">
        <f t="shared" si="4002"/>
        <v/>
      </c>
      <c r="EO302" s="66" t="str">
        <f t="shared" si="4003"/>
        <v/>
      </c>
      <c r="EP302" s="66" t="str">
        <f t="shared" si="4004"/>
        <v/>
      </c>
      <c r="EQ302" s="66" t="str">
        <f t="shared" si="4005"/>
        <v/>
      </c>
      <c r="ER302" s="66" t="str">
        <f t="shared" si="4006"/>
        <v/>
      </c>
      <c r="ES302" s="66" t="str">
        <f t="shared" si="4007"/>
        <v/>
      </c>
      <c r="ET302" s="66" t="str">
        <f t="shared" si="4008"/>
        <v/>
      </c>
      <c r="EU302" s="66" t="str">
        <f t="shared" si="4009"/>
        <v/>
      </c>
      <c r="EV302" s="66" t="str">
        <f t="shared" si="4010"/>
        <v/>
      </c>
      <c r="EW302" s="66" t="str">
        <f t="shared" si="4011"/>
        <v/>
      </c>
      <c r="EX302" s="66" t="str">
        <f t="shared" si="4012"/>
        <v/>
      </c>
      <c r="EY302" s="66" t="str">
        <f t="shared" si="4013"/>
        <v/>
      </c>
      <c r="EZ302" s="66" t="str">
        <f t="shared" si="4014"/>
        <v/>
      </c>
      <c r="FA302" s="66" t="str">
        <f t="shared" si="4015"/>
        <v/>
      </c>
      <c r="FB302" s="66" t="str">
        <f t="shared" si="4016"/>
        <v/>
      </c>
      <c r="FC302" s="66" t="str">
        <f t="shared" si="4017"/>
        <v/>
      </c>
      <c r="FD302" s="66" t="str">
        <f t="shared" si="4018"/>
        <v/>
      </c>
      <c r="FE302" s="66" t="str">
        <f t="shared" si="4019"/>
        <v/>
      </c>
      <c r="FF302" s="66" t="str">
        <f t="shared" si="4020"/>
        <v/>
      </c>
      <c r="FG302" s="66" t="str">
        <f t="shared" si="4021"/>
        <v/>
      </c>
      <c r="FH302" s="66" t="str">
        <f t="shared" si="4022"/>
        <v/>
      </c>
      <c r="FI302" s="66" t="str">
        <f t="shared" si="4023"/>
        <v/>
      </c>
      <c r="FJ302" s="66" t="str">
        <f t="shared" si="4024"/>
        <v/>
      </c>
      <c r="FK302" s="66" t="str">
        <f t="shared" si="4025"/>
        <v/>
      </c>
      <c r="FL302" s="66" t="str">
        <f t="shared" si="4026"/>
        <v/>
      </c>
      <c r="FM302" s="66" t="str">
        <f t="shared" si="4027"/>
        <v/>
      </c>
      <c r="FN302" s="66" t="str">
        <f t="shared" si="4028"/>
        <v/>
      </c>
      <c r="FO302" s="66" t="str">
        <f t="shared" si="4029"/>
        <v/>
      </c>
      <c r="FP302" s="66" t="str">
        <f t="shared" si="4030"/>
        <v/>
      </c>
      <c r="FQ302" s="66" t="str">
        <f t="shared" si="4031"/>
        <v/>
      </c>
      <c r="FR302" s="66" t="str">
        <f t="shared" si="4032"/>
        <v/>
      </c>
      <c r="FS302" s="66" t="str">
        <f t="shared" si="4033"/>
        <v/>
      </c>
    </row>
    <row r="303" spans="1:175">
      <c r="CN303" s="36" t="str">
        <f t="shared" si="3958"/>
        <v>InitUnitState('',,,,,,,,,,)</v>
      </c>
      <c r="CO303" s="36" t="str">
        <f t="shared" si="3959"/>
        <v>InitUnitNormal('',,,,,,,,,,)</v>
      </c>
      <c r="CP303" s="36" t="str">
        <f t="shared" si="3960"/>
        <v>InitUnitMagic('',,,,,,,,,,)</v>
      </c>
      <c r="CQ303" s="36" t="str">
        <f t="shared" si="3961"/>
        <v>InitUnitAdd('',,,,,,,,,,)</v>
      </c>
      <c r="CR303" s="36" t="str">
        <f t="shared" si="3962"/>
        <v>InitEquipData('',,"",,,,,'','','','','','',"")</v>
      </c>
      <c r="CU303" s="19" t="str">
        <f t="shared" si="3963"/>
        <v>|n</v>
      </c>
      <c r="CW303" s="33"/>
      <c r="CX303" s="33"/>
      <c r="CY303" s="33"/>
      <c r="CZ303" s="33"/>
      <c r="DA303" s="33"/>
      <c r="DB303" s="66" t="str">
        <f t="shared" si="3964"/>
        <v/>
      </c>
      <c r="DC303" s="66" t="str">
        <f t="shared" si="3965"/>
        <v/>
      </c>
      <c r="DD303" s="66" t="str">
        <f t="shared" si="3966"/>
        <v/>
      </c>
      <c r="DE303" s="66" t="str">
        <f t="shared" si="3967"/>
        <v/>
      </c>
      <c r="DF303" s="66" t="str">
        <f t="shared" si="3968"/>
        <v/>
      </c>
      <c r="DG303" s="66" t="str">
        <f t="shared" si="3969"/>
        <v/>
      </c>
      <c r="DH303" s="66" t="str">
        <f t="shared" si="3970"/>
        <v/>
      </c>
      <c r="DI303" s="66" t="str">
        <f t="shared" si="3971"/>
        <v/>
      </c>
      <c r="DJ303" s="66" t="str">
        <f t="shared" si="3972"/>
        <v/>
      </c>
      <c r="DK303" s="66" t="str">
        <f t="shared" si="3973"/>
        <v/>
      </c>
      <c r="DL303" s="66" t="str">
        <f t="shared" si="3974"/>
        <v/>
      </c>
      <c r="DM303" s="66" t="str">
        <f t="shared" si="3975"/>
        <v/>
      </c>
      <c r="DN303" s="66" t="str">
        <f t="shared" si="3976"/>
        <v/>
      </c>
      <c r="DO303" s="66" t="str">
        <f t="shared" si="3977"/>
        <v/>
      </c>
      <c r="DP303" s="66" t="str">
        <f t="shared" si="3978"/>
        <v/>
      </c>
      <c r="DQ303" s="66" t="str">
        <f t="shared" si="3979"/>
        <v/>
      </c>
      <c r="DR303" s="66" t="str">
        <f t="shared" si="3980"/>
        <v/>
      </c>
      <c r="DS303" s="66" t="str">
        <f t="shared" si="3981"/>
        <v/>
      </c>
      <c r="DT303" s="66" t="str">
        <f t="shared" si="3982"/>
        <v/>
      </c>
      <c r="DU303" s="66" t="str">
        <f t="shared" si="3983"/>
        <v/>
      </c>
      <c r="DV303" s="66" t="str">
        <f t="shared" si="3984"/>
        <v/>
      </c>
      <c r="DW303" s="66" t="str">
        <f t="shared" si="3985"/>
        <v/>
      </c>
      <c r="DX303" s="66" t="str">
        <f t="shared" si="3986"/>
        <v/>
      </c>
      <c r="DY303" s="66" t="str">
        <f t="shared" si="3987"/>
        <v/>
      </c>
      <c r="DZ303" s="66" t="str">
        <f t="shared" si="3988"/>
        <v/>
      </c>
      <c r="EA303" s="66" t="str">
        <f t="shared" si="3989"/>
        <v/>
      </c>
      <c r="EB303" s="66" t="str">
        <f t="shared" si="3990"/>
        <v/>
      </c>
      <c r="EC303" s="66" t="str">
        <f t="shared" si="3991"/>
        <v/>
      </c>
      <c r="ED303" s="66" t="str">
        <f t="shared" si="3992"/>
        <v/>
      </c>
      <c r="EE303" s="66" t="str">
        <f t="shared" si="3993"/>
        <v/>
      </c>
      <c r="EF303" s="66" t="str">
        <f t="shared" si="3994"/>
        <v/>
      </c>
      <c r="EG303" s="66" t="str">
        <f t="shared" si="3995"/>
        <v/>
      </c>
      <c r="EH303" s="66" t="str">
        <f t="shared" si="3996"/>
        <v/>
      </c>
      <c r="EI303" s="66" t="str">
        <f t="shared" si="3997"/>
        <v/>
      </c>
      <c r="EJ303" s="66" t="str">
        <f t="shared" si="3998"/>
        <v/>
      </c>
      <c r="EK303" s="66" t="str">
        <f t="shared" si="3999"/>
        <v/>
      </c>
      <c r="EL303" s="66" t="str">
        <f t="shared" si="4000"/>
        <v/>
      </c>
      <c r="EM303" s="66" t="str">
        <f t="shared" si="4001"/>
        <v/>
      </c>
      <c r="EN303" s="66" t="str">
        <f t="shared" si="4002"/>
        <v/>
      </c>
      <c r="EO303" s="66" t="str">
        <f t="shared" si="4003"/>
        <v/>
      </c>
      <c r="EP303" s="66" t="str">
        <f t="shared" si="4004"/>
        <v/>
      </c>
      <c r="EQ303" s="66" t="str">
        <f t="shared" si="4005"/>
        <v/>
      </c>
      <c r="ER303" s="66" t="str">
        <f t="shared" si="4006"/>
        <v/>
      </c>
      <c r="ES303" s="66" t="str">
        <f t="shared" si="4007"/>
        <v/>
      </c>
      <c r="ET303" s="66" t="str">
        <f t="shared" si="4008"/>
        <v/>
      </c>
      <c r="EU303" s="66" t="str">
        <f t="shared" si="4009"/>
        <v/>
      </c>
      <c r="EV303" s="66" t="str">
        <f t="shared" si="4010"/>
        <v/>
      </c>
      <c r="EW303" s="66" t="str">
        <f t="shared" si="4011"/>
        <v/>
      </c>
      <c r="EX303" s="66" t="str">
        <f t="shared" si="4012"/>
        <v/>
      </c>
      <c r="EY303" s="66" t="str">
        <f t="shared" si="4013"/>
        <v/>
      </c>
      <c r="EZ303" s="66" t="str">
        <f t="shared" si="4014"/>
        <v/>
      </c>
      <c r="FA303" s="66" t="str">
        <f t="shared" si="4015"/>
        <v/>
      </c>
      <c r="FB303" s="66" t="str">
        <f t="shared" si="4016"/>
        <v/>
      </c>
      <c r="FC303" s="66" t="str">
        <f t="shared" si="4017"/>
        <v/>
      </c>
      <c r="FD303" s="66" t="str">
        <f t="shared" si="4018"/>
        <v/>
      </c>
      <c r="FE303" s="66" t="str">
        <f t="shared" si="4019"/>
        <v/>
      </c>
      <c r="FF303" s="66" t="str">
        <f t="shared" si="4020"/>
        <v/>
      </c>
      <c r="FG303" s="66" t="str">
        <f t="shared" si="4021"/>
        <v/>
      </c>
      <c r="FH303" s="66" t="str">
        <f t="shared" si="4022"/>
        <v/>
      </c>
      <c r="FI303" s="66" t="str">
        <f t="shared" si="4023"/>
        <v/>
      </c>
      <c r="FJ303" s="66" t="str">
        <f t="shared" si="4024"/>
        <v/>
      </c>
      <c r="FK303" s="66" t="str">
        <f t="shared" si="4025"/>
        <v/>
      </c>
      <c r="FL303" s="66" t="str">
        <f t="shared" si="4026"/>
        <v/>
      </c>
      <c r="FM303" s="66" t="str">
        <f t="shared" si="4027"/>
        <v/>
      </c>
      <c r="FN303" s="66" t="str">
        <f t="shared" si="4028"/>
        <v/>
      </c>
      <c r="FO303" s="66" t="str">
        <f t="shared" si="4029"/>
        <v/>
      </c>
      <c r="FP303" s="66" t="str">
        <f t="shared" si="4030"/>
        <v/>
      </c>
      <c r="FQ303" s="66" t="str">
        <f t="shared" si="4031"/>
        <v/>
      </c>
      <c r="FR303" s="66" t="str">
        <f t="shared" si="4032"/>
        <v/>
      </c>
      <c r="FS303" s="66" t="str">
        <f t="shared" si="4033"/>
        <v/>
      </c>
    </row>
    <row r="304" spans="1:175">
      <c r="CN304" s="36" t="str">
        <f t="shared" si="3958"/>
        <v>InitUnitState('',,,,,,,,,,)</v>
      </c>
      <c r="CO304" s="36" t="str">
        <f t="shared" si="3959"/>
        <v>InitUnitNormal('',,,,,,,,,,)</v>
      </c>
      <c r="CP304" s="36" t="str">
        <f t="shared" si="3960"/>
        <v>InitUnitMagic('',,,,,,,,,,)</v>
      </c>
      <c r="CQ304" s="36" t="str">
        <f t="shared" si="3961"/>
        <v>InitUnitAdd('',,,,,,,,,,)</v>
      </c>
      <c r="CR304" s="36" t="str">
        <f t="shared" si="3962"/>
        <v>InitEquipData('',,"",,,,,'','','','','','',"")</v>
      </c>
      <c r="CU304" s="19" t="str">
        <f t="shared" si="3963"/>
        <v>|n</v>
      </c>
      <c r="CW304" s="33"/>
      <c r="CX304" s="33"/>
      <c r="CY304" s="33"/>
      <c r="CZ304" s="33"/>
      <c r="DA304" s="33"/>
      <c r="DB304" s="66" t="str">
        <f t="shared" si="3964"/>
        <v/>
      </c>
      <c r="DC304" s="66" t="str">
        <f t="shared" si="3965"/>
        <v/>
      </c>
      <c r="DD304" s="66" t="str">
        <f t="shared" si="3966"/>
        <v/>
      </c>
      <c r="DE304" s="66" t="str">
        <f t="shared" si="3967"/>
        <v/>
      </c>
      <c r="DF304" s="66" t="str">
        <f t="shared" si="3968"/>
        <v/>
      </c>
      <c r="DG304" s="66" t="str">
        <f t="shared" si="3969"/>
        <v/>
      </c>
      <c r="DH304" s="66" t="str">
        <f t="shared" si="3970"/>
        <v/>
      </c>
      <c r="DI304" s="66" t="str">
        <f t="shared" si="3971"/>
        <v/>
      </c>
      <c r="DJ304" s="66" t="str">
        <f t="shared" si="3972"/>
        <v/>
      </c>
      <c r="DK304" s="66" t="str">
        <f t="shared" si="3973"/>
        <v/>
      </c>
      <c r="DL304" s="66" t="str">
        <f t="shared" si="3974"/>
        <v/>
      </c>
      <c r="DM304" s="66" t="str">
        <f t="shared" si="3975"/>
        <v/>
      </c>
      <c r="DN304" s="66" t="str">
        <f t="shared" si="3976"/>
        <v/>
      </c>
      <c r="DO304" s="66" t="str">
        <f t="shared" si="3977"/>
        <v/>
      </c>
      <c r="DP304" s="66" t="str">
        <f t="shared" si="3978"/>
        <v/>
      </c>
      <c r="DQ304" s="66" t="str">
        <f t="shared" si="3979"/>
        <v/>
      </c>
      <c r="DR304" s="66" t="str">
        <f t="shared" si="3980"/>
        <v/>
      </c>
      <c r="DS304" s="66" t="str">
        <f t="shared" si="3981"/>
        <v/>
      </c>
      <c r="DT304" s="66" t="str">
        <f t="shared" si="3982"/>
        <v/>
      </c>
      <c r="DU304" s="66" t="str">
        <f t="shared" si="3983"/>
        <v/>
      </c>
      <c r="DV304" s="66" t="str">
        <f t="shared" si="3984"/>
        <v/>
      </c>
      <c r="DW304" s="66" t="str">
        <f t="shared" si="3985"/>
        <v/>
      </c>
      <c r="DX304" s="66" t="str">
        <f t="shared" si="3986"/>
        <v/>
      </c>
      <c r="DY304" s="66" t="str">
        <f t="shared" si="3987"/>
        <v/>
      </c>
      <c r="DZ304" s="66" t="str">
        <f t="shared" si="3988"/>
        <v/>
      </c>
      <c r="EA304" s="66" t="str">
        <f t="shared" si="3989"/>
        <v/>
      </c>
      <c r="EB304" s="66" t="str">
        <f t="shared" si="3990"/>
        <v/>
      </c>
      <c r="EC304" s="66" t="str">
        <f t="shared" si="3991"/>
        <v/>
      </c>
      <c r="ED304" s="66" t="str">
        <f t="shared" si="3992"/>
        <v/>
      </c>
      <c r="EE304" s="66" t="str">
        <f t="shared" si="3993"/>
        <v/>
      </c>
      <c r="EF304" s="66" t="str">
        <f t="shared" si="3994"/>
        <v/>
      </c>
      <c r="EG304" s="66" t="str">
        <f t="shared" si="3995"/>
        <v/>
      </c>
      <c r="EH304" s="66" t="str">
        <f t="shared" si="3996"/>
        <v/>
      </c>
      <c r="EI304" s="66" t="str">
        <f t="shared" si="3997"/>
        <v/>
      </c>
      <c r="EJ304" s="66" t="str">
        <f t="shared" si="3998"/>
        <v/>
      </c>
      <c r="EK304" s="66" t="str">
        <f t="shared" si="3999"/>
        <v/>
      </c>
      <c r="EL304" s="66" t="str">
        <f t="shared" si="4000"/>
        <v/>
      </c>
      <c r="EM304" s="66" t="str">
        <f t="shared" si="4001"/>
        <v/>
      </c>
      <c r="EN304" s="66" t="str">
        <f t="shared" si="4002"/>
        <v/>
      </c>
      <c r="EO304" s="66" t="str">
        <f t="shared" si="4003"/>
        <v/>
      </c>
      <c r="EP304" s="66" t="str">
        <f t="shared" si="4004"/>
        <v/>
      </c>
      <c r="EQ304" s="66" t="str">
        <f t="shared" si="4005"/>
        <v/>
      </c>
      <c r="ER304" s="66" t="str">
        <f t="shared" si="4006"/>
        <v/>
      </c>
      <c r="ES304" s="66" t="str">
        <f t="shared" si="4007"/>
        <v/>
      </c>
      <c r="ET304" s="66" t="str">
        <f t="shared" si="4008"/>
        <v/>
      </c>
      <c r="EU304" s="66" t="str">
        <f t="shared" si="4009"/>
        <v/>
      </c>
      <c r="EV304" s="66" t="str">
        <f t="shared" si="4010"/>
        <v/>
      </c>
      <c r="EW304" s="66" t="str">
        <f t="shared" si="4011"/>
        <v/>
      </c>
      <c r="EX304" s="66" t="str">
        <f t="shared" si="4012"/>
        <v/>
      </c>
      <c r="EY304" s="66" t="str">
        <f t="shared" si="4013"/>
        <v/>
      </c>
      <c r="EZ304" s="66" t="str">
        <f t="shared" si="4014"/>
        <v/>
      </c>
      <c r="FA304" s="66" t="str">
        <f t="shared" si="4015"/>
        <v/>
      </c>
      <c r="FB304" s="66" t="str">
        <f t="shared" si="4016"/>
        <v/>
      </c>
      <c r="FC304" s="66" t="str">
        <f t="shared" si="4017"/>
        <v/>
      </c>
      <c r="FD304" s="66" t="str">
        <f t="shared" si="4018"/>
        <v/>
      </c>
      <c r="FE304" s="66" t="str">
        <f t="shared" si="4019"/>
        <v/>
      </c>
      <c r="FF304" s="66" t="str">
        <f t="shared" si="4020"/>
        <v/>
      </c>
      <c r="FG304" s="66" t="str">
        <f t="shared" si="4021"/>
        <v/>
      </c>
      <c r="FH304" s="66" t="str">
        <f t="shared" si="4022"/>
        <v/>
      </c>
      <c r="FI304" s="66" t="str">
        <f t="shared" si="4023"/>
        <v/>
      </c>
      <c r="FJ304" s="66" t="str">
        <f t="shared" si="4024"/>
        <v/>
      </c>
      <c r="FK304" s="66" t="str">
        <f t="shared" si="4025"/>
        <v/>
      </c>
      <c r="FL304" s="66" t="str">
        <f t="shared" si="4026"/>
        <v/>
      </c>
      <c r="FM304" s="66" t="str">
        <f t="shared" si="4027"/>
        <v/>
      </c>
      <c r="FN304" s="66" t="str">
        <f t="shared" si="4028"/>
        <v/>
      </c>
      <c r="FO304" s="66" t="str">
        <f t="shared" si="4029"/>
        <v/>
      </c>
      <c r="FP304" s="66" t="str">
        <f t="shared" si="4030"/>
        <v/>
      </c>
      <c r="FQ304" s="66" t="str">
        <f t="shared" si="4031"/>
        <v/>
      </c>
      <c r="FR304" s="66" t="str">
        <f t="shared" si="4032"/>
        <v/>
      </c>
      <c r="FS304" s="66" t="str">
        <f t="shared" si="4033"/>
        <v/>
      </c>
    </row>
    <row r="305" spans="92:175">
      <c r="CN305" s="36" t="str">
        <f t="shared" si="3958"/>
        <v>InitUnitState('',,,,,,,,,,)</v>
      </c>
      <c r="CO305" s="36" t="str">
        <f t="shared" si="3959"/>
        <v>InitUnitNormal('',,,,,,,,,,)</v>
      </c>
      <c r="CP305" s="36" t="str">
        <f t="shared" si="3960"/>
        <v>InitUnitMagic('',,,,,,,,,,)</v>
      </c>
      <c r="CQ305" s="36" t="str">
        <f t="shared" si="3961"/>
        <v>InitUnitAdd('',,,,,,,,,,)</v>
      </c>
      <c r="CR305" s="36" t="str">
        <f t="shared" si="3962"/>
        <v>InitEquipData('',,"",,,,,'','','','','','',"")</v>
      </c>
      <c r="CU305" s="19" t="str">
        <f t="shared" si="3963"/>
        <v>|n</v>
      </c>
      <c r="CW305" s="33"/>
      <c r="CX305" s="33"/>
      <c r="CY305" s="33"/>
      <c r="CZ305" s="33"/>
      <c r="DA305" s="33"/>
      <c r="DB305" s="66" t="str">
        <f t="shared" si="3964"/>
        <v/>
      </c>
      <c r="DC305" s="66" t="str">
        <f t="shared" si="3965"/>
        <v/>
      </c>
      <c r="DD305" s="66" t="str">
        <f t="shared" si="3966"/>
        <v/>
      </c>
      <c r="DE305" s="66" t="str">
        <f t="shared" si="3967"/>
        <v/>
      </c>
      <c r="DF305" s="66" t="str">
        <f t="shared" si="3968"/>
        <v/>
      </c>
      <c r="DG305" s="66" t="str">
        <f t="shared" si="3969"/>
        <v/>
      </c>
      <c r="DH305" s="66" t="str">
        <f t="shared" si="3970"/>
        <v/>
      </c>
      <c r="DI305" s="66" t="str">
        <f t="shared" si="3971"/>
        <v/>
      </c>
      <c r="DJ305" s="66" t="str">
        <f t="shared" si="3972"/>
        <v/>
      </c>
      <c r="DK305" s="66" t="str">
        <f t="shared" si="3973"/>
        <v/>
      </c>
      <c r="DL305" s="66" t="str">
        <f t="shared" si="3974"/>
        <v/>
      </c>
      <c r="DM305" s="66" t="str">
        <f t="shared" si="3975"/>
        <v/>
      </c>
      <c r="DN305" s="66" t="str">
        <f t="shared" si="3976"/>
        <v/>
      </c>
      <c r="DO305" s="66" t="str">
        <f t="shared" si="3977"/>
        <v/>
      </c>
      <c r="DP305" s="66" t="str">
        <f t="shared" si="3978"/>
        <v/>
      </c>
      <c r="DQ305" s="66" t="str">
        <f t="shared" si="3979"/>
        <v/>
      </c>
      <c r="DR305" s="66" t="str">
        <f t="shared" si="3980"/>
        <v/>
      </c>
      <c r="DS305" s="66" t="str">
        <f t="shared" si="3981"/>
        <v/>
      </c>
      <c r="DT305" s="66" t="str">
        <f t="shared" si="3982"/>
        <v/>
      </c>
      <c r="DU305" s="66" t="str">
        <f t="shared" si="3983"/>
        <v/>
      </c>
      <c r="DV305" s="66" t="str">
        <f t="shared" si="3984"/>
        <v/>
      </c>
      <c r="DW305" s="66" t="str">
        <f t="shared" si="3985"/>
        <v/>
      </c>
      <c r="DX305" s="66" t="str">
        <f t="shared" si="3986"/>
        <v/>
      </c>
      <c r="DY305" s="66" t="str">
        <f t="shared" si="3987"/>
        <v/>
      </c>
      <c r="DZ305" s="66" t="str">
        <f t="shared" si="3988"/>
        <v/>
      </c>
      <c r="EA305" s="66" t="str">
        <f t="shared" si="3989"/>
        <v/>
      </c>
      <c r="EB305" s="66" t="str">
        <f t="shared" si="3990"/>
        <v/>
      </c>
      <c r="EC305" s="66" t="str">
        <f t="shared" si="3991"/>
        <v/>
      </c>
      <c r="ED305" s="66" t="str">
        <f t="shared" si="3992"/>
        <v/>
      </c>
      <c r="EE305" s="66" t="str">
        <f t="shared" si="3993"/>
        <v/>
      </c>
      <c r="EF305" s="66" t="str">
        <f t="shared" si="3994"/>
        <v/>
      </c>
      <c r="EG305" s="66" t="str">
        <f t="shared" si="3995"/>
        <v/>
      </c>
      <c r="EH305" s="66" t="str">
        <f t="shared" si="3996"/>
        <v/>
      </c>
      <c r="EI305" s="66" t="str">
        <f t="shared" si="3997"/>
        <v/>
      </c>
      <c r="EJ305" s="66" t="str">
        <f t="shared" si="3998"/>
        <v/>
      </c>
      <c r="EK305" s="66" t="str">
        <f t="shared" si="3999"/>
        <v/>
      </c>
      <c r="EL305" s="66" t="str">
        <f t="shared" si="4000"/>
        <v/>
      </c>
      <c r="EM305" s="66" t="str">
        <f t="shared" si="4001"/>
        <v/>
      </c>
      <c r="EN305" s="66" t="str">
        <f t="shared" si="4002"/>
        <v/>
      </c>
      <c r="EO305" s="66" t="str">
        <f t="shared" si="4003"/>
        <v/>
      </c>
      <c r="EP305" s="66" t="str">
        <f t="shared" si="4004"/>
        <v/>
      </c>
      <c r="EQ305" s="66" t="str">
        <f t="shared" si="4005"/>
        <v/>
      </c>
      <c r="ER305" s="66" t="str">
        <f t="shared" si="4006"/>
        <v/>
      </c>
      <c r="ES305" s="66" t="str">
        <f t="shared" si="4007"/>
        <v/>
      </c>
      <c r="ET305" s="66" t="str">
        <f t="shared" si="4008"/>
        <v/>
      </c>
      <c r="EU305" s="66" t="str">
        <f t="shared" si="4009"/>
        <v/>
      </c>
      <c r="EV305" s="66" t="str">
        <f t="shared" si="4010"/>
        <v/>
      </c>
      <c r="EW305" s="66" t="str">
        <f t="shared" si="4011"/>
        <v/>
      </c>
      <c r="EX305" s="66" t="str">
        <f t="shared" si="4012"/>
        <v/>
      </c>
      <c r="EY305" s="66" t="str">
        <f t="shared" si="4013"/>
        <v/>
      </c>
      <c r="EZ305" s="66" t="str">
        <f t="shared" si="4014"/>
        <v/>
      </c>
      <c r="FA305" s="66" t="str">
        <f t="shared" si="4015"/>
        <v/>
      </c>
      <c r="FB305" s="66" t="str">
        <f t="shared" si="4016"/>
        <v/>
      </c>
      <c r="FC305" s="66" t="str">
        <f t="shared" si="4017"/>
        <v/>
      </c>
      <c r="FD305" s="66" t="str">
        <f t="shared" si="4018"/>
        <v/>
      </c>
      <c r="FE305" s="66" t="str">
        <f t="shared" si="4019"/>
        <v/>
      </c>
      <c r="FF305" s="66" t="str">
        <f t="shared" si="4020"/>
        <v/>
      </c>
      <c r="FG305" s="66" t="str">
        <f t="shared" si="4021"/>
        <v/>
      </c>
      <c r="FH305" s="66" t="str">
        <f t="shared" si="4022"/>
        <v/>
      </c>
      <c r="FI305" s="66" t="str">
        <f t="shared" si="4023"/>
        <v/>
      </c>
      <c r="FJ305" s="66" t="str">
        <f t="shared" si="4024"/>
        <v/>
      </c>
      <c r="FK305" s="66" t="str">
        <f t="shared" si="4025"/>
        <v/>
      </c>
      <c r="FL305" s="66" t="str">
        <f t="shared" si="4026"/>
        <v/>
      </c>
      <c r="FM305" s="66" t="str">
        <f t="shared" si="4027"/>
        <v/>
      </c>
      <c r="FN305" s="66" t="str">
        <f t="shared" si="4028"/>
        <v/>
      </c>
      <c r="FO305" s="66" t="str">
        <f t="shared" si="4029"/>
        <v/>
      </c>
      <c r="FP305" s="66" t="str">
        <f t="shared" si="4030"/>
        <v/>
      </c>
      <c r="FQ305" s="66" t="str">
        <f t="shared" si="4031"/>
        <v/>
      </c>
      <c r="FR305" s="66" t="str">
        <f t="shared" si="4032"/>
        <v/>
      </c>
      <c r="FS305" s="66" t="str">
        <f t="shared" si="4033"/>
        <v/>
      </c>
    </row>
    <row r="306" spans="92:175">
      <c r="CN306" s="36" t="str">
        <f t="shared" si="3958"/>
        <v>InitUnitState('',,,,,,,,,,)</v>
      </c>
      <c r="CO306" s="36" t="str">
        <f t="shared" si="3959"/>
        <v>InitUnitNormal('',,,,,,,,,,)</v>
      </c>
      <c r="CP306" s="36" t="str">
        <f t="shared" si="3960"/>
        <v>InitUnitMagic('',,,,,,,,,,)</v>
      </c>
      <c r="CQ306" s="36" t="str">
        <f t="shared" si="3961"/>
        <v>InitUnitAdd('',,,,,,,,,,)</v>
      </c>
      <c r="CR306" s="36" t="str">
        <f t="shared" si="3962"/>
        <v>InitEquipData('',,"",,,,,'','','','','','',"")</v>
      </c>
      <c r="CU306" s="19" t="str">
        <f t="shared" si="3963"/>
        <v>|n</v>
      </c>
      <c r="CW306" s="33"/>
      <c r="CX306" s="33"/>
      <c r="CY306" s="33"/>
      <c r="CZ306" s="33"/>
      <c r="DA306" s="33"/>
      <c r="DB306" s="66" t="str">
        <f t="shared" si="3964"/>
        <v/>
      </c>
      <c r="DC306" s="66" t="str">
        <f t="shared" si="3965"/>
        <v/>
      </c>
      <c r="DD306" s="66" t="str">
        <f t="shared" si="3966"/>
        <v/>
      </c>
      <c r="DE306" s="66" t="str">
        <f t="shared" si="3967"/>
        <v/>
      </c>
      <c r="DF306" s="66" t="str">
        <f t="shared" si="3968"/>
        <v/>
      </c>
      <c r="DG306" s="66" t="str">
        <f t="shared" si="3969"/>
        <v/>
      </c>
      <c r="DH306" s="66" t="str">
        <f t="shared" si="3970"/>
        <v/>
      </c>
      <c r="DI306" s="66" t="str">
        <f t="shared" si="3971"/>
        <v/>
      </c>
      <c r="DJ306" s="66" t="str">
        <f t="shared" si="3972"/>
        <v/>
      </c>
      <c r="DK306" s="66" t="str">
        <f t="shared" si="3973"/>
        <v/>
      </c>
      <c r="DL306" s="66" t="str">
        <f t="shared" si="3974"/>
        <v/>
      </c>
      <c r="DM306" s="66" t="str">
        <f t="shared" si="3975"/>
        <v/>
      </c>
      <c r="DN306" s="66" t="str">
        <f t="shared" si="3976"/>
        <v/>
      </c>
      <c r="DO306" s="66" t="str">
        <f t="shared" si="3977"/>
        <v/>
      </c>
      <c r="DP306" s="66" t="str">
        <f t="shared" si="3978"/>
        <v/>
      </c>
      <c r="DQ306" s="66" t="str">
        <f t="shared" si="3979"/>
        <v/>
      </c>
      <c r="DR306" s="66" t="str">
        <f t="shared" si="3980"/>
        <v/>
      </c>
      <c r="DS306" s="66" t="str">
        <f t="shared" si="3981"/>
        <v/>
      </c>
      <c r="DT306" s="66" t="str">
        <f t="shared" si="3982"/>
        <v/>
      </c>
      <c r="DU306" s="66" t="str">
        <f t="shared" si="3983"/>
        <v/>
      </c>
      <c r="DV306" s="66" t="str">
        <f t="shared" si="3984"/>
        <v/>
      </c>
      <c r="DW306" s="66" t="str">
        <f t="shared" si="3985"/>
        <v/>
      </c>
      <c r="DX306" s="66" t="str">
        <f t="shared" si="3986"/>
        <v/>
      </c>
      <c r="DY306" s="66" t="str">
        <f t="shared" si="3987"/>
        <v/>
      </c>
      <c r="DZ306" s="66" t="str">
        <f t="shared" si="3988"/>
        <v/>
      </c>
      <c r="EA306" s="66" t="str">
        <f t="shared" si="3989"/>
        <v/>
      </c>
      <c r="EB306" s="66" t="str">
        <f t="shared" si="3990"/>
        <v/>
      </c>
      <c r="EC306" s="66" t="str">
        <f t="shared" si="3991"/>
        <v/>
      </c>
      <c r="ED306" s="66" t="str">
        <f t="shared" si="3992"/>
        <v/>
      </c>
      <c r="EE306" s="66" t="str">
        <f t="shared" si="3993"/>
        <v/>
      </c>
      <c r="EF306" s="66" t="str">
        <f t="shared" si="3994"/>
        <v/>
      </c>
      <c r="EG306" s="66" t="str">
        <f t="shared" si="3995"/>
        <v/>
      </c>
      <c r="EH306" s="66" t="str">
        <f t="shared" si="3996"/>
        <v/>
      </c>
      <c r="EI306" s="66" t="str">
        <f t="shared" si="3997"/>
        <v/>
      </c>
      <c r="EJ306" s="66" t="str">
        <f t="shared" si="3998"/>
        <v/>
      </c>
      <c r="EK306" s="66" t="str">
        <f t="shared" si="3999"/>
        <v/>
      </c>
      <c r="EL306" s="66" t="str">
        <f t="shared" si="4000"/>
        <v/>
      </c>
      <c r="EM306" s="66" t="str">
        <f t="shared" si="4001"/>
        <v/>
      </c>
      <c r="EN306" s="66" t="str">
        <f t="shared" si="4002"/>
        <v/>
      </c>
      <c r="EO306" s="66" t="str">
        <f t="shared" si="4003"/>
        <v/>
      </c>
      <c r="EP306" s="66" t="str">
        <f t="shared" si="4004"/>
        <v/>
      </c>
      <c r="EQ306" s="66" t="str">
        <f t="shared" si="4005"/>
        <v/>
      </c>
      <c r="ER306" s="66" t="str">
        <f t="shared" si="4006"/>
        <v/>
      </c>
      <c r="ES306" s="66" t="str">
        <f t="shared" si="4007"/>
        <v/>
      </c>
      <c r="ET306" s="66" t="str">
        <f t="shared" si="4008"/>
        <v/>
      </c>
      <c r="EU306" s="66" t="str">
        <f t="shared" si="4009"/>
        <v/>
      </c>
      <c r="EV306" s="66" t="str">
        <f t="shared" si="4010"/>
        <v/>
      </c>
      <c r="EW306" s="66" t="str">
        <f t="shared" si="4011"/>
        <v/>
      </c>
      <c r="EX306" s="66" t="str">
        <f t="shared" si="4012"/>
        <v/>
      </c>
      <c r="EY306" s="66" t="str">
        <f t="shared" si="4013"/>
        <v/>
      </c>
      <c r="EZ306" s="66" t="str">
        <f t="shared" si="4014"/>
        <v/>
      </c>
      <c r="FA306" s="66" t="str">
        <f t="shared" si="4015"/>
        <v/>
      </c>
      <c r="FB306" s="66" t="str">
        <f t="shared" si="4016"/>
        <v/>
      </c>
      <c r="FC306" s="66" t="str">
        <f t="shared" si="4017"/>
        <v/>
      </c>
      <c r="FD306" s="66" t="str">
        <f t="shared" si="4018"/>
        <v/>
      </c>
      <c r="FE306" s="66" t="str">
        <f t="shared" si="4019"/>
        <v/>
      </c>
      <c r="FF306" s="66" t="str">
        <f t="shared" si="4020"/>
        <v/>
      </c>
      <c r="FG306" s="66" t="str">
        <f t="shared" si="4021"/>
        <v/>
      </c>
      <c r="FH306" s="66" t="str">
        <f t="shared" si="4022"/>
        <v/>
      </c>
      <c r="FI306" s="66" t="str">
        <f t="shared" si="4023"/>
        <v/>
      </c>
      <c r="FJ306" s="66" t="str">
        <f t="shared" si="4024"/>
        <v/>
      </c>
      <c r="FK306" s="66" t="str">
        <f t="shared" si="4025"/>
        <v/>
      </c>
      <c r="FL306" s="66" t="str">
        <f t="shared" si="4026"/>
        <v/>
      </c>
      <c r="FM306" s="66" t="str">
        <f t="shared" si="4027"/>
        <v/>
      </c>
      <c r="FN306" s="66" t="str">
        <f t="shared" si="4028"/>
        <v/>
      </c>
      <c r="FO306" s="66" t="str">
        <f t="shared" si="4029"/>
        <v/>
      </c>
      <c r="FP306" s="66" t="str">
        <f t="shared" si="4030"/>
        <v/>
      </c>
      <c r="FQ306" s="66" t="str">
        <f t="shared" si="4031"/>
        <v/>
      </c>
      <c r="FR306" s="66" t="str">
        <f t="shared" si="4032"/>
        <v/>
      </c>
      <c r="FS306" s="66" t="str">
        <f t="shared" si="4033"/>
        <v/>
      </c>
    </row>
    <row r="307" spans="92:175">
      <c r="CN307" s="36" t="str">
        <f t="shared" si="3958"/>
        <v>InitUnitState('',,,,,,,,,,)</v>
      </c>
      <c r="CO307" s="36" t="str">
        <f t="shared" si="3959"/>
        <v>InitUnitNormal('',,,,,,,,,,)</v>
      </c>
      <c r="CP307" s="36" t="str">
        <f t="shared" si="3960"/>
        <v>InitUnitMagic('',,,,,,,,,,)</v>
      </c>
      <c r="CQ307" s="36" t="str">
        <f t="shared" si="3961"/>
        <v>InitUnitAdd('',,,,,,,,,,)</v>
      </c>
      <c r="CR307" s="36" t="str">
        <f t="shared" si="3962"/>
        <v>InitEquipData('',,"",,,,,'','','','','','',"")</v>
      </c>
      <c r="CU307" s="19" t="str">
        <f t="shared" si="3963"/>
        <v>|n</v>
      </c>
      <c r="CW307" s="33"/>
      <c r="CX307" s="33"/>
      <c r="CY307" s="33"/>
      <c r="CZ307" s="33"/>
      <c r="DA307" s="33"/>
      <c r="DB307" s="66" t="str">
        <f t="shared" si="3964"/>
        <v/>
      </c>
      <c r="DC307" s="66" t="str">
        <f t="shared" si="3965"/>
        <v/>
      </c>
      <c r="DD307" s="66" t="str">
        <f t="shared" si="3966"/>
        <v/>
      </c>
      <c r="DE307" s="66" t="str">
        <f t="shared" si="3967"/>
        <v/>
      </c>
      <c r="DF307" s="66" t="str">
        <f t="shared" si="3968"/>
        <v/>
      </c>
      <c r="DG307" s="66" t="str">
        <f t="shared" si="3969"/>
        <v/>
      </c>
      <c r="DH307" s="66" t="str">
        <f t="shared" si="3970"/>
        <v/>
      </c>
      <c r="DI307" s="66" t="str">
        <f t="shared" si="3971"/>
        <v/>
      </c>
      <c r="DJ307" s="66" t="str">
        <f t="shared" si="3972"/>
        <v/>
      </c>
      <c r="DK307" s="66" t="str">
        <f t="shared" si="3973"/>
        <v/>
      </c>
      <c r="DL307" s="66" t="str">
        <f t="shared" si="3974"/>
        <v/>
      </c>
      <c r="DM307" s="66" t="str">
        <f t="shared" si="3975"/>
        <v/>
      </c>
      <c r="DN307" s="66" t="str">
        <f t="shared" si="3976"/>
        <v/>
      </c>
      <c r="DO307" s="66" t="str">
        <f t="shared" si="3977"/>
        <v/>
      </c>
      <c r="DP307" s="66" t="str">
        <f t="shared" si="3978"/>
        <v/>
      </c>
      <c r="DQ307" s="66" t="str">
        <f t="shared" si="3979"/>
        <v/>
      </c>
      <c r="DR307" s="66" t="str">
        <f t="shared" si="3980"/>
        <v/>
      </c>
      <c r="DS307" s="66" t="str">
        <f t="shared" si="3981"/>
        <v/>
      </c>
      <c r="DT307" s="66" t="str">
        <f t="shared" si="3982"/>
        <v/>
      </c>
      <c r="DU307" s="66" t="str">
        <f t="shared" si="3983"/>
        <v/>
      </c>
      <c r="DV307" s="66" t="str">
        <f t="shared" si="3984"/>
        <v/>
      </c>
      <c r="DW307" s="66" t="str">
        <f t="shared" si="3985"/>
        <v/>
      </c>
      <c r="DX307" s="66" t="str">
        <f t="shared" si="3986"/>
        <v/>
      </c>
      <c r="DY307" s="66" t="str">
        <f t="shared" si="3987"/>
        <v/>
      </c>
      <c r="DZ307" s="66" t="str">
        <f t="shared" si="3988"/>
        <v/>
      </c>
      <c r="EA307" s="66" t="str">
        <f t="shared" si="3989"/>
        <v/>
      </c>
      <c r="EB307" s="66" t="str">
        <f t="shared" si="3990"/>
        <v/>
      </c>
      <c r="EC307" s="66" t="str">
        <f t="shared" si="3991"/>
        <v/>
      </c>
      <c r="ED307" s="66" t="str">
        <f t="shared" si="3992"/>
        <v/>
      </c>
      <c r="EE307" s="66" t="str">
        <f t="shared" si="3993"/>
        <v/>
      </c>
      <c r="EF307" s="66" t="str">
        <f t="shared" si="3994"/>
        <v/>
      </c>
      <c r="EG307" s="66" t="str">
        <f t="shared" si="3995"/>
        <v/>
      </c>
      <c r="EH307" s="66" t="str">
        <f t="shared" si="3996"/>
        <v/>
      </c>
      <c r="EI307" s="66" t="str">
        <f t="shared" si="3997"/>
        <v/>
      </c>
      <c r="EJ307" s="66" t="str">
        <f t="shared" si="3998"/>
        <v/>
      </c>
      <c r="EK307" s="66" t="str">
        <f t="shared" si="3999"/>
        <v/>
      </c>
      <c r="EL307" s="66" t="str">
        <f t="shared" si="4000"/>
        <v/>
      </c>
      <c r="EM307" s="66" t="str">
        <f t="shared" si="4001"/>
        <v/>
      </c>
      <c r="EN307" s="66" t="str">
        <f t="shared" si="4002"/>
        <v/>
      </c>
      <c r="EO307" s="66" t="str">
        <f t="shared" si="4003"/>
        <v/>
      </c>
      <c r="EP307" s="66" t="str">
        <f t="shared" si="4004"/>
        <v/>
      </c>
      <c r="EQ307" s="66" t="str">
        <f t="shared" si="4005"/>
        <v/>
      </c>
      <c r="ER307" s="66" t="str">
        <f t="shared" si="4006"/>
        <v/>
      </c>
      <c r="ES307" s="66" t="str">
        <f t="shared" si="4007"/>
        <v/>
      </c>
      <c r="ET307" s="66" t="str">
        <f t="shared" si="4008"/>
        <v/>
      </c>
      <c r="EU307" s="66" t="str">
        <f t="shared" si="4009"/>
        <v/>
      </c>
      <c r="EV307" s="66" t="str">
        <f t="shared" si="4010"/>
        <v/>
      </c>
      <c r="EW307" s="66" t="str">
        <f t="shared" si="4011"/>
        <v/>
      </c>
      <c r="EX307" s="66" t="str">
        <f t="shared" si="4012"/>
        <v/>
      </c>
      <c r="EY307" s="66" t="str">
        <f t="shared" si="4013"/>
        <v/>
      </c>
      <c r="EZ307" s="66" t="str">
        <f t="shared" si="4014"/>
        <v/>
      </c>
      <c r="FA307" s="66" t="str">
        <f t="shared" si="4015"/>
        <v/>
      </c>
      <c r="FB307" s="66" t="str">
        <f t="shared" si="4016"/>
        <v/>
      </c>
      <c r="FC307" s="66" t="str">
        <f t="shared" si="4017"/>
        <v/>
      </c>
      <c r="FD307" s="66" t="str">
        <f t="shared" si="4018"/>
        <v/>
      </c>
      <c r="FE307" s="66" t="str">
        <f t="shared" si="4019"/>
        <v/>
      </c>
      <c r="FF307" s="66" t="str">
        <f t="shared" si="4020"/>
        <v/>
      </c>
      <c r="FG307" s="66" t="str">
        <f t="shared" si="4021"/>
        <v/>
      </c>
      <c r="FH307" s="66" t="str">
        <f t="shared" si="4022"/>
        <v/>
      </c>
      <c r="FI307" s="66" t="str">
        <f t="shared" si="4023"/>
        <v/>
      </c>
      <c r="FJ307" s="66" t="str">
        <f t="shared" si="4024"/>
        <v/>
      </c>
      <c r="FK307" s="66" t="str">
        <f t="shared" si="4025"/>
        <v/>
      </c>
      <c r="FL307" s="66" t="str">
        <f t="shared" si="4026"/>
        <v/>
      </c>
      <c r="FM307" s="66" t="str">
        <f t="shared" si="4027"/>
        <v/>
      </c>
      <c r="FN307" s="66" t="str">
        <f t="shared" si="4028"/>
        <v/>
      </c>
      <c r="FO307" s="66" t="str">
        <f t="shared" si="4029"/>
        <v/>
      </c>
      <c r="FP307" s="66" t="str">
        <f t="shared" si="4030"/>
        <v/>
      </c>
      <c r="FQ307" s="66" t="str">
        <f t="shared" si="4031"/>
        <v/>
      </c>
      <c r="FR307" s="66" t="str">
        <f t="shared" si="4032"/>
        <v/>
      </c>
      <c r="FS307" s="66" t="str">
        <f t="shared" si="4033"/>
        <v/>
      </c>
    </row>
    <row r="308" spans="92:175">
      <c r="CN308" s="36" t="str">
        <f t="shared" si="3958"/>
        <v>InitUnitState('',,,,,,,,,,)</v>
      </c>
      <c r="CO308" s="36" t="str">
        <f t="shared" si="3959"/>
        <v>InitUnitNormal('',,,,,,,,,,)</v>
      </c>
      <c r="CP308" s="36" t="str">
        <f t="shared" si="3960"/>
        <v>InitUnitMagic('',,,,,,,,,,)</v>
      </c>
      <c r="CQ308" s="36" t="str">
        <f t="shared" si="3961"/>
        <v>InitUnitAdd('',,,,,,,,,,)</v>
      </c>
      <c r="CR308" s="36" t="str">
        <f t="shared" si="3962"/>
        <v>InitEquipData('',,"",,,,,'','','','','','',"")</v>
      </c>
      <c r="CU308" s="19" t="str">
        <f t="shared" si="3963"/>
        <v>|n</v>
      </c>
      <c r="CW308" s="33"/>
      <c r="CX308" s="33"/>
      <c r="CY308" s="33"/>
      <c r="CZ308" s="33"/>
      <c r="DA308" s="33"/>
      <c r="DB308" s="66" t="str">
        <f t="shared" si="3964"/>
        <v/>
      </c>
      <c r="DC308" s="66" t="str">
        <f t="shared" si="3965"/>
        <v/>
      </c>
      <c r="DD308" s="66" t="str">
        <f t="shared" si="3966"/>
        <v/>
      </c>
      <c r="DE308" s="66" t="str">
        <f t="shared" si="3967"/>
        <v/>
      </c>
      <c r="DF308" s="66" t="str">
        <f t="shared" si="3968"/>
        <v/>
      </c>
      <c r="DG308" s="66" t="str">
        <f t="shared" si="3969"/>
        <v/>
      </c>
      <c r="DH308" s="66" t="str">
        <f t="shared" si="3970"/>
        <v/>
      </c>
      <c r="DI308" s="66" t="str">
        <f t="shared" si="3971"/>
        <v/>
      </c>
      <c r="DJ308" s="66" t="str">
        <f t="shared" si="3972"/>
        <v/>
      </c>
      <c r="DK308" s="66" t="str">
        <f t="shared" si="3973"/>
        <v/>
      </c>
      <c r="DL308" s="66" t="str">
        <f t="shared" si="3974"/>
        <v/>
      </c>
      <c r="DM308" s="66" t="str">
        <f t="shared" si="3975"/>
        <v/>
      </c>
      <c r="DN308" s="66" t="str">
        <f t="shared" si="3976"/>
        <v/>
      </c>
      <c r="DO308" s="66" t="str">
        <f t="shared" si="3977"/>
        <v/>
      </c>
      <c r="DP308" s="66" t="str">
        <f t="shared" si="3978"/>
        <v/>
      </c>
      <c r="DQ308" s="66" t="str">
        <f t="shared" si="3979"/>
        <v/>
      </c>
      <c r="DR308" s="66" t="str">
        <f t="shared" si="3980"/>
        <v/>
      </c>
      <c r="DS308" s="66" t="str">
        <f t="shared" si="3981"/>
        <v/>
      </c>
      <c r="DT308" s="66" t="str">
        <f t="shared" si="3982"/>
        <v/>
      </c>
      <c r="DU308" s="66" t="str">
        <f t="shared" si="3983"/>
        <v/>
      </c>
      <c r="DV308" s="66" t="str">
        <f t="shared" si="3984"/>
        <v/>
      </c>
      <c r="DW308" s="66" t="str">
        <f t="shared" si="3985"/>
        <v/>
      </c>
      <c r="DX308" s="66" t="str">
        <f t="shared" si="3986"/>
        <v/>
      </c>
      <c r="DY308" s="66" t="str">
        <f t="shared" si="3987"/>
        <v/>
      </c>
      <c r="DZ308" s="66" t="str">
        <f t="shared" si="3988"/>
        <v/>
      </c>
      <c r="EA308" s="66" t="str">
        <f t="shared" si="3989"/>
        <v/>
      </c>
      <c r="EB308" s="66" t="str">
        <f t="shared" si="3990"/>
        <v/>
      </c>
      <c r="EC308" s="66" t="str">
        <f t="shared" si="3991"/>
        <v/>
      </c>
      <c r="ED308" s="66" t="str">
        <f t="shared" si="3992"/>
        <v/>
      </c>
      <c r="EE308" s="66" t="str">
        <f t="shared" si="3993"/>
        <v/>
      </c>
      <c r="EF308" s="66" t="str">
        <f t="shared" si="3994"/>
        <v/>
      </c>
      <c r="EG308" s="66" t="str">
        <f t="shared" si="3995"/>
        <v/>
      </c>
      <c r="EH308" s="66" t="str">
        <f t="shared" si="3996"/>
        <v/>
      </c>
      <c r="EI308" s="66" t="str">
        <f t="shared" si="3997"/>
        <v/>
      </c>
      <c r="EJ308" s="66" t="str">
        <f t="shared" si="3998"/>
        <v/>
      </c>
      <c r="EK308" s="66" t="str">
        <f t="shared" si="3999"/>
        <v/>
      </c>
      <c r="EL308" s="66" t="str">
        <f t="shared" si="4000"/>
        <v/>
      </c>
      <c r="EM308" s="66" t="str">
        <f t="shared" si="4001"/>
        <v/>
      </c>
      <c r="EN308" s="66" t="str">
        <f t="shared" si="4002"/>
        <v/>
      </c>
      <c r="EO308" s="66" t="str">
        <f t="shared" si="4003"/>
        <v/>
      </c>
      <c r="EP308" s="66" t="str">
        <f t="shared" si="4004"/>
        <v/>
      </c>
      <c r="EQ308" s="66" t="str">
        <f t="shared" si="4005"/>
        <v/>
      </c>
      <c r="ER308" s="66" t="str">
        <f t="shared" si="4006"/>
        <v/>
      </c>
      <c r="ES308" s="66" t="str">
        <f t="shared" si="4007"/>
        <v/>
      </c>
      <c r="ET308" s="66" t="str">
        <f t="shared" si="4008"/>
        <v/>
      </c>
      <c r="EU308" s="66" t="str">
        <f t="shared" si="4009"/>
        <v/>
      </c>
      <c r="EV308" s="66" t="str">
        <f t="shared" si="4010"/>
        <v/>
      </c>
      <c r="EW308" s="66" t="str">
        <f t="shared" si="4011"/>
        <v/>
      </c>
      <c r="EX308" s="66" t="str">
        <f t="shared" si="4012"/>
        <v/>
      </c>
      <c r="EY308" s="66" t="str">
        <f t="shared" si="4013"/>
        <v/>
      </c>
      <c r="EZ308" s="66" t="str">
        <f t="shared" si="4014"/>
        <v/>
      </c>
      <c r="FA308" s="66" t="str">
        <f t="shared" si="4015"/>
        <v/>
      </c>
      <c r="FB308" s="66" t="str">
        <f t="shared" si="4016"/>
        <v/>
      </c>
      <c r="FC308" s="66" t="str">
        <f t="shared" si="4017"/>
        <v/>
      </c>
      <c r="FD308" s="66" t="str">
        <f t="shared" si="4018"/>
        <v/>
      </c>
      <c r="FE308" s="66" t="str">
        <f t="shared" si="4019"/>
        <v/>
      </c>
      <c r="FF308" s="66" t="str">
        <f t="shared" si="4020"/>
        <v/>
      </c>
      <c r="FG308" s="66" t="str">
        <f t="shared" si="4021"/>
        <v/>
      </c>
      <c r="FH308" s="66" t="str">
        <f t="shared" si="4022"/>
        <v/>
      </c>
      <c r="FI308" s="66" t="str">
        <f t="shared" si="4023"/>
        <v/>
      </c>
      <c r="FJ308" s="66" t="str">
        <f t="shared" si="4024"/>
        <v/>
      </c>
      <c r="FK308" s="66" t="str">
        <f t="shared" si="4025"/>
        <v/>
      </c>
      <c r="FL308" s="66" t="str">
        <f t="shared" si="4026"/>
        <v/>
      </c>
      <c r="FM308" s="66" t="str">
        <f t="shared" si="4027"/>
        <v/>
      </c>
      <c r="FN308" s="66" t="str">
        <f t="shared" si="4028"/>
        <v/>
      </c>
      <c r="FO308" s="66" t="str">
        <f t="shared" si="4029"/>
        <v/>
      </c>
      <c r="FP308" s="66" t="str">
        <f t="shared" si="4030"/>
        <v/>
      </c>
      <c r="FQ308" s="66" t="str">
        <f t="shared" si="4031"/>
        <v/>
      </c>
      <c r="FR308" s="66" t="str">
        <f t="shared" si="4032"/>
        <v/>
      </c>
      <c r="FS308" s="66" t="str">
        <f t="shared" si="4033"/>
        <v/>
      </c>
    </row>
    <row r="309" spans="92:175">
      <c r="CN309" s="36" t="str">
        <f t="shared" si="3958"/>
        <v>InitUnitState('',,,,,,,,,,)</v>
      </c>
      <c r="CO309" s="36" t="str">
        <f t="shared" si="3959"/>
        <v>InitUnitNormal('',,,,,,,,,,)</v>
      </c>
      <c r="CP309" s="36" t="str">
        <f t="shared" si="3960"/>
        <v>InitUnitMagic('',,,,,,,,,,)</v>
      </c>
      <c r="CQ309" s="36" t="str">
        <f t="shared" si="3961"/>
        <v>InitUnitAdd('',,,,,,,,,,)</v>
      </c>
      <c r="CR309" s="36" t="str">
        <f t="shared" si="3962"/>
        <v>InitEquipData('',,"",,,,,'','','','','','',"")</v>
      </c>
      <c r="CU309" s="19" t="str">
        <f t="shared" si="3963"/>
        <v>|n</v>
      </c>
      <c r="CW309" s="33"/>
      <c r="CX309" s="33"/>
      <c r="CY309" s="33"/>
      <c r="CZ309" s="33"/>
      <c r="DA309" s="33"/>
      <c r="DB309" s="66" t="str">
        <f t="shared" si="3964"/>
        <v/>
      </c>
      <c r="DC309" s="66" t="str">
        <f t="shared" si="3965"/>
        <v/>
      </c>
      <c r="DD309" s="66" t="str">
        <f t="shared" si="3966"/>
        <v/>
      </c>
      <c r="DE309" s="66" t="str">
        <f t="shared" si="3967"/>
        <v/>
      </c>
      <c r="DF309" s="66" t="str">
        <f t="shared" si="3968"/>
        <v/>
      </c>
      <c r="DG309" s="66" t="str">
        <f t="shared" si="3969"/>
        <v/>
      </c>
      <c r="DH309" s="66" t="str">
        <f t="shared" si="3970"/>
        <v/>
      </c>
      <c r="DI309" s="66" t="str">
        <f t="shared" si="3971"/>
        <v/>
      </c>
      <c r="DJ309" s="66" t="str">
        <f t="shared" si="3972"/>
        <v/>
      </c>
      <c r="DK309" s="66" t="str">
        <f t="shared" si="3973"/>
        <v/>
      </c>
      <c r="DL309" s="66" t="str">
        <f t="shared" si="3974"/>
        <v/>
      </c>
      <c r="DM309" s="66" t="str">
        <f t="shared" si="3975"/>
        <v/>
      </c>
      <c r="DN309" s="66" t="str">
        <f t="shared" si="3976"/>
        <v/>
      </c>
      <c r="DO309" s="66" t="str">
        <f t="shared" si="3977"/>
        <v/>
      </c>
      <c r="DP309" s="66" t="str">
        <f t="shared" si="3978"/>
        <v/>
      </c>
      <c r="DQ309" s="66" t="str">
        <f t="shared" si="3979"/>
        <v/>
      </c>
      <c r="DR309" s="66" t="str">
        <f t="shared" si="3980"/>
        <v/>
      </c>
      <c r="DS309" s="66" t="str">
        <f t="shared" si="3981"/>
        <v/>
      </c>
      <c r="DT309" s="66" t="str">
        <f t="shared" si="3982"/>
        <v/>
      </c>
      <c r="DU309" s="66" t="str">
        <f t="shared" si="3983"/>
        <v/>
      </c>
      <c r="DV309" s="66" t="str">
        <f t="shared" si="3984"/>
        <v/>
      </c>
      <c r="DW309" s="66" t="str">
        <f t="shared" si="3985"/>
        <v/>
      </c>
      <c r="DX309" s="66" t="str">
        <f t="shared" si="3986"/>
        <v/>
      </c>
      <c r="DY309" s="66" t="str">
        <f t="shared" si="3987"/>
        <v/>
      </c>
      <c r="DZ309" s="66" t="str">
        <f t="shared" si="3988"/>
        <v/>
      </c>
      <c r="EA309" s="66" t="str">
        <f t="shared" si="3989"/>
        <v/>
      </c>
      <c r="EB309" s="66" t="str">
        <f t="shared" si="3990"/>
        <v/>
      </c>
      <c r="EC309" s="66" t="str">
        <f t="shared" si="3991"/>
        <v/>
      </c>
      <c r="ED309" s="66" t="str">
        <f t="shared" si="3992"/>
        <v/>
      </c>
      <c r="EE309" s="66" t="str">
        <f t="shared" si="3993"/>
        <v/>
      </c>
      <c r="EF309" s="66" t="str">
        <f t="shared" si="3994"/>
        <v/>
      </c>
      <c r="EG309" s="66" t="str">
        <f t="shared" si="3995"/>
        <v/>
      </c>
      <c r="EH309" s="66" t="str">
        <f t="shared" si="3996"/>
        <v/>
      </c>
      <c r="EI309" s="66" t="str">
        <f t="shared" si="3997"/>
        <v/>
      </c>
      <c r="EJ309" s="66" t="str">
        <f t="shared" si="3998"/>
        <v/>
      </c>
      <c r="EK309" s="66" t="str">
        <f t="shared" si="3999"/>
        <v/>
      </c>
      <c r="EL309" s="66" t="str">
        <f t="shared" si="4000"/>
        <v/>
      </c>
      <c r="EM309" s="66" t="str">
        <f t="shared" si="4001"/>
        <v/>
      </c>
      <c r="EN309" s="66" t="str">
        <f t="shared" si="4002"/>
        <v/>
      </c>
      <c r="EO309" s="66" t="str">
        <f t="shared" si="4003"/>
        <v/>
      </c>
      <c r="EP309" s="66" t="str">
        <f t="shared" si="4004"/>
        <v/>
      </c>
      <c r="EQ309" s="66" t="str">
        <f t="shared" si="4005"/>
        <v/>
      </c>
      <c r="ER309" s="66" t="str">
        <f t="shared" si="4006"/>
        <v/>
      </c>
      <c r="ES309" s="66" t="str">
        <f t="shared" si="4007"/>
        <v/>
      </c>
      <c r="ET309" s="66" t="str">
        <f t="shared" si="4008"/>
        <v/>
      </c>
      <c r="EU309" s="66" t="str">
        <f t="shared" si="4009"/>
        <v/>
      </c>
      <c r="EV309" s="66" t="str">
        <f t="shared" si="4010"/>
        <v/>
      </c>
      <c r="EW309" s="66" t="str">
        <f t="shared" si="4011"/>
        <v/>
      </c>
      <c r="EX309" s="66" t="str">
        <f t="shared" si="4012"/>
        <v/>
      </c>
      <c r="EY309" s="66" t="str">
        <f t="shared" si="4013"/>
        <v/>
      </c>
      <c r="EZ309" s="66" t="str">
        <f t="shared" si="4014"/>
        <v/>
      </c>
      <c r="FA309" s="66" t="str">
        <f t="shared" si="4015"/>
        <v/>
      </c>
      <c r="FB309" s="66" t="str">
        <f t="shared" si="4016"/>
        <v/>
      </c>
      <c r="FC309" s="66" t="str">
        <f t="shared" si="4017"/>
        <v/>
      </c>
      <c r="FD309" s="66" t="str">
        <f t="shared" si="4018"/>
        <v/>
      </c>
      <c r="FE309" s="66" t="str">
        <f t="shared" si="4019"/>
        <v/>
      </c>
      <c r="FF309" s="66" t="str">
        <f t="shared" si="4020"/>
        <v/>
      </c>
      <c r="FG309" s="66" t="str">
        <f t="shared" si="4021"/>
        <v/>
      </c>
      <c r="FH309" s="66" t="str">
        <f t="shared" si="4022"/>
        <v/>
      </c>
      <c r="FI309" s="66" t="str">
        <f t="shared" si="4023"/>
        <v/>
      </c>
      <c r="FJ309" s="66" t="str">
        <f t="shared" si="4024"/>
        <v/>
      </c>
      <c r="FK309" s="66" t="str">
        <f t="shared" si="4025"/>
        <v/>
      </c>
      <c r="FL309" s="66" t="str">
        <f t="shared" si="4026"/>
        <v/>
      </c>
      <c r="FM309" s="66" t="str">
        <f t="shared" si="4027"/>
        <v/>
      </c>
      <c r="FN309" s="66" t="str">
        <f t="shared" si="4028"/>
        <v/>
      </c>
      <c r="FO309" s="66" t="str">
        <f t="shared" si="4029"/>
        <v/>
      </c>
      <c r="FP309" s="66" t="str">
        <f t="shared" si="4030"/>
        <v/>
      </c>
      <c r="FQ309" s="66" t="str">
        <f t="shared" si="4031"/>
        <v/>
      </c>
      <c r="FR309" s="66" t="str">
        <f t="shared" si="4032"/>
        <v/>
      </c>
      <c r="FS309" s="66" t="str">
        <f t="shared" si="4033"/>
        <v/>
      </c>
    </row>
    <row r="310" spans="92:175">
      <c r="CN310" s="36" t="str">
        <f t="shared" si="3958"/>
        <v>InitUnitState('',,,,,,,,,,)</v>
      </c>
      <c r="CO310" s="36" t="str">
        <f t="shared" si="3959"/>
        <v>InitUnitNormal('',,,,,,,,,,)</v>
      </c>
      <c r="CP310" s="36" t="str">
        <f t="shared" si="3960"/>
        <v>InitUnitMagic('',,,,,,,,,,)</v>
      </c>
      <c r="CQ310" s="36" t="str">
        <f t="shared" si="3961"/>
        <v>InitUnitAdd('',,,,,,,,,,)</v>
      </c>
      <c r="CR310" s="36" t="str">
        <f t="shared" si="3962"/>
        <v>InitEquipData('',,"",,,,,'','','','','','',"")</v>
      </c>
      <c r="CU310" s="19" t="str">
        <f t="shared" si="3963"/>
        <v>|n</v>
      </c>
      <c r="CW310" s="33"/>
      <c r="CX310" s="33"/>
      <c r="CY310" s="33"/>
      <c r="CZ310" s="33"/>
      <c r="DA310" s="33"/>
      <c r="DB310" s="66" t="str">
        <f t="shared" si="3964"/>
        <v/>
      </c>
      <c r="DC310" s="66" t="str">
        <f t="shared" si="3965"/>
        <v/>
      </c>
      <c r="DD310" s="66" t="str">
        <f t="shared" si="3966"/>
        <v/>
      </c>
      <c r="DE310" s="66" t="str">
        <f t="shared" si="3967"/>
        <v/>
      </c>
      <c r="DF310" s="66" t="str">
        <f t="shared" si="3968"/>
        <v/>
      </c>
      <c r="DG310" s="66" t="str">
        <f t="shared" si="3969"/>
        <v/>
      </c>
      <c r="DH310" s="66" t="str">
        <f t="shared" si="3970"/>
        <v/>
      </c>
      <c r="DI310" s="66" t="str">
        <f t="shared" si="3971"/>
        <v/>
      </c>
      <c r="DJ310" s="66" t="str">
        <f t="shared" si="3972"/>
        <v/>
      </c>
      <c r="DK310" s="66" t="str">
        <f t="shared" si="3973"/>
        <v/>
      </c>
      <c r="DL310" s="66" t="str">
        <f t="shared" si="3974"/>
        <v/>
      </c>
      <c r="DM310" s="66" t="str">
        <f t="shared" si="3975"/>
        <v/>
      </c>
      <c r="DN310" s="66" t="str">
        <f t="shared" si="3976"/>
        <v/>
      </c>
      <c r="DO310" s="66" t="str">
        <f t="shared" si="3977"/>
        <v/>
      </c>
      <c r="DP310" s="66" t="str">
        <f t="shared" si="3978"/>
        <v/>
      </c>
      <c r="DQ310" s="66" t="str">
        <f t="shared" si="3979"/>
        <v/>
      </c>
      <c r="DR310" s="66" t="str">
        <f t="shared" si="3980"/>
        <v/>
      </c>
      <c r="DS310" s="66" t="str">
        <f t="shared" si="3981"/>
        <v/>
      </c>
      <c r="DT310" s="66" t="str">
        <f t="shared" si="3982"/>
        <v/>
      </c>
      <c r="DU310" s="66" t="str">
        <f t="shared" si="3983"/>
        <v/>
      </c>
      <c r="DV310" s="66" t="str">
        <f t="shared" si="3984"/>
        <v/>
      </c>
      <c r="DW310" s="66" t="str">
        <f t="shared" si="3985"/>
        <v/>
      </c>
      <c r="DX310" s="66" t="str">
        <f t="shared" si="3986"/>
        <v/>
      </c>
      <c r="DY310" s="66" t="str">
        <f t="shared" si="3987"/>
        <v/>
      </c>
      <c r="DZ310" s="66" t="str">
        <f t="shared" si="3988"/>
        <v/>
      </c>
      <c r="EA310" s="66" t="str">
        <f t="shared" si="3989"/>
        <v/>
      </c>
      <c r="EB310" s="66" t="str">
        <f t="shared" si="3990"/>
        <v/>
      </c>
      <c r="EC310" s="66" t="str">
        <f t="shared" si="3991"/>
        <v/>
      </c>
      <c r="ED310" s="66" t="str">
        <f t="shared" si="3992"/>
        <v/>
      </c>
      <c r="EE310" s="66" t="str">
        <f t="shared" si="3993"/>
        <v/>
      </c>
      <c r="EF310" s="66" t="str">
        <f t="shared" si="3994"/>
        <v/>
      </c>
      <c r="EG310" s="66" t="str">
        <f t="shared" si="3995"/>
        <v/>
      </c>
      <c r="EH310" s="66" t="str">
        <f t="shared" si="3996"/>
        <v/>
      </c>
      <c r="EI310" s="66" t="str">
        <f t="shared" si="3997"/>
        <v/>
      </c>
      <c r="EJ310" s="66" t="str">
        <f t="shared" si="3998"/>
        <v/>
      </c>
      <c r="EK310" s="66" t="str">
        <f t="shared" si="3999"/>
        <v/>
      </c>
      <c r="EL310" s="66" t="str">
        <f t="shared" si="4000"/>
        <v/>
      </c>
      <c r="EM310" s="66" t="str">
        <f t="shared" si="4001"/>
        <v/>
      </c>
      <c r="EN310" s="66" t="str">
        <f t="shared" si="4002"/>
        <v/>
      </c>
      <c r="EO310" s="66" t="str">
        <f t="shared" si="4003"/>
        <v/>
      </c>
      <c r="EP310" s="66" t="str">
        <f t="shared" si="4004"/>
        <v/>
      </c>
      <c r="EQ310" s="66" t="str">
        <f t="shared" si="4005"/>
        <v/>
      </c>
      <c r="ER310" s="66" t="str">
        <f t="shared" si="4006"/>
        <v/>
      </c>
      <c r="ES310" s="66" t="str">
        <f t="shared" si="4007"/>
        <v/>
      </c>
      <c r="ET310" s="66" t="str">
        <f t="shared" si="4008"/>
        <v/>
      </c>
      <c r="EU310" s="66" t="str">
        <f t="shared" si="4009"/>
        <v/>
      </c>
      <c r="EV310" s="66" t="str">
        <f t="shared" si="4010"/>
        <v/>
      </c>
      <c r="EW310" s="66" t="str">
        <f t="shared" si="4011"/>
        <v/>
      </c>
      <c r="EX310" s="66" t="str">
        <f t="shared" si="4012"/>
        <v/>
      </c>
      <c r="EY310" s="66" t="str">
        <f t="shared" si="4013"/>
        <v/>
      </c>
      <c r="EZ310" s="66" t="str">
        <f t="shared" si="4014"/>
        <v/>
      </c>
      <c r="FA310" s="66" t="str">
        <f t="shared" si="4015"/>
        <v/>
      </c>
      <c r="FB310" s="66" t="str">
        <f t="shared" si="4016"/>
        <v/>
      </c>
      <c r="FC310" s="66" t="str">
        <f t="shared" si="4017"/>
        <v/>
      </c>
      <c r="FD310" s="66" t="str">
        <f t="shared" si="4018"/>
        <v/>
      </c>
      <c r="FE310" s="66" t="str">
        <f t="shared" si="4019"/>
        <v/>
      </c>
      <c r="FF310" s="66" t="str">
        <f t="shared" si="4020"/>
        <v/>
      </c>
      <c r="FG310" s="66" t="str">
        <f t="shared" si="4021"/>
        <v/>
      </c>
      <c r="FH310" s="66" t="str">
        <f t="shared" si="4022"/>
        <v/>
      </c>
      <c r="FI310" s="66" t="str">
        <f t="shared" si="4023"/>
        <v/>
      </c>
      <c r="FJ310" s="66" t="str">
        <f t="shared" si="4024"/>
        <v/>
      </c>
      <c r="FK310" s="66" t="str">
        <f t="shared" si="4025"/>
        <v/>
      </c>
      <c r="FL310" s="66" t="str">
        <f t="shared" si="4026"/>
        <v/>
      </c>
      <c r="FM310" s="66" t="str">
        <f t="shared" si="4027"/>
        <v/>
      </c>
      <c r="FN310" s="66" t="str">
        <f t="shared" si="4028"/>
        <v/>
      </c>
      <c r="FO310" s="66" t="str">
        <f t="shared" si="4029"/>
        <v/>
      </c>
      <c r="FP310" s="66" t="str">
        <f t="shared" si="4030"/>
        <v/>
      </c>
      <c r="FQ310" s="66" t="str">
        <f t="shared" si="4031"/>
        <v/>
      </c>
      <c r="FR310" s="66" t="str">
        <f t="shared" si="4032"/>
        <v/>
      </c>
      <c r="FS310" s="66" t="str">
        <f t="shared" si="4033"/>
        <v/>
      </c>
    </row>
    <row r="311" spans="92:175">
      <c r="CN311" s="36" t="str">
        <f t="shared" si="3958"/>
        <v>InitUnitState('',,,,,,,,,,)</v>
      </c>
      <c r="CO311" s="36" t="str">
        <f t="shared" si="3959"/>
        <v>InitUnitNormal('',,,,,,,,,,)</v>
      </c>
      <c r="CP311" s="36" t="str">
        <f t="shared" si="3960"/>
        <v>InitUnitMagic('',,,,,,,,,,)</v>
      </c>
      <c r="CQ311" s="36" t="str">
        <f t="shared" si="3961"/>
        <v>InitUnitAdd('',,,,,,,,,,)</v>
      </c>
      <c r="CR311" s="36" t="str">
        <f t="shared" si="3962"/>
        <v>InitEquipData('',,"",,,,,'','','','','','',"")</v>
      </c>
      <c r="CU311" s="19" t="str">
        <f t="shared" ref="CU311:CU349" si="4034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W311" s="33"/>
      <c r="CX311" s="33"/>
      <c r="CY311" s="33"/>
      <c r="CZ311" s="33"/>
      <c r="DA311" s="33"/>
      <c r="DB311" s="66" t="str">
        <f t="shared" si="3964"/>
        <v/>
      </c>
      <c r="DC311" s="66" t="str">
        <f t="shared" si="3965"/>
        <v/>
      </c>
      <c r="DD311" s="66" t="str">
        <f t="shared" si="3966"/>
        <v/>
      </c>
      <c r="DE311" s="66" t="str">
        <f t="shared" si="3967"/>
        <v/>
      </c>
      <c r="DF311" s="66" t="str">
        <f t="shared" si="3968"/>
        <v/>
      </c>
      <c r="DG311" s="66" t="str">
        <f t="shared" si="3969"/>
        <v/>
      </c>
      <c r="DH311" s="66" t="str">
        <f t="shared" si="3970"/>
        <v/>
      </c>
      <c r="DI311" s="66" t="str">
        <f t="shared" si="3971"/>
        <v/>
      </c>
      <c r="DJ311" s="66" t="str">
        <f t="shared" si="3972"/>
        <v/>
      </c>
      <c r="DK311" s="66" t="str">
        <f t="shared" si="3973"/>
        <v/>
      </c>
      <c r="DL311" s="66" t="str">
        <f t="shared" si="3974"/>
        <v/>
      </c>
      <c r="DM311" s="66" t="str">
        <f t="shared" si="3975"/>
        <v/>
      </c>
      <c r="DN311" s="66" t="str">
        <f t="shared" si="3976"/>
        <v/>
      </c>
      <c r="DO311" s="66" t="str">
        <f t="shared" si="3977"/>
        <v/>
      </c>
      <c r="DP311" s="66" t="str">
        <f t="shared" si="3978"/>
        <v/>
      </c>
      <c r="DQ311" s="66" t="str">
        <f t="shared" si="3979"/>
        <v/>
      </c>
      <c r="DR311" s="66" t="str">
        <f t="shared" si="3980"/>
        <v/>
      </c>
      <c r="DS311" s="66" t="str">
        <f t="shared" si="3981"/>
        <v/>
      </c>
      <c r="DT311" s="66" t="str">
        <f t="shared" si="3982"/>
        <v/>
      </c>
      <c r="DU311" s="66" t="str">
        <f t="shared" si="3983"/>
        <v/>
      </c>
      <c r="DV311" s="66" t="str">
        <f t="shared" si="3984"/>
        <v/>
      </c>
      <c r="DW311" s="66" t="str">
        <f t="shared" si="3985"/>
        <v/>
      </c>
      <c r="DX311" s="66" t="str">
        <f t="shared" si="3986"/>
        <v/>
      </c>
      <c r="DY311" s="66" t="str">
        <f t="shared" si="3987"/>
        <v/>
      </c>
      <c r="DZ311" s="66" t="str">
        <f t="shared" si="3988"/>
        <v/>
      </c>
      <c r="EA311" s="66" t="str">
        <f t="shared" si="3989"/>
        <v/>
      </c>
      <c r="EB311" s="66" t="str">
        <f t="shared" si="3990"/>
        <v/>
      </c>
      <c r="EC311" s="66" t="str">
        <f t="shared" si="3991"/>
        <v/>
      </c>
      <c r="ED311" s="66" t="str">
        <f t="shared" si="3992"/>
        <v/>
      </c>
      <c r="EE311" s="66" t="str">
        <f t="shared" si="3993"/>
        <v/>
      </c>
      <c r="EF311" s="66" t="str">
        <f t="shared" si="3994"/>
        <v/>
      </c>
      <c r="EG311" s="66" t="str">
        <f t="shared" si="3995"/>
        <v/>
      </c>
      <c r="EH311" s="66" t="str">
        <f t="shared" si="3996"/>
        <v/>
      </c>
      <c r="EI311" s="66" t="str">
        <f t="shared" si="3997"/>
        <v/>
      </c>
      <c r="EJ311" s="66" t="str">
        <f t="shared" si="3998"/>
        <v/>
      </c>
      <c r="EK311" s="66" t="str">
        <f t="shared" si="3999"/>
        <v/>
      </c>
      <c r="EL311" s="66" t="str">
        <f t="shared" si="4000"/>
        <v/>
      </c>
      <c r="EM311" s="66" t="str">
        <f t="shared" si="4001"/>
        <v/>
      </c>
      <c r="EN311" s="66" t="str">
        <f t="shared" si="4002"/>
        <v/>
      </c>
      <c r="EO311" s="66" t="str">
        <f t="shared" si="4003"/>
        <v/>
      </c>
      <c r="EP311" s="66" t="str">
        <f t="shared" si="4004"/>
        <v/>
      </c>
      <c r="EQ311" s="66" t="str">
        <f t="shared" si="4005"/>
        <v/>
      </c>
      <c r="ER311" s="66" t="str">
        <f t="shared" si="4006"/>
        <v/>
      </c>
      <c r="ES311" s="66" t="str">
        <f t="shared" si="4007"/>
        <v/>
      </c>
      <c r="ET311" s="66" t="str">
        <f t="shared" si="4008"/>
        <v/>
      </c>
      <c r="EU311" s="66" t="str">
        <f t="shared" si="4009"/>
        <v/>
      </c>
      <c r="EV311" s="66" t="str">
        <f t="shared" si="4010"/>
        <v/>
      </c>
      <c r="EW311" s="66" t="str">
        <f t="shared" si="4011"/>
        <v/>
      </c>
      <c r="EX311" s="66" t="str">
        <f t="shared" si="4012"/>
        <v/>
      </c>
      <c r="EY311" s="66" t="str">
        <f t="shared" si="4013"/>
        <v/>
      </c>
      <c r="EZ311" s="66" t="str">
        <f t="shared" si="4014"/>
        <v/>
      </c>
      <c r="FA311" s="66" t="str">
        <f t="shared" si="4015"/>
        <v/>
      </c>
      <c r="FB311" s="66" t="str">
        <f t="shared" si="4016"/>
        <v/>
      </c>
      <c r="FC311" s="66" t="str">
        <f t="shared" si="4017"/>
        <v/>
      </c>
      <c r="FD311" s="66" t="str">
        <f t="shared" si="4018"/>
        <v/>
      </c>
      <c r="FE311" s="66" t="str">
        <f t="shared" si="4019"/>
        <v/>
      </c>
      <c r="FF311" s="66" t="str">
        <f t="shared" si="4020"/>
        <v/>
      </c>
      <c r="FG311" s="66" t="str">
        <f t="shared" si="4021"/>
        <v/>
      </c>
      <c r="FH311" s="66" t="str">
        <f t="shared" si="4022"/>
        <v/>
      </c>
      <c r="FI311" s="66" t="str">
        <f t="shared" si="4023"/>
        <v/>
      </c>
      <c r="FJ311" s="66" t="str">
        <f t="shared" si="4024"/>
        <v/>
      </c>
      <c r="FK311" s="66" t="str">
        <f t="shared" si="4025"/>
        <v/>
      </c>
      <c r="FL311" s="66" t="str">
        <f t="shared" si="4026"/>
        <v/>
      </c>
      <c r="FM311" s="66" t="str">
        <f t="shared" si="4027"/>
        <v/>
      </c>
      <c r="FN311" s="66" t="str">
        <f t="shared" si="4028"/>
        <v/>
      </c>
      <c r="FO311" s="66" t="str">
        <f t="shared" si="4029"/>
        <v/>
      </c>
      <c r="FP311" s="66" t="str">
        <f t="shared" si="4030"/>
        <v/>
      </c>
      <c r="FQ311" s="66" t="str">
        <f t="shared" si="4031"/>
        <v/>
      </c>
      <c r="FR311" s="66" t="str">
        <f t="shared" si="4032"/>
        <v/>
      </c>
      <c r="FS311" s="66" t="str">
        <f t="shared" si="4033"/>
        <v/>
      </c>
    </row>
    <row r="312" spans="92:175">
      <c r="CN312" s="36" t="str">
        <f t="shared" si="3958"/>
        <v>InitUnitState('',,,,,,,,,,)</v>
      </c>
      <c r="CO312" s="36" t="str">
        <f t="shared" si="3959"/>
        <v>InitUnitNormal('',,,,,,,,,,)</v>
      </c>
      <c r="CP312" s="36" t="str">
        <f t="shared" si="3960"/>
        <v>InitUnitMagic('',,,,,,,,,,)</v>
      </c>
      <c r="CQ312" s="36" t="str">
        <f t="shared" si="3961"/>
        <v>InitUnitAdd('',,,,,,,,,,)</v>
      </c>
      <c r="CR312" s="36" t="str">
        <f t="shared" si="3962"/>
        <v>InitEquipData('',,"",,,,,'','','','','','',"")</v>
      </c>
      <c r="CU312" s="19" t="str">
        <f t="shared" si="4034"/>
        <v>|n</v>
      </c>
      <c r="CW312" s="33"/>
      <c r="CX312" s="33"/>
      <c r="CY312" s="33"/>
      <c r="CZ312" s="33"/>
      <c r="DA312" s="33"/>
      <c r="DB312" s="66" t="str">
        <f t="shared" si="3964"/>
        <v/>
      </c>
      <c r="DC312" s="66" t="str">
        <f t="shared" si="3965"/>
        <v/>
      </c>
      <c r="DD312" s="66" t="str">
        <f t="shared" si="3966"/>
        <v/>
      </c>
      <c r="DE312" s="66" t="str">
        <f t="shared" si="3967"/>
        <v/>
      </c>
      <c r="DF312" s="66" t="str">
        <f t="shared" si="3968"/>
        <v/>
      </c>
      <c r="DG312" s="66" t="str">
        <f t="shared" si="3969"/>
        <v/>
      </c>
      <c r="DH312" s="66" t="str">
        <f t="shared" si="3970"/>
        <v/>
      </c>
      <c r="DI312" s="66" t="str">
        <f t="shared" si="3971"/>
        <v/>
      </c>
      <c r="DJ312" s="66" t="str">
        <f t="shared" si="3972"/>
        <v/>
      </c>
      <c r="DK312" s="66" t="str">
        <f t="shared" si="3973"/>
        <v/>
      </c>
      <c r="DL312" s="66" t="str">
        <f t="shared" si="3974"/>
        <v/>
      </c>
      <c r="DM312" s="66" t="str">
        <f t="shared" si="3975"/>
        <v/>
      </c>
      <c r="DN312" s="66" t="str">
        <f t="shared" si="3976"/>
        <v/>
      </c>
      <c r="DO312" s="66" t="str">
        <f t="shared" si="3977"/>
        <v/>
      </c>
      <c r="DP312" s="66" t="str">
        <f t="shared" si="3978"/>
        <v/>
      </c>
      <c r="DQ312" s="66" t="str">
        <f t="shared" si="3979"/>
        <v/>
      </c>
      <c r="DR312" s="66" t="str">
        <f t="shared" si="3980"/>
        <v/>
      </c>
      <c r="DS312" s="66" t="str">
        <f t="shared" si="3981"/>
        <v/>
      </c>
      <c r="DT312" s="66" t="str">
        <f t="shared" si="3982"/>
        <v/>
      </c>
      <c r="DU312" s="66" t="str">
        <f t="shared" si="3983"/>
        <v/>
      </c>
      <c r="DV312" s="66" t="str">
        <f t="shared" si="3984"/>
        <v/>
      </c>
      <c r="DW312" s="66" t="str">
        <f t="shared" si="3985"/>
        <v/>
      </c>
      <c r="DX312" s="66" t="str">
        <f t="shared" si="3986"/>
        <v/>
      </c>
      <c r="DY312" s="66" t="str">
        <f t="shared" si="3987"/>
        <v/>
      </c>
      <c r="DZ312" s="66" t="str">
        <f t="shared" si="3988"/>
        <v/>
      </c>
      <c r="EA312" s="66" t="str">
        <f t="shared" si="3989"/>
        <v/>
      </c>
      <c r="EB312" s="66" t="str">
        <f t="shared" si="3990"/>
        <v/>
      </c>
      <c r="EC312" s="66" t="str">
        <f t="shared" si="3991"/>
        <v/>
      </c>
      <c r="ED312" s="66" t="str">
        <f t="shared" si="3992"/>
        <v/>
      </c>
      <c r="EE312" s="66" t="str">
        <f t="shared" si="3993"/>
        <v/>
      </c>
      <c r="EF312" s="66" t="str">
        <f t="shared" si="3994"/>
        <v/>
      </c>
      <c r="EG312" s="66" t="str">
        <f t="shared" si="3995"/>
        <v/>
      </c>
      <c r="EH312" s="66" t="str">
        <f t="shared" si="3996"/>
        <v/>
      </c>
      <c r="EI312" s="66" t="str">
        <f t="shared" si="3997"/>
        <v/>
      </c>
      <c r="EJ312" s="66" t="str">
        <f t="shared" si="3998"/>
        <v/>
      </c>
      <c r="EK312" s="66" t="str">
        <f t="shared" si="3999"/>
        <v/>
      </c>
      <c r="EL312" s="66" t="str">
        <f t="shared" si="4000"/>
        <v/>
      </c>
      <c r="EM312" s="66" t="str">
        <f t="shared" si="4001"/>
        <v/>
      </c>
      <c r="EN312" s="66" t="str">
        <f t="shared" si="4002"/>
        <v/>
      </c>
      <c r="EO312" s="66" t="str">
        <f t="shared" si="4003"/>
        <v/>
      </c>
      <c r="EP312" s="66" t="str">
        <f t="shared" si="4004"/>
        <v/>
      </c>
      <c r="EQ312" s="66" t="str">
        <f t="shared" si="4005"/>
        <v/>
      </c>
      <c r="ER312" s="66" t="str">
        <f t="shared" si="4006"/>
        <v/>
      </c>
      <c r="ES312" s="66" t="str">
        <f t="shared" si="4007"/>
        <v/>
      </c>
      <c r="ET312" s="66" t="str">
        <f t="shared" si="4008"/>
        <v/>
      </c>
      <c r="EU312" s="66" t="str">
        <f t="shared" si="4009"/>
        <v/>
      </c>
      <c r="EV312" s="66" t="str">
        <f t="shared" si="4010"/>
        <v/>
      </c>
      <c r="EW312" s="66" t="str">
        <f t="shared" si="4011"/>
        <v/>
      </c>
      <c r="EX312" s="66" t="str">
        <f t="shared" si="4012"/>
        <v/>
      </c>
      <c r="EY312" s="66" t="str">
        <f t="shared" si="4013"/>
        <v/>
      </c>
      <c r="EZ312" s="66" t="str">
        <f t="shared" si="4014"/>
        <v/>
      </c>
      <c r="FA312" s="66" t="str">
        <f t="shared" si="4015"/>
        <v/>
      </c>
      <c r="FB312" s="66" t="str">
        <f t="shared" si="4016"/>
        <v/>
      </c>
      <c r="FC312" s="66" t="str">
        <f t="shared" si="4017"/>
        <v/>
      </c>
      <c r="FD312" s="66" t="str">
        <f t="shared" si="4018"/>
        <v/>
      </c>
      <c r="FE312" s="66" t="str">
        <f t="shared" si="4019"/>
        <v/>
      </c>
      <c r="FF312" s="66" t="str">
        <f t="shared" si="4020"/>
        <v/>
      </c>
      <c r="FG312" s="66" t="str">
        <f t="shared" si="4021"/>
        <v/>
      </c>
      <c r="FH312" s="66" t="str">
        <f t="shared" si="4022"/>
        <v/>
      </c>
      <c r="FI312" s="66" t="str">
        <f t="shared" si="4023"/>
        <v/>
      </c>
      <c r="FJ312" s="66" t="str">
        <f t="shared" si="4024"/>
        <v/>
      </c>
      <c r="FK312" s="66" t="str">
        <f t="shared" si="4025"/>
        <v/>
      </c>
      <c r="FL312" s="66" t="str">
        <f t="shared" si="4026"/>
        <v/>
      </c>
      <c r="FM312" s="66" t="str">
        <f t="shared" si="4027"/>
        <v/>
      </c>
      <c r="FN312" s="66" t="str">
        <f t="shared" si="4028"/>
        <v/>
      </c>
      <c r="FO312" s="66" t="str">
        <f t="shared" si="4029"/>
        <v/>
      </c>
      <c r="FP312" s="66" t="str">
        <f t="shared" si="4030"/>
        <v/>
      </c>
      <c r="FQ312" s="66" t="str">
        <f t="shared" si="4031"/>
        <v/>
      </c>
      <c r="FR312" s="66" t="str">
        <f t="shared" si="4032"/>
        <v/>
      </c>
      <c r="FS312" s="66" t="str">
        <f t="shared" si="4033"/>
        <v/>
      </c>
    </row>
    <row r="313" spans="92:175">
      <c r="CN313" s="36" t="str">
        <f t="shared" si="3958"/>
        <v>InitUnitState('',,,,,,,,,,)</v>
      </c>
      <c r="CO313" s="36" t="str">
        <f t="shared" si="3959"/>
        <v>InitUnitNormal('',,,,,,,,,,)</v>
      </c>
      <c r="CP313" s="36" t="str">
        <f t="shared" si="3960"/>
        <v>InitUnitMagic('',,,,,,,,,,)</v>
      </c>
      <c r="CQ313" s="36" t="str">
        <f t="shared" si="3961"/>
        <v>InitUnitAdd('',,,,,,,,,,)</v>
      </c>
      <c r="CR313" s="36" t="str">
        <f t="shared" si="3962"/>
        <v>InitEquipData('',,"",,,,,'','','','','','',"")</v>
      </c>
      <c r="CU313" s="19" t="str">
        <f t="shared" si="4034"/>
        <v>|n</v>
      </c>
      <c r="CW313" s="33"/>
      <c r="CX313" s="33"/>
      <c r="CY313" s="33"/>
      <c r="CZ313" s="33"/>
      <c r="DA313" s="33"/>
      <c r="DB313" s="66" t="str">
        <f t="shared" si="3964"/>
        <v/>
      </c>
      <c r="DC313" s="66" t="str">
        <f t="shared" si="3965"/>
        <v/>
      </c>
      <c r="DD313" s="66" t="str">
        <f t="shared" si="3966"/>
        <v/>
      </c>
      <c r="DE313" s="66" t="str">
        <f t="shared" si="3967"/>
        <v/>
      </c>
      <c r="DF313" s="66" t="str">
        <f t="shared" si="3968"/>
        <v/>
      </c>
      <c r="DG313" s="66" t="str">
        <f t="shared" si="3969"/>
        <v/>
      </c>
      <c r="DH313" s="66" t="str">
        <f t="shared" si="3970"/>
        <v/>
      </c>
      <c r="DI313" s="66" t="str">
        <f t="shared" si="3971"/>
        <v/>
      </c>
      <c r="DJ313" s="66" t="str">
        <f t="shared" si="3972"/>
        <v/>
      </c>
      <c r="DK313" s="66" t="str">
        <f t="shared" si="3973"/>
        <v/>
      </c>
      <c r="DL313" s="66" t="str">
        <f t="shared" si="3974"/>
        <v/>
      </c>
      <c r="DM313" s="66" t="str">
        <f t="shared" si="3975"/>
        <v/>
      </c>
      <c r="DN313" s="66" t="str">
        <f t="shared" si="3976"/>
        <v/>
      </c>
      <c r="DO313" s="66" t="str">
        <f t="shared" si="3977"/>
        <v/>
      </c>
      <c r="DP313" s="66" t="str">
        <f t="shared" si="3978"/>
        <v/>
      </c>
      <c r="DQ313" s="66" t="str">
        <f t="shared" si="3979"/>
        <v/>
      </c>
      <c r="DR313" s="66" t="str">
        <f t="shared" si="3980"/>
        <v/>
      </c>
      <c r="DS313" s="66" t="str">
        <f t="shared" si="3981"/>
        <v/>
      </c>
      <c r="DT313" s="66" t="str">
        <f t="shared" si="3982"/>
        <v/>
      </c>
      <c r="DU313" s="66" t="str">
        <f t="shared" si="3983"/>
        <v/>
      </c>
      <c r="DV313" s="66" t="str">
        <f t="shared" si="3984"/>
        <v/>
      </c>
      <c r="DW313" s="66" t="str">
        <f t="shared" si="3985"/>
        <v/>
      </c>
      <c r="DX313" s="66" t="str">
        <f t="shared" si="3986"/>
        <v/>
      </c>
      <c r="DY313" s="66" t="str">
        <f t="shared" si="3987"/>
        <v/>
      </c>
      <c r="DZ313" s="66" t="str">
        <f t="shared" si="3988"/>
        <v/>
      </c>
      <c r="EA313" s="66" t="str">
        <f t="shared" si="3989"/>
        <v/>
      </c>
      <c r="EB313" s="66" t="str">
        <f t="shared" si="3990"/>
        <v/>
      </c>
      <c r="EC313" s="66" t="str">
        <f t="shared" si="3991"/>
        <v/>
      </c>
      <c r="ED313" s="66" t="str">
        <f t="shared" si="3992"/>
        <v/>
      </c>
      <c r="EE313" s="66" t="str">
        <f t="shared" si="3993"/>
        <v/>
      </c>
      <c r="EF313" s="66" t="str">
        <f t="shared" si="3994"/>
        <v/>
      </c>
      <c r="EG313" s="66" t="str">
        <f t="shared" si="3995"/>
        <v/>
      </c>
      <c r="EH313" s="66" t="str">
        <f t="shared" si="3996"/>
        <v/>
      </c>
      <c r="EI313" s="66" t="str">
        <f t="shared" si="3997"/>
        <v/>
      </c>
      <c r="EJ313" s="66" t="str">
        <f t="shared" si="3998"/>
        <v/>
      </c>
      <c r="EK313" s="66" t="str">
        <f t="shared" si="3999"/>
        <v/>
      </c>
      <c r="EL313" s="66" t="str">
        <f t="shared" si="4000"/>
        <v/>
      </c>
      <c r="EM313" s="66" t="str">
        <f t="shared" si="4001"/>
        <v/>
      </c>
      <c r="EN313" s="66" t="str">
        <f t="shared" si="4002"/>
        <v/>
      </c>
      <c r="EO313" s="66" t="str">
        <f t="shared" si="4003"/>
        <v/>
      </c>
      <c r="EP313" s="66" t="str">
        <f t="shared" si="4004"/>
        <v/>
      </c>
      <c r="EQ313" s="66" t="str">
        <f t="shared" si="4005"/>
        <v/>
      </c>
      <c r="ER313" s="66" t="str">
        <f t="shared" si="4006"/>
        <v/>
      </c>
      <c r="ES313" s="66" t="str">
        <f t="shared" si="4007"/>
        <v/>
      </c>
      <c r="ET313" s="66" t="str">
        <f t="shared" si="4008"/>
        <v/>
      </c>
      <c r="EU313" s="66" t="str">
        <f t="shared" si="4009"/>
        <v/>
      </c>
      <c r="EV313" s="66" t="str">
        <f t="shared" si="4010"/>
        <v/>
      </c>
      <c r="EW313" s="66" t="str">
        <f t="shared" si="4011"/>
        <v/>
      </c>
      <c r="EX313" s="66" t="str">
        <f t="shared" si="4012"/>
        <v/>
      </c>
      <c r="EY313" s="66" t="str">
        <f t="shared" si="4013"/>
        <v/>
      </c>
      <c r="EZ313" s="66" t="str">
        <f t="shared" si="4014"/>
        <v/>
      </c>
      <c r="FA313" s="66" t="str">
        <f t="shared" si="4015"/>
        <v/>
      </c>
      <c r="FB313" s="66" t="str">
        <f t="shared" si="4016"/>
        <v/>
      </c>
      <c r="FC313" s="66" t="str">
        <f t="shared" si="4017"/>
        <v/>
      </c>
      <c r="FD313" s="66" t="str">
        <f t="shared" si="4018"/>
        <v/>
      </c>
      <c r="FE313" s="66" t="str">
        <f t="shared" si="4019"/>
        <v/>
      </c>
      <c r="FF313" s="66" t="str">
        <f t="shared" si="4020"/>
        <v/>
      </c>
      <c r="FG313" s="66" t="str">
        <f t="shared" si="4021"/>
        <v/>
      </c>
      <c r="FH313" s="66" t="str">
        <f t="shared" si="4022"/>
        <v/>
      </c>
      <c r="FI313" s="66" t="str">
        <f t="shared" si="4023"/>
        <v/>
      </c>
      <c r="FJ313" s="66" t="str">
        <f t="shared" si="4024"/>
        <v/>
      </c>
      <c r="FK313" s="66" t="str">
        <f t="shared" si="4025"/>
        <v/>
      </c>
      <c r="FL313" s="66" t="str">
        <f t="shared" si="4026"/>
        <v/>
      </c>
      <c r="FM313" s="66" t="str">
        <f t="shared" si="4027"/>
        <v/>
      </c>
      <c r="FN313" s="66" t="str">
        <f t="shared" si="4028"/>
        <v/>
      </c>
      <c r="FO313" s="66" t="str">
        <f t="shared" si="4029"/>
        <v/>
      </c>
      <c r="FP313" s="66" t="str">
        <f t="shared" si="4030"/>
        <v/>
      </c>
      <c r="FQ313" s="66" t="str">
        <f t="shared" si="4031"/>
        <v/>
      </c>
      <c r="FR313" s="66" t="str">
        <f t="shared" si="4032"/>
        <v/>
      </c>
      <c r="FS313" s="66" t="str">
        <f t="shared" si="4033"/>
        <v/>
      </c>
    </row>
    <row r="314" spans="92:175">
      <c r="CN314" s="36" t="str">
        <f t="shared" si="3958"/>
        <v>InitUnitState('',,,,,,,,,,)</v>
      </c>
      <c r="CO314" s="36" t="str">
        <f t="shared" si="3959"/>
        <v>InitUnitNormal('',,,,,,,,,,)</v>
      </c>
      <c r="CP314" s="36" t="str">
        <f t="shared" si="3960"/>
        <v>InitUnitMagic('',,,,,,,,,,)</v>
      </c>
      <c r="CQ314" s="36" t="str">
        <f t="shared" si="3961"/>
        <v>InitUnitAdd('',,,,,,,,,,)</v>
      </c>
      <c r="CR314" s="36" t="str">
        <f t="shared" si="3962"/>
        <v>InitEquipData('',,"",,,,,'','','','','','',"")</v>
      </c>
      <c r="CU314" s="19" t="str">
        <f t="shared" si="4034"/>
        <v>|n</v>
      </c>
      <c r="CW314" s="33"/>
      <c r="CX314" s="33"/>
      <c r="CY314" s="33"/>
      <c r="CZ314" s="33"/>
      <c r="DA314" s="33"/>
      <c r="DB314" s="66" t="str">
        <f t="shared" si="3964"/>
        <v/>
      </c>
      <c r="DC314" s="66" t="str">
        <f t="shared" si="3965"/>
        <v/>
      </c>
      <c r="DD314" s="66" t="str">
        <f t="shared" si="3966"/>
        <v/>
      </c>
      <c r="DE314" s="66" t="str">
        <f t="shared" si="3967"/>
        <v/>
      </c>
      <c r="DF314" s="66" t="str">
        <f t="shared" si="3968"/>
        <v/>
      </c>
      <c r="DG314" s="66" t="str">
        <f t="shared" si="3969"/>
        <v/>
      </c>
      <c r="DH314" s="66" t="str">
        <f t="shared" si="3970"/>
        <v/>
      </c>
      <c r="DI314" s="66" t="str">
        <f t="shared" si="3971"/>
        <v/>
      </c>
      <c r="DJ314" s="66" t="str">
        <f t="shared" si="3972"/>
        <v/>
      </c>
      <c r="DK314" s="66" t="str">
        <f t="shared" si="3973"/>
        <v/>
      </c>
      <c r="DL314" s="66" t="str">
        <f t="shared" si="3974"/>
        <v/>
      </c>
      <c r="DM314" s="66" t="str">
        <f t="shared" si="3975"/>
        <v/>
      </c>
      <c r="DN314" s="66" t="str">
        <f t="shared" si="3976"/>
        <v/>
      </c>
      <c r="DO314" s="66" t="str">
        <f t="shared" si="3977"/>
        <v/>
      </c>
      <c r="DP314" s="66" t="str">
        <f t="shared" si="3978"/>
        <v/>
      </c>
      <c r="DQ314" s="66" t="str">
        <f t="shared" si="3979"/>
        <v/>
      </c>
      <c r="DR314" s="66" t="str">
        <f t="shared" si="3980"/>
        <v/>
      </c>
      <c r="DS314" s="66" t="str">
        <f t="shared" si="3981"/>
        <v/>
      </c>
      <c r="DT314" s="66" t="str">
        <f t="shared" si="3982"/>
        <v/>
      </c>
      <c r="DU314" s="66" t="str">
        <f t="shared" si="3983"/>
        <v/>
      </c>
      <c r="DV314" s="66" t="str">
        <f t="shared" si="3984"/>
        <v/>
      </c>
      <c r="DW314" s="66" t="str">
        <f t="shared" si="3985"/>
        <v/>
      </c>
      <c r="DX314" s="66" t="str">
        <f t="shared" si="3986"/>
        <v/>
      </c>
      <c r="DY314" s="66" t="str">
        <f t="shared" si="3987"/>
        <v/>
      </c>
      <c r="DZ314" s="66" t="str">
        <f t="shared" si="3988"/>
        <v/>
      </c>
      <c r="EA314" s="66" t="str">
        <f t="shared" si="3989"/>
        <v/>
      </c>
      <c r="EB314" s="66" t="str">
        <f t="shared" si="3990"/>
        <v/>
      </c>
      <c r="EC314" s="66" t="str">
        <f t="shared" si="3991"/>
        <v/>
      </c>
      <c r="ED314" s="66" t="str">
        <f t="shared" si="3992"/>
        <v/>
      </c>
      <c r="EE314" s="66" t="str">
        <f t="shared" si="3993"/>
        <v/>
      </c>
      <c r="EF314" s="66" t="str">
        <f t="shared" si="3994"/>
        <v/>
      </c>
      <c r="EG314" s="66" t="str">
        <f t="shared" si="3995"/>
        <v/>
      </c>
      <c r="EH314" s="66" t="str">
        <f t="shared" si="3996"/>
        <v/>
      </c>
      <c r="EI314" s="66" t="str">
        <f t="shared" si="3997"/>
        <v/>
      </c>
      <c r="EJ314" s="66" t="str">
        <f t="shared" si="3998"/>
        <v/>
      </c>
      <c r="EK314" s="66" t="str">
        <f t="shared" si="3999"/>
        <v/>
      </c>
      <c r="EL314" s="66" t="str">
        <f t="shared" si="4000"/>
        <v/>
      </c>
      <c r="EM314" s="66" t="str">
        <f t="shared" si="4001"/>
        <v/>
      </c>
      <c r="EN314" s="66" t="str">
        <f t="shared" si="4002"/>
        <v/>
      </c>
      <c r="EO314" s="66" t="str">
        <f t="shared" si="4003"/>
        <v/>
      </c>
      <c r="EP314" s="66" t="str">
        <f t="shared" si="4004"/>
        <v/>
      </c>
      <c r="EQ314" s="66" t="str">
        <f t="shared" si="4005"/>
        <v/>
      </c>
      <c r="ER314" s="66" t="str">
        <f t="shared" si="4006"/>
        <v/>
      </c>
      <c r="ES314" s="66" t="str">
        <f t="shared" si="4007"/>
        <v/>
      </c>
      <c r="ET314" s="66" t="str">
        <f t="shared" si="4008"/>
        <v/>
      </c>
      <c r="EU314" s="66" t="str">
        <f t="shared" si="4009"/>
        <v/>
      </c>
      <c r="EV314" s="66" t="str">
        <f t="shared" si="4010"/>
        <v/>
      </c>
      <c r="EW314" s="66" t="str">
        <f t="shared" si="4011"/>
        <v/>
      </c>
      <c r="EX314" s="66" t="str">
        <f t="shared" si="4012"/>
        <v/>
      </c>
      <c r="EY314" s="66" t="str">
        <f t="shared" si="4013"/>
        <v/>
      </c>
      <c r="EZ314" s="66" t="str">
        <f t="shared" si="4014"/>
        <v/>
      </c>
      <c r="FA314" s="66" t="str">
        <f t="shared" si="4015"/>
        <v/>
      </c>
      <c r="FB314" s="66" t="str">
        <f t="shared" si="4016"/>
        <v/>
      </c>
      <c r="FC314" s="66" t="str">
        <f t="shared" si="4017"/>
        <v/>
      </c>
      <c r="FD314" s="66" t="str">
        <f t="shared" si="4018"/>
        <v/>
      </c>
      <c r="FE314" s="66" t="str">
        <f t="shared" si="4019"/>
        <v/>
      </c>
      <c r="FF314" s="66" t="str">
        <f t="shared" si="4020"/>
        <v/>
      </c>
      <c r="FG314" s="66" t="str">
        <f t="shared" si="4021"/>
        <v/>
      </c>
      <c r="FH314" s="66" t="str">
        <f t="shared" si="4022"/>
        <v/>
      </c>
      <c r="FI314" s="66" t="str">
        <f t="shared" si="4023"/>
        <v/>
      </c>
      <c r="FJ314" s="66" t="str">
        <f t="shared" si="4024"/>
        <v/>
      </c>
      <c r="FK314" s="66" t="str">
        <f t="shared" si="4025"/>
        <v/>
      </c>
      <c r="FL314" s="66" t="str">
        <f t="shared" si="4026"/>
        <v/>
      </c>
      <c r="FM314" s="66" t="str">
        <f t="shared" si="4027"/>
        <v/>
      </c>
      <c r="FN314" s="66" t="str">
        <f t="shared" si="4028"/>
        <v/>
      </c>
      <c r="FO314" s="66" t="str">
        <f t="shared" si="4029"/>
        <v/>
      </c>
      <c r="FP314" s="66" t="str">
        <f t="shared" si="4030"/>
        <v/>
      </c>
      <c r="FQ314" s="66" t="str">
        <f t="shared" si="4031"/>
        <v/>
      </c>
      <c r="FR314" s="66" t="str">
        <f t="shared" si="4032"/>
        <v/>
      </c>
      <c r="FS314" s="66" t="str">
        <f t="shared" si="4033"/>
        <v/>
      </c>
    </row>
    <row r="315" spans="92:175">
      <c r="CN315" s="36" t="str">
        <f t="shared" si="3958"/>
        <v>InitUnitState('',,,,,,,,,,)</v>
      </c>
      <c r="CO315" s="36" t="str">
        <f t="shared" si="3959"/>
        <v>InitUnitNormal('',,,,,,,,,,)</v>
      </c>
      <c r="CP315" s="36" t="str">
        <f t="shared" si="3960"/>
        <v>InitUnitMagic('',,,,,,,,,,)</v>
      </c>
      <c r="CQ315" s="36" t="str">
        <f t="shared" si="3961"/>
        <v>InitUnitAdd('',,,,,,,,,,)</v>
      </c>
      <c r="CR315" s="36" t="str">
        <f t="shared" si="3962"/>
        <v>InitEquipData('',,"",,,,,'','','','','','',"")</v>
      </c>
      <c r="CU315" s="19" t="str">
        <f t="shared" si="4034"/>
        <v>|n</v>
      </c>
      <c r="CW315" s="33"/>
      <c r="CX315" s="33"/>
      <c r="CY315" s="33"/>
      <c r="CZ315" s="33"/>
      <c r="DA315" s="33"/>
      <c r="DB315" s="66" t="str">
        <f t="shared" si="3964"/>
        <v/>
      </c>
      <c r="DC315" s="66" t="str">
        <f t="shared" si="3965"/>
        <v/>
      </c>
      <c r="DD315" s="66" t="str">
        <f t="shared" si="3966"/>
        <v/>
      </c>
      <c r="DE315" s="66" t="str">
        <f t="shared" si="3967"/>
        <v/>
      </c>
      <c r="DF315" s="66" t="str">
        <f t="shared" si="3968"/>
        <v/>
      </c>
      <c r="DG315" s="66" t="str">
        <f t="shared" si="3969"/>
        <v/>
      </c>
      <c r="DH315" s="66" t="str">
        <f t="shared" si="3970"/>
        <v/>
      </c>
      <c r="DI315" s="66" t="str">
        <f t="shared" si="3971"/>
        <v/>
      </c>
      <c r="DJ315" s="66" t="str">
        <f t="shared" si="3972"/>
        <v/>
      </c>
      <c r="DK315" s="66" t="str">
        <f t="shared" si="3973"/>
        <v/>
      </c>
      <c r="DL315" s="66" t="str">
        <f t="shared" si="3974"/>
        <v/>
      </c>
      <c r="DM315" s="66" t="str">
        <f t="shared" si="3975"/>
        <v/>
      </c>
      <c r="DN315" s="66" t="str">
        <f t="shared" si="3976"/>
        <v/>
      </c>
      <c r="DO315" s="66" t="str">
        <f t="shared" si="3977"/>
        <v/>
      </c>
      <c r="DP315" s="66" t="str">
        <f t="shared" si="3978"/>
        <v/>
      </c>
      <c r="DQ315" s="66" t="str">
        <f t="shared" si="3979"/>
        <v/>
      </c>
      <c r="DR315" s="66" t="str">
        <f t="shared" si="3980"/>
        <v/>
      </c>
      <c r="DS315" s="66" t="str">
        <f t="shared" si="3981"/>
        <v/>
      </c>
      <c r="DT315" s="66" t="str">
        <f t="shared" si="3982"/>
        <v/>
      </c>
      <c r="DU315" s="66" t="str">
        <f t="shared" si="3983"/>
        <v/>
      </c>
      <c r="DV315" s="66" t="str">
        <f t="shared" si="3984"/>
        <v/>
      </c>
      <c r="DW315" s="66" t="str">
        <f t="shared" si="3985"/>
        <v/>
      </c>
      <c r="DX315" s="66" t="str">
        <f t="shared" si="3986"/>
        <v/>
      </c>
      <c r="DY315" s="66" t="str">
        <f t="shared" si="3987"/>
        <v/>
      </c>
      <c r="DZ315" s="66" t="str">
        <f t="shared" si="3988"/>
        <v/>
      </c>
      <c r="EA315" s="66" t="str">
        <f t="shared" si="3989"/>
        <v/>
      </c>
      <c r="EB315" s="66" t="str">
        <f t="shared" si="3990"/>
        <v/>
      </c>
      <c r="EC315" s="66" t="str">
        <f t="shared" si="3991"/>
        <v/>
      </c>
      <c r="ED315" s="66" t="str">
        <f t="shared" si="3992"/>
        <v/>
      </c>
      <c r="EE315" s="66" t="str">
        <f t="shared" si="3993"/>
        <v/>
      </c>
      <c r="EF315" s="66" t="str">
        <f t="shared" si="3994"/>
        <v/>
      </c>
      <c r="EG315" s="66" t="str">
        <f t="shared" si="3995"/>
        <v/>
      </c>
      <c r="EH315" s="66" t="str">
        <f t="shared" si="3996"/>
        <v/>
      </c>
      <c r="EI315" s="66" t="str">
        <f t="shared" si="3997"/>
        <v/>
      </c>
      <c r="EJ315" s="66" t="str">
        <f t="shared" si="3998"/>
        <v/>
      </c>
      <c r="EK315" s="66" t="str">
        <f t="shared" si="3999"/>
        <v/>
      </c>
      <c r="EL315" s="66" t="str">
        <f t="shared" si="4000"/>
        <v/>
      </c>
      <c r="EM315" s="66" t="str">
        <f t="shared" si="4001"/>
        <v/>
      </c>
      <c r="EN315" s="66" t="str">
        <f t="shared" si="4002"/>
        <v/>
      </c>
      <c r="EO315" s="66" t="str">
        <f t="shared" si="4003"/>
        <v/>
      </c>
      <c r="EP315" s="66" t="str">
        <f t="shared" si="4004"/>
        <v/>
      </c>
      <c r="EQ315" s="66" t="str">
        <f t="shared" si="4005"/>
        <v/>
      </c>
      <c r="ER315" s="66" t="str">
        <f t="shared" si="4006"/>
        <v/>
      </c>
      <c r="ES315" s="66" t="str">
        <f t="shared" si="4007"/>
        <v/>
      </c>
      <c r="ET315" s="66" t="str">
        <f t="shared" si="4008"/>
        <v/>
      </c>
      <c r="EU315" s="66" t="str">
        <f t="shared" si="4009"/>
        <v/>
      </c>
      <c r="EV315" s="66" t="str">
        <f t="shared" si="4010"/>
        <v/>
      </c>
      <c r="EW315" s="66" t="str">
        <f t="shared" si="4011"/>
        <v/>
      </c>
      <c r="EX315" s="66" t="str">
        <f t="shared" si="4012"/>
        <v/>
      </c>
      <c r="EY315" s="66" t="str">
        <f t="shared" si="4013"/>
        <v/>
      </c>
      <c r="EZ315" s="66" t="str">
        <f t="shared" si="4014"/>
        <v/>
      </c>
      <c r="FA315" s="66" t="str">
        <f t="shared" si="4015"/>
        <v/>
      </c>
      <c r="FB315" s="66" t="str">
        <f t="shared" si="4016"/>
        <v/>
      </c>
      <c r="FC315" s="66" t="str">
        <f t="shared" si="4017"/>
        <v/>
      </c>
      <c r="FD315" s="66" t="str">
        <f t="shared" si="4018"/>
        <v/>
      </c>
      <c r="FE315" s="66" t="str">
        <f t="shared" si="4019"/>
        <v/>
      </c>
      <c r="FF315" s="66" t="str">
        <f t="shared" si="4020"/>
        <v/>
      </c>
      <c r="FG315" s="66" t="str">
        <f t="shared" si="4021"/>
        <v/>
      </c>
      <c r="FH315" s="66" t="str">
        <f t="shared" si="4022"/>
        <v/>
      </c>
      <c r="FI315" s="66" t="str">
        <f t="shared" si="4023"/>
        <v/>
      </c>
      <c r="FJ315" s="66" t="str">
        <f t="shared" si="4024"/>
        <v/>
      </c>
      <c r="FK315" s="66" t="str">
        <f t="shared" si="4025"/>
        <v/>
      </c>
      <c r="FL315" s="66" t="str">
        <f t="shared" si="4026"/>
        <v/>
      </c>
      <c r="FM315" s="66" t="str">
        <f t="shared" si="4027"/>
        <v/>
      </c>
      <c r="FN315" s="66" t="str">
        <f t="shared" si="4028"/>
        <v/>
      </c>
      <c r="FO315" s="66" t="str">
        <f t="shared" si="4029"/>
        <v/>
      </c>
      <c r="FP315" s="66" t="str">
        <f t="shared" si="4030"/>
        <v/>
      </c>
      <c r="FQ315" s="66" t="str">
        <f t="shared" si="4031"/>
        <v/>
      </c>
      <c r="FR315" s="66" t="str">
        <f t="shared" si="4032"/>
        <v/>
      </c>
      <c r="FS315" s="66" t="str">
        <f t="shared" si="4033"/>
        <v/>
      </c>
    </row>
    <row r="316" spans="92:175">
      <c r="CN316" s="36" t="str">
        <f t="shared" si="3958"/>
        <v>InitUnitState('',,,,,,,,,,)</v>
      </c>
      <c r="CO316" s="36" t="str">
        <f t="shared" si="3959"/>
        <v>InitUnitNormal('',,,,,,,,,,)</v>
      </c>
      <c r="CP316" s="36" t="str">
        <f t="shared" si="3960"/>
        <v>InitUnitMagic('',,,,,,,,,,)</v>
      </c>
      <c r="CQ316" s="36" t="str">
        <f t="shared" si="3961"/>
        <v>InitUnitAdd('',,,,,,,,,,)</v>
      </c>
      <c r="CR316" s="36" t="str">
        <f t="shared" si="3962"/>
        <v>InitEquipData('',,"",,,,,'','','','','','',"")</v>
      </c>
      <c r="CU316" s="19" t="str">
        <f t="shared" si="4034"/>
        <v>|n</v>
      </c>
      <c r="CW316" s="33"/>
      <c r="CX316" s="33"/>
      <c r="CY316" s="33"/>
      <c r="CZ316" s="33"/>
      <c r="DA316" s="33"/>
      <c r="DB316" s="66" t="str">
        <f t="shared" si="3964"/>
        <v/>
      </c>
      <c r="DC316" s="66" t="str">
        <f t="shared" si="3965"/>
        <v/>
      </c>
      <c r="DD316" s="66" t="str">
        <f t="shared" si="3966"/>
        <v/>
      </c>
      <c r="DE316" s="66" t="str">
        <f t="shared" si="3967"/>
        <v/>
      </c>
      <c r="DF316" s="66" t="str">
        <f t="shared" si="3968"/>
        <v/>
      </c>
      <c r="DG316" s="66" t="str">
        <f t="shared" si="3969"/>
        <v/>
      </c>
      <c r="DH316" s="66" t="str">
        <f t="shared" si="3970"/>
        <v/>
      </c>
      <c r="DI316" s="66" t="str">
        <f t="shared" si="3971"/>
        <v/>
      </c>
      <c r="DJ316" s="66" t="str">
        <f t="shared" si="3972"/>
        <v/>
      </c>
      <c r="DK316" s="66" t="str">
        <f t="shared" si="3973"/>
        <v/>
      </c>
      <c r="DL316" s="66" t="str">
        <f t="shared" si="3974"/>
        <v/>
      </c>
      <c r="DM316" s="66" t="str">
        <f t="shared" si="3975"/>
        <v/>
      </c>
      <c r="DN316" s="66" t="str">
        <f t="shared" si="3976"/>
        <v/>
      </c>
      <c r="DO316" s="66" t="str">
        <f t="shared" si="3977"/>
        <v/>
      </c>
      <c r="DP316" s="66" t="str">
        <f t="shared" si="3978"/>
        <v/>
      </c>
      <c r="DQ316" s="66" t="str">
        <f t="shared" si="3979"/>
        <v/>
      </c>
      <c r="DR316" s="66" t="str">
        <f t="shared" si="3980"/>
        <v/>
      </c>
      <c r="DS316" s="66" t="str">
        <f t="shared" si="3981"/>
        <v/>
      </c>
      <c r="DT316" s="66" t="str">
        <f t="shared" si="3982"/>
        <v/>
      </c>
      <c r="DU316" s="66" t="str">
        <f t="shared" si="3983"/>
        <v/>
      </c>
      <c r="DV316" s="66" t="str">
        <f t="shared" si="3984"/>
        <v/>
      </c>
      <c r="DW316" s="66" t="str">
        <f t="shared" si="3985"/>
        <v/>
      </c>
      <c r="DX316" s="66" t="str">
        <f t="shared" si="3986"/>
        <v/>
      </c>
      <c r="DY316" s="66" t="str">
        <f t="shared" si="3987"/>
        <v/>
      </c>
      <c r="DZ316" s="66" t="str">
        <f t="shared" si="3988"/>
        <v/>
      </c>
      <c r="EA316" s="66" t="str">
        <f t="shared" si="3989"/>
        <v/>
      </c>
      <c r="EB316" s="66" t="str">
        <f t="shared" si="3990"/>
        <v/>
      </c>
      <c r="EC316" s="66" t="str">
        <f t="shared" si="3991"/>
        <v/>
      </c>
      <c r="ED316" s="66" t="str">
        <f t="shared" si="3992"/>
        <v/>
      </c>
      <c r="EE316" s="66" t="str">
        <f t="shared" si="3993"/>
        <v/>
      </c>
      <c r="EF316" s="66" t="str">
        <f t="shared" si="3994"/>
        <v/>
      </c>
      <c r="EG316" s="66" t="str">
        <f t="shared" si="3995"/>
        <v/>
      </c>
      <c r="EH316" s="66" t="str">
        <f t="shared" si="3996"/>
        <v/>
      </c>
      <c r="EI316" s="66" t="str">
        <f t="shared" si="3997"/>
        <v/>
      </c>
      <c r="EJ316" s="66" t="str">
        <f t="shared" si="3998"/>
        <v/>
      </c>
      <c r="EK316" s="66" t="str">
        <f t="shared" si="3999"/>
        <v/>
      </c>
      <c r="EL316" s="66" t="str">
        <f t="shared" si="4000"/>
        <v/>
      </c>
      <c r="EM316" s="66" t="str">
        <f t="shared" si="4001"/>
        <v/>
      </c>
      <c r="EN316" s="66" t="str">
        <f t="shared" si="4002"/>
        <v/>
      </c>
      <c r="EO316" s="66" t="str">
        <f t="shared" si="4003"/>
        <v/>
      </c>
      <c r="EP316" s="66" t="str">
        <f t="shared" si="4004"/>
        <v/>
      </c>
      <c r="EQ316" s="66" t="str">
        <f t="shared" si="4005"/>
        <v/>
      </c>
      <c r="ER316" s="66" t="str">
        <f t="shared" si="4006"/>
        <v/>
      </c>
      <c r="ES316" s="66" t="str">
        <f t="shared" si="4007"/>
        <v/>
      </c>
      <c r="ET316" s="66" t="str">
        <f t="shared" si="4008"/>
        <v/>
      </c>
      <c r="EU316" s="66" t="str">
        <f t="shared" si="4009"/>
        <v/>
      </c>
      <c r="EV316" s="66" t="str">
        <f t="shared" si="4010"/>
        <v/>
      </c>
      <c r="EW316" s="66" t="str">
        <f t="shared" si="4011"/>
        <v/>
      </c>
      <c r="EX316" s="66" t="str">
        <f t="shared" si="4012"/>
        <v/>
      </c>
      <c r="EY316" s="66" t="str">
        <f t="shared" si="4013"/>
        <v/>
      </c>
      <c r="EZ316" s="66" t="str">
        <f t="shared" si="4014"/>
        <v/>
      </c>
      <c r="FA316" s="66" t="str">
        <f t="shared" si="4015"/>
        <v/>
      </c>
      <c r="FB316" s="66" t="str">
        <f t="shared" si="4016"/>
        <v/>
      </c>
      <c r="FC316" s="66" t="str">
        <f t="shared" si="4017"/>
        <v/>
      </c>
      <c r="FD316" s="66" t="str">
        <f t="shared" si="4018"/>
        <v/>
      </c>
      <c r="FE316" s="66" t="str">
        <f t="shared" si="4019"/>
        <v/>
      </c>
      <c r="FF316" s="66" t="str">
        <f t="shared" si="4020"/>
        <v/>
      </c>
      <c r="FG316" s="66" t="str">
        <f t="shared" si="4021"/>
        <v/>
      </c>
      <c r="FH316" s="66" t="str">
        <f t="shared" si="4022"/>
        <v/>
      </c>
      <c r="FI316" s="66" t="str">
        <f t="shared" si="4023"/>
        <v/>
      </c>
      <c r="FJ316" s="66" t="str">
        <f t="shared" si="4024"/>
        <v/>
      </c>
      <c r="FK316" s="66" t="str">
        <f t="shared" si="4025"/>
        <v/>
      </c>
      <c r="FL316" s="66" t="str">
        <f t="shared" si="4026"/>
        <v/>
      </c>
      <c r="FM316" s="66" t="str">
        <f t="shared" si="4027"/>
        <v/>
      </c>
      <c r="FN316" s="66" t="str">
        <f t="shared" si="4028"/>
        <v/>
      </c>
      <c r="FO316" s="66" t="str">
        <f t="shared" si="4029"/>
        <v/>
      </c>
      <c r="FP316" s="66" t="str">
        <f t="shared" si="4030"/>
        <v/>
      </c>
      <c r="FQ316" s="66" t="str">
        <f t="shared" si="4031"/>
        <v/>
      </c>
      <c r="FR316" s="66" t="str">
        <f t="shared" si="4032"/>
        <v/>
      </c>
      <c r="FS316" s="66" t="str">
        <f t="shared" si="4033"/>
        <v/>
      </c>
    </row>
    <row r="317" spans="92:175">
      <c r="CN317" s="36" t="str">
        <f t="shared" si="3958"/>
        <v>InitUnitState('',,,,,,,,,,)</v>
      </c>
      <c r="CO317" s="36" t="str">
        <f t="shared" si="3959"/>
        <v>InitUnitNormal('',,,,,,,,,,)</v>
      </c>
      <c r="CP317" s="36" t="str">
        <f t="shared" si="3960"/>
        <v>InitUnitMagic('',,,,,,,,,,)</v>
      </c>
      <c r="CQ317" s="36" t="str">
        <f t="shared" si="3961"/>
        <v>InitUnitAdd('',,,,,,,,,,)</v>
      </c>
      <c r="CR317" s="36" t="str">
        <f t="shared" si="3962"/>
        <v>InitEquipData('',,"",,,,,'','','','','','',"")</v>
      </c>
      <c r="CU317" s="19" t="str">
        <f t="shared" si="4034"/>
        <v>|n</v>
      </c>
      <c r="CW317" s="33"/>
      <c r="CX317" s="33"/>
      <c r="CY317" s="33"/>
      <c r="CZ317" s="33"/>
      <c r="DA317" s="33"/>
      <c r="DB317" s="66" t="str">
        <f t="shared" si="3964"/>
        <v/>
      </c>
      <c r="DC317" s="66" t="str">
        <f t="shared" si="3965"/>
        <v/>
      </c>
      <c r="DD317" s="66" t="str">
        <f t="shared" si="3966"/>
        <v/>
      </c>
      <c r="DE317" s="66" t="str">
        <f t="shared" si="3967"/>
        <v/>
      </c>
      <c r="DF317" s="66" t="str">
        <f t="shared" si="3968"/>
        <v/>
      </c>
      <c r="DG317" s="66" t="str">
        <f t="shared" si="3969"/>
        <v/>
      </c>
      <c r="DH317" s="66" t="str">
        <f t="shared" si="3970"/>
        <v/>
      </c>
      <c r="DI317" s="66" t="str">
        <f t="shared" si="3971"/>
        <v/>
      </c>
      <c r="DJ317" s="66" t="str">
        <f t="shared" si="3972"/>
        <v/>
      </c>
      <c r="DK317" s="66" t="str">
        <f t="shared" si="3973"/>
        <v/>
      </c>
      <c r="DL317" s="66" t="str">
        <f t="shared" si="3974"/>
        <v/>
      </c>
      <c r="DM317" s="66" t="str">
        <f t="shared" si="3975"/>
        <v/>
      </c>
      <c r="DN317" s="66" t="str">
        <f t="shared" si="3976"/>
        <v/>
      </c>
      <c r="DO317" s="66" t="str">
        <f t="shared" si="3977"/>
        <v/>
      </c>
      <c r="DP317" s="66" t="str">
        <f t="shared" si="3978"/>
        <v/>
      </c>
      <c r="DQ317" s="66" t="str">
        <f t="shared" si="3979"/>
        <v/>
      </c>
      <c r="DR317" s="66" t="str">
        <f t="shared" si="3980"/>
        <v/>
      </c>
      <c r="DS317" s="66" t="str">
        <f t="shared" si="3981"/>
        <v/>
      </c>
      <c r="DT317" s="66" t="str">
        <f t="shared" si="3982"/>
        <v/>
      </c>
      <c r="DU317" s="66" t="str">
        <f t="shared" si="3983"/>
        <v/>
      </c>
      <c r="DV317" s="66" t="str">
        <f t="shared" si="3984"/>
        <v/>
      </c>
      <c r="DW317" s="66" t="str">
        <f t="shared" si="3985"/>
        <v/>
      </c>
      <c r="DX317" s="66" t="str">
        <f t="shared" si="3986"/>
        <v/>
      </c>
      <c r="DY317" s="66" t="str">
        <f t="shared" si="3987"/>
        <v/>
      </c>
      <c r="DZ317" s="66" t="str">
        <f t="shared" si="3988"/>
        <v/>
      </c>
      <c r="EA317" s="66" t="str">
        <f t="shared" si="3989"/>
        <v/>
      </c>
      <c r="EB317" s="66" t="str">
        <f t="shared" si="3990"/>
        <v/>
      </c>
      <c r="EC317" s="66" t="str">
        <f t="shared" si="3991"/>
        <v/>
      </c>
      <c r="ED317" s="66" t="str">
        <f t="shared" si="3992"/>
        <v/>
      </c>
      <c r="EE317" s="66" t="str">
        <f t="shared" si="3993"/>
        <v/>
      </c>
      <c r="EF317" s="66" t="str">
        <f t="shared" si="3994"/>
        <v/>
      </c>
      <c r="EG317" s="66" t="str">
        <f t="shared" si="3995"/>
        <v/>
      </c>
      <c r="EH317" s="66" t="str">
        <f t="shared" si="3996"/>
        <v/>
      </c>
      <c r="EI317" s="66" t="str">
        <f t="shared" si="3997"/>
        <v/>
      </c>
      <c r="EJ317" s="66" t="str">
        <f t="shared" si="3998"/>
        <v/>
      </c>
      <c r="EK317" s="66" t="str">
        <f t="shared" si="3999"/>
        <v/>
      </c>
      <c r="EL317" s="66" t="str">
        <f t="shared" si="4000"/>
        <v/>
      </c>
      <c r="EM317" s="66" t="str">
        <f t="shared" si="4001"/>
        <v/>
      </c>
      <c r="EN317" s="66" t="str">
        <f t="shared" si="4002"/>
        <v/>
      </c>
      <c r="EO317" s="66" t="str">
        <f t="shared" si="4003"/>
        <v/>
      </c>
      <c r="EP317" s="66" t="str">
        <f t="shared" si="4004"/>
        <v/>
      </c>
      <c r="EQ317" s="66" t="str">
        <f t="shared" si="4005"/>
        <v/>
      </c>
      <c r="ER317" s="66" t="str">
        <f t="shared" si="4006"/>
        <v/>
      </c>
      <c r="ES317" s="66" t="str">
        <f t="shared" si="4007"/>
        <v/>
      </c>
      <c r="ET317" s="66" t="str">
        <f t="shared" si="4008"/>
        <v/>
      </c>
      <c r="EU317" s="66" t="str">
        <f t="shared" si="4009"/>
        <v/>
      </c>
      <c r="EV317" s="66" t="str">
        <f t="shared" si="4010"/>
        <v/>
      </c>
      <c r="EW317" s="66" t="str">
        <f t="shared" si="4011"/>
        <v/>
      </c>
      <c r="EX317" s="66" t="str">
        <f t="shared" si="4012"/>
        <v/>
      </c>
      <c r="EY317" s="66" t="str">
        <f t="shared" si="4013"/>
        <v/>
      </c>
      <c r="EZ317" s="66" t="str">
        <f t="shared" si="4014"/>
        <v/>
      </c>
      <c r="FA317" s="66" t="str">
        <f t="shared" si="4015"/>
        <v/>
      </c>
      <c r="FB317" s="66" t="str">
        <f t="shared" si="4016"/>
        <v/>
      </c>
      <c r="FC317" s="66" t="str">
        <f t="shared" si="4017"/>
        <v/>
      </c>
      <c r="FD317" s="66" t="str">
        <f t="shared" si="4018"/>
        <v/>
      </c>
      <c r="FE317" s="66" t="str">
        <f t="shared" si="4019"/>
        <v/>
      </c>
      <c r="FF317" s="66" t="str">
        <f t="shared" si="4020"/>
        <v/>
      </c>
      <c r="FG317" s="66" t="str">
        <f t="shared" si="4021"/>
        <v/>
      </c>
      <c r="FH317" s="66" t="str">
        <f t="shared" si="4022"/>
        <v/>
      </c>
      <c r="FI317" s="66" t="str">
        <f t="shared" si="4023"/>
        <v/>
      </c>
      <c r="FJ317" s="66" t="str">
        <f t="shared" si="4024"/>
        <v/>
      </c>
      <c r="FK317" s="66" t="str">
        <f t="shared" si="4025"/>
        <v/>
      </c>
      <c r="FL317" s="66" t="str">
        <f t="shared" si="4026"/>
        <v/>
      </c>
      <c r="FM317" s="66" t="str">
        <f t="shared" si="4027"/>
        <v/>
      </c>
      <c r="FN317" s="66" t="str">
        <f t="shared" si="4028"/>
        <v/>
      </c>
      <c r="FO317" s="66" t="str">
        <f t="shared" si="4029"/>
        <v/>
      </c>
      <c r="FP317" s="66" t="str">
        <f t="shared" si="4030"/>
        <v/>
      </c>
      <c r="FQ317" s="66" t="str">
        <f t="shared" si="4031"/>
        <v/>
      </c>
      <c r="FR317" s="66" t="str">
        <f t="shared" si="4032"/>
        <v/>
      </c>
      <c r="FS317" s="66" t="str">
        <f t="shared" si="4033"/>
        <v/>
      </c>
    </row>
    <row r="318" spans="92:175">
      <c r="CN318" s="36" t="str">
        <f t="shared" si="3958"/>
        <v>InitUnitState('',,,,,,,,,,)</v>
      </c>
      <c r="CO318" s="36" t="str">
        <f t="shared" si="3959"/>
        <v>InitUnitNormal('',,,,,,,,,,)</v>
      </c>
      <c r="CP318" s="36" t="str">
        <f t="shared" si="3960"/>
        <v>InitUnitMagic('',,,,,,,,,,)</v>
      </c>
      <c r="CQ318" s="36" t="str">
        <f t="shared" si="3961"/>
        <v>InitUnitAdd('',,,,,,,,,,)</v>
      </c>
      <c r="CR318" s="36" t="str">
        <f t="shared" si="3962"/>
        <v>InitEquipData('',,"",,,,,'','','','','','',"")</v>
      </c>
      <c r="CU318" s="19" t="str">
        <f t="shared" si="4034"/>
        <v>|n</v>
      </c>
      <c r="CW318" s="33"/>
      <c r="CX318" s="33"/>
      <c r="CY318" s="33"/>
      <c r="CZ318" s="33"/>
      <c r="DA318" s="33"/>
      <c r="DB318" s="66" t="str">
        <f t="shared" si="3964"/>
        <v/>
      </c>
      <c r="DC318" s="66" t="str">
        <f t="shared" si="3965"/>
        <v/>
      </c>
      <c r="DD318" s="66" t="str">
        <f t="shared" si="3966"/>
        <v/>
      </c>
      <c r="DE318" s="66" t="str">
        <f t="shared" si="3967"/>
        <v/>
      </c>
      <c r="DF318" s="66" t="str">
        <f t="shared" si="3968"/>
        <v/>
      </c>
      <c r="DG318" s="66" t="str">
        <f t="shared" si="3969"/>
        <v/>
      </c>
      <c r="DH318" s="66" t="str">
        <f t="shared" si="3970"/>
        <v/>
      </c>
      <c r="DI318" s="66" t="str">
        <f t="shared" si="3971"/>
        <v/>
      </c>
      <c r="DJ318" s="66" t="str">
        <f t="shared" si="3972"/>
        <v/>
      </c>
      <c r="DK318" s="66" t="str">
        <f t="shared" si="3973"/>
        <v/>
      </c>
      <c r="DL318" s="66" t="str">
        <f t="shared" si="3974"/>
        <v/>
      </c>
      <c r="DM318" s="66" t="str">
        <f t="shared" si="3975"/>
        <v/>
      </c>
      <c r="DN318" s="66" t="str">
        <f t="shared" si="3976"/>
        <v/>
      </c>
      <c r="DO318" s="66" t="str">
        <f t="shared" si="3977"/>
        <v/>
      </c>
      <c r="DP318" s="66" t="str">
        <f t="shared" si="3978"/>
        <v/>
      </c>
      <c r="DQ318" s="66" t="str">
        <f t="shared" si="3979"/>
        <v/>
      </c>
      <c r="DR318" s="66" t="str">
        <f t="shared" si="3980"/>
        <v/>
      </c>
      <c r="DS318" s="66" t="str">
        <f t="shared" si="3981"/>
        <v/>
      </c>
      <c r="DT318" s="66" t="str">
        <f t="shared" si="3982"/>
        <v/>
      </c>
      <c r="DU318" s="66" t="str">
        <f t="shared" si="3983"/>
        <v/>
      </c>
      <c r="DV318" s="66" t="str">
        <f t="shared" si="3984"/>
        <v/>
      </c>
      <c r="DW318" s="66" t="str">
        <f t="shared" si="3985"/>
        <v/>
      </c>
      <c r="DX318" s="66" t="str">
        <f t="shared" si="3986"/>
        <v/>
      </c>
      <c r="DY318" s="66" t="str">
        <f t="shared" si="3987"/>
        <v/>
      </c>
      <c r="DZ318" s="66" t="str">
        <f t="shared" si="3988"/>
        <v/>
      </c>
      <c r="EA318" s="66" t="str">
        <f t="shared" si="3989"/>
        <v/>
      </c>
      <c r="EB318" s="66" t="str">
        <f t="shared" si="3990"/>
        <v/>
      </c>
      <c r="EC318" s="66" t="str">
        <f t="shared" si="3991"/>
        <v/>
      </c>
      <c r="ED318" s="66" t="str">
        <f t="shared" si="3992"/>
        <v/>
      </c>
      <c r="EE318" s="66" t="str">
        <f t="shared" si="3993"/>
        <v/>
      </c>
      <c r="EF318" s="66" t="str">
        <f t="shared" si="3994"/>
        <v/>
      </c>
      <c r="EG318" s="66" t="str">
        <f t="shared" si="3995"/>
        <v/>
      </c>
      <c r="EH318" s="66" t="str">
        <f t="shared" si="3996"/>
        <v/>
      </c>
      <c r="EI318" s="66" t="str">
        <f t="shared" si="3997"/>
        <v/>
      </c>
      <c r="EJ318" s="66" t="str">
        <f t="shared" si="3998"/>
        <v/>
      </c>
      <c r="EK318" s="66" t="str">
        <f t="shared" si="3999"/>
        <v/>
      </c>
      <c r="EL318" s="66" t="str">
        <f t="shared" si="4000"/>
        <v/>
      </c>
      <c r="EM318" s="66" t="str">
        <f t="shared" si="4001"/>
        <v/>
      </c>
      <c r="EN318" s="66" t="str">
        <f t="shared" si="4002"/>
        <v/>
      </c>
      <c r="EO318" s="66" t="str">
        <f t="shared" si="4003"/>
        <v/>
      </c>
      <c r="EP318" s="66" t="str">
        <f t="shared" si="4004"/>
        <v/>
      </c>
      <c r="EQ318" s="66" t="str">
        <f t="shared" si="4005"/>
        <v/>
      </c>
      <c r="ER318" s="66" t="str">
        <f t="shared" si="4006"/>
        <v/>
      </c>
      <c r="ES318" s="66" t="str">
        <f t="shared" si="4007"/>
        <v/>
      </c>
      <c r="ET318" s="66" t="str">
        <f t="shared" si="4008"/>
        <v/>
      </c>
      <c r="EU318" s="66" t="str">
        <f t="shared" si="4009"/>
        <v/>
      </c>
      <c r="EV318" s="66" t="str">
        <f t="shared" si="4010"/>
        <v/>
      </c>
      <c r="EW318" s="66" t="str">
        <f t="shared" si="4011"/>
        <v/>
      </c>
      <c r="EX318" s="66" t="str">
        <f t="shared" si="4012"/>
        <v/>
      </c>
      <c r="EY318" s="66" t="str">
        <f t="shared" si="4013"/>
        <v/>
      </c>
      <c r="EZ318" s="66" t="str">
        <f t="shared" si="4014"/>
        <v/>
      </c>
      <c r="FA318" s="66" t="str">
        <f t="shared" si="4015"/>
        <v/>
      </c>
      <c r="FB318" s="66" t="str">
        <f t="shared" si="4016"/>
        <v/>
      </c>
      <c r="FC318" s="66" t="str">
        <f t="shared" si="4017"/>
        <v/>
      </c>
      <c r="FD318" s="66" t="str">
        <f t="shared" si="4018"/>
        <v/>
      </c>
      <c r="FE318" s="66" t="str">
        <f t="shared" si="4019"/>
        <v/>
      </c>
      <c r="FF318" s="66" t="str">
        <f t="shared" si="4020"/>
        <v/>
      </c>
      <c r="FG318" s="66" t="str">
        <f t="shared" si="4021"/>
        <v/>
      </c>
      <c r="FH318" s="66" t="str">
        <f t="shared" si="4022"/>
        <v/>
      </c>
      <c r="FI318" s="66" t="str">
        <f t="shared" si="4023"/>
        <v/>
      </c>
      <c r="FJ318" s="66" t="str">
        <f t="shared" si="4024"/>
        <v/>
      </c>
      <c r="FK318" s="66" t="str">
        <f t="shared" si="4025"/>
        <v/>
      </c>
      <c r="FL318" s="66" t="str">
        <f t="shared" si="4026"/>
        <v/>
      </c>
      <c r="FM318" s="66" t="str">
        <f t="shared" si="4027"/>
        <v/>
      </c>
      <c r="FN318" s="66" t="str">
        <f t="shared" si="4028"/>
        <v/>
      </c>
      <c r="FO318" s="66" t="str">
        <f t="shared" si="4029"/>
        <v/>
      </c>
      <c r="FP318" s="66" t="str">
        <f t="shared" si="4030"/>
        <v/>
      </c>
      <c r="FQ318" s="66" t="str">
        <f t="shared" si="4031"/>
        <v/>
      </c>
      <c r="FR318" s="66" t="str">
        <f t="shared" si="4032"/>
        <v/>
      </c>
      <c r="FS318" s="66" t="str">
        <f t="shared" si="4033"/>
        <v/>
      </c>
    </row>
    <row r="319" spans="92:175">
      <c r="CN319" s="36" t="str">
        <f t="shared" si="3958"/>
        <v>InitUnitState('',,,,,,,,,,)</v>
      </c>
      <c r="CO319" s="36" t="str">
        <f t="shared" si="3959"/>
        <v>InitUnitNormal('',,,,,,,,,,)</v>
      </c>
      <c r="CP319" s="36" t="str">
        <f t="shared" si="3960"/>
        <v>InitUnitMagic('',,,,,,,,,,)</v>
      </c>
      <c r="CQ319" s="36" t="str">
        <f t="shared" si="3961"/>
        <v>InitUnitAdd('',,,,,,,,,,)</v>
      </c>
      <c r="CR319" s="36" t="str">
        <f t="shared" si="3962"/>
        <v>InitEquipData('',,"",,,,,'','','','','','',"")</v>
      </c>
      <c r="CU319" s="19" t="str">
        <f t="shared" si="4034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75">
      <c r="CN320" s="36" t="str">
        <f t="shared" si="3958"/>
        <v>InitUnitState('',,,,,,,,,,)</v>
      </c>
      <c r="CO320" s="36" t="str">
        <f t="shared" si="3959"/>
        <v>InitUnitNormal('',,,,,,,,,,)</v>
      </c>
      <c r="CP320" s="36" t="str">
        <f t="shared" si="3960"/>
        <v>InitUnitMagic('',,,,,,,,,,)</v>
      </c>
      <c r="CQ320" s="36" t="str">
        <f t="shared" si="3961"/>
        <v>InitUnitAdd('',,,,,,,,,,)</v>
      </c>
      <c r="CR320" s="36" t="str">
        <f t="shared" si="3962"/>
        <v>InitEquipData('',,"",,,,,'','','','','','',"")</v>
      </c>
      <c r="CU320" s="19" t="str">
        <f t="shared" si="4034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958"/>
        <v>InitUnitState('',,,,,,,,,,)</v>
      </c>
      <c r="CO321" s="36" t="str">
        <f t="shared" si="3959"/>
        <v>InitUnitNormal('',,,,,,,,,,)</v>
      </c>
      <c r="CP321" s="36" t="str">
        <f t="shared" si="3960"/>
        <v>InitUnitMagic('',,,,,,,,,,)</v>
      </c>
      <c r="CQ321" s="36" t="str">
        <f t="shared" si="3961"/>
        <v>InitUnitAdd('',,,,,,,,,,)</v>
      </c>
      <c r="CR321" s="36" t="str">
        <f t="shared" si="3962"/>
        <v>InitEquipData('',,"",,,,,'','','','','','',"")</v>
      </c>
      <c r="CU321" s="19" t="str">
        <f t="shared" si="4034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958"/>
        <v>InitUnitState('',,,,,,,,,,)</v>
      </c>
      <c r="CO322" s="36" t="str">
        <f t="shared" si="3959"/>
        <v>InitUnitNormal('',,,,,,,,,,)</v>
      </c>
      <c r="CP322" s="36" t="str">
        <f t="shared" si="3960"/>
        <v>InitUnitMagic('',,,,,,,,,,)</v>
      </c>
      <c r="CQ322" s="36" t="str">
        <f t="shared" si="3961"/>
        <v>InitUnitAdd('',,,,,,,,,,)</v>
      </c>
      <c r="CR322" s="36" t="str">
        <f t="shared" si="3962"/>
        <v>InitEquipData('',,"",,,,,'','','','','','',"")</v>
      </c>
      <c r="CU322" s="19" t="str">
        <f t="shared" si="4034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8"/>
        <v>InitUnitState('',,,,,,,,,,)</v>
      </c>
      <c r="CO323" s="36" t="str">
        <f t="shared" si="3959"/>
        <v>InitUnitNormal('',,,,,,,,,,)</v>
      </c>
      <c r="CP323" s="36" t="str">
        <f t="shared" si="3960"/>
        <v>InitUnitMagic('',,,,,,,,,,)</v>
      </c>
      <c r="CQ323" s="36" t="str">
        <f t="shared" si="3961"/>
        <v>InitUnitAdd('',,,,,,,,,,)</v>
      </c>
      <c r="CR323" s="36" t="str">
        <f t="shared" si="3962"/>
        <v>InitEquipData('',,"",,,,,'','','','','','',"")</v>
      </c>
      <c r="CU323" s="19" t="str">
        <f t="shared" si="4034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8"/>
        <v>InitUnitState('',,,,,,,,,,)</v>
      </c>
      <c r="CO324" s="36" t="str">
        <f t="shared" si="3959"/>
        <v>InitUnitNormal('',,,,,,,,,,)</v>
      </c>
      <c r="CP324" s="36" t="str">
        <f t="shared" si="3960"/>
        <v>InitUnitMagic('',,,,,,,,,,)</v>
      </c>
      <c r="CQ324" s="36" t="str">
        <f t="shared" si="3961"/>
        <v>InitUnitAdd('',,,,,,,,,,)</v>
      </c>
      <c r="CR324" s="36" t="str">
        <f t="shared" si="3962"/>
        <v>InitEquipData('',,"",,,,,'','','','','','',"")</v>
      </c>
      <c r="CU324" s="19" t="str">
        <f t="shared" si="4034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8"/>
        <v>InitUnitState('',,,,,,,,,,)</v>
      </c>
      <c r="CO325" s="36" t="str">
        <f t="shared" si="3959"/>
        <v>InitUnitNormal('',,,,,,,,,,)</v>
      </c>
      <c r="CP325" s="36" t="str">
        <f t="shared" si="3960"/>
        <v>InitUnitMagic('',,,,,,,,,,)</v>
      </c>
      <c r="CQ325" s="36" t="str">
        <f t="shared" si="3961"/>
        <v>InitUnitAdd('',,,,,,,,,,)</v>
      </c>
      <c r="CR325" s="36" t="str">
        <f t="shared" si="3962"/>
        <v>InitEquipData('',,"",,,,,'','','','','','',"")</v>
      </c>
      <c r="CU325" s="19" t="str">
        <f t="shared" si="4034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8"/>
        <v>InitUnitState('',,,,,,,,,,)</v>
      </c>
      <c r="CO326" s="36" t="str">
        <f t="shared" si="3959"/>
        <v>InitUnitNormal('',,,,,,,,,,)</v>
      </c>
      <c r="CP326" s="36" t="str">
        <f t="shared" si="3960"/>
        <v>InitUnitMagic('',,,,,,,,,,)</v>
      </c>
      <c r="CQ326" s="36" t="str">
        <f t="shared" si="3961"/>
        <v>InitUnitAdd('',,,,,,,,,,)</v>
      </c>
      <c r="CR326" s="36" t="str">
        <f t="shared" si="3962"/>
        <v>InitEquipData('',,"",,,,,'','','','','','',"")</v>
      </c>
      <c r="CU326" s="19" t="str">
        <f t="shared" si="4034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8"/>
        <v>InitUnitState('',,,,,,,,,,)</v>
      </c>
      <c r="CO327" s="36" t="str">
        <f t="shared" si="3959"/>
        <v>InitUnitNormal('',,,,,,,,,,)</v>
      </c>
      <c r="CP327" s="36" t="str">
        <f t="shared" si="3960"/>
        <v>InitUnitMagic('',,,,,,,,,,)</v>
      </c>
      <c r="CQ327" s="36" t="str">
        <f t="shared" si="3961"/>
        <v>InitUnitAdd('',,,,,,,,,,)</v>
      </c>
      <c r="CR327" s="36" t="str">
        <f t="shared" si="3962"/>
        <v>InitEquipData('',,"",,,,,'','','','','','',"")</v>
      </c>
      <c r="CU327" s="19" t="str">
        <f t="shared" si="4034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8"/>
        <v>InitUnitState('',,,,,,,,,,)</v>
      </c>
      <c r="CO328" s="36" t="str">
        <f t="shared" si="3959"/>
        <v>InitUnitNormal('',,,,,,,,,,)</v>
      </c>
      <c r="CP328" s="36" t="str">
        <f t="shared" si="3960"/>
        <v>InitUnitMagic('',,,,,,,,,,)</v>
      </c>
      <c r="CQ328" s="36" t="str">
        <f t="shared" si="3961"/>
        <v>InitUnitAdd('',,,,,,,,,,)</v>
      </c>
      <c r="CR328" s="36" t="str">
        <f t="shared" si="3962"/>
        <v>InitEquipData('',,"",,,,,'','','','','','',"")</v>
      </c>
      <c r="CU328" s="19" t="str">
        <f t="shared" si="4034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58"/>
        <v>InitUnitState('',,,,,,,,,,)</v>
      </c>
      <c r="CO329" s="36" t="str">
        <f t="shared" si="3959"/>
        <v>InitUnitNormal('',,,,,,,,,,)</v>
      </c>
      <c r="CP329" s="36" t="str">
        <f t="shared" si="3960"/>
        <v>InitUnitMagic('',,,,,,,,,,)</v>
      </c>
      <c r="CQ329" s="36" t="str">
        <f t="shared" si="3961"/>
        <v>InitUnitAdd('',,,,,,,,,,)</v>
      </c>
      <c r="CR329" s="36" t="str">
        <f t="shared" si="3962"/>
        <v>InitEquipData('',,"",,,,,'','','','','','',"")</v>
      </c>
      <c r="CU329" s="19" t="str">
        <f t="shared" si="4034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ref="CN330:CN349" si="4035">"InitUnitState('"&amp;B330&amp;"',"&amp;V330&amp;","&amp;W330&amp;","&amp;X330&amp;","&amp;Y330&amp;","&amp;Z330&amp;","&amp;AA330&amp;","&amp;AB330&amp;","&amp;AC330&amp;","&amp;AD330&amp;","&amp;AE330&amp;")"</f>
        <v>InitUnitState('',,,,,,,,,,)</v>
      </c>
      <c r="CO330" s="36" t="str">
        <f t="shared" ref="CO330:CO349" si="4036">"InitUnitNormal('"&amp;B330&amp;"',"&amp;AF330&amp;","&amp;AG330&amp;","&amp;AH330&amp;","&amp;AI330&amp;","&amp;AJ330&amp;","&amp;AK330&amp;","&amp;AL330&amp;","&amp;AM330&amp;","&amp;AN330&amp;","&amp;AO330&amp;")"</f>
        <v>InitUnitNormal('',,,,,,,,,,)</v>
      </c>
      <c r="CP330" s="36" t="str">
        <f t="shared" ref="CP330:CP349" si="4037">"InitUnitMagic('"&amp;B330&amp;"',"&amp;AP330&amp;","&amp;AQ330&amp;","&amp;AR330&amp;","&amp;AS330&amp;","&amp;AT330&amp;","&amp;AU330&amp;","&amp;AV330&amp;","&amp;AW330&amp;","&amp;BI330&amp;","&amp;BJ330&amp;")"</f>
        <v>InitUnitMagic('',,,,,,,,,,)</v>
      </c>
      <c r="CQ330" s="36" t="str">
        <f t="shared" ref="CQ330:CQ349" si="4038">"InitUnitAdd('"&amp;B330&amp;"',"&amp;BK330&amp;","&amp;BL330&amp;","&amp;BM330&amp;","&amp;BN330&amp;","&amp;BO330&amp;","&amp;BP330&amp;","&amp;BQ330&amp;","&amp;BR330&amp;","&amp;BS330&amp;","&amp;BT330&amp;")"</f>
        <v>InitUnitAdd('',,,,,,,,,,)</v>
      </c>
      <c r="CR330" s="36" t="str">
        <f t="shared" ref="CR330:CR349" si="4039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InitEquipData('',,"",,,,,'','','','','','',"")</v>
      </c>
      <c r="CU330" s="19" t="str">
        <f t="shared" si="4034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4035"/>
        <v>InitUnitState('',,,,,,,,,,)</v>
      </c>
      <c r="CO331" s="36" t="str">
        <f t="shared" si="4036"/>
        <v>InitUnitNormal('',,,,,,,,,,)</v>
      </c>
      <c r="CP331" s="36" t="str">
        <f t="shared" si="4037"/>
        <v>InitUnitMagic('',,,,,,,,,,)</v>
      </c>
      <c r="CQ331" s="36" t="str">
        <f t="shared" si="4038"/>
        <v>InitUnitAdd('',,,,,,,,,,)</v>
      </c>
      <c r="CR331" s="36" t="str">
        <f t="shared" si="4039"/>
        <v>InitEquipData('',,"",,,,,'','','','','','',"")</v>
      </c>
      <c r="CU331" s="19" t="str">
        <f t="shared" si="4034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4035"/>
        <v>InitUnitState('',,,,,,,,,,)</v>
      </c>
      <c r="CO332" s="36" t="str">
        <f t="shared" si="4036"/>
        <v>InitUnitNormal('',,,,,,,,,,)</v>
      </c>
      <c r="CP332" s="36" t="str">
        <f t="shared" si="4037"/>
        <v>InitUnitMagic('',,,,,,,,,,)</v>
      </c>
      <c r="CQ332" s="36" t="str">
        <f t="shared" si="4038"/>
        <v>InitUnitAdd('',,,,,,,,,,)</v>
      </c>
      <c r="CR332" s="36" t="str">
        <f t="shared" si="4039"/>
        <v>InitEquipData('',,"",,,,,'','','','','','',"")</v>
      </c>
      <c r="CU332" s="19" t="str">
        <f t="shared" si="4034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4035"/>
        <v>InitUnitState('',,,,,,,,,,)</v>
      </c>
      <c r="CO333" s="36" t="str">
        <f t="shared" si="4036"/>
        <v>InitUnitNormal('',,,,,,,,,,)</v>
      </c>
      <c r="CP333" s="36" t="str">
        <f t="shared" si="4037"/>
        <v>InitUnitMagic('',,,,,,,,,,)</v>
      </c>
      <c r="CQ333" s="36" t="str">
        <f t="shared" si="4038"/>
        <v>InitUnitAdd('',,,,,,,,,,)</v>
      </c>
      <c r="CR333" s="36" t="str">
        <f t="shared" si="4039"/>
        <v>InitEquipData('',,"",,,,,'','','','','','',"")</v>
      </c>
      <c r="CU333" s="19" t="str">
        <f t="shared" si="4034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4035"/>
        <v>InitUnitState('',,,,,,,,,,)</v>
      </c>
      <c r="CO334" s="36" t="str">
        <f t="shared" si="4036"/>
        <v>InitUnitNormal('',,,,,,,,,,)</v>
      </c>
      <c r="CP334" s="36" t="str">
        <f t="shared" si="4037"/>
        <v>InitUnitMagic('',,,,,,,,,,)</v>
      </c>
      <c r="CQ334" s="36" t="str">
        <f t="shared" si="4038"/>
        <v>InitUnitAdd('',,,,,,,,,,)</v>
      </c>
      <c r="CR334" s="36" t="str">
        <f t="shared" si="4039"/>
        <v>InitEquipData('',,"",,,,,'','','','','','',"")</v>
      </c>
      <c r="CU334" s="19" t="str">
        <f t="shared" si="4034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4035"/>
        <v>InitUnitState('',,,,,,,,,,)</v>
      </c>
      <c r="CO335" s="36" t="str">
        <f t="shared" si="4036"/>
        <v>InitUnitNormal('',,,,,,,,,,)</v>
      </c>
      <c r="CP335" s="36" t="str">
        <f t="shared" si="4037"/>
        <v>InitUnitMagic('',,,,,,,,,,)</v>
      </c>
      <c r="CQ335" s="36" t="str">
        <f t="shared" si="4038"/>
        <v>InitUnitAdd('',,,,,,,,,,)</v>
      </c>
      <c r="CR335" s="36" t="str">
        <f t="shared" si="4039"/>
        <v>InitEquipData('',,"",,,,,'','','','','','',"")</v>
      </c>
      <c r="CU335" s="19" t="str">
        <f t="shared" si="4034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4035"/>
        <v>InitUnitState('',,,,,,,,,,)</v>
      </c>
      <c r="CO336" s="36" t="str">
        <f t="shared" si="4036"/>
        <v>InitUnitNormal('',,,,,,,,,,)</v>
      </c>
      <c r="CP336" s="36" t="str">
        <f t="shared" si="4037"/>
        <v>InitUnitMagic('',,,,,,,,,,)</v>
      </c>
      <c r="CQ336" s="36" t="str">
        <f t="shared" si="4038"/>
        <v>InitUnitAdd('',,,,,,,,,,)</v>
      </c>
      <c r="CR336" s="36" t="str">
        <f t="shared" si="4039"/>
        <v>InitEquipData('',,"",,,,,'','','','','','',"")</v>
      </c>
      <c r="CU336" s="19" t="str">
        <f t="shared" si="4034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4035"/>
        <v>InitUnitState('',,,,,,,,,,)</v>
      </c>
      <c r="CO337" s="36" t="str">
        <f t="shared" si="4036"/>
        <v>InitUnitNormal('',,,,,,,,,,)</v>
      </c>
      <c r="CP337" s="36" t="str">
        <f t="shared" si="4037"/>
        <v>InitUnitMagic('',,,,,,,,,,)</v>
      </c>
      <c r="CQ337" s="36" t="str">
        <f t="shared" si="4038"/>
        <v>InitUnitAdd('',,,,,,,,,,)</v>
      </c>
      <c r="CR337" s="36" t="str">
        <f t="shared" si="4039"/>
        <v>InitEquipData('',,"",,,,,'','','','','','',"")</v>
      </c>
      <c r="CU337" s="19" t="str">
        <f t="shared" si="4034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4035"/>
        <v>InitUnitState('',,,,,,,,,,)</v>
      </c>
      <c r="CO338" s="36" t="str">
        <f t="shared" si="4036"/>
        <v>InitUnitNormal('',,,,,,,,,,)</v>
      </c>
      <c r="CP338" s="36" t="str">
        <f t="shared" si="4037"/>
        <v>InitUnitMagic('',,,,,,,,,,)</v>
      </c>
      <c r="CQ338" s="36" t="str">
        <f t="shared" si="4038"/>
        <v>InitUnitAdd('',,,,,,,,,,)</v>
      </c>
      <c r="CR338" s="36" t="str">
        <f t="shared" si="4039"/>
        <v>InitEquipData('',,"",,,,,'','','','','','',"")</v>
      </c>
      <c r="CU338" s="19" t="str">
        <f t="shared" si="4034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4035"/>
        <v>InitUnitState('',,,,,,,,,,)</v>
      </c>
      <c r="CO339" s="36" t="str">
        <f t="shared" si="4036"/>
        <v>InitUnitNormal('',,,,,,,,,,)</v>
      </c>
      <c r="CP339" s="36" t="str">
        <f t="shared" si="4037"/>
        <v>InitUnitMagic('',,,,,,,,,,)</v>
      </c>
      <c r="CQ339" s="36" t="str">
        <f t="shared" si="4038"/>
        <v>InitUnitAdd('',,,,,,,,,,)</v>
      </c>
      <c r="CR339" s="36" t="str">
        <f t="shared" si="4039"/>
        <v>InitEquipData('',,"",,,,,'','','','','','',"")</v>
      </c>
      <c r="CU339" s="19" t="str">
        <f t="shared" si="4034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4035"/>
        <v>InitUnitState('',,,,,,,,,,)</v>
      </c>
      <c r="CO340" s="36" t="str">
        <f t="shared" si="4036"/>
        <v>InitUnitNormal('',,,,,,,,,,)</v>
      </c>
      <c r="CP340" s="36" t="str">
        <f t="shared" si="4037"/>
        <v>InitUnitMagic('',,,,,,,,,,)</v>
      </c>
      <c r="CQ340" s="36" t="str">
        <f t="shared" si="4038"/>
        <v>InitUnitAdd('',,,,,,,,,,)</v>
      </c>
      <c r="CR340" s="36" t="str">
        <f t="shared" si="4039"/>
        <v>InitEquipData('',,"",,,,,'','','','','','',"")</v>
      </c>
      <c r="CU340" s="19" t="str">
        <f t="shared" si="4034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4035"/>
        <v>InitUnitState('',,,,,,,,,,)</v>
      </c>
      <c r="CO341" s="36" t="str">
        <f t="shared" si="4036"/>
        <v>InitUnitNormal('',,,,,,,,,,)</v>
      </c>
      <c r="CP341" s="36" t="str">
        <f t="shared" si="4037"/>
        <v>InitUnitMagic('',,,,,,,,,,)</v>
      </c>
      <c r="CQ341" s="36" t="str">
        <f t="shared" si="4038"/>
        <v>InitUnitAdd('',,,,,,,,,,)</v>
      </c>
      <c r="CR341" s="36" t="str">
        <f t="shared" si="4039"/>
        <v>InitEquipData('',,"",,,,,'','','','','','',"")</v>
      </c>
      <c r="CU341" s="19" t="str">
        <f t="shared" si="4034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  <row r="342" spans="92:120">
      <c r="CN342" s="36" t="str">
        <f t="shared" si="4035"/>
        <v>InitUnitState('',,,,,,,,,,)</v>
      </c>
      <c r="CO342" s="36" t="str">
        <f t="shared" si="4036"/>
        <v>InitUnitNormal('',,,,,,,,,,)</v>
      </c>
      <c r="CP342" s="36" t="str">
        <f t="shared" si="4037"/>
        <v>InitUnitMagic('',,,,,,,,,,)</v>
      </c>
      <c r="CQ342" s="36" t="str">
        <f t="shared" si="4038"/>
        <v>InitUnitAdd('',,,,,,,,,,)</v>
      </c>
      <c r="CR342" s="36" t="str">
        <f t="shared" si="4039"/>
        <v>InitEquipData('',,"",,,,,'','','','','','',"")</v>
      </c>
      <c r="CU342" s="19" t="str">
        <f t="shared" si="4034"/>
        <v>|n</v>
      </c>
      <c r="DB342" s="66" t="str">
        <f>IF(V342="","","|n"&amp;#REF!&amp;"+"&amp;V342)</f>
        <v/>
      </c>
      <c r="DC342" s="66" t="str">
        <f>IF(W342="","","|n"&amp;#REF!&amp;"+"&amp;W342)</f>
        <v/>
      </c>
      <c r="DD342" s="66" t="str">
        <f>IF(X342="","","|n"&amp;#REF!&amp;"+"&amp;X342)</f>
        <v/>
      </c>
      <c r="DE342" s="66" t="str">
        <f>IF(Y342="","","|n"&amp;#REF!&amp;"+"&amp;Y342)</f>
        <v/>
      </c>
      <c r="DF342" s="66" t="str">
        <f>IF(Z342="","","|n"&amp;#REF!&amp;"+"&amp;Z342)</f>
        <v/>
      </c>
      <c r="DG342" s="66" t="str">
        <f>IF(AA342="","","|n"&amp;#REF!&amp;"+"&amp;AA342)</f>
        <v/>
      </c>
      <c r="DH342" s="66" t="str">
        <f>IF(AB342="","","|n"&amp;#REF!&amp;"+"&amp;AB342)</f>
        <v/>
      </c>
      <c r="DI342" s="66" t="str">
        <f>IF(AC342="","","|n"&amp;#REF!&amp;"+"&amp;AC342&amp;"%")</f>
        <v/>
      </c>
      <c r="DJ342" s="66" t="str">
        <f>IF(AD342="","","|n"&amp;#REF!&amp;"+"&amp;AD342)</f>
        <v/>
      </c>
      <c r="DK342" s="66" t="str">
        <f>IF(AE342="","","|n"&amp;#REF!&amp;"+"&amp;AE342)</f>
        <v/>
      </c>
      <c r="DL342" s="66" t="str">
        <f>IF(AF342="","","|n"&amp;#REF!&amp;"+"&amp;AF342)</f>
        <v/>
      </c>
      <c r="DM342" s="66" t="str">
        <f>IF(AG342="","","|n"&amp;#REF!&amp;"+"&amp;AG342&amp;"%")</f>
        <v/>
      </c>
      <c r="DN342" s="66" t="str">
        <f>IF(AH342="","","|n"&amp;#REF!&amp;"+"&amp;AH342)</f>
        <v/>
      </c>
      <c r="DO342" s="66" t="str">
        <f>IF(AI342="","","|n"&amp;#REF!&amp;"+"&amp;AI342)</f>
        <v/>
      </c>
      <c r="DP342" s="66" t="str">
        <f>IF(AJ342="","","|n"&amp;#REF!&amp;"+"&amp;AJ342)</f>
        <v/>
      </c>
    </row>
    <row r="343" spans="92:120">
      <c r="CN343" s="36" t="str">
        <f t="shared" si="4035"/>
        <v>InitUnitState('',,,,,,,,,,)</v>
      </c>
      <c r="CO343" s="36" t="str">
        <f t="shared" si="4036"/>
        <v>InitUnitNormal('',,,,,,,,,,)</v>
      </c>
      <c r="CP343" s="36" t="str">
        <f t="shared" si="4037"/>
        <v>InitUnitMagic('',,,,,,,,,,)</v>
      </c>
      <c r="CQ343" s="36" t="str">
        <f t="shared" si="4038"/>
        <v>InitUnitAdd('',,,,,,,,,,)</v>
      </c>
      <c r="CR343" s="36" t="str">
        <f t="shared" si="4039"/>
        <v>InitEquipData('',,"",,,,,'','','','','','',"")</v>
      </c>
      <c r="CU343" s="19" t="str">
        <f t="shared" si="4034"/>
        <v>|n</v>
      </c>
      <c r="DB343" s="66" t="str">
        <f>IF(V343="","","|n"&amp;#REF!&amp;"+"&amp;V343)</f>
        <v/>
      </c>
      <c r="DC343" s="66" t="str">
        <f>IF(W343="","","|n"&amp;#REF!&amp;"+"&amp;W343)</f>
        <v/>
      </c>
      <c r="DD343" s="66" t="str">
        <f>IF(X343="","","|n"&amp;#REF!&amp;"+"&amp;X343)</f>
        <v/>
      </c>
      <c r="DE343" s="66" t="str">
        <f>IF(Y343="","","|n"&amp;#REF!&amp;"+"&amp;Y343)</f>
        <v/>
      </c>
      <c r="DF343" s="66" t="str">
        <f>IF(Z343="","","|n"&amp;#REF!&amp;"+"&amp;Z343)</f>
        <v/>
      </c>
      <c r="DG343" s="66" t="str">
        <f>IF(AA343="","","|n"&amp;#REF!&amp;"+"&amp;AA343)</f>
        <v/>
      </c>
      <c r="DH343" s="66" t="str">
        <f>IF(AB343="","","|n"&amp;#REF!&amp;"+"&amp;AB343)</f>
        <v/>
      </c>
      <c r="DI343" s="66" t="str">
        <f>IF(AC343="","","|n"&amp;#REF!&amp;"+"&amp;AC343&amp;"%")</f>
        <v/>
      </c>
      <c r="DJ343" s="66" t="str">
        <f>IF(AD343="","","|n"&amp;#REF!&amp;"+"&amp;AD343)</f>
        <v/>
      </c>
      <c r="DK343" s="66" t="str">
        <f>IF(AE343="","","|n"&amp;#REF!&amp;"+"&amp;AE343)</f>
        <v/>
      </c>
      <c r="DL343" s="66" t="str">
        <f>IF(AF343="","","|n"&amp;#REF!&amp;"+"&amp;AF343)</f>
        <v/>
      </c>
      <c r="DM343" s="66" t="str">
        <f>IF(AG343="","","|n"&amp;#REF!&amp;"+"&amp;AG343&amp;"%")</f>
        <v/>
      </c>
      <c r="DN343" s="66" t="str">
        <f>IF(AH343="","","|n"&amp;#REF!&amp;"+"&amp;AH343)</f>
        <v/>
      </c>
      <c r="DO343" s="66" t="str">
        <f>IF(AI343="","","|n"&amp;#REF!&amp;"+"&amp;AI343)</f>
        <v/>
      </c>
      <c r="DP343" s="66" t="str">
        <f>IF(AJ343="","","|n"&amp;#REF!&amp;"+"&amp;AJ343)</f>
        <v/>
      </c>
    </row>
    <row r="344" spans="92:120">
      <c r="CN344" s="36" t="str">
        <f t="shared" si="4035"/>
        <v>InitUnitState('',,,,,,,,,,)</v>
      </c>
      <c r="CO344" s="36" t="str">
        <f t="shared" si="4036"/>
        <v>InitUnitNormal('',,,,,,,,,,)</v>
      </c>
      <c r="CP344" s="36" t="str">
        <f t="shared" si="4037"/>
        <v>InitUnitMagic('',,,,,,,,,,)</v>
      </c>
      <c r="CQ344" s="36" t="str">
        <f t="shared" si="4038"/>
        <v>InitUnitAdd('',,,,,,,,,,)</v>
      </c>
      <c r="CR344" s="36" t="str">
        <f t="shared" si="4039"/>
        <v>InitEquipData('',,"",,,,,'','','','','','',"")</v>
      </c>
      <c r="CU344" s="19" t="str">
        <f t="shared" si="4034"/>
        <v>|n</v>
      </c>
      <c r="DB344" s="66" t="str">
        <f>IF(V344="","","|n"&amp;#REF!&amp;"+"&amp;V344)</f>
        <v/>
      </c>
      <c r="DC344" s="66" t="str">
        <f>IF(W344="","","|n"&amp;#REF!&amp;"+"&amp;W344)</f>
        <v/>
      </c>
      <c r="DD344" s="66" t="str">
        <f>IF(X344="","","|n"&amp;#REF!&amp;"+"&amp;X344)</f>
        <v/>
      </c>
      <c r="DE344" s="66" t="str">
        <f>IF(Y344="","","|n"&amp;#REF!&amp;"+"&amp;Y344)</f>
        <v/>
      </c>
      <c r="DF344" s="66" t="str">
        <f>IF(Z344="","","|n"&amp;#REF!&amp;"+"&amp;Z344)</f>
        <v/>
      </c>
      <c r="DG344" s="66" t="str">
        <f>IF(AA344="","","|n"&amp;#REF!&amp;"+"&amp;AA344)</f>
        <v/>
      </c>
      <c r="DH344" s="66" t="str">
        <f>IF(AB344="","","|n"&amp;#REF!&amp;"+"&amp;AB344)</f>
        <v/>
      </c>
      <c r="DI344" s="66" t="str">
        <f>IF(AC344="","","|n"&amp;#REF!&amp;"+"&amp;AC344&amp;"%")</f>
        <v/>
      </c>
      <c r="DJ344" s="66" t="str">
        <f>IF(AD344="","","|n"&amp;#REF!&amp;"+"&amp;AD344)</f>
        <v/>
      </c>
      <c r="DK344" s="66" t="str">
        <f>IF(AE344="","","|n"&amp;#REF!&amp;"+"&amp;AE344)</f>
        <v/>
      </c>
      <c r="DL344" s="66" t="str">
        <f>IF(AF344="","","|n"&amp;#REF!&amp;"+"&amp;AF344)</f>
        <v/>
      </c>
      <c r="DM344" s="66" t="str">
        <f>IF(AG344="","","|n"&amp;#REF!&amp;"+"&amp;AG344&amp;"%")</f>
        <v/>
      </c>
      <c r="DN344" s="66" t="str">
        <f>IF(AH344="","","|n"&amp;#REF!&amp;"+"&amp;AH344)</f>
        <v/>
      </c>
      <c r="DO344" s="66" t="str">
        <f>IF(AI344="","","|n"&amp;#REF!&amp;"+"&amp;AI344)</f>
        <v/>
      </c>
      <c r="DP344" s="66" t="str">
        <f>IF(AJ344="","","|n"&amp;#REF!&amp;"+"&amp;AJ344)</f>
        <v/>
      </c>
    </row>
    <row r="345" spans="92:120">
      <c r="CN345" s="36" t="str">
        <f t="shared" si="4035"/>
        <v>InitUnitState('',,,,,,,,,,)</v>
      </c>
      <c r="CO345" s="36" t="str">
        <f t="shared" si="4036"/>
        <v>InitUnitNormal('',,,,,,,,,,)</v>
      </c>
      <c r="CP345" s="36" t="str">
        <f t="shared" si="4037"/>
        <v>InitUnitMagic('',,,,,,,,,,)</v>
      </c>
      <c r="CQ345" s="36" t="str">
        <f t="shared" si="4038"/>
        <v>InitUnitAdd('',,,,,,,,,,)</v>
      </c>
      <c r="CR345" s="36" t="str">
        <f t="shared" si="4039"/>
        <v>InitEquipData('',,"",,,,,'','','','','','',"")</v>
      </c>
      <c r="CU345" s="19" t="str">
        <f t="shared" si="4034"/>
        <v>|n</v>
      </c>
      <c r="DB345" s="66" t="str">
        <f>IF(V345="","","|n"&amp;#REF!&amp;"+"&amp;V345)</f>
        <v/>
      </c>
      <c r="DC345" s="66" t="str">
        <f>IF(W345="","","|n"&amp;#REF!&amp;"+"&amp;W345)</f>
        <v/>
      </c>
      <c r="DD345" s="66" t="str">
        <f>IF(X345="","","|n"&amp;#REF!&amp;"+"&amp;X345)</f>
        <v/>
      </c>
      <c r="DE345" s="66" t="str">
        <f>IF(Y345="","","|n"&amp;#REF!&amp;"+"&amp;Y345)</f>
        <v/>
      </c>
      <c r="DF345" s="66" t="str">
        <f>IF(Z345="","","|n"&amp;#REF!&amp;"+"&amp;Z345)</f>
        <v/>
      </c>
      <c r="DG345" s="66" t="str">
        <f>IF(AA345="","","|n"&amp;#REF!&amp;"+"&amp;AA345)</f>
        <v/>
      </c>
      <c r="DH345" s="66" t="str">
        <f>IF(AB345="","","|n"&amp;#REF!&amp;"+"&amp;AB345)</f>
        <v/>
      </c>
      <c r="DI345" s="66" t="str">
        <f>IF(AC345="","","|n"&amp;#REF!&amp;"+"&amp;AC345&amp;"%")</f>
        <v/>
      </c>
      <c r="DJ345" s="66" t="str">
        <f>IF(AD345="","","|n"&amp;#REF!&amp;"+"&amp;AD345)</f>
        <v/>
      </c>
      <c r="DK345" s="66" t="str">
        <f>IF(AE345="","","|n"&amp;#REF!&amp;"+"&amp;AE345)</f>
        <v/>
      </c>
      <c r="DL345" s="66" t="str">
        <f>IF(AF345="","","|n"&amp;#REF!&amp;"+"&amp;AF345)</f>
        <v/>
      </c>
      <c r="DM345" s="66" t="str">
        <f>IF(AG345="","","|n"&amp;#REF!&amp;"+"&amp;AG345&amp;"%")</f>
        <v/>
      </c>
      <c r="DN345" s="66" t="str">
        <f>IF(AH345="","","|n"&amp;#REF!&amp;"+"&amp;AH345)</f>
        <v/>
      </c>
      <c r="DO345" s="66" t="str">
        <f>IF(AI345="","","|n"&amp;#REF!&amp;"+"&amp;AI345)</f>
        <v/>
      </c>
      <c r="DP345" s="66" t="str">
        <f>IF(AJ345="","","|n"&amp;#REF!&amp;"+"&amp;AJ345)</f>
        <v/>
      </c>
    </row>
    <row r="346" spans="92:120">
      <c r="CN346" s="36" t="str">
        <f t="shared" si="4035"/>
        <v>InitUnitState('',,,,,,,,,,)</v>
      </c>
      <c r="CO346" s="36" t="str">
        <f t="shared" si="4036"/>
        <v>InitUnitNormal('',,,,,,,,,,)</v>
      </c>
      <c r="CP346" s="36" t="str">
        <f t="shared" si="4037"/>
        <v>InitUnitMagic('',,,,,,,,,,)</v>
      </c>
      <c r="CQ346" s="36" t="str">
        <f t="shared" si="4038"/>
        <v>InitUnitAdd('',,,,,,,,,,)</v>
      </c>
      <c r="CR346" s="36" t="str">
        <f t="shared" si="4039"/>
        <v>InitEquipData('',,"",,,,,'','','','','','',"")</v>
      </c>
      <c r="CU346" s="19" t="str">
        <f t="shared" si="4034"/>
        <v>|n</v>
      </c>
      <c r="DB346" s="66" t="str">
        <f>IF(V346="","","|n"&amp;#REF!&amp;"+"&amp;V346)</f>
        <v/>
      </c>
      <c r="DC346" s="66" t="str">
        <f>IF(W346="","","|n"&amp;#REF!&amp;"+"&amp;W346)</f>
        <v/>
      </c>
      <c r="DD346" s="66" t="str">
        <f>IF(X346="","","|n"&amp;#REF!&amp;"+"&amp;X346)</f>
        <v/>
      </c>
      <c r="DE346" s="66" t="str">
        <f>IF(Y346="","","|n"&amp;#REF!&amp;"+"&amp;Y346)</f>
        <v/>
      </c>
      <c r="DF346" s="66" t="str">
        <f>IF(Z346="","","|n"&amp;#REF!&amp;"+"&amp;Z346)</f>
        <v/>
      </c>
      <c r="DG346" s="66" t="str">
        <f>IF(AA346="","","|n"&amp;#REF!&amp;"+"&amp;AA346)</f>
        <v/>
      </c>
      <c r="DH346" s="66" t="str">
        <f>IF(AB346="","","|n"&amp;#REF!&amp;"+"&amp;AB346)</f>
        <v/>
      </c>
      <c r="DI346" s="66" t="str">
        <f>IF(AC346="","","|n"&amp;#REF!&amp;"+"&amp;AC346&amp;"%")</f>
        <v/>
      </c>
      <c r="DJ346" s="66" t="str">
        <f>IF(AD346="","","|n"&amp;#REF!&amp;"+"&amp;AD346)</f>
        <v/>
      </c>
      <c r="DK346" s="66" t="str">
        <f>IF(AE346="","","|n"&amp;#REF!&amp;"+"&amp;AE346)</f>
        <v/>
      </c>
      <c r="DL346" s="66" t="str">
        <f>IF(AF346="","","|n"&amp;#REF!&amp;"+"&amp;AF346)</f>
        <v/>
      </c>
      <c r="DM346" s="66" t="str">
        <f>IF(AG346="","","|n"&amp;#REF!&amp;"+"&amp;AG346&amp;"%")</f>
        <v/>
      </c>
      <c r="DN346" s="66" t="str">
        <f>IF(AH346="","","|n"&amp;#REF!&amp;"+"&amp;AH346)</f>
        <v/>
      </c>
      <c r="DO346" s="66" t="str">
        <f>IF(AI346="","","|n"&amp;#REF!&amp;"+"&amp;AI346)</f>
        <v/>
      </c>
      <c r="DP346" s="66" t="str">
        <f>IF(AJ346="","","|n"&amp;#REF!&amp;"+"&amp;AJ346)</f>
        <v/>
      </c>
    </row>
    <row r="347" spans="92:120">
      <c r="CN347" s="36" t="str">
        <f t="shared" si="4035"/>
        <v>InitUnitState('',,,,,,,,,,)</v>
      </c>
      <c r="CO347" s="36" t="str">
        <f t="shared" si="4036"/>
        <v>InitUnitNormal('',,,,,,,,,,)</v>
      </c>
      <c r="CP347" s="36" t="str">
        <f t="shared" si="4037"/>
        <v>InitUnitMagic('',,,,,,,,,,)</v>
      </c>
      <c r="CQ347" s="36" t="str">
        <f t="shared" si="4038"/>
        <v>InitUnitAdd('',,,,,,,,,,)</v>
      </c>
      <c r="CR347" s="36" t="str">
        <f t="shared" si="4039"/>
        <v>InitEquipData('',,"",,,,,'','','','','','',"")</v>
      </c>
      <c r="CU347" s="19" t="str">
        <f t="shared" si="4034"/>
        <v>|n</v>
      </c>
      <c r="DB347" s="66" t="str">
        <f>IF(V347="","","|n"&amp;#REF!&amp;"+"&amp;V347)</f>
        <v/>
      </c>
      <c r="DC347" s="66" t="str">
        <f>IF(W347="","","|n"&amp;#REF!&amp;"+"&amp;W347)</f>
        <v/>
      </c>
      <c r="DD347" s="66" t="str">
        <f>IF(X347="","","|n"&amp;#REF!&amp;"+"&amp;X347)</f>
        <v/>
      </c>
      <c r="DE347" s="66" t="str">
        <f>IF(Y347="","","|n"&amp;#REF!&amp;"+"&amp;Y347)</f>
        <v/>
      </c>
      <c r="DF347" s="66" t="str">
        <f>IF(Z347="","","|n"&amp;#REF!&amp;"+"&amp;Z347)</f>
        <v/>
      </c>
      <c r="DG347" s="66" t="str">
        <f>IF(AA347="","","|n"&amp;#REF!&amp;"+"&amp;AA347)</f>
        <v/>
      </c>
      <c r="DH347" s="66" t="str">
        <f>IF(AB347="","","|n"&amp;#REF!&amp;"+"&amp;AB347)</f>
        <v/>
      </c>
      <c r="DI347" s="66" t="str">
        <f>IF(AC347="","","|n"&amp;#REF!&amp;"+"&amp;AC347&amp;"%")</f>
        <v/>
      </c>
      <c r="DJ347" s="66" t="str">
        <f>IF(AD347="","","|n"&amp;#REF!&amp;"+"&amp;AD347)</f>
        <v/>
      </c>
      <c r="DK347" s="66" t="str">
        <f>IF(AE347="","","|n"&amp;#REF!&amp;"+"&amp;AE347)</f>
        <v/>
      </c>
      <c r="DL347" s="66" t="str">
        <f>IF(AF347="","","|n"&amp;#REF!&amp;"+"&amp;AF347)</f>
        <v/>
      </c>
      <c r="DM347" s="66" t="str">
        <f>IF(AG347="","","|n"&amp;#REF!&amp;"+"&amp;AG347&amp;"%")</f>
        <v/>
      </c>
      <c r="DN347" s="66" t="str">
        <f>IF(AH347="","","|n"&amp;#REF!&amp;"+"&amp;AH347)</f>
        <v/>
      </c>
      <c r="DO347" s="66" t="str">
        <f>IF(AI347="","","|n"&amp;#REF!&amp;"+"&amp;AI347)</f>
        <v/>
      </c>
      <c r="DP347" s="66" t="str">
        <f>IF(AJ347="","","|n"&amp;#REF!&amp;"+"&amp;AJ347)</f>
        <v/>
      </c>
    </row>
    <row r="348" spans="92:120">
      <c r="CN348" s="36" t="str">
        <f t="shared" si="4035"/>
        <v>InitUnitState('',,,,,,,,,,)</v>
      </c>
      <c r="CO348" s="36" t="str">
        <f t="shared" si="4036"/>
        <v>InitUnitNormal('',,,,,,,,,,)</v>
      </c>
      <c r="CP348" s="36" t="str">
        <f t="shared" si="4037"/>
        <v>InitUnitMagic('',,,,,,,,,,)</v>
      </c>
      <c r="CQ348" s="36" t="str">
        <f t="shared" si="4038"/>
        <v>InitUnitAdd('',,,,,,,,,,)</v>
      </c>
      <c r="CR348" s="36" t="str">
        <f t="shared" si="4039"/>
        <v>InitEquipData('',,"",,,,,'','','','','','',"")</v>
      </c>
      <c r="CU348" s="19" t="str">
        <f t="shared" si="4034"/>
        <v>|n</v>
      </c>
      <c r="DB348" s="66" t="str">
        <f>IF(V348="","","|n"&amp;#REF!&amp;"+"&amp;V348)</f>
        <v/>
      </c>
      <c r="DC348" s="66" t="str">
        <f>IF(W348="","","|n"&amp;#REF!&amp;"+"&amp;W348)</f>
        <v/>
      </c>
      <c r="DD348" s="66" t="str">
        <f>IF(X348="","","|n"&amp;#REF!&amp;"+"&amp;X348)</f>
        <v/>
      </c>
      <c r="DE348" s="66" t="str">
        <f>IF(Y348="","","|n"&amp;#REF!&amp;"+"&amp;Y348)</f>
        <v/>
      </c>
      <c r="DF348" s="66" t="str">
        <f>IF(Z348="","","|n"&amp;#REF!&amp;"+"&amp;Z348)</f>
        <v/>
      </c>
      <c r="DG348" s="66" t="str">
        <f>IF(AA348="","","|n"&amp;#REF!&amp;"+"&amp;AA348)</f>
        <v/>
      </c>
      <c r="DH348" s="66" t="str">
        <f>IF(AB348="","","|n"&amp;#REF!&amp;"+"&amp;AB348)</f>
        <v/>
      </c>
      <c r="DI348" s="66" t="str">
        <f>IF(AC348="","","|n"&amp;#REF!&amp;"+"&amp;AC348&amp;"%")</f>
        <v/>
      </c>
      <c r="DJ348" s="66" t="str">
        <f>IF(AD348="","","|n"&amp;#REF!&amp;"+"&amp;AD348)</f>
        <v/>
      </c>
      <c r="DK348" s="66" t="str">
        <f>IF(AE348="","","|n"&amp;#REF!&amp;"+"&amp;AE348)</f>
        <v/>
      </c>
      <c r="DL348" s="66" t="str">
        <f>IF(AF348="","","|n"&amp;#REF!&amp;"+"&amp;AF348)</f>
        <v/>
      </c>
      <c r="DM348" s="66" t="str">
        <f>IF(AG348="","","|n"&amp;#REF!&amp;"+"&amp;AG348&amp;"%")</f>
        <v/>
      </c>
      <c r="DN348" s="66" t="str">
        <f>IF(AH348="","","|n"&amp;#REF!&amp;"+"&amp;AH348)</f>
        <v/>
      </c>
      <c r="DO348" s="66" t="str">
        <f>IF(AI348="","","|n"&amp;#REF!&amp;"+"&amp;AI348)</f>
        <v/>
      </c>
      <c r="DP348" s="66" t="str">
        <f>IF(AJ348="","","|n"&amp;#REF!&amp;"+"&amp;AJ348)</f>
        <v/>
      </c>
    </row>
    <row r="349" spans="92:120">
      <c r="CN349" s="36" t="str">
        <f t="shared" si="4035"/>
        <v>InitUnitState('',,,,,,,,,,)</v>
      </c>
      <c r="CO349" s="36" t="str">
        <f t="shared" si="4036"/>
        <v>InitUnitNormal('',,,,,,,,,,)</v>
      </c>
      <c r="CP349" s="36" t="str">
        <f t="shared" si="4037"/>
        <v>InitUnitMagic('',,,,,,,,,,)</v>
      </c>
      <c r="CQ349" s="36" t="str">
        <f t="shared" si="4038"/>
        <v>InitUnitAdd('',,,,,,,,,,)</v>
      </c>
      <c r="CR349" s="36" t="str">
        <f t="shared" si="4039"/>
        <v>InitEquipData('',,"",,,,,'','','','','','',"")</v>
      </c>
      <c r="CU349" s="19" t="str">
        <f t="shared" si="4034"/>
        <v>|n</v>
      </c>
      <c r="DB349" s="66" t="str">
        <f>IF(V349="","","|n"&amp;#REF!&amp;"+"&amp;V349)</f>
        <v/>
      </c>
      <c r="DC349" s="66" t="str">
        <f>IF(W349="","","|n"&amp;#REF!&amp;"+"&amp;W349)</f>
        <v/>
      </c>
      <c r="DD349" s="66" t="str">
        <f>IF(X349="","","|n"&amp;#REF!&amp;"+"&amp;X349)</f>
        <v/>
      </c>
      <c r="DE349" s="66" t="str">
        <f>IF(Y349="","","|n"&amp;#REF!&amp;"+"&amp;Y349)</f>
        <v/>
      </c>
      <c r="DF349" s="66" t="str">
        <f>IF(Z349="","","|n"&amp;#REF!&amp;"+"&amp;Z349)</f>
        <v/>
      </c>
      <c r="DG349" s="66" t="str">
        <f>IF(AA349="","","|n"&amp;#REF!&amp;"+"&amp;AA349)</f>
        <v/>
      </c>
      <c r="DH349" s="66" t="str">
        <f>IF(AB349="","","|n"&amp;#REF!&amp;"+"&amp;AB349)</f>
        <v/>
      </c>
      <c r="DI349" s="66" t="str">
        <f>IF(AC349="","","|n"&amp;#REF!&amp;"+"&amp;AC349&amp;"%")</f>
        <v/>
      </c>
      <c r="DJ349" s="66" t="str">
        <f>IF(AD349="","","|n"&amp;#REF!&amp;"+"&amp;AD349)</f>
        <v/>
      </c>
      <c r="DK349" s="66" t="str">
        <f>IF(AE349="","","|n"&amp;#REF!&amp;"+"&amp;AE349)</f>
        <v/>
      </c>
      <c r="DL349" s="66" t="str">
        <f>IF(AF349="","","|n"&amp;#REF!&amp;"+"&amp;AF349)</f>
        <v/>
      </c>
      <c r="DM349" s="66" t="str">
        <f>IF(AG349="","","|n"&amp;#REF!&amp;"+"&amp;AG349&amp;"%")</f>
        <v/>
      </c>
      <c r="DN349" s="66" t="str">
        <f>IF(AH349="","","|n"&amp;#REF!&amp;"+"&amp;AH349)</f>
        <v/>
      </c>
      <c r="DO349" s="66" t="str">
        <f>IF(AI349="","","|n"&amp;#REF!&amp;"+"&amp;AI349)</f>
        <v/>
      </c>
      <c r="DP349" s="66" t="str">
        <f>IF(AJ349="","","|n"&amp;#REF!&amp;"+"&amp;AJ349)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830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831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物品!A156</f>
        <v>0</v>
      </c>
      <c r="B173" s="55" t="str">
        <f>"'"&amp;物品!B156&amp;"'"</f>
        <v>'IP01'</v>
      </c>
      <c r="C173" s="55">
        <f>物品!J156</f>
        <v>0</v>
      </c>
      <c r="D173" s="55">
        <f>物品!K156</f>
        <v>0</v>
      </c>
      <c r="E173" s="55">
        <f>物品!L156</f>
        <v>0</v>
      </c>
      <c r="F173" s="55">
        <f>物品!M156</f>
        <v>0</v>
      </c>
      <c r="G173" s="55">
        <f>物品!N156</f>
        <v>0</v>
      </c>
      <c r="H173" s="55">
        <f>物品!O156</f>
        <v>0</v>
      </c>
      <c r="I173" s="55">
        <f>IF(物品!J156=0,0,"'"&amp;物品!J156&amp;"'")</f>
        <v>0</v>
      </c>
      <c r="J173" s="55">
        <f>IF(物品!K156=0,0,"'"&amp;物品!K156&amp;"'")</f>
        <v>0</v>
      </c>
      <c r="K173" s="55">
        <f>IF(物品!L156=0,0,"'"&amp;物品!L156&amp;"'")</f>
        <v>0</v>
      </c>
      <c r="L173" s="55">
        <f>IF(物品!M156=0,0,"'"&amp;物品!M156&amp;"'")</f>
        <v>0</v>
      </c>
      <c r="M173" s="55">
        <f>IF(物品!N156=0,0,"'"&amp;物品!N156&amp;"'")</f>
        <v>0</v>
      </c>
      <c r="N173" s="55">
        <f>IF(物品!O156=0,0,"'"&amp;物品!O156&amp;"'")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物品!A157</f>
        <v>0</v>
      </c>
      <c r="B174" s="55" t="str">
        <f>"'"&amp;物品!B157&amp;"'"</f>
        <v>'IP02'</v>
      </c>
      <c r="C174" s="55">
        <f>物品!J157</f>
        <v>0</v>
      </c>
      <c r="D174" s="55">
        <f>物品!K157</f>
        <v>0</v>
      </c>
      <c r="E174" s="55">
        <f>物品!L157</f>
        <v>0</v>
      </c>
      <c r="F174" s="55">
        <f>物品!M157</f>
        <v>0</v>
      </c>
      <c r="G174" s="55">
        <f>物品!N157</f>
        <v>0</v>
      </c>
      <c r="H174" s="55">
        <f>物品!O157</f>
        <v>0</v>
      </c>
      <c r="I174" s="55">
        <f>IF(物品!J157=0,0,"'"&amp;物品!J157&amp;"'")</f>
        <v>0</v>
      </c>
      <c r="J174" s="55">
        <f>IF(物品!K157=0,0,"'"&amp;物品!K157&amp;"'")</f>
        <v>0</v>
      </c>
      <c r="K174" s="55">
        <f>IF(物品!L157=0,0,"'"&amp;物品!L157&amp;"'")</f>
        <v>0</v>
      </c>
      <c r="L174" s="55">
        <f>IF(物品!M157=0,0,"'"&amp;物品!M157&amp;"'")</f>
        <v>0</v>
      </c>
      <c r="M174" s="55">
        <f>IF(物品!N157=0,0,"'"&amp;物品!N157&amp;"'")</f>
        <v>0</v>
      </c>
      <c r="N174" s="55">
        <f>IF(物品!O157=0,0,"'"&amp;物品!O157&amp;"'")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物品!A158</f>
        <v>0</v>
      </c>
      <c r="B175" s="55" t="str">
        <f>"'"&amp;物品!B158&amp;"'"</f>
        <v>'IP03'</v>
      </c>
      <c r="C175" s="55">
        <f>物品!J158</f>
        <v>0</v>
      </c>
      <c r="D175" s="55">
        <f>物品!K158</f>
        <v>0</v>
      </c>
      <c r="E175" s="55">
        <f>物品!L158</f>
        <v>0</v>
      </c>
      <c r="F175" s="55">
        <f>物品!M158</f>
        <v>0</v>
      </c>
      <c r="G175" s="55">
        <f>物品!N158</f>
        <v>0</v>
      </c>
      <c r="H175" s="55">
        <f>物品!O158</f>
        <v>0</v>
      </c>
      <c r="I175" s="55">
        <f>IF(物品!J158=0,0,"'"&amp;物品!J158&amp;"'")</f>
        <v>0</v>
      </c>
      <c r="J175" s="55">
        <f>IF(物品!K158=0,0,"'"&amp;物品!K158&amp;"'")</f>
        <v>0</v>
      </c>
      <c r="K175" s="55">
        <f>IF(物品!L158=0,0,"'"&amp;物品!L158&amp;"'")</f>
        <v>0</v>
      </c>
      <c r="L175" s="55">
        <f>IF(物品!M158=0,0,"'"&amp;物品!M158&amp;"'")</f>
        <v>0</v>
      </c>
      <c r="M175" s="55">
        <f>IF(物品!N158=0,0,"'"&amp;物品!N158&amp;"'")</f>
        <v>0</v>
      </c>
      <c r="N175" s="55">
        <f>IF(物品!O158=0,0,"'"&amp;物品!O158&amp;"'")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物品!A165</f>
        <v>0</v>
      </c>
      <c r="B176" s="55" t="str">
        <f>"'"&amp;物品!B165&amp;"'"</f>
        <v>'IT01'</v>
      </c>
      <c r="C176" s="55">
        <f>物品!J165</f>
        <v>0</v>
      </c>
      <c r="D176" s="55">
        <f>物品!K165</f>
        <v>0</v>
      </c>
      <c r="E176" s="55">
        <f>物品!L165</f>
        <v>0</v>
      </c>
      <c r="F176" s="55">
        <f>物品!M165</f>
        <v>0</v>
      </c>
      <c r="G176" s="55">
        <f>物品!N165</f>
        <v>0</v>
      </c>
      <c r="H176" s="55">
        <f>物品!O165</f>
        <v>0</v>
      </c>
      <c r="I176" s="55">
        <f>IF(物品!J165=0,0,"'"&amp;物品!J165&amp;"'")</f>
        <v>0</v>
      </c>
      <c r="J176" s="55">
        <f>IF(物品!K165=0,0,"'"&amp;物品!K165&amp;"'")</f>
        <v>0</v>
      </c>
      <c r="K176" s="55">
        <f>IF(物品!L165=0,0,"'"&amp;物品!L165&amp;"'")</f>
        <v>0</v>
      </c>
      <c r="L176" s="55">
        <f>IF(物品!M165=0,0,"'"&amp;物品!M165&amp;"'")</f>
        <v>0</v>
      </c>
      <c r="M176" s="55">
        <f>IF(物品!N165=0,0,"'"&amp;物品!N165&amp;"'")</f>
        <v>0</v>
      </c>
      <c r="N176" s="55">
        <f>IF(物品!O165=0,0,"'"&amp;物品!O165&amp;"'")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物品!A166</f>
        <v>0</v>
      </c>
      <c r="B177" s="55" t="str">
        <f>"'"&amp;物品!B166&amp;"'"</f>
        <v>'IT02'</v>
      </c>
      <c r="C177" s="55">
        <f>物品!J166</f>
        <v>0</v>
      </c>
      <c r="D177" s="55">
        <f>物品!K166</f>
        <v>0</v>
      </c>
      <c r="E177" s="55">
        <f>物品!L166</f>
        <v>0</v>
      </c>
      <c r="F177" s="55">
        <f>物品!M166</f>
        <v>0</v>
      </c>
      <c r="G177" s="55">
        <f>物品!N166</f>
        <v>0</v>
      </c>
      <c r="H177" s="55">
        <f>物品!O166</f>
        <v>0</v>
      </c>
      <c r="I177" s="55">
        <f>IF(物品!J166=0,0,"'"&amp;物品!J166&amp;"'")</f>
        <v>0</v>
      </c>
      <c r="J177" s="55">
        <f>IF(物品!K166=0,0,"'"&amp;物品!K166&amp;"'")</f>
        <v>0</v>
      </c>
      <c r="K177" s="55">
        <f>IF(物品!L166=0,0,"'"&amp;物品!L166&amp;"'")</f>
        <v>0</v>
      </c>
      <c r="L177" s="55">
        <f>IF(物品!M166=0,0,"'"&amp;物品!M166&amp;"'")</f>
        <v>0</v>
      </c>
      <c r="M177" s="55">
        <f>IF(物品!N166=0,0,"'"&amp;物品!N166&amp;"'")</f>
        <v>0</v>
      </c>
      <c r="N177" s="55">
        <f>IF(物品!O166=0,0,"'"&amp;物品!O166&amp;"'")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物品!A167</f>
        <v>0</v>
      </c>
      <c r="B178" s="55" t="str">
        <f>"'"&amp;物品!B167&amp;"'"</f>
        <v>'IT03'</v>
      </c>
      <c r="C178" s="55">
        <f>物品!J167</f>
        <v>0</v>
      </c>
      <c r="D178" s="55">
        <f>物品!K167</f>
        <v>0</v>
      </c>
      <c r="E178" s="55">
        <f>物品!L167</f>
        <v>0</v>
      </c>
      <c r="F178" s="55">
        <f>物品!M167</f>
        <v>0</v>
      </c>
      <c r="G178" s="55">
        <f>物品!N167</f>
        <v>0</v>
      </c>
      <c r="H178" s="55">
        <f>物品!O167</f>
        <v>0</v>
      </c>
      <c r="I178" s="55">
        <f>IF(物品!J167=0,0,"'"&amp;物品!J167&amp;"'")</f>
        <v>0</v>
      </c>
      <c r="J178" s="55">
        <f>IF(物品!K167=0,0,"'"&amp;物品!K167&amp;"'")</f>
        <v>0</v>
      </c>
      <c r="K178" s="55">
        <f>IF(物品!L167=0,0,"'"&amp;物品!L167&amp;"'")</f>
        <v>0</v>
      </c>
      <c r="L178" s="55">
        <f>IF(物品!M167=0,0,"'"&amp;物品!M167&amp;"'")</f>
        <v>0</v>
      </c>
      <c r="M178" s="55">
        <f>IF(物品!N167=0,0,"'"&amp;物品!N167&amp;"'")</f>
        <v>0</v>
      </c>
      <c r="N178" s="55">
        <f>IF(物品!O167=0,0,"'"&amp;物品!O167&amp;"'")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物品!A168</f>
        <v>0</v>
      </c>
      <c r="B179" s="55" t="str">
        <f>"'"&amp;物品!B168&amp;"'"</f>
        <v>'IT04'</v>
      </c>
      <c r="C179" s="55">
        <f>物品!J168</f>
        <v>0</v>
      </c>
      <c r="D179" s="55">
        <f>物品!K168</f>
        <v>0</v>
      </c>
      <c r="E179" s="55">
        <f>物品!L168</f>
        <v>0</v>
      </c>
      <c r="F179" s="55">
        <f>物品!M168</f>
        <v>0</v>
      </c>
      <c r="G179" s="55">
        <f>物品!N168</f>
        <v>0</v>
      </c>
      <c r="H179" s="55">
        <f>物品!O168</f>
        <v>0</v>
      </c>
      <c r="I179" s="55">
        <f>IF(物品!J168=0,0,"'"&amp;物品!J168&amp;"'")</f>
        <v>0</v>
      </c>
      <c r="J179" s="55">
        <f>IF(物品!K168=0,0,"'"&amp;物品!K168&amp;"'")</f>
        <v>0</v>
      </c>
      <c r="K179" s="55">
        <f>IF(物品!L168=0,0,"'"&amp;物品!L168&amp;"'")</f>
        <v>0</v>
      </c>
      <c r="L179" s="55">
        <f>IF(物品!M168=0,0,"'"&amp;物品!M168&amp;"'")</f>
        <v>0</v>
      </c>
      <c r="M179" s="55">
        <f>IF(物品!N168=0,0,"'"&amp;物品!N168&amp;"'")</f>
        <v>0</v>
      </c>
      <c r="N179" s="55">
        <f>IF(物品!O168=0,0,"'"&amp;物品!O168&amp;"'")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物品!A169</f>
        <v>0</v>
      </c>
      <c r="B180" s="55" t="str">
        <f>"'"&amp;物品!B169&amp;"'"</f>
        <v>'IT05'</v>
      </c>
      <c r="C180" s="55">
        <f>物品!J169</f>
        <v>0</v>
      </c>
      <c r="D180" s="55">
        <f>物品!K169</f>
        <v>0</v>
      </c>
      <c r="E180" s="55">
        <f>物品!L169</f>
        <v>0</v>
      </c>
      <c r="F180" s="55">
        <f>物品!M169</f>
        <v>0</v>
      </c>
      <c r="G180" s="55">
        <f>物品!N169</f>
        <v>0</v>
      </c>
      <c r="H180" s="55">
        <f>物品!O169</f>
        <v>0</v>
      </c>
      <c r="I180" s="55">
        <f>IF(物品!J169=0,0,"'"&amp;物品!J169&amp;"'")</f>
        <v>0</v>
      </c>
      <c r="J180" s="55">
        <f>IF(物品!K169=0,0,"'"&amp;物品!K169&amp;"'")</f>
        <v>0</v>
      </c>
      <c r="K180" s="55">
        <f>IF(物品!L169=0,0,"'"&amp;物品!L169&amp;"'")</f>
        <v>0</v>
      </c>
      <c r="L180" s="55">
        <f>IF(物品!M169=0,0,"'"&amp;物品!M169&amp;"'")</f>
        <v>0</v>
      </c>
      <c r="M180" s="55">
        <f>IF(物品!N169=0,0,"'"&amp;物品!N169&amp;"'")</f>
        <v>0</v>
      </c>
      <c r="N180" s="55">
        <f>IF(物品!O169=0,0,"'"&amp;物品!O169&amp;"'")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物品!A170</f>
        <v>0</v>
      </c>
      <c r="B181" s="55" t="str">
        <f>"'"&amp;物品!B170&amp;"'"</f>
        <v>'IT06'</v>
      </c>
      <c r="C181" s="55">
        <f>物品!J170</f>
        <v>0</v>
      </c>
      <c r="D181" s="55">
        <f>物品!K170</f>
        <v>0</v>
      </c>
      <c r="E181" s="55">
        <f>物品!L170</f>
        <v>0</v>
      </c>
      <c r="F181" s="55">
        <f>物品!M170</f>
        <v>0</v>
      </c>
      <c r="G181" s="55">
        <f>物品!N170</f>
        <v>0</v>
      </c>
      <c r="H181" s="55">
        <f>物品!O170</f>
        <v>0</v>
      </c>
      <c r="I181" s="55">
        <f>IF(物品!J170=0,0,"'"&amp;物品!J170&amp;"'")</f>
        <v>0</v>
      </c>
      <c r="J181" s="55">
        <f>IF(物品!K170=0,0,"'"&amp;物品!K170&amp;"'")</f>
        <v>0</v>
      </c>
      <c r="K181" s="55">
        <f>IF(物品!L170=0,0,"'"&amp;物品!L170&amp;"'")</f>
        <v>0</v>
      </c>
      <c r="L181" s="55">
        <f>IF(物品!M170=0,0,"'"&amp;物品!M170&amp;"'")</f>
        <v>0</v>
      </c>
      <c r="M181" s="55">
        <f>IF(物品!N170=0,0,"'"&amp;物品!N170&amp;"'")</f>
        <v>0</v>
      </c>
      <c r="N181" s="55">
        <f>IF(物品!O170=0,0,"'"&amp;物品!O170&amp;"'")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物品!A171</f>
        <v>0</v>
      </c>
      <c r="B182" s="55" t="str">
        <f>"'"&amp;物品!B171&amp;"'"</f>
        <v>'IT07'</v>
      </c>
      <c r="C182" s="55">
        <f>物品!J171</f>
        <v>0</v>
      </c>
      <c r="D182" s="55">
        <f>物品!K171</f>
        <v>0</v>
      </c>
      <c r="E182" s="55">
        <f>物品!L171</f>
        <v>0</v>
      </c>
      <c r="F182" s="55">
        <f>物品!M171</f>
        <v>0</v>
      </c>
      <c r="G182" s="55">
        <f>物品!N171</f>
        <v>0</v>
      </c>
      <c r="H182" s="55">
        <f>物品!O171</f>
        <v>0</v>
      </c>
      <c r="I182" s="55">
        <f>IF(物品!J171=0,0,"'"&amp;物品!J171&amp;"'")</f>
        <v>0</v>
      </c>
      <c r="J182" s="55">
        <f>IF(物品!K171=0,0,"'"&amp;物品!K171&amp;"'")</f>
        <v>0</v>
      </c>
      <c r="K182" s="55">
        <f>IF(物品!L171=0,0,"'"&amp;物品!L171&amp;"'")</f>
        <v>0</v>
      </c>
      <c r="L182" s="55">
        <f>IF(物品!M171=0,0,"'"&amp;物品!M171&amp;"'")</f>
        <v>0</v>
      </c>
      <c r="M182" s="55">
        <f>IF(物品!N171=0,0,"'"&amp;物品!N171&amp;"'")</f>
        <v>0</v>
      </c>
      <c r="N182" s="55">
        <f>IF(物品!O171=0,0,"'"&amp;物品!O171&amp;"'")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物品!A172</f>
        <v>.</v>
      </c>
      <c r="B183" s="55" t="str">
        <f>"'"&amp;物品!B172&amp;"'"</f>
        <v>'IT08'</v>
      </c>
      <c r="C183" s="55">
        <f>物品!J172</f>
        <v>0</v>
      </c>
      <c r="D183" s="55">
        <f>物品!K172</f>
        <v>0</v>
      </c>
      <c r="E183" s="55">
        <f>物品!L172</f>
        <v>0</v>
      </c>
      <c r="F183" s="55">
        <f>物品!M172</f>
        <v>0</v>
      </c>
      <c r="G183" s="55">
        <f>物品!N172</f>
        <v>0</v>
      </c>
      <c r="H183" s="55">
        <f>物品!O172</f>
        <v>0</v>
      </c>
      <c r="I183" s="55">
        <f>IF(物品!J172=0,0,"'"&amp;物品!J172&amp;"'")</f>
        <v>0</v>
      </c>
      <c r="J183" s="55">
        <f>IF(物品!K172=0,0,"'"&amp;物品!K172&amp;"'")</f>
        <v>0</v>
      </c>
      <c r="K183" s="55">
        <f>IF(物品!L172=0,0,"'"&amp;物品!L172&amp;"'")</f>
        <v>0</v>
      </c>
      <c r="L183" s="55">
        <f>IF(物品!M172=0,0,"'"&amp;物品!M172&amp;"'")</f>
        <v>0</v>
      </c>
      <c r="M183" s="55">
        <f>IF(物品!N172=0,0,"'"&amp;物品!N172&amp;"'")</f>
        <v>0</v>
      </c>
      <c r="N183" s="55">
        <f>IF(物品!O172=0,0,"'"&amp;物品!O172&amp;"'")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物品!A173</f>
        <v>0</v>
      </c>
      <c r="B184" s="55" t="str">
        <f>"'"&amp;物品!B173&amp;"'"</f>
        <v>'IT09'</v>
      </c>
      <c r="C184" s="55">
        <f>物品!J173</f>
        <v>0</v>
      </c>
      <c r="D184" s="55">
        <f>物品!K173</f>
        <v>0</v>
      </c>
      <c r="E184" s="55">
        <f>物品!L173</f>
        <v>0</v>
      </c>
      <c r="F184" s="55">
        <f>物品!M173</f>
        <v>0</v>
      </c>
      <c r="G184" s="55">
        <f>物品!N173</f>
        <v>0</v>
      </c>
      <c r="H184" s="55">
        <f>物品!O173</f>
        <v>0</v>
      </c>
      <c r="I184" s="55">
        <f>IF(物品!J173=0,0,"'"&amp;物品!J173&amp;"'")</f>
        <v>0</v>
      </c>
      <c r="J184" s="55">
        <f>IF(物品!K173=0,0,"'"&amp;物品!K173&amp;"'")</f>
        <v>0</v>
      </c>
      <c r="K184" s="55">
        <f>IF(物品!L173=0,0,"'"&amp;物品!L173&amp;"'")</f>
        <v>0</v>
      </c>
      <c r="L184" s="55">
        <f>IF(物品!M173=0,0,"'"&amp;物品!M173&amp;"'")</f>
        <v>0</v>
      </c>
      <c r="M184" s="55">
        <f>IF(物品!N173=0,0,"'"&amp;物品!N173&amp;"'")</f>
        <v>0</v>
      </c>
      <c r="N184" s="55">
        <f>IF(物品!O173=0,0,"'"&amp;物品!O173&amp;"'")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物品!A174</f>
        <v>0</v>
      </c>
      <c r="B185" s="55" t="str">
        <f>"'"&amp;物品!B174&amp;"'"</f>
        <v>'IT10'</v>
      </c>
      <c r="C185" s="55">
        <f>物品!J174</f>
        <v>0</v>
      </c>
      <c r="D185" s="55">
        <f>物品!K174</f>
        <v>0</v>
      </c>
      <c r="E185" s="55">
        <f>物品!L174</f>
        <v>0</v>
      </c>
      <c r="F185" s="55">
        <f>物品!M174</f>
        <v>0</v>
      </c>
      <c r="G185" s="55">
        <f>物品!N174</f>
        <v>0</v>
      </c>
      <c r="H185" s="55">
        <f>物品!O174</f>
        <v>0</v>
      </c>
      <c r="I185" s="55">
        <f>IF(物品!J174=0,0,"'"&amp;物品!J174&amp;"'")</f>
        <v>0</v>
      </c>
      <c r="J185" s="55">
        <f>IF(物品!K174=0,0,"'"&amp;物品!K174&amp;"'")</f>
        <v>0</v>
      </c>
      <c r="K185" s="55">
        <f>IF(物品!L174=0,0,"'"&amp;物品!L174&amp;"'")</f>
        <v>0</v>
      </c>
      <c r="L185" s="55">
        <f>IF(物品!M174=0,0,"'"&amp;物品!M174&amp;"'")</f>
        <v>0</v>
      </c>
      <c r="M185" s="55">
        <f>IF(物品!N174=0,0,"'"&amp;物品!N174&amp;"'")</f>
        <v>0</v>
      </c>
      <c r="N185" s="55">
        <f>IF(物品!O174=0,0,"'"&amp;物品!O174&amp;"'")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物品!A187</f>
        <v>0</v>
      </c>
      <c r="B186" s="55" t="str">
        <f>"'"&amp;物品!B187&amp;"'"</f>
        <v>'IS02'</v>
      </c>
      <c r="C186" s="55">
        <f>物品!J187</f>
        <v>0</v>
      </c>
      <c r="D186" s="55">
        <f>物品!K187</f>
        <v>0</v>
      </c>
      <c r="E186" s="55">
        <f>物品!L187</f>
        <v>0</v>
      </c>
      <c r="F186" s="55">
        <f>物品!M187</f>
        <v>0</v>
      </c>
      <c r="G186" s="55">
        <f>物品!N187</f>
        <v>0</v>
      </c>
      <c r="H186" s="55">
        <f>物品!O187</f>
        <v>0</v>
      </c>
      <c r="I186" s="55">
        <f>IF(物品!J187=0,0,"'"&amp;物品!J187&amp;"'")</f>
        <v>0</v>
      </c>
      <c r="J186" s="55">
        <f>IF(物品!K187=0,0,"'"&amp;物品!K187&amp;"'")</f>
        <v>0</v>
      </c>
      <c r="K186" s="55">
        <f>IF(物品!L187=0,0,"'"&amp;物品!L187&amp;"'")</f>
        <v>0</v>
      </c>
      <c r="L186" s="55">
        <f>IF(物品!M187=0,0,"'"&amp;物品!M187&amp;"'")</f>
        <v>0</v>
      </c>
      <c r="M186" s="55">
        <f>IF(物品!N187=0,0,"'"&amp;物品!N187&amp;"'")</f>
        <v>0</v>
      </c>
      <c r="N186" s="55">
        <f>IF(物品!O187=0,0,"'"&amp;物品!O187&amp;"'")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物品!A188</f>
        <v>0</v>
      </c>
      <c r="B187" s="55" t="str">
        <f>"'"&amp;物品!B188&amp;"'"</f>
        <v>'IS03'</v>
      </c>
      <c r="C187" s="55">
        <f>物品!J188</f>
        <v>0</v>
      </c>
      <c r="D187" s="55">
        <f>物品!K188</f>
        <v>0</v>
      </c>
      <c r="E187" s="55">
        <f>物品!L188</f>
        <v>0</v>
      </c>
      <c r="F187" s="55">
        <f>物品!M188</f>
        <v>0</v>
      </c>
      <c r="G187" s="55">
        <f>物品!N188</f>
        <v>0</v>
      </c>
      <c r="H187" s="55">
        <f>物品!O188</f>
        <v>0</v>
      </c>
      <c r="I187" s="55">
        <f>IF(物品!J188=0,0,"'"&amp;物品!J188&amp;"'")</f>
        <v>0</v>
      </c>
      <c r="J187" s="55">
        <f>IF(物品!K188=0,0,"'"&amp;物品!K188&amp;"'")</f>
        <v>0</v>
      </c>
      <c r="K187" s="55">
        <f>IF(物品!L188=0,0,"'"&amp;物品!L188&amp;"'")</f>
        <v>0</v>
      </c>
      <c r="L187" s="55">
        <f>IF(物品!M188=0,0,"'"&amp;物品!M188&amp;"'")</f>
        <v>0</v>
      </c>
      <c r="M187" s="55">
        <f>IF(物品!N188=0,0,"'"&amp;物品!N188&amp;"'")</f>
        <v>0</v>
      </c>
      <c r="N187" s="55">
        <f>IF(物品!O188=0,0,"'"&amp;物品!O188&amp;"'")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物品!A199</f>
        <v>0</v>
      </c>
      <c r="B190" s="55" t="str">
        <f>"'"&amp;物品!B199&amp;"'"</f>
        <v>'IS12'</v>
      </c>
      <c r="C190" s="55">
        <f>物品!J199</f>
        <v>0</v>
      </c>
      <c r="D190" s="55">
        <f>物品!K199</f>
        <v>0</v>
      </c>
      <c r="E190" s="55">
        <f>物品!L199</f>
        <v>0</v>
      </c>
      <c r="F190" s="55">
        <f>物品!M199</f>
        <v>0</v>
      </c>
      <c r="G190" s="55">
        <f>物品!N199</f>
        <v>0</v>
      </c>
      <c r="H190" s="55">
        <f>物品!O199</f>
        <v>0</v>
      </c>
      <c r="I190" s="55">
        <f>IF(物品!J199=0,0,"'"&amp;物品!J199&amp;"'")</f>
        <v>0</v>
      </c>
      <c r="J190" s="55">
        <f>IF(物品!K199=0,0,"'"&amp;物品!K199&amp;"'")</f>
        <v>0</v>
      </c>
      <c r="K190" s="55">
        <f>IF(物品!L199=0,0,"'"&amp;物品!L199&amp;"'")</f>
        <v>0</v>
      </c>
      <c r="L190" s="55">
        <f>IF(物品!M199=0,0,"'"&amp;物品!M199&amp;"'")</f>
        <v>0</v>
      </c>
      <c r="M190" s="55">
        <f>IF(物品!N199=0,0,"'"&amp;物品!N199&amp;"'")</f>
        <v>0</v>
      </c>
      <c r="N190" s="55">
        <f>IF(物品!O199=0,0,"'"&amp;物品!O199&amp;"'")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物品!A227</f>
        <v>0</v>
      </c>
      <c r="B199" s="55" t="str">
        <f>"'"&amp;物品!B227&amp;"'"</f>
        <v>'IF01'</v>
      </c>
      <c r="C199" s="55">
        <f>物品!J227</f>
        <v>0</v>
      </c>
      <c r="D199" s="55">
        <f>物品!K227</f>
        <v>0</v>
      </c>
      <c r="E199" s="55">
        <f>物品!L227</f>
        <v>0</v>
      </c>
      <c r="F199" s="55">
        <f>物品!M227</f>
        <v>0</v>
      </c>
      <c r="G199" s="55">
        <f>物品!N227</f>
        <v>0</v>
      </c>
      <c r="H199" s="55">
        <f>物品!O227</f>
        <v>0</v>
      </c>
      <c r="I199" s="55">
        <f>IF(物品!J227=0,0,"'"&amp;物品!J227&amp;"'")</f>
        <v>0</v>
      </c>
      <c r="J199" s="55">
        <f>IF(物品!K227=0,0,"'"&amp;物品!K227&amp;"'")</f>
        <v>0</v>
      </c>
      <c r="K199" s="55">
        <f>IF(物品!L227=0,0,"'"&amp;物品!L227&amp;"'")</f>
        <v>0</v>
      </c>
      <c r="L199" s="55">
        <f>IF(物品!M227=0,0,"'"&amp;物品!M227&amp;"'")</f>
        <v>0</v>
      </c>
      <c r="M199" s="55">
        <f>IF(物品!N227=0,0,"'"&amp;物品!N227&amp;"'")</f>
        <v>0</v>
      </c>
      <c r="N199" s="55">
        <f>IF(物品!O227=0,0,"'"&amp;物品!O227&amp;"'")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物品!A228</f>
        <v>0</v>
      </c>
      <c r="B200" s="55" t="str">
        <f>"'"&amp;物品!B228&amp;"'"</f>
        <v>'IF02'</v>
      </c>
      <c r="C200" s="55">
        <f>物品!J228</f>
        <v>0</v>
      </c>
      <c r="D200" s="55">
        <f>物品!K228</f>
        <v>0</v>
      </c>
      <c r="E200" s="55">
        <f>物品!L228</f>
        <v>0</v>
      </c>
      <c r="F200" s="55">
        <f>物品!M228</f>
        <v>0</v>
      </c>
      <c r="G200" s="55">
        <f>物品!N228</f>
        <v>0</v>
      </c>
      <c r="H200" s="55">
        <f>物品!O228</f>
        <v>0</v>
      </c>
      <c r="I200" s="55">
        <f>IF(物品!J228=0,0,"'"&amp;物品!J228&amp;"'")</f>
        <v>0</v>
      </c>
      <c r="J200" s="55">
        <f>IF(物品!K228=0,0,"'"&amp;物品!K228&amp;"'")</f>
        <v>0</v>
      </c>
      <c r="K200" s="55">
        <f>IF(物品!L228=0,0,"'"&amp;物品!L228&amp;"'")</f>
        <v>0</v>
      </c>
      <c r="L200" s="55">
        <f>IF(物品!M228=0,0,"'"&amp;物品!M228&amp;"'")</f>
        <v>0</v>
      </c>
      <c r="M200" s="55">
        <f>IF(物品!N228=0,0,"'"&amp;物品!N228&amp;"'")</f>
        <v>0</v>
      </c>
      <c r="N200" s="55">
        <f>IF(物品!O228=0,0,"'"&amp;物品!O228&amp;"'")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物品!A229</f>
        <v>0</v>
      </c>
      <c r="B201" s="55" t="str">
        <f>"'"&amp;物品!B229&amp;"'"</f>
        <v>'IF03'</v>
      </c>
      <c r="C201" s="55">
        <f>物品!J229</f>
        <v>0</v>
      </c>
      <c r="D201" s="55">
        <f>物品!K229</f>
        <v>0</v>
      </c>
      <c r="E201" s="55">
        <f>物品!L229</f>
        <v>0</v>
      </c>
      <c r="F201" s="55">
        <f>物品!M229</f>
        <v>0</v>
      </c>
      <c r="G201" s="55">
        <f>物品!N229</f>
        <v>0</v>
      </c>
      <c r="H201" s="55">
        <f>物品!O229</f>
        <v>0</v>
      </c>
      <c r="I201" s="55">
        <f>IF(物品!J229=0,0,"'"&amp;物品!J229&amp;"'")</f>
        <v>0</v>
      </c>
      <c r="J201" s="55">
        <f>IF(物品!K229=0,0,"'"&amp;物品!K229&amp;"'")</f>
        <v>0</v>
      </c>
      <c r="K201" s="55">
        <f>IF(物品!L229=0,0,"'"&amp;物品!L229&amp;"'")</f>
        <v>0</v>
      </c>
      <c r="L201" s="55">
        <f>IF(物品!M229=0,0,"'"&amp;物品!M229&amp;"'")</f>
        <v>0</v>
      </c>
      <c r="M201" s="55">
        <f>IF(物品!N229=0,0,"'"&amp;物品!N229&amp;"'")</f>
        <v>0</v>
      </c>
      <c r="N201" s="55">
        <f>IF(物品!O229=0,0,"'"&amp;物品!O229&amp;"'")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物品!A230</f>
        <v>0</v>
      </c>
      <c r="B202" s="55" t="str">
        <f>"'"&amp;物品!B230&amp;"'"</f>
        <v>'IF04'</v>
      </c>
      <c r="C202" s="55">
        <f>物品!J230</f>
        <v>0</v>
      </c>
      <c r="D202" s="55">
        <f>物品!K230</f>
        <v>0</v>
      </c>
      <c r="E202" s="55">
        <f>物品!L230</f>
        <v>0</v>
      </c>
      <c r="F202" s="55">
        <f>物品!M230</f>
        <v>0</v>
      </c>
      <c r="G202" s="55">
        <f>物品!N230</f>
        <v>0</v>
      </c>
      <c r="H202" s="55">
        <f>物品!O230</f>
        <v>0</v>
      </c>
      <c r="I202" s="55">
        <f>IF(物品!J230=0,0,"'"&amp;物品!J230&amp;"'")</f>
        <v>0</v>
      </c>
      <c r="J202" s="55">
        <f>IF(物品!K230=0,0,"'"&amp;物品!K230&amp;"'")</f>
        <v>0</v>
      </c>
      <c r="K202" s="55">
        <f>IF(物品!L230=0,0,"'"&amp;物品!L230&amp;"'")</f>
        <v>0</v>
      </c>
      <c r="L202" s="55">
        <f>IF(物品!M230=0,0,"'"&amp;物品!M230&amp;"'")</f>
        <v>0</v>
      </c>
      <c r="M202" s="55">
        <f>IF(物品!N230=0,0,"'"&amp;物品!N230&amp;"'")</f>
        <v>0</v>
      </c>
      <c r="N202" s="55">
        <f>IF(物品!O230=0,0,"'"&amp;物品!O230&amp;"'")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物品!A231</f>
        <v>0</v>
      </c>
      <c r="B203" s="55" t="str">
        <f>"'"&amp;物品!B231&amp;"'"</f>
        <v>'IF05'</v>
      </c>
      <c r="C203" s="55">
        <f>物品!J231</f>
        <v>0</v>
      </c>
      <c r="D203" s="55">
        <f>物品!K231</f>
        <v>0</v>
      </c>
      <c r="E203" s="55">
        <f>物品!L231</f>
        <v>0</v>
      </c>
      <c r="F203" s="55">
        <f>物品!M231</f>
        <v>0</v>
      </c>
      <c r="G203" s="55">
        <f>物品!N231</f>
        <v>0</v>
      </c>
      <c r="H203" s="55">
        <f>物品!O231</f>
        <v>0</v>
      </c>
      <c r="I203" s="55">
        <f>IF(物品!J231=0,0,"'"&amp;物品!J231&amp;"'")</f>
        <v>0</v>
      </c>
      <c r="J203" s="55">
        <f>IF(物品!K231=0,0,"'"&amp;物品!K231&amp;"'")</f>
        <v>0</v>
      </c>
      <c r="K203" s="55">
        <f>IF(物品!L231=0,0,"'"&amp;物品!L231&amp;"'")</f>
        <v>0</v>
      </c>
      <c r="L203" s="55">
        <f>IF(物品!M231=0,0,"'"&amp;物品!M231&amp;"'")</f>
        <v>0</v>
      </c>
      <c r="M203" s="55">
        <f>IF(物品!N231=0,0,"'"&amp;物品!N231&amp;"'")</f>
        <v>0</v>
      </c>
      <c r="N203" s="55">
        <f>IF(物品!O231=0,0,"'"&amp;物品!O231&amp;"'")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物品!A232</f>
        <v>0</v>
      </c>
      <c r="B204" s="55" t="str">
        <f>"'"&amp;物品!B232&amp;"'"</f>
        <v>'IF06'</v>
      </c>
      <c r="C204" s="55">
        <f>物品!J232</f>
        <v>0</v>
      </c>
      <c r="D204" s="55">
        <f>物品!K232</f>
        <v>0</v>
      </c>
      <c r="E204" s="55">
        <f>物品!L232</f>
        <v>0</v>
      </c>
      <c r="F204" s="55">
        <f>物品!M232</f>
        <v>0</v>
      </c>
      <c r="G204" s="55">
        <f>物品!N232</f>
        <v>0</v>
      </c>
      <c r="H204" s="55">
        <f>物品!O232</f>
        <v>0</v>
      </c>
      <c r="I204" s="55">
        <f>IF(物品!J232=0,0,"'"&amp;物品!J232&amp;"'")</f>
        <v>0</v>
      </c>
      <c r="J204" s="55">
        <f>IF(物品!K232=0,0,"'"&amp;物品!K232&amp;"'")</f>
        <v>0</v>
      </c>
      <c r="K204" s="55">
        <f>IF(物品!L232=0,0,"'"&amp;物品!L232&amp;"'")</f>
        <v>0</v>
      </c>
      <c r="L204" s="55">
        <f>IF(物品!M232=0,0,"'"&amp;物品!M232&amp;"'")</f>
        <v>0</v>
      </c>
      <c r="M204" s="55">
        <f>IF(物品!N232=0,0,"'"&amp;物品!N232&amp;"'")</f>
        <v>0</v>
      </c>
      <c r="N204" s="55">
        <f>IF(物品!O232=0,0,"'"&amp;物品!O232&amp;"'")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物品!A233</f>
        <v>0</v>
      </c>
      <c r="B205" s="55" t="str">
        <f>"'"&amp;物品!B233&amp;"'"</f>
        <v>'IF07'</v>
      </c>
      <c r="C205" s="55">
        <f>物品!J233</f>
        <v>0</v>
      </c>
      <c r="D205" s="55">
        <f>物品!K233</f>
        <v>0</v>
      </c>
      <c r="E205" s="55">
        <f>物品!L233</f>
        <v>0</v>
      </c>
      <c r="F205" s="55">
        <f>物品!M233</f>
        <v>0</v>
      </c>
      <c r="G205" s="55">
        <f>物品!N233</f>
        <v>0</v>
      </c>
      <c r="H205" s="55">
        <f>物品!O233</f>
        <v>0</v>
      </c>
      <c r="I205" s="55">
        <f>IF(物品!J233=0,0,"'"&amp;物品!J233&amp;"'")</f>
        <v>0</v>
      </c>
      <c r="J205" s="55">
        <f>IF(物品!K233=0,0,"'"&amp;物品!K233&amp;"'")</f>
        <v>0</v>
      </c>
      <c r="K205" s="55">
        <f>IF(物品!L233=0,0,"'"&amp;物品!L233&amp;"'")</f>
        <v>0</v>
      </c>
      <c r="L205" s="55">
        <f>IF(物品!M233=0,0,"'"&amp;物品!M233&amp;"'")</f>
        <v>0</v>
      </c>
      <c r="M205" s="55">
        <f>IF(物品!N233=0,0,"'"&amp;物品!N233&amp;"'")</f>
        <v>0</v>
      </c>
      <c r="N205" s="55">
        <f>IF(物品!O233=0,0,"'"&amp;物品!O233&amp;"'")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物品!A234</f>
        <v>0</v>
      </c>
      <c r="B206" s="55" t="str">
        <f>"'"&amp;物品!B234&amp;"'"</f>
        <v>'IF08'</v>
      </c>
      <c r="C206" s="55">
        <f>物品!J234</f>
        <v>0</v>
      </c>
      <c r="D206" s="55">
        <f>物品!K234</f>
        <v>0</v>
      </c>
      <c r="E206" s="55">
        <f>物品!L234</f>
        <v>0</v>
      </c>
      <c r="F206" s="55">
        <f>物品!M234</f>
        <v>0</v>
      </c>
      <c r="G206" s="55">
        <f>物品!N234</f>
        <v>0</v>
      </c>
      <c r="H206" s="55">
        <f>物品!O234</f>
        <v>0</v>
      </c>
      <c r="I206" s="55">
        <f>IF(物品!J234=0,0,"'"&amp;物品!J234&amp;"'")</f>
        <v>0</v>
      </c>
      <c r="J206" s="55">
        <f>IF(物品!K234=0,0,"'"&amp;物品!K234&amp;"'")</f>
        <v>0</v>
      </c>
      <c r="K206" s="55">
        <f>IF(物品!L234=0,0,"'"&amp;物品!L234&amp;"'")</f>
        <v>0</v>
      </c>
      <c r="L206" s="55">
        <f>IF(物品!M234=0,0,"'"&amp;物品!M234&amp;"'")</f>
        <v>0</v>
      </c>
      <c r="M206" s="55">
        <f>IF(物品!N234=0,0,"'"&amp;物品!N234&amp;"'")</f>
        <v>0</v>
      </c>
      <c r="N206" s="55">
        <f>IF(物品!O234=0,0,"'"&amp;物品!O234&amp;"'")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物品!A235</f>
        <v>0</v>
      </c>
      <c r="B207" s="55" t="str">
        <f>"'"&amp;物品!B235&amp;"'"</f>
        <v>'IF09'</v>
      </c>
      <c r="C207" s="55">
        <f>物品!J235</f>
        <v>0</v>
      </c>
      <c r="D207" s="55">
        <f>物品!K235</f>
        <v>0</v>
      </c>
      <c r="E207" s="55">
        <f>物品!L235</f>
        <v>0</v>
      </c>
      <c r="F207" s="55">
        <f>物品!M235</f>
        <v>0</v>
      </c>
      <c r="G207" s="55">
        <f>物品!N235</f>
        <v>0</v>
      </c>
      <c r="H207" s="55">
        <f>物品!O235</f>
        <v>0</v>
      </c>
      <c r="I207" s="55">
        <f>IF(物品!J235=0,0,"'"&amp;物品!J235&amp;"'")</f>
        <v>0</v>
      </c>
      <c r="J207" s="55">
        <f>IF(物品!K235=0,0,"'"&amp;物品!K235&amp;"'")</f>
        <v>0</v>
      </c>
      <c r="K207" s="55">
        <f>IF(物品!L235=0,0,"'"&amp;物品!L235&amp;"'")</f>
        <v>0</v>
      </c>
      <c r="L207" s="55">
        <f>IF(物品!M235=0,0,"'"&amp;物品!M235&amp;"'")</f>
        <v>0</v>
      </c>
      <c r="M207" s="55">
        <f>IF(物品!N235=0,0,"'"&amp;物品!N235&amp;"'")</f>
        <v>0</v>
      </c>
      <c r="N207" s="55">
        <f>IF(物品!O235=0,0,"'"&amp;物品!O235&amp;"'")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物品!A236</f>
        <v>0</v>
      </c>
      <c r="B208" s="55" t="str">
        <f>"'"&amp;物品!B236&amp;"'"</f>
        <v>'IF10'</v>
      </c>
      <c r="C208" s="55">
        <f>物品!J236</f>
        <v>0</v>
      </c>
      <c r="D208" s="55">
        <f>物品!K236</f>
        <v>0</v>
      </c>
      <c r="E208" s="55">
        <f>物品!L236</f>
        <v>0</v>
      </c>
      <c r="F208" s="55">
        <f>物品!M236</f>
        <v>0</v>
      </c>
      <c r="G208" s="55">
        <f>物品!N236</f>
        <v>0</v>
      </c>
      <c r="H208" s="55">
        <f>物品!O236</f>
        <v>0</v>
      </c>
      <c r="I208" s="55">
        <f>IF(物品!J236=0,0,"'"&amp;物品!J236&amp;"'")</f>
        <v>0</v>
      </c>
      <c r="J208" s="55">
        <f>IF(物品!K236=0,0,"'"&amp;物品!K236&amp;"'")</f>
        <v>0</v>
      </c>
      <c r="K208" s="55">
        <f>IF(物品!L236=0,0,"'"&amp;物品!L236&amp;"'")</f>
        <v>0</v>
      </c>
      <c r="L208" s="55">
        <f>IF(物品!M236=0,0,"'"&amp;物品!M236&amp;"'")</f>
        <v>0</v>
      </c>
      <c r="M208" s="55">
        <f>IF(物品!N236=0,0,"'"&amp;物品!N236&amp;"'")</f>
        <v>0</v>
      </c>
      <c r="N208" s="55">
        <f>IF(物品!O236=0,0,"'"&amp;物品!O236&amp;"'")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物品!A237</f>
        <v>0</v>
      </c>
      <c r="B209" s="55" t="str">
        <f>"'"&amp;物品!B237&amp;"'"</f>
        <v>'IF11'</v>
      </c>
      <c r="C209" s="55">
        <f>物品!J237</f>
        <v>0</v>
      </c>
      <c r="D209" s="55">
        <f>物品!K237</f>
        <v>0</v>
      </c>
      <c r="E209" s="55">
        <f>物品!L237</f>
        <v>0</v>
      </c>
      <c r="F209" s="55">
        <f>物品!M237</f>
        <v>0</v>
      </c>
      <c r="G209" s="55">
        <f>物品!N237</f>
        <v>0</v>
      </c>
      <c r="H209" s="55">
        <f>物品!O237</f>
        <v>0</v>
      </c>
      <c r="I209" s="55">
        <f>IF(物品!J237=0,0,"'"&amp;物品!J237&amp;"'")</f>
        <v>0</v>
      </c>
      <c r="J209" s="55">
        <f>IF(物品!K237=0,0,"'"&amp;物品!K237&amp;"'")</f>
        <v>0</v>
      </c>
      <c r="K209" s="55">
        <f>IF(物品!L237=0,0,"'"&amp;物品!L237&amp;"'")</f>
        <v>0</v>
      </c>
      <c r="L209" s="55">
        <f>IF(物品!M237=0,0,"'"&amp;物品!M237&amp;"'")</f>
        <v>0</v>
      </c>
      <c r="M209" s="55">
        <f>IF(物品!N237=0,0,"'"&amp;物品!N237&amp;"'")</f>
        <v>0</v>
      </c>
      <c r="N209" s="55">
        <f>IF(物品!O237=0,0,"'"&amp;物品!O237&amp;"'")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物品!A238</f>
        <v>0</v>
      </c>
      <c r="B210" s="55" t="str">
        <f>"'"&amp;物品!B238&amp;"'"</f>
        <v>'IF12'</v>
      </c>
      <c r="C210" s="55">
        <f>物品!J238</f>
        <v>0</v>
      </c>
      <c r="D210" s="55">
        <f>物品!K238</f>
        <v>0</v>
      </c>
      <c r="E210" s="55">
        <f>物品!L238</f>
        <v>0</v>
      </c>
      <c r="F210" s="55">
        <f>物品!M238</f>
        <v>0</v>
      </c>
      <c r="G210" s="55">
        <f>物品!N238</f>
        <v>0</v>
      </c>
      <c r="H210" s="55">
        <f>物品!O238</f>
        <v>0</v>
      </c>
      <c r="I210" s="55">
        <f>IF(物品!J238=0,0,"'"&amp;物品!J238&amp;"'")</f>
        <v>0</v>
      </c>
      <c r="J210" s="55">
        <f>IF(物品!K238=0,0,"'"&amp;物品!K238&amp;"'")</f>
        <v>0</v>
      </c>
      <c r="K210" s="55">
        <f>IF(物品!L238=0,0,"'"&amp;物品!L238&amp;"'")</f>
        <v>0</v>
      </c>
      <c r="L210" s="55">
        <f>IF(物品!M238=0,0,"'"&amp;物品!M238&amp;"'")</f>
        <v>0</v>
      </c>
      <c r="M210" s="55">
        <f>IF(物品!N238=0,0,"'"&amp;物品!N238&amp;"'")</f>
        <v>0</v>
      </c>
      <c r="N210" s="55">
        <f>IF(物品!O238=0,0,"'"&amp;物品!O238&amp;"'")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物品!A239</f>
        <v>0</v>
      </c>
      <c r="B211" s="55" t="str">
        <f>"'"&amp;物品!B239&amp;"'"</f>
        <v>'IF13'</v>
      </c>
      <c r="C211" s="55">
        <f>物品!J239</f>
        <v>0</v>
      </c>
      <c r="D211" s="55">
        <f>物品!K239</f>
        <v>0</v>
      </c>
      <c r="E211" s="55">
        <f>物品!L239</f>
        <v>0</v>
      </c>
      <c r="F211" s="55">
        <f>物品!M239</f>
        <v>0</v>
      </c>
      <c r="G211" s="55">
        <f>物品!N239</f>
        <v>0</v>
      </c>
      <c r="H211" s="55">
        <f>物品!O239</f>
        <v>0</v>
      </c>
      <c r="I211" s="55">
        <f>IF(物品!J239=0,0,"'"&amp;物品!J239&amp;"'")</f>
        <v>0</v>
      </c>
      <c r="J211" s="55">
        <f>IF(物品!K239=0,0,"'"&amp;物品!K239&amp;"'")</f>
        <v>0</v>
      </c>
      <c r="K211" s="55">
        <f>IF(物品!L239=0,0,"'"&amp;物品!L239&amp;"'")</f>
        <v>0</v>
      </c>
      <c r="L211" s="55">
        <f>IF(物品!M239=0,0,"'"&amp;物品!M239&amp;"'")</f>
        <v>0</v>
      </c>
      <c r="M211" s="55">
        <f>IF(物品!N239=0,0,"'"&amp;物品!N239&amp;"'")</f>
        <v>0</v>
      </c>
      <c r="N211" s="55">
        <f>IF(物品!O239=0,0,"'"&amp;物品!O239&amp;"'")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物品!A240</f>
        <v>0</v>
      </c>
      <c r="B212" s="55" t="str">
        <f>"'"&amp;物品!B240&amp;"'"</f>
        <v>'IF14'</v>
      </c>
      <c r="C212" s="55">
        <f>物品!J240</f>
        <v>0</v>
      </c>
      <c r="D212" s="55">
        <f>物品!K240</f>
        <v>0</v>
      </c>
      <c r="E212" s="55">
        <f>物品!L240</f>
        <v>0</v>
      </c>
      <c r="F212" s="55">
        <f>物品!M240</f>
        <v>0</v>
      </c>
      <c r="G212" s="55">
        <f>物品!N240</f>
        <v>0</v>
      </c>
      <c r="H212" s="55">
        <f>物品!O240</f>
        <v>0</v>
      </c>
      <c r="I212" s="55">
        <f>IF(物品!J240=0,0,"'"&amp;物品!J240&amp;"'")</f>
        <v>0</v>
      </c>
      <c r="J212" s="55">
        <f>IF(物品!K240=0,0,"'"&amp;物品!K240&amp;"'")</f>
        <v>0</v>
      </c>
      <c r="K212" s="55">
        <f>IF(物品!L240=0,0,"'"&amp;物品!L240&amp;"'")</f>
        <v>0</v>
      </c>
      <c r="L212" s="55">
        <f>IF(物品!M240=0,0,"'"&amp;物品!M240&amp;"'")</f>
        <v>0</v>
      </c>
      <c r="M212" s="55">
        <f>IF(物品!N240=0,0,"'"&amp;物品!N240&amp;"'")</f>
        <v>0</v>
      </c>
      <c r="N212" s="55">
        <f>IF(物品!O240=0,0,"'"&amp;物品!O240&amp;"'")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物品!A241</f>
        <v>0</v>
      </c>
      <c r="B213" s="55" t="str">
        <f>"'"&amp;物品!B241&amp;"'"</f>
        <v>'IF15'</v>
      </c>
      <c r="C213" s="55">
        <f>物品!J241</f>
        <v>0</v>
      </c>
      <c r="D213" s="55">
        <f>物品!K241</f>
        <v>0</v>
      </c>
      <c r="E213" s="55">
        <f>物品!L241</f>
        <v>0</v>
      </c>
      <c r="F213" s="55">
        <f>物品!M241</f>
        <v>0</v>
      </c>
      <c r="G213" s="55">
        <f>物品!N241</f>
        <v>0</v>
      </c>
      <c r="H213" s="55">
        <f>物品!O241</f>
        <v>0</v>
      </c>
      <c r="I213" s="55">
        <f>IF(物品!J241=0,0,"'"&amp;物品!J241&amp;"'")</f>
        <v>0</v>
      </c>
      <c r="J213" s="55">
        <f>IF(物品!K241=0,0,"'"&amp;物品!K241&amp;"'")</f>
        <v>0</v>
      </c>
      <c r="K213" s="55">
        <f>IF(物品!L241=0,0,"'"&amp;物品!L241&amp;"'")</f>
        <v>0</v>
      </c>
      <c r="L213" s="55">
        <f>IF(物品!M241=0,0,"'"&amp;物品!M241&amp;"'")</f>
        <v>0</v>
      </c>
      <c r="M213" s="55">
        <f>IF(物品!N241=0,0,"'"&amp;物品!N241&amp;"'")</f>
        <v>0</v>
      </c>
      <c r="N213" s="55">
        <f>IF(物品!O241=0,0,"'"&amp;物品!O241&amp;"'")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物品!A242</f>
        <v>0</v>
      </c>
      <c r="B214" s="55" t="str">
        <f>"'"&amp;物品!B242&amp;"'"</f>
        <v>'IF16'</v>
      </c>
      <c r="C214" s="55">
        <f>物品!J242</f>
        <v>0</v>
      </c>
      <c r="D214" s="55">
        <f>物品!K242</f>
        <v>0</v>
      </c>
      <c r="E214" s="55">
        <f>物品!L242</f>
        <v>0</v>
      </c>
      <c r="F214" s="55">
        <f>物品!M242</f>
        <v>0</v>
      </c>
      <c r="G214" s="55">
        <f>物品!N242</f>
        <v>0</v>
      </c>
      <c r="H214" s="55">
        <f>物品!O242</f>
        <v>0</v>
      </c>
      <c r="I214" s="55">
        <f>IF(物品!J242=0,0,"'"&amp;物品!J242&amp;"'")</f>
        <v>0</v>
      </c>
      <c r="J214" s="55">
        <f>IF(物品!K242=0,0,"'"&amp;物品!K242&amp;"'")</f>
        <v>0</v>
      </c>
      <c r="K214" s="55">
        <f>IF(物品!L242=0,0,"'"&amp;物品!L242&amp;"'")</f>
        <v>0</v>
      </c>
      <c r="L214" s="55">
        <f>IF(物品!M242=0,0,"'"&amp;物品!M242&amp;"'")</f>
        <v>0</v>
      </c>
      <c r="M214" s="55">
        <f>IF(物品!N242=0,0,"'"&amp;物品!N242&amp;"'")</f>
        <v>0</v>
      </c>
      <c r="N214" s="55">
        <f>IF(物品!O242=0,0,"'"&amp;物品!O242&amp;"'")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物品!A243</f>
        <v>0</v>
      </c>
      <c r="B215" s="55" t="str">
        <f>"'"&amp;物品!B243&amp;"'"</f>
        <v>'IF17'</v>
      </c>
      <c r="C215" s="55">
        <f>物品!J243</f>
        <v>0</v>
      </c>
      <c r="D215" s="55">
        <f>物品!K243</f>
        <v>0</v>
      </c>
      <c r="E215" s="55">
        <f>物品!L243</f>
        <v>0</v>
      </c>
      <c r="F215" s="55">
        <f>物品!M243</f>
        <v>0</v>
      </c>
      <c r="G215" s="55">
        <f>物品!N243</f>
        <v>0</v>
      </c>
      <c r="H215" s="55">
        <f>物品!O243</f>
        <v>0</v>
      </c>
      <c r="I215" s="55">
        <f>IF(物品!J243=0,0,"'"&amp;物品!J243&amp;"'")</f>
        <v>0</v>
      </c>
      <c r="J215" s="55">
        <f>IF(物品!K243=0,0,"'"&amp;物品!K243&amp;"'")</f>
        <v>0</v>
      </c>
      <c r="K215" s="55">
        <f>IF(物品!L243=0,0,"'"&amp;物品!L243&amp;"'")</f>
        <v>0</v>
      </c>
      <c r="L215" s="55">
        <f>IF(物品!M243=0,0,"'"&amp;物品!M243&amp;"'")</f>
        <v>0</v>
      </c>
      <c r="M215" s="55">
        <f>IF(物品!N243=0,0,"'"&amp;物品!N243&amp;"'")</f>
        <v>0</v>
      </c>
      <c r="N215" s="55">
        <f>IF(物品!O243=0,0,"'"&amp;物品!O243&amp;"'")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物品!A244</f>
        <v>0</v>
      </c>
      <c r="B216" s="55" t="str">
        <f>"'"&amp;物品!B244&amp;"'"</f>
        <v>'IF18'</v>
      </c>
      <c r="C216" s="55">
        <f>物品!J244</f>
        <v>0</v>
      </c>
      <c r="D216" s="55">
        <f>物品!K244</f>
        <v>0</v>
      </c>
      <c r="E216" s="55">
        <f>物品!L244</f>
        <v>0</v>
      </c>
      <c r="F216" s="55">
        <f>物品!M244</f>
        <v>0</v>
      </c>
      <c r="G216" s="55">
        <f>物品!N244</f>
        <v>0</v>
      </c>
      <c r="H216" s="55">
        <f>物品!O244</f>
        <v>0</v>
      </c>
      <c r="I216" s="55">
        <f>IF(物品!J244=0,0,"'"&amp;物品!J244&amp;"'")</f>
        <v>0</v>
      </c>
      <c r="J216" s="55">
        <f>IF(物品!K244=0,0,"'"&amp;物品!K244&amp;"'")</f>
        <v>0</v>
      </c>
      <c r="K216" s="55">
        <f>IF(物品!L244=0,0,"'"&amp;物品!L244&amp;"'")</f>
        <v>0</v>
      </c>
      <c r="L216" s="55">
        <f>IF(物品!M244=0,0,"'"&amp;物品!M244&amp;"'")</f>
        <v>0</v>
      </c>
      <c r="M216" s="55">
        <f>IF(物品!N244=0,0,"'"&amp;物品!N244&amp;"'")</f>
        <v>0</v>
      </c>
      <c r="N216" s="55">
        <f>IF(物品!O244=0,0,"'"&amp;物品!O244&amp;"'")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物品!A245</f>
        <v>0</v>
      </c>
      <c r="B217" s="55" t="str">
        <f>"'"&amp;物品!B245&amp;"'"</f>
        <v>'IF19'</v>
      </c>
      <c r="C217" s="55">
        <f>物品!J245</f>
        <v>0</v>
      </c>
      <c r="D217" s="55">
        <f>物品!K245</f>
        <v>0</v>
      </c>
      <c r="E217" s="55">
        <f>物品!L245</f>
        <v>0</v>
      </c>
      <c r="F217" s="55">
        <f>物品!M245</f>
        <v>0</v>
      </c>
      <c r="G217" s="55">
        <f>物品!N245</f>
        <v>0</v>
      </c>
      <c r="H217" s="55">
        <f>物品!O245</f>
        <v>0</v>
      </c>
      <c r="I217" s="55">
        <f>IF(物品!J245=0,0,"'"&amp;物品!J245&amp;"'")</f>
        <v>0</v>
      </c>
      <c r="J217" s="55">
        <f>IF(物品!K245=0,0,"'"&amp;物品!K245&amp;"'")</f>
        <v>0</v>
      </c>
      <c r="K217" s="55">
        <f>IF(物品!L245=0,0,"'"&amp;物品!L245&amp;"'")</f>
        <v>0</v>
      </c>
      <c r="L217" s="55">
        <f>IF(物品!M245=0,0,"'"&amp;物品!M245&amp;"'")</f>
        <v>0</v>
      </c>
      <c r="M217" s="55">
        <f>IF(物品!N245=0,0,"'"&amp;物品!N245&amp;"'")</f>
        <v>0</v>
      </c>
      <c r="N217" s="55">
        <f>IF(物品!O245=0,0,"'"&amp;物品!O245&amp;"'")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物品!A246</f>
        <v>0</v>
      </c>
      <c r="B218" s="55" t="str">
        <f>"'"&amp;物品!B246&amp;"'"</f>
        <v>'IF20'</v>
      </c>
      <c r="C218" s="55">
        <f>物品!J246</f>
        <v>0</v>
      </c>
      <c r="D218" s="55">
        <f>物品!K246</f>
        <v>0</v>
      </c>
      <c r="E218" s="55">
        <f>物品!L246</f>
        <v>0</v>
      </c>
      <c r="F218" s="55">
        <f>物品!M246</f>
        <v>0</v>
      </c>
      <c r="G218" s="55">
        <f>物品!N246</f>
        <v>0</v>
      </c>
      <c r="H218" s="55">
        <f>物品!O246</f>
        <v>0</v>
      </c>
      <c r="I218" s="55">
        <f>IF(物品!J246=0,0,"'"&amp;物品!J246&amp;"'")</f>
        <v>0</v>
      </c>
      <c r="J218" s="55">
        <f>IF(物品!K246=0,0,"'"&amp;物品!K246&amp;"'")</f>
        <v>0</v>
      </c>
      <c r="K218" s="55">
        <f>IF(物品!L246=0,0,"'"&amp;物品!L246&amp;"'")</f>
        <v>0</v>
      </c>
      <c r="L218" s="55">
        <f>IF(物品!M246=0,0,"'"&amp;物品!M246&amp;"'")</f>
        <v>0</v>
      </c>
      <c r="M218" s="55">
        <f>IF(物品!N246=0,0,"'"&amp;物品!N246&amp;"'")</f>
        <v>0</v>
      </c>
      <c r="N218" s="55">
        <f>IF(物品!O246=0,0,"'"&amp;物品!O246&amp;"'")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物品!A247</f>
        <v>0</v>
      </c>
      <c r="B219" s="55" t="str">
        <f>"'"&amp;物品!B247&amp;"'"</f>
        <v>'IF21'</v>
      </c>
      <c r="C219" s="55">
        <f>物品!J247</f>
        <v>0</v>
      </c>
      <c r="D219" s="55">
        <f>物品!K247</f>
        <v>0</v>
      </c>
      <c r="E219" s="55">
        <f>物品!L247</f>
        <v>0</v>
      </c>
      <c r="F219" s="55">
        <f>物品!M247</f>
        <v>0</v>
      </c>
      <c r="G219" s="55">
        <f>物品!N247</f>
        <v>0</v>
      </c>
      <c r="H219" s="55">
        <f>物品!O247</f>
        <v>0</v>
      </c>
      <c r="I219" s="55">
        <f>IF(物品!J247=0,0,"'"&amp;物品!J247&amp;"'")</f>
        <v>0</v>
      </c>
      <c r="J219" s="55">
        <f>IF(物品!K247=0,0,"'"&amp;物品!K247&amp;"'")</f>
        <v>0</v>
      </c>
      <c r="K219" s="55">
        <f>IF(物品!L247=0,0,"'"&amp;物品!L247&amp;"'")</f>
        <v>0</v>
      </c>
      <c r="L219" s="55">
        <f>IF(物品!M247=0,0,"'"&amp;物品!M247&amp;"'")</f>
        <v>0</v>
      </c>
      <c r="M219" s="55">
        <f>IF(物品!N247=0,0,"'"&amp;物品!N247&amp;"'")</f>
        <v>0</v>
      </c>
      <c r="N219" s="55">
        <f>IF(物品!O247=0,0,"'"&amp;物品!O247&amp;"'")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物品!A248</f>
        <v>0</v>
      </c>
      <c r="B220" s="55" t="str">
        <f>"'"&amp;物品!B248&amp;"'"</f>
        <v>'IF22'</v>
      </c>
      <c r="C220" s="55">
        <f>物品!J248</f>
        <v>0</v>
      </c>
      <c r="D220" s="55">
        <f>物品!K248</f>
        <v>0</v>
      </c>
      <c r="E220" s="55">
        <f>物品!L248</f>
        <v>0</v>
      </c>
      <c r="F220" s="55">
        <f>物品!M248</f>
        <v>0</v>
      </c>
      <c r="G220" s="55">
        <f>物品!N248</f>
        <v>0</v>
      </c>
      <c r="H220" s="55">
        <f>物品!O248</f>
        <v>0</v>
      </c>
      <c r="I220" s="55">
        <f>IF(物品!J248=0,0,"'"&amp;物品!J248&amp;"'")</f>
        <v>0</v>
      </c>
      <c r="J220" s="55">
        <f>IF(物品!K248=0,0,"'"&amp;物品!K248&amp;"'")</f>
        <v>0</v>
      </c>
      <c r="K220" s="55">
        <f>IF(物品!L248=0,0,"'"&amp;物品!L248&amp;"'")</f>
        <v>0</v>
      </c>
      <c r="L220" s="55">
        <f>IF(物品!M248=0,0,"'"&amp;物品!M248&amp;"'")</f>
        <v>0</v>
      </c>
      <c r="M220" s="55">
        <f>IF(物品!N248=0,0,"'"&amp;物品!N248&amp;"'")</f>
        <v>0</v>
      </c>
      <c r="N220" s="55">
        <f>IF(物品!O248=0,0,"'"&amp;物品!O248&amp;"'")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物品!A249</f>
        <v>0</v>
      </c>
      <c r="B221" s="55" t="str">
        <f>"'"&amp;物品!B249&amp;"'"</f>
        <v>'IF23'</v>
      </c>
      <c r="C221" s="55">
        <f>物品!J249</f>
        <v>0</v>
      </c>
      <c r="D221" s="55">
        <f>物品!K249</f>
        <v>0</v>
      </c>
      <c r="E221" s="55">
        <f>物品!L249</f>
        <v>0</v>
      </c>
      <c r="F221" s="55">
        <f>物品!M249</f>
        <v>0</v>
      </c>
      <c r="G221" s="55">
        <f>物品!N249</f>
        <v>0</v>
      </c>
      <c r="H221" s="55">
        <f>物品!O249</f>
        <v>0</v>
      </c>
      <c r="I221" s="55">
        <f>IF(物品!J249=0,0,"'"&amp;物品!J249&amp;"'")</f>
        <v>0</v>
      </c>
      <c r="J221" s="55">
        <f>IF(物品!K249=0,0,"'"&amp;物品!K249&amp;"'")</f>
        <v>0</v>
      </c>
      <c r="K221" s="55">
        <f>IF(物品!L249=0,0,"'"&amp;物品!L249&amp;"'")</f>
        <v>0</v>
      </c>
      <c r="L221" s="55">
        <f>IF(物品!M249=0,0,"'"&amp;物品!M249&amp;"'")</f>
        <v>0</v>
      </c>
      <c r="M221" s="55">
        <f>IF(物品!N249=0,0,"'"&amp;物品!N249&amp;"'")</f>
        <v>0</v>
      </c>
      <c r="N221" s="55">
        <f>IF(物品!O249=0,0,"'"&amp;物品!O249&amp;"'")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物品!A250</f>
        <v>0</v>
      </c>
      <c r="B222" s="55" t="str">
        <f>"'"&amp;物品!B250&amp;"'"</f>
        <v>'IF24'</v>
      </c>
      <c r="C222" s="55">
        <f>物品!J250</f>
        <v>0</v>
      </c>
      <c r="D222" s="55">
        <f>物品!K250</f>
        <v>0</v>
      </c>
      <c r="E222" s="55">
        <f>物品!L250</f>
        <v>0</v>
      </c>
      <c r="F222" s="55">
        <f>物品!M250</f>
        <v>0</v>
      </c>
      <c r="G222" s="55">
        <f>物品!N250</f>
        <v>0</v>
      </c>
      <c r="H222" s="55">
        <f>物品!O250</f>
        <v>0</v>
      </c>
      <c r="I222" s="55">
        <f>IF(物品!J250=0,0,"'"&amp;物品!J250&amp;"'")</f>
        <v>0</v>
      </c>
      <c r="J222" s="55">
        <f>IF(物品!K250=0,0,"'"&amp;物品!K250&amp;"'")</f>
        <v>0</v>
      </c>
      <c r="K222" s="55">
        <f>IF(物品!L250=0,0,"'"&amp;物品!L250&amp;"'")</f>
        <v>0</v>
      </c>
      <c r="L222" s="55">
        <f>IF(物品!M250=0,0,"'"&amp;物品!M250&amp;"'")</f>
        <v>0</v>
      </c>
      <c r="M222" s="55">
        <f>IF(物品!N250=0,0,"'"&amp;物品!N250&amp;"'")</f>
        <v>0</v>
      </c>
      <c r="N222" s="55">
        <f>IF(物品!O250=0,0,"'"&amp;物品!O250&amp;"'")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物品!A251</f>
        <v>0</v>
      </c>
      <c r="B223" s="55" t="str">
        <f>"'"&amp;物品!B251&amp;"'"</f>
        <v>'IF25'</v>
      </c>
      <c r="C223" s="55">
        <f>物品!J251</f>
        <v>0</v>
      </c>
      <c r="D223" s="55">
        <f>物品!K251</f>
        <v>0</v>
      </c>
      <c r="E223" s="55">
        <f>物品!L251</f>
        <v>0</v>
      </c>
      <c r="F223" s="55">
        <f>物品!M251</f>
        <v>0</v>
      </c>
      <c r="G223" s="55">
        <f>物品!N251</f>
        <v>0</v>
      </c>
      <c r="H223" s="55">
        <f>物品!O251</f>
        <v>0</v>
      </c>
      <c r="I223" s="55">
        <f>IF(物品!J251=0,0,"'"&amp;物品!J251&amp;"'")</f>
        <v>0</v>
      </c>
      <c r="J223" s="55">
        <f>IF(物品!K251=0,0,"'"&amp;物品!K251&amp;"'")</f>
        <v>0</v>
      </c>
      <c r="K223" s="55">
        <f>IF(物品!L251=0,0,"'"&amp;物品!L251&amp;"'")</f>
        <v>0</v>
      </c>
      <c r="L223" s="55">
        <f>IF(物品!M251=0,0,"'"&amp;物品!M251&amp;"'")</f>
        <v>0</v>
      </c>
      <c r="M223" s="55">
        <f>IF(物品!N251=0,0,"'"&amp;物品!N251&amp;"'")</f>
        <v>0</v>
      </c>
      <c r="N223" s="55">
        <f>IF(物品!O251=0,0,"'"&amp;物品!O251&amp;"'")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物品!A252</f>
        <v>0</v>
      </c>
      <c r="B224" s="55" t="str">
        <f>"'"&amp;物品!B252&amp;"'"</f>
        <v>'IF26'</v>
      </c>
      <c r="C224" s="55">
        <f>物品!J252</f>
        <v>0</v>
      </c>
      <c r="D224" s="55">
        <f>物品!K252</f>
        <v>0</v>
      </c>
      <c r="E224" s="55">
        <f>物品!L252</f>
        <v>0</v>
      </c>
      <c r="F224" s="55">
        <f>物品!M252</f>
        <v>0</v>
      </c>
      <c r="G224" s="55">
        <f>物品!N252</f>
        <v>0</v>
      </c>
      <c r="H224" s="55">
        <f>物品!O252</f>
        <v>0</v>
      </c>
      <c r="I224" s="55">
        <f>IF(物品!J252=0,0,"'"&amp;物品!J252&amp;"'")</f>
        <v>0</v>
      </c>
      <c r="J224" s="55">
        <f>IF(物品!K252=0,0,"'"&amp;物品!K252&amp;"'")</f>
        <v>0</v>
      </c>
      <c r="K224" s="55">
        <f>IF(物品!L252=0,0,"'"&amp;物品!L252&amp;"'")</f>
        <v>0</v>
      </c>
      <c r="L224" s="55">
        <f>IF(物品!M252=0,0,"'"&amp;物品!M252&amp;"'")</f>
        <v>0</v>
      </c>
      <c r="M224" s="55">
        <f>IF(物品!N252=0,0,"'"&amp;物品!N252&amp;"'")</f>
        <v>0</v>
      </c>
      <c r="N224" s="55">
        <f>IF(物品!O252=0,0,"'"&amp;物品!O252&amp;"'")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物品!A253</f>
        <v>0</v>
      </c>
      <c r="B225" s="55" t="str">
        <f>"'"&amp;物品!B253&amp;"'"</f>
        <v>'IF27'</v>
      </c>
      <c r="C225" s="55">
        <f>物品!J253</f>
        <v>0</v>
      </c>
      <c r="D225" s="55">
        <f>物品!K253</f>
        <v>0</v>
      </c>
      <c r="E225" s="55">
        <f>物品!L253</f>
        <v>0</v>
      </c>
      <c r="F225" s="55">
        <f>物品!M253</f>
        <v>0</v>
      </c>
      <c r="G225" s="55">
        <f>物品!N253</f>
        <v>0</v>
      </c>
      <c r="H225" s="55">
        <f>物品!O253</f>
        <v>0</v>
      </c>
      <c r="I225" s="55">
        <f>IF(物品!J253=0,0,"'"&amp;物品!J253&amp;"'")</f>
        <v>0</v>
      </c>
      <c r="J225" s="55">
        <f>IF(物品!K253=0,0,"'"&amp;物品!K253&amp;"'")</f>
        <v>0</v>
      </c>
      <c r="K225" s="55">
        <f>IF(物品!L253=0,0,"'"&amp;物品!L253&amp;"'")</f>
        <v>0</v>
      </c>
      <c r="L225" s="55">
        <f>IF(物品!M253=0,0,"'"&amp;物品!M253&amp;"'")</f>
        <v>0</v>
      </c>
      <c r="M225" s="55">
        <f>IF(物品!N253=0,0,"'"&amp;物品!N253&amp;"'")</f>
        <v>0</v>
      </c>
      <c r="N225" s="55">
        <f>IF(物品!O253=0,0,"'"&amp;物品!O253&amp;"'")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物品!A260</f>
        <v>0</v>
      </c>
      <c r="B226" s="55" t="str">
        <f>"'"&amp;物品!B260&amp;"'"</f>
        <v>'IC01'</v>
      </c>
      <c r="C226" s="55">
        <f>物品!J260</f>
        <v>0</v>
      </c>
      <c r="D226" s="55">
        <f>物品!K260</f>
        <v>0</v>
      </c>
      <c r="E226" s="55">
        <f>物品!L260</f>
        <v>0</v>
      </c>
      <c r="F226" s="55">
        <f>物品!M260</f>
        <v>0</v>
      </c>
      <c r="G226" s="55">
        <f>物品!N260</f>
        <v>0</v>
      </c>
      <c r="H226" s="55">
        <f>物品!O260</f>
        <v>0</v>
      </c>
      <c r="I226" s="55">
        <f>IF(物品!J260=0,0,"'"&amp;物品!J260&amp;"'")</f>
        <v>0</v>
      </c>
      <c r="J226" s="55">
        <f>IF(物品!K260=0,0,"'"&amp;物品!K260&amp;"'")</f>
        <v>0</v>
      </c>
      <c r="K226" s="55">
        <f>IF(物品!L260=0,0,"'"&amp;物品!L260&amp;"'")</f>
        <v>0</v>
      </c>
      <c r="L226" s="55">
        <f>IF(物品!M260=0,0,"'"&amp;物品!M260&amp;"'")</f>
        <v>0</v>
      </c>
      <c r="M226" s="55">
        <f>IF(物品!N260=0,0,"'"&amp;物品!N260&amp;"'")</f>
        <v>0</v>
      </c>
      <c r="N226" s="55">
        <f>IF(物品!O260=0,0,"'"&amp;物品!O260&amp;"'")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物品!A261</f>
        <v>0</v>
      </c>
      <c r="B227" s="55" t="str">
        <f>"'"&amp;物品!B261&amp;"'"</f>
        <v>'IC02'</v>
      </c>
      <c r="C227" s="55">
        <f>物品!J261</f>
        <v>0</v>
      </c>
      <c r="D227" s="55">
        <f>物品!K261</f>
        <v>0</v>
      </c>
      <c r="E227" s="55">
        <f>物品!L261</f>
        <v>0</v>
      </c>
      <c r="F227" s="55">
        <f>物品!M261</f>
        <v>0</v>
      </c>
      <c r="G227" s="55">
        <f>物品!N261</f>
        <v>0</v>
      </c>
      <c r="H227" s="55">
        <f>物品!O261</f>
        <v>0</v>
      </c>
      <c r="I227" s="55">
        <f>IF(物品!J261=0,0,"'"&amp;物品!J261&amp;"'")</f>
        <v>0</v>
      </c>
      <c r="J227" s="55">
        <f>IF(物品!K261=0,0,"'"&amp;物品!K261&amp;"'")</f>
        <v>0</v>
      </c>
      <c r="K227" s="55">
        <f>IF(物品!L261=0,0,"'"&amp;物品!L261&amp;"'")</f>
        <v>0</v>
      </c>
      <c r="L227" s="55">
        <f>IF(物品!M261=0,0,"'"&amp;物品!M261&amp;"'")</f>
        <v>0</v>
      </c>
      <c r="M227" s="55">
        <f>IF(物品!N261=0,0,"'"&amp;物品!N261&amp;"'")</f>
        <v>0</v>
      </c>
      <c r="N227" s="55">
        <f>IF(物品!O261=0,0,"'"&amp;物品!O261&amp;"'")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物品!A262</f>
        <v>0</v>
      </c>
      <c r="B228" s="55" t="str">
        <f>"'"&amp;物品!B262&amp;"'"</f>
        <v>'IC03'</v>
      </c>
      <c r="C228" s="55">
        <f>物品!J262</f>
        <v>0</v>
      </c>
      <c r="D228" s="55">
        <f>物品!K262</f>
        <v>0</v>
      </c>
      <c r="E228" s="55">
        <f>物品!L262</f>
        <v>0</v>
      </c>
      <c r="F228" s="55">
        <f>物品!M262</f>
        <v>0</v>
      </c>
      <c r="G228" s="55">
        <f>物品!N262</f>
        <v>0</v>
      </c>
      <c r="H228" s="55">
        <f>物品!O262</f>
        <v>0</v>
      </c>
      <c r="I228" s="55">
        <f>IF(物品!J262=0,0,"'"&amp;物品!J262&amp;"'")</f>
        <v>0</v>
      </c>
      <c r="J228" s="55">
        <f>IF(物品!K262=0,0,"'"&amp;物品!K262&amp;"'")</f>
        <v>0</v>
      </c>
      <c r="K228" s="55">
        <f>IF(物品!L262=0,0,"'"&amp;物品!L262&amp;"'")</f>
        <v>0</v>
      </c>
      <c r="L228" s="55">
        <f>IF(物品!M262=0,0,"'"&amp;物品!M262&amp;"'")</f>
        <v>0</v>
      </c>
      <c r="M228" s="55">
        <f>IF(物品!N262=0,0,"'"&amp;物品!N262&amp;"'")</f>
        <v>0</v>
      </c>
      <c r="N228" s="55">
        <f>IF(物品!O262=0,0,"'"&amp;物品!O262&amp;"'")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物品!A263</f>
        <v>0</v>
      </c>
      <c r="B229" s="55" t="str">
        <f>"'"&amp;物品!B263&amp;"'"</f>
        <v>'IC04'</v>
      </c>
      <c r="C229" s="55">
        <f>物品!J263</f>
        <v>0</v>
      </c>
      <c r="D229" s="55">
        <f>物品!K263</f>
        <v>0</v>
      </c>
      <c r="E229" s="55">
        <f>物品!L263</f>
        <v>0</v>
      </c>
      <c r="F229" s="55">
        <f>物品!M263</f>
        <v>0</v>
      </c>
      <c r="G229" s="55">
        <f>物品!N263</f>
        <v>0</v>
      </c>
      <c r="H229" s="55">
        <f>物品!O263</f>
        <v>0</v>
      </c>
      <c r="I229" s="55">
        <f>IF(物品!J263=0,0,"'"&amp;物品!J263&amp;"'")</f>
        <v>0</v>
      </c>
      <c r="J229" s="55">
        <f>IF(物品!K263=0,0,"'"&amp;物品!K263&amp;"'")</f>
        <v>0</v>
      </c>
      <c r="K229" s="55">
        <f>IF(物品!L263=0,0,"'"&amp;物品!L263&amp;"'")</f>
        <v>0</v>
      </c>
      <c r="L229" s="55">
        <f>IF(物品!M263=0,0,"'"&amp;物品!M263&amp;"'")</f>
        <v>0</v>
      </c>
      <c r="M229" s="55">
        <f>IF(物品!N263=0,0,"'"&amp;物品!N263&amp;"'")</f>
        <v>0</v>
      </c>
      <c r="N229" s="55">
        <f>IF(物品!O263=0,0,"'"&amp;物品!O263&amp;"'")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物品!A264</f>
        <v>0</v>
      </c>
      <c r="B230" s="55" t="str">
        <f>"'"&amp;物品!B264&amp;"'"</f>
        <v>'IC05'</v>
      </c>
      <c r="C230" s="55">
        <f>物品!J264</f>
        <v>0</v>
      </c>
      <c r="D230" s="55">
        <f>物品!K264</f>
        <v>0</v>
      </c>
      <c r="E230" s="55">
        <f>物品!L264</f>
        <v>0</v>
      </c>
      <c r="F230" s="55">
        <f>物品!M264</f>
        <v>0</v>
      </c>
      <c r="G230" s="55">
        <f>物品!N264</f>
        <v>0</v>
      </c>
      <c r="H230" s="55">
        <f>物品!O264</f>
        <v>0</v>
      </c>
      <c r="I230" s="55">
        <f>IF(物品!J264=0,0,"'"&amp;物品!J264&amp;"'")</f>
        <v>0</v>
      </c>
      <c r="J230" s="55">
        <f>IF(物品!K264=0,0,"'"&amp;物品!K264&amp;"'")</f>
        <v>0</v>
      </c>
      <c r="K230" s="55">
        <f>IF(物品!L264=0,0,"'"&amp;物品!L264&amp;"'")</f>
        <v>0</v>
      </c>
      <c r="L230" s="55">
        <f>IF(物品!M264=0,0,"'"&amp;物品!M264&amp;"'")</f>
        <v>0</v>
      </c>
      <c r="M230" s="55">
        <f>IF(物品!N264=0,0,"'"&amp;物品!N264&amp;"'")</f>
        <v>0</v>
      </c>
      <c r="N230" s="55">
        <f>IF(物品!O264=0,0,"'"&amp;物品!O264&amp;"'")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物品!A265</f>
        <v>0</v>
      </c>
      <c r="B231" s="55" t="str">
        <f>"'"&amp;物品!B265&amp;"'"</f>
        <v>'IC06'</v>
      </c>
      <c r="C231" s="55">
        <f>物品!J265</f>
        <v>0</v>
      </c>
      <c r="D231" s="55">
        <f>物品!K265</f>
        <v>0</v>
      </c>
      <c r="E231" s="55">
        <f>物品!L265</f>
        <v>0</v>
      </c>
      <c r="F231" s="55">
        <f>物品!M265</f>
        <v>0</v>
      </c>
      <c r="G231" s="55">
        <f>物品!N265</f>
        <v>0</v>
      </c>
      <c r="H231" s="55">
        <f>物品!O265</f>
        <v>0</v>
      </c>
      <c r="I231" s="55">
        <f>IF(物品!J265=0,0,"'"&amp;物品!J265&amp;"'")</f>
        <v>0</v>
      </c>
      <c r="J231" s="55">
        <f>IF(物品!K265=0,0,"'"&amp;物品!K265&amp;"'")</f>
        <v>0</v>
      </c>
      <c r="K231" s="55">
        <f>IF(物品!L265=0,0,"'"&amp;物品!L265&amp;"'")</f>
        <v>0</v>
      </c>
      <c r="L231" s="55">
        <f>IF(物品!M265=0,0,"'"&amp;物品!M265&amp;"'")</f>
        <v>0</v>
      </c>
      <c r="M231" s="55">
        <f>IF(物品!N265=0,0,"'"&amp;物品!N265&amp;"'")</f>
        <v>0</v>
      </c>
      <c r="N231" s="55">
        <f>IF(物品!O265=0,0,"'"&amp;物品!O265&amp;"'")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物品!A266</f>
        <v>0</v>
      </c>
      <c r="B232" s="55" t="str">
        <f>"'"&amp;物品!B266&amp;"'"</f>
        <v>'IC07'</v>
      </c>
      <c r="C232" s="55">
        <f>物品!J266</f>
        <v>0</v>
      </c>
      <c r="D232" s="55">
        <f>物品!K266</f>
        <v>0</v>
      </c>
      <c r="E232" s="55">
        <f>物品!L266</f>
        <v>0</v>
      </c>
      <c r="F232" s="55">
        <f>物品!M266</f>
        <v>0</v>
      </c>
      <c r="G232" s="55">
        <f>物品!N266</f>
        <v>0</v>
      </c>
      <c r="H232" s="55">
        <f>物品!O266</f>
        <v>0</v>
      </c>
      <c r="I232" s="55">
        <f>IF(物品!J266=0,0,"'"&amp;物品!J266&amp;"'")</f>
        <v>0</v>
      </c>
      <c r="J232" s="55">
        <f>IF(物品!K266=0,0,"'"&amp;物品!K266&amp;"'")</f>
        <v>0</v>
      </c>
      <c r="K232" s="55">
        <f>IF(物品!L266=0,0,"'"&amp;物品!L266&amp;"'")</f>
        <v>0</v>
      </c>
      <c r="L232" s="55">
        <f>IF(物品!M266=0,0,"'"&amp;物品!M266&amp;"'")</f>
        <v>0</v>
      </c>
      <c r="M232" s="55">
        <f>IF(物品!N266=0,0,"'"&amp;物品!N266&amp;"'")</f>
        <v>0</v>
      </c>
      <c r="N232" s="55">
        <f>IF(物品!O266=0,0,"'"&amp;物品!O266&amp;"'")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物品!A267</f>
        <v>0</v>
      </c>
      <c r="B233" s="55" t="str">
        <f>"'"&amp;物品!B267&amp;"'"</f>
        <v>'IC08'</v>
      </c>
      <c r="C233" s="55">
        <f>物品!J267</f>
        <v>0</v>
      </c>
      <c r="D233" s="55">
        <f>物品!K267</f>
        <v>0</v>
      </c>
      <c r="E233" s="55">
        <f>物品!L267</f>
        <v>0</v>
      </c>
      <c r="F233" s="55">
        <f>物品!M267</f>
        <v>0</v>
      </c>
      <c r="G233" s="55">
        <f>物品!N267</f>
        <v>0</v>
      </c>
      <c r="H233" s="55">
        <f>物品!O267</f>
        <v>0</v>
      </c>
      <c r="I233" s="55">
        <f>IF(物品!J267=0,0,"'"&amp;物品!J267&amp;"'")</f>
        <v>0</v>
      </c>
      <c r="J233" s="55">
        <f>IF(物品!K267=0,0,"'"&amp;物品!K267&amp;"'")</f>
        <v>0</v>
      </c>
      <c r="K233" s="55">
        <f>IF(物品!L267=0,0,"'"&amp;物品!L267&amp;"'")</f>
        <v>0</v>
      </c>
      <c r="L233" s="55">
        <f>IF(物品!M267=0,0,"'"&amp;物品!M267&amp;"'")</f>
        <v>0</v>
      </c>
      <c r="M233" s="55">
        <f>IF(物品!N267=0,0,"'"&amp;物品!N267&amp;"'")</f>
        <v>0</v>
      </c>
      <c r="N233" s="55">
        <f>IF(物品!O267=0,0,"'"&amp;物品!O267&amp;"'")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物品!A268</f>
        <v>0</v>
      </c>
      <c r="B234" s="55" t="str">
        <f>"'"&amp;物品!B268&amp;"'"</f>
        <v>'IC09'</v>
      </c>
      <c r="C234" s="55">
        <f>物品!J268</f>
        <v>0</v>
      </c>
      <c r="D234" s="55">
        <f>物品!K268</f>
        <v>0</v>
      </c>
      <c r="E234" s="55">
        <f>物品!L268</f>
        <v>0</v>
      </c>
      <c r="F234" s="55">
        <f>物品!M268</f>
        <v>0</v>
      </c>
      <c r="G234" s="55">
        <f>物品!N268</f>
        <v>0</v>
      </c>
      <c r="H234" s="55">
        <f>物品!O268</f>
        <v>0</v>
      </c>
      <c r="I234" s="55">
        <f>IF(物品!J268=0,0,"'"&amp;物品!J268&amp;"'")</f>
        <v>0</v>
      </c>
      <c r="J234" s="55">
        <f>IF(物品!K268=0,0,"'"&amp;物品!K268&amp;"'")</f>
        <v>0</v>
      </c>
      <c r="K234" s="55">
        <f>IF(物品!L268=0,0,"'"&amp;物品!L268&amp;"'")</f>
        <v>0</v>
      </c>
      <c r="L234" s="55">
        <f>IF(物品!M268=0,0,"'"&amp;物品!M268&amp;"'")</f>
        <v>0</v>
      </c>
      <c r="M234" s="55">
        <f>IF(物品!N268=0,0,"'"&amp;物品!N268&amp;"'")</f>
        <v>0</v>
      </c>
      <c r="N234" s="55">
        <f>IF(物品!O268=0,0,"'"&amp;物品!O268&amp;"'")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物品!A269</f>
        <v>0</v>
      </c>
      <c r="B235" s="55" t="str">
        <f>"'"&amp;物品!B269&amp;"'"</f>
        <v>'IC10'</v>
      </c>
      <c r="C235" s="55">
        <f>物品!J269</f>
        <v>0</v>
      </c>
      <c r="D235" s="55">
        <f>物品!K269</f>
        <v>0</v>
      </c>
      <c r="E235" s="55">
        <f>物品!L269</f>
        <v>0</v>
      </c>
      <c r="F235" s="55">
        <f>物品!M269</f>
        <v>0</v>
      </c>
      <c r="G235" s="55">
        <f>物品!N269</f>
        <v>0</v>
      </c>
      <c r="H235" s="55">
        <f>物品!O269</f>
        <v>0</v>
      </c>
      <c r="I235" s="55">
        <f>IF(物品!J269=0,0,"'"&amp;物品!J269&amp;"'")</f>
        <v>0</v>
      </c>
      <c r="J235" s="55">
        <f>IF(物品!K269=0,0,"'"&amp;物品!K269&amp;"'")</f>
        <v>0</v>
      </c>
      <c r="K235" s="55">
        <f>IF(物品!L269=0,0,"'"&amp;物品!L269&amp;"'")</f>
        <v>0</v>
      </c>
      <c r="L235" s="55">
        <f>IF(物品!M269=0,0,"'"&amp;物品!M269&amp;"'")</f>
        <v>0</v>
      </c>
      <c r="M235" s="55">
        <f>IF(物品!N269=0,0,"'"&amp;物品!N269&amp;"'")</f>
        <v>0</v>
      </c>
      <c r="N235" s="55">
        <f>IF(物品!O269=0,0,"'"&amp;物品!O269&amp;"'")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物品!A270</f>
        <v>0</v>
      </c>
      <c r="B236" s="55" t="str">
        <f>"'"&amp;物品!B270&amp;"'"</f>
        <v>'IC11'</v>
      </c>
      <c r="C236" s="55">
        <f>物品!J270</f>
        <v>0</v>
      </c>
      <c r="D236" s="55">
        <f>物品!K270</f>
        <v>0</v>
      </c>
      <c r="E236" s="55">
        <f>物品!L270</f>
        <v>0</v>
      </c>
      <c r="F236" s="55">
        <f>物品!M270</f>
        <v>0</v>
      </c>
      <c r="G236" s="55">
        <f>物品!N270</f>
        <v>0</v>
      </c>
      <c r="H236" s="55">
        <f>物品!O270</f>
        <v>0</v>
      </c>
      <c r="I236" s="55">
        <f>IF(物品!J270=0,0,"'"&amp;物品!J270&amp;"'")</f>
        <v>0</v>
      </c>
      <c r="J236" s="55">
        <f>IF(物品!K270=0,0,"'"&amp;物品!K270&amp;"'")</f>
        <v>0</v>
      </c>
      <c r="K236" s="55">
        <f>IF(物品!L270=0,0,"'"&amp;物品!L270&amp;"'")</f>
        <v>0</v>
      </c>
      <c r="L236" s="55">
        <f>IF(物品!M270=0,0,"'"&amp;物品!M270&amp;"'")</f>
        <v>0</v>
      </c>
      <c r="M236" s="55">
        <f>IF(物品!N270=0,0,"'"&amp;物品!N270&amp;"'")</f>
        <v>0</v>
      </c>
      <c r="N236" s="55">
        <f>IF(物品!O270=0,0,"'"&amp;物品!O270&amp;"'")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物品!A271</f>
        <v>0</v>
      </c>
      <c r="B237" s="55" t="str">
        <f>"'"&amp;物品!B271&amp;"'"</f>
        <v>''</v>
      </c>
      <c r="C237" s="55">
        <f>物品!J271</f>
        <v>0</v>
      </c>
      <c r="D237" s="55">
        <f>物品!K271</f>
        <v>0</v>
      </c>
      <c r="E237" s="55">
        <f>物品!L271</f>
        <v>0</v>
      </c>
      <c r="F237" s="55">
        <f>物品!M271</f>
        <v>0</v>
      </c>
      <c r="G237" s="55">
        <f>物品!N271</f>
        <v>0</v>
      </c>
      <c r="H237" s="55">
        <f>物品!O271</f>
        <v>0</v>
      </c>
      <c r="I237" s="55">
        <f>IF(物品!J271=0,0,"'"&amp;物品!J271&amp;"'")</f>
        <v>0</v>
      </c>
      <c r="J237" s="55">
        <f>IF(物品!K271=0,0,"'"&amp;物品!K271&amp;"'")</f>
        <v>0</v>
      </c>
      <c r="K237" s="55">
        <f>IF(物品!L271=0,0,"'"&amp;物品!L271&amp;"'")</f>
        <v>0</v>
      </c>
      <c r="L237" s="55">
        <f>IF(物品!M271=0,0,"'"&amp;物品!M271&amp;"'")</f>
        <v>0</v>
      </c>
      <c r="M237" s="55">
        <f>IF(物品!N271=0,0,"'"&amp;物品!N271&amp;"'")</f>
        <v>0</v>
      </c>
      <c r="N237" s="55">
        <f>IF(物品!O271=0,0,"'"&amp;物品!O271&amp;"'")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物品!A272</f>
        <v>0</v>
      </c>
      <c r="B238" s="55" t="str">
        <f>"'"&amp;物品!B272&amp;"'"</f>
        <v>''</v>
      </c>
      <c r="C238" s="55">
        <f>物品!J272</f>
        <v>0</v>
      </c>
      <c r="D238" s="55">
        <f>物品!K272</f>
        <v>0</v>
      </c>
      <c r="E238" s="55">
        <f>物品!L272</f>
        <v>0</v>
      </c>
      <c r="F238" s="55">
        <f>物品!M272</f>
        <v>0</v>
      </c>
      <c r="G238" s="55">
        <f>物品!N272</f>
        <v>0</v>
      </c>
      <c r="H238" s="55">
        <f>物品!O272</f>
        <v>0</v>
      </c>
      <c r="I238" s="55">
        <f>IF(物品!J272=0,0,"'"&amp;物品!J272&amp;"'")</f>
        <v>0</v>
      </c>
      <c r="J238" s="55">
        <f>IF(物品!K272=0,0,"'"&amp;物品!K272&amp;"'")</f>
        <v>0</v>
      </c>
      <c r="K238" s="55">
        <f>IF(物品!L272=0,0,"'"&amp;物品!L272&amp;"'")</f>
        <v>0</v>
      </c>
      <c r="L238" s="55">
        <f>IF(物品!M272=0,0,"'"&amp;物品!M272&amp;"'")</f>
        <v>0</v>
      </c>
      <c r="M238" s="55">
        <f>IF(物品!N272=0,0,"'"&amp;物品!N272&amp;"'")</f>
        <v>0</v>
      </c>
      <c r="N238" s="55">
        <f>IF(物品!O272=0,0,"'"&amp;物品!O272&amp;"'")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物品!A273</f>
        <v>0</v>
      </c>
      <c r="B239" s="55" t="str">
        <f>"'"&amp;物品!B273&amp;"'"</f>
        <v>''</v>
      </c>
      <c r="C239" s="55">
        <f>物品!J273</f>
        <v>0</v>
      </c>
      <c r="D239" s="55">
        <f>物品!K273</f>
        <v>0</v>
      </c>
      <c r="E239" s="55">
        <f>物品!L273</f>
        <v>0</v>
      </c>
      <c r="F239" s="55">
        <f>物品!M273</f>
        <v>0</v>
      </c>
      <c r="G239" s="55">
        <f>物品!N273</f>
        <v>0</v>
      </c>
      <c r="H239" s="55">
        <f>物品!O273</f>
        <v>0</v>
      </c>
      <c r="I239" s="55">
        <f>IF(物品!J273=0,0,"'"&amp;物品!J273&amp;"'")</f>
        <v>0</v>
      </c>
      <c r="J239" s="55">
        <f>IF(物品!K273=0,0,"'"&amp;物品!K273&amp;"'")</f>
        <v>0</v>
      </c>
      <c r="K239" s="55">
        <f>IF(物品!L273=0,0,"'"&amp;物品!L273&amp;"'")</f>
        <v>0</v>
      </c>
      <c r="L239" s="55">
        <f>IF(物品!M273=0,0,"'"&amp;物品!M273&amp;"'")</f>
        <v>0</v>
      </c>
      <c r="M239" s="55">
        <f>IF(物品!N273=0,0,"'"&amp;物品!N273&amp;"'")</f>
        <v>0</v>
      </c>
      <c r="N239" s="55">
        <f>IF(物品!O273=0,0,"'"&amp;物品!O273&amp;"'")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物品!A274</f>
        <v>0</v>
      </c>
      <c r="B240" s="55" t="str">
        <f>"'"&amp;物品!B274&amp;"'"</f>
        <v>''</v>
      </c>
      <c r="C240" s="55">
        <f>物品!J274</f>
        <v>0</v>
      </c>
      <c r="D240" s="55">
        <f>物品!K274</f>
        <v>0</v>
      </c>
      <c r="E240" s="55">
        <f>物品!L274</f>
        <v>0</v>
      </c>
      <c r="F240" s="55">
        <f>物品!M274</f>
        <v>0</v>
      </c>
      <c r="G240" s="55">
        <f>物品!N274</f>
        <v>0</v>
      </c>
      <c r="H240" s="55">
        <f>物品!O274</f>
        <v>0</v>
      </c>
      <c r="I240" s="55">
        <f>IF(物品!J274=0,0,"'"&amp;物品!J274&amp;"'")</f>
        <v>0</v>
      </c>
      <c r="J240" s="55">
        <f>IF(物品!K274=0,0,"'"&amp;物品!K274&amp;"'")</f>
        <v>0</v>
      </c>
      <c r="K240" s="55">
        <f>IF(物品!L274=0,0,"'"&amp;物品!L274&amp;"'")</f>
        <v>0</v>
      </c>
      <c r="L240" s="55">
        <f>IF(物品!M274=0,0,"'"&amp;物品!M274&amp;"'")</f>
        <v>0</v>
      </c>
      <c r="M240" s="55">
        <f>IF(物品!N274=0,0,"'"&amp;物品!N274&amp;"'")</f>
        <v>0</v>
      </c>
      <c r="N240" s="55">
        <f>IF(物品!O274=0,0,"'"&amp;物品!O274&amp;"'")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物品!A275</f>
        <v>0</v>
      </c>
      <c r="B241" s="55" t="str">
        <f>"'"&amp;物品!B275&amp;"'"</f>
        <v>''</v>
      </c>
      <c r="C241" s="55">
        <f>物品!J275</f>
        <v>0</v>
      </c>
      <c r="D241" s="55">
        <f>物品!K275</f>
        <v>0</v>
      </c>
      <c r="E241" s="55">
        <f>物品!L275</f>
        <v>0</v>
      </c>
      <c r="F241" s="55">
        <f>物品!M275</f>
        <v>0</v>
      </c>
      <c r="G241" s="55">
        <f>物品!N275</f>
        <v>0</v>
      </c>
      <c r="H241" s="55">
        <f>物品!O275</f>
        <v>0</v>
      </c>
      <c r="I241" s="55">
        <f>IF(物品!J275=0,0,"'"&amp;物品!J275&amp;"'")</f>
        <v>0</v>
      </c>
      <c r="J241" s="55">
        <f>IF(物品!K275=0,0,"'"&amp;物品!K275&amp;"'")</f>
        <v>0</v>
      </c>
      <c r="K241" s="55">
        <f>IF(物品!L275=0,0,"'"&amp;物品!L275&amp;"'")</f>
        <v>0</v>
      </c>
      <c r="L241" s="55">
        <f>IF(物品!M275=0,0,"'"&amp;物品!M275&amp;"'")</f>
        <v>0</v>
      </c>
      <c r="M241" s="55">
        <f>IF(物品!N275=0,0,"'"&amp;物品!N275&amp;"'")</f>
        <v>0</v>
      </c>
      <c r="N241" s="55">
        <f>IF(物品!O275=0,0,"'"&amp;物品!O275&amp;"'")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物品!A276</f>
        <v>0</v>
      </c>
      <c r="B242" s="55" t="str">
        <f>"'"&amp;物品!B276&amp;"'"</f>
        <v>''</v>
      </c>
      <c r="C242" s="55">
        <f>物品!J276</f>
        <v>0</v>
      </c>
      <c r="D242" s="55">
        <f>物品!K276</f>
        <v>0</v>
      </c>
      <c r="E242" s="55">
        <f>物品!L276</f>
        <v>0</v>
      </c>
      <c r="F242" s="55">
        <f>物品!M276</f>
        <v>0</v>
      </c>
      <c r="G242" s="55">
        <f>物品!N276</f>
        <v>0</v>
      </c>
      <c r="H242" s="55">
        <f>物品!O276</f>
        <v>0</v>
      </c>
      <c r="I242" s="55">
        <f>IF(物品!J276=0,0,"'"&amp;物品!J276&amp;"'")</f>
        <v>0</v>
      </c>
      <c r="J242" s="55">
        <f>IF(物品!K276=0,0,"'"&amp;物品!K276&amp;"'")</f>
        <v>0</v>
      </c>
      <c r="K242" s="55">
        <f>IF(物品!L276=0,0,"'"&amp;物品!L276&amp;"'")</f>
        <v>0</v>
      </c>
      <c r="L242" s="55">
        <f>IF(物品!M276=0,0,"'"&amp;物品!M276&amp;"'")</f>
        <v>0</v>
      </c>
      <c r="M242" s="55">
        <f>IF(物品!N276=0,0,"'"&amp;物品!N276&amp;"'")</f>
        <v>0</v>
      </c>
      <c r="N242" s="55">
        <f>IF(物品!O276=0,0,"'"&amp;物品!O276&amp;"'")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物品!A277</f>
        <v>0</v>
      </c>
      <c r="B243" s="55" t="str">
        <f>"'"&amp;物品!B277&amp;"'"</f>
        <v>''</v>
      </c>
      <c r="C243" s="55">
        <f>物品!J277</f>
        <v>0</v>
      </c>
      <c r="D243" s="55">
        <f>物品!K277</f>
        <v>0</v>
      </c>
      <c r="E243" s="55">
        <f>物品!L277</f>
        <v>0</v>
      </c>
      <c r="F243" s="55">
        <f>物品!M277</f>
        <v>0</v>
      </c>
      <c r="G243" s="55">
        <f>物品!N277</f>
        <v>0</v>
      </c>
      <c r="H243" s="55">
        <f>物品!O277</f>
        <v>0</v>
      </c>
      <c r="I243" s="55">
        <f>IF(物品!J277=0,0,"'"&amp;物品!J277&amp;"'")</f>
        <v>0</v>
      </c>
      <c r="J243" s="55">
        <f>IF(物品!K277=0,0,"'"&amp;物品!K277&amp;"'")</f>
        <v>0</v>
      </c>
      <c r="K243" s="55">
        <f>IF(物品!L277=0,0,"'"&amp;物品!L277&amp;"'")</f>
        <v>0</v>
      </c>
      <c r="L243" s="55">
        <f>IF(物品!M277=0,0,"'"&amp;物品!M277&amp;"'")</f>
        <v>0</v>
      </c>
      <c r="M243" s="55">
        <f>IF(物品!N277=0,0,"'"&amp;物品!N277&amp;"'")</f>
        <v>0</v>
      </c>
      <c r="N243" s="55">
        <f>IF(物品!O277=0,0,"'"&amp;物品!O277&amp;"'")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物品!A278</f>
        <v>0</v>
      </c>
      <c r="B244" s="55" t="str">
        <f>"'"&amp;物品!B278&amp;"'"</f>
        <v>''</v>
      </c>
      <c r="C244" s="55">
        <f>物品!J278</f>
        <v>0</v>
      </c>
      <c r="D244" s="55">
        <f>物品!K278</f>
        <v>0</v>
      </c>
      <c r="E244" s="55">
        <f>物品!L278</f>
        <v>0</v>
      </c>
      <c r="F244" s="55">
        <f>物品!M278</f>
        <v>0</v>
      </c>
      <c r="G244" s="55">
        <f>物品!N278</f>
        <v>0</v>
      </c>
      <c r="H244" s="55">
        <f>物品!O278</f>
        <v>0</v>
      </c>
      <c r="I244" s="55">
        <f>IF(物品!J278=0,0,"'"&amp;物品!J278&amp;"'")</f>
        <v>0</v>
      </c>
      <c r="J244" s="55">
        <f>IF(物品!K278=0,0,"'"&amp;物品!K278&amp;"'")</f>
        <v>0</v>
      </c>
      <c r="K244" s="55">
        <f>IF(物品!L278=0,0,"'"&amp;物品!L278&amp;"'")</f>
        <v>0</v>
      </c>
      <c r="L244" s="55">
        <f>IF(物品!M278=0,0,"'"&amp;物品!M278&amp;"'")</f>
        <v>0</v>
      </c>
      <c r="M244" s="55">
        <f>IF(物品!N278=0,0,"'"&amp;物品!N278&amp;"'")</f>
        <v>0</v>
      </c>
      <c r="N244" s="55">
        <f>IF(物品!O278=0,0,"'"&amp;物品!O278&amp;"'")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物品!A279</f>
        <v>0</v>
      </c>
      <c r="B245" s="55" t="str">
        <f>"'"&amp;物品!B279&amp;"'"</f>
        <v>''</v>
      </c>
      <c r="C245" s="55">
        <f>物品!J279</f>
        <v>0</v>
      </c>
      <c r="D245" s="55">
        <f>物品!K279</f>
        <v>0</v>
      </c>
      <c r="E245" s="55">
        <f>物品!L279</f>
        <v>0</v>
      </c>
      <c r="F245" s="55">
        <f>物品!M279</f>
        <v>0</v>
      </c>
      <c r="G245" s="55">
        <f>物品!N279</f>
        <v>0</v>
      </c>
      <c r="H245" s="55">
        <f>物品!O279</f>
        <v>0</v>
      </c>
      <c r="I245" s="55">
        <f>IF(物品!J279=0,0,"'"&amp;物品!J279&amp;"'")</f>
        <v>0</v>
      </c>
      <c r="J245" s="55">
        <f>IF(物品!K279=0,0,"'"&amp;物品!K279&amp;"'")</f>
        <v>0</v>
      </c>
      <c r="K245" s="55">
        <f>IF(物品!L279=0,0,"'"&amp;物品!L279&amp;"'")</f>
        <v>0</v>
      </c>
      <c r="L245" s="55">
        <f>IF(物品!M279=0,0,"'"&amp;物品!M279&amp;"'")</f>
        <v>0</v>
      </c>
      <c r="M245" s="55">
        <f>IF(物品!N279=0,0,"'"&amp;物品!N279&amp;"'")</f>
        <v>0</v>
      </c>
      <c r="N245" s="55">
        <f>IF(物品!O279=0,0,"'"&amp;物品!O279&amp;"'")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物品!A280</f>
        <v>0</v>
      </c>
      <c r="B246" s="55" t="str">
        <f>"'"&amp;物品!B280&amp;"'"</f>
        <v>''</v>
      </c>
      <c r="C246" s="55">
        <f>物品!J280</f>
        <v>0</v>
      </c>
      <c r="D246" s="55">
        <f>物品!K280</f>
        <v>0</v>
      </c>
      <c r="E246" s="55">
        <f>物品!L280</f>
        <v>0</v>
      </c>
      <c r="F246" s="55">
        <f>物品!M280</f>
        <v>0</v>
      </c>
      <c r="G246" s="55">
        <f>物品!N280</f>
        <v>0</v>
      </c>
      <c r="H246" s="55">
        <f>物品!O280</f>
        <v>0</v>
      </c>
      <c r="I246" s="55">
        <f>IF(物品!J280=0,0,"'"&amp;物品!J280&amp;"'")</f>
        <v>0</v>
      </c>
      <c r="J246" s="55">
        <f>IF(物品!K280=0,0,"'"&amp;物品!K280&amp;"'")</f>
        <v>0</v>
      </c>
      <c r="K246" s="55">
        <f>IF(物品!L280=0,0,"'"&amp;物品!L280&amp;"'")</f>
        <v>0</v>
      </c>
      <c r="L246" s="55">
        <f>IF(物品!M280=0,0,"'"&amp;物品!M280&amp;"'")</f>
        <v>0</v>
      </c>
      <c r="M246" s="55">
        <f>IF(物品!N280=0,0,"'"&amp;物品!N280&amp;"'")</f>
        <v>0</v>
      </c>
      <c r="N246" s="55">
        <f>IF(物品!O280=0,0,"'"&amp;物品!O280&amp;"'")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物品!A281</f>
        <v>0</v>
      </c>
      <c r="B247" s="55" t="str">
        <f>"'"&amp;物品!B281&amp;"'"</f>
        <v>''</v>
      </c>
      <c r="C247" s="55">
        <f>物品!J281</f>
        <v>0</v>
      </c>
      <c r="D247" s="55">
        <f>物品!K281</f>
        <v>0</v>
      </c>
      <c r="E247" s="55">
        <f>物品!L281</f>
        <v>0</v>
      </c>
      <c r="F247" s="55">
        <f>物品!M281</f>
        <v>0</v>
      </c>
      <c r="G247" s="55">
        <f>物品!N281</f>
        <v>0</v>
      </c>
      <c r="H247" s="55">
        <f>物品!O281</f>
        <v>0</v>
      </c>
      <c r="I247" s="55">
        <f>IF(物品!J281=0,0,"'"&amp;物品!J281&amp;"'")</f>
        <v>0</v>
      </c>
      <c r="J247" s="55">
        <f>IF(物品!K281=0,0,"'"&amp;物品!K281&amp;"'")</f>
        <v>0</v>
      </c>
      <c r="K247" s="55">
        <f>IF(物品!L281=0,0,"'"&amp;物品!L281&amp;"'")</f>
        <v>0</v>
      </c>
      <c r="L247" s="55">
        <f>IF(物品!M281=0,0,"'"&amp;物品!M281&amp;"'")</f>
        <v>0</v>
      </c>
      <c r="M247" s="55">
        <f>IF(物品!N281=0,0,"'"&amp;物品!N281&amp;"'")</f>
        <v>0</v>
      </c>
      <c r="N247" s="55">
        <f>IF(物品!O281=0,0,"'"&amp;物品!O281&amp;"'")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物品!A282</f>
        <v>0</v>
      </c>
      <c r="B248" s="55" t="str">
        <f>"'"&amp;物品!B282&amp;"'"</f>
        <v>''</v>
      </c>
      <c r="C248" s="55">
        <f>物品!J282</f>
        <v>0</v>
      </c>
      <c r="D248" s="55">
        <f>物品!K282</f>
        <v>0</v>
      </c>
      <c r="E248" s="55">
        <f>物品!L282</f>
        <v>0</v>
      </c>
      <c r="F248" s="55">
        <f>物品!M282</f>
        <v>0</v>
      </c>
      <c r="G248" s="55">
        <f>物品!N282</f>
        <v>0</v>
      </c>
      <c r="H248" s="55">
        <f>物品!O282</f>
        <v>0</v>
      </c>
      <c r="I248" s="55">
        <f>IF(物品!J282=0,0,"'"&amp;物品!J282&amp;"'")</f>
        <v>0</v>
      </c>
      <c r="J248" s="55">
        <f>IF(物品!K282=0,0,"'"&amp;物品!K282&amp;"'")</f>
        <v>0</v>
      </c>
      <c r="K248" s="55">
        <f>IF(物品!L282=0,0,"'"&amp;物品!L282&amp;"'")</f>
        <v>0</v>
      </c>
      <c r="L248" s="55">
        <f>IF(物品!M282=0,0,"'"&amp;物品!M282&amp;"'")</f>
        <v>0</v>
      </c>
      <c r="M248" s="55">
        <f>IF(物品!N282=0,0,"'"&amp;物品!N282&amp;"'")</f>
        <v>0</v>
      </c>
      <c r="N248" s="55">
        <f>IF(物品!O282=0,0,"'"&amp;物品!O282&amp;"'")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物品!A283</f>
        <v>0</v>
      </c>
      <c r="B249" s="55" t="str">
        <f>"'"&amp;物品!B283&amp;"'"</f>
        <v>''</v>
      </c>
      <c r="C249" s="55">
        <f>物品!J283</f>
        <v>0</v>
      </c>
      <c r="D249" s="55">
        <f>物品!K283</f>
        <v>0</v>
      </c>
      <c r="E249" s="55">
        <f>物品!L283</f>
        <v>0</v>
      </c>
      <c r="F249" s="55">
        <f>物品!M283</f>
        <v>0</v>
      </c>
      <c r="G249" s="55">
        <f>物品!N283</f>
        <v>0</v>
      </c>
      <c r="H249" s="55">
        <f>物品!O283</f>
        <v>0</v>
      </c>
      <c r="I249" s="55">
        <f>IF(物品!J283=0,0,"'"&amp;物品!J283&amp;"'")</f>
        <v>0</v>
      </c>
      <c r="J249" s="55">
        <f>IF(物品!K283=0,0,"'"&amp;物品!K283&amp;"'")</f>
        <v>0</v>
      </c>
      <c r="K249" s="55">
        <f>IF(物品!L283=0,0,"'"&amp;物品!L283&amp;"'")</f>
        <v>0</v>
      </c>
      <c r="L249" s="55">
        <f>IF(物品!M283=0,0,"'"&amp;物品!M283&amp;"'")</f>
        <v>0</v>
      </c>
      <c r="M249" s="55">
        <f>IF(物品!N283=0,0,"'"&amp;物品!N283&amp;"'")</f>
        <v>0</v>
      </c>
      <c r="N249" s="55">
        <f>IF(物品!O283=0,0,"'"&amp;物品!O283&amp;"'")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物品!A284</f>
        <v>0</v>
      </c>
      <c r="B250" s="55" t="str">
        <f>"'"&amp;物品!B284&amp;"'"</f>
        <v>''</v>
      </c>
      <c r="C250" s="55">
        <f>物品!J284</f>
        <v>0</v>
      </c>
      <c r="D250" s="55">
        <f>物品!K284</f>
        <v>0</v>
      </c>
      <c r="E250" s="55">
        <f>物品!L284</f>
        <v>0</v>
      </c>
      <c r="F250" s="55">
        <f>物品!M284</f>
        <v>0</v>
      </c>
      <c r="G250" s="55">
        <f>物品!N284</f>
        <v>0</v>
      </c>
      <c r="H250" s="55">
        <f>物品!O284</f>
        <v>0</v>
      </c>
      <c r="I250" s="55">
        <f>IF(物品!J284=0,0,"'"&amp;物品!J284&amp;"'")</f>
        <v>0</v>
      </c>
      <c r="J250" s="55">
        <f>IF(物品!K284=0,0,"'"&amp;物品!K284&amp;"'")</f>
        <v>0</v>
      </c>
      <c r="K250" s="55">
        <f>IF(物品!L284=0,0,"'"&amp;物品!L284&amp;"'")</f>
        <v>0</v>
      </c>
      <c r="L250" s="55">
        <f>IF(物品!M284=0,0,"'"&amp;物品!M284&amp;"'")</f>
        <v>0</v>
      </c>
      <c r="M250" s="55">
        <f>IF(物品!N284=0,0,"'"&amp;物品!N284&amp;"'")</f>
        <v>0</v>
      </c>
      <c r="N250" s="55">
        <f>IF(物品!O284=0,0,"'"&amp;物品!O284&amp;"'")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物品!A285</f>
        <v>0</v>
      </c>
      <c r="B251" s="55" t="str">
        <f>"'"&amp;物品!B285&amp;"'"</f>
        <v>''</v>
      </c>
      <c r="C251" s="55">
        <f>物品!J285</f>
        <v>0</v>
      </c>
      <c r="D251" s="55">
        <f>物品!K285</f>
        <v>0</v>
      </c>
      <c r="E251" s="55">
        <f>物品!L285</f>
        <v>0</v>
      </c>
      <c r="F251" s="55">
        <f>物品!M285</f>
        <v>0</v>
      </c>
      <c r="G251" s="55">
        <f>物品!N285</f>
        <v>0</v>
      </c>
      <c r="H251" s="55">
        <f>物品!O285</f>
        <v>0</v>
      </c>
      <c r="I251" s="55">
        <f>IF(物品!J285=0,0,"'"&amp;物品!J285&amp;"'")</f>
        <v>0</v>
      </c>
      <c r="J251" s="55">
        <f>IF(物品!K285=0,0,"'"&amp;物品!K285&amp;"'")</f>
        <v>0</v>
      </c>
      <c r="K251" s="55">
        <f>IF(物品!L285=0,0,"'"&amp;物品!L285&amp;"'")</f>
        <v>0</v>
      </c>
      <c r="L251" s="55">
        <f>IF(物品!M285=0,0,"'"&amp;物品!M285&amp;"'")</f>
        <v>0</v>
      </c>
      <c r="M251" s="55">
        <f>IF(物品!N285=0,0,"'"&amp;物品!N285&amp;"'")</f>
        <v>0</v>
      </c>
      <c r="N251" s="55">
        <f>IF(物品!O285=0,0,"'"&amp;物品!O285&amp;"'")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物品!A286</f>
        <v>0</v>
      </c>
      <c r="B252" s="55" t="str">
        <f>"'"&amp;物品!B286&amp;"'"</f>
        <v>''</v>
      </c>
      <c r="C252" s="55">
        <f>物品!J286</f>
        <v>0</v>
      </c>
      <c r="D252" s="55">
        <f>物品!K286</f>
        <v>0</v>
      </c>
      <c r="E252" s="55">
        <f>物品!L286</f>
        <v>0</v>
      </c>
      <c r="F252" s="55">
        <f>物品!M286</f>
        <v>0</v>
      </c>
      <c r="G252" s="55">
        <f>物品!N286</f>
        <v>0</v>
      </c>
      <c r="H252" s="55">
        <f>物品!O286</f>
        <v>0</v>
      </c>
      <c r="I252" s="55">
        <f>IF(物品!J286=0,0,"'"&amp;物品!J286&amp;"'")</f>
        <v>0</v>
      </c>
      <c r="J252" s="55">
        <f>IF(物品!K286=0,0,"'"&amp;物品!K286&amp;"'")</f>
        <v>0</v>
      </c>
      <c r="K252" s="55">
        <f>IF(物品!L286=0,0,"'"&amp;物品!L286&amp;"'")</f>
        <v>0</v>
      </c>
      <c r="L252" s="55">
        <f>IF(物品!M286=0,0,"'"&amp;物品!M286&amp;"'")</f>
        <v>0</v>
      </c>
      <c r="M252" s="55">
        <f>IF(物品!N286=0,0,"'"&amp;物品!N286&amp;"'")</f>
        <v>0</v>
      </c>
      <c r="N252" s="55">
        <f>IF(物品!O286=0,0,"'"&amp;物品!O286&amp;"'")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物品!A287</f>
        <v>0</v>
      </c>
      <c r="B253" s="55" t="str">
        <f>"'"&amp;物品!B287&amp;"'"</f>
        <v>''</v>
      </c>
      <c r="C253" s="55">
        <f>物品!J287</f>
        <v>0</v>
      </c>
      <c r="D253" s="55">
        <f>物品!K287</f>
        <v>0</v>
      </c>
      <c r="E253" s="55">
        <f>物品!L287</f>
        <v>0</v>
      </c>
      <c r="F253" s="55">
        <f>物品!M287</f>
        <v>0</v>
      </c>
      <c r="G253" s="55">
        <f>物品!N287</f>
        <v>0</v>
      </c>
      <c r="H253" s="55">
        <f>物品!O287</f>
        <v>0</v>
      </c>
      <c r="I253" s="55">
        <f>IF(物品!J287=0,0,"'"&amp;物品!J287&amp;"'")</f>
        <v>0</v>
      </c>
      <c r="J253" s="55">
        <f>IF(物品!K287=0,0,"'"&amp;物品!K287&amp;"'")</f>
        <v>0</v>
      </c>
      <c r="K253" s="55">
        <f>IF(物品!L287=0,0,"'"&amp;物品!L287&amp;"'")</f>
        <v>0</v>
      </c>
      <c r="L253" s="55">
        <f>IF(物品!M287=0,0,"'"&amp;物品!M287&amp;"'")</f>
        <v>0</v>
      </c>
      <c r="M253" s="55">
        <f>IF(物品!N287=0,0,"'"&amp;物品!N287&amp;"'")</f>
        <v>0</v>
      </c>
      <c r="N253" s="55">
        <f>IF(物品!O287=0,0,"'"&amp;物品!O287&amp;"'")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物品!A288</f>
        <v>0</v>
      </c>
      <c r="B254" s="55" t="str">
        <f>"'"&amp;物品!B288&amp;"'"</f>
        <v>''</v>
      </c>
      <c r="C254" s="55">
        <f>物品!J288</f>
        <v>0</v>
      </c>
      <c r="D254" s="55">
        <f>物品!K288</f>
        <v>0</v>
      </c>
      <c r="E254" s="55">
        <f>物品!L288</f>
        <v>0</v>
      </c>
      <c r="F254" s="55">
        <f>物品!M288</f>
        <v>0</v>
      </c>
      <c r="G254" s="55">
        <f>物品!N288</f>
        <v>0</v>
      </c>
      <c r="H254" s="55">
        <f>物品!O288</f>
        <v>0</v>
      </c>
      <c r="I254" s="55">
        <f>IF(物品!J288=0,0,"'"&amp;物品!J288&amp;"'")</f>
        <v>0</v>
      </c>
      <c r="J254" s="55">
        <f>IF(物品!K288=0,0,"'"&amp;物品!K288&amp;"'")</f>
        <v>0</v>
      </c>
      <c r="K254" s="55">
        <f>IF(物品!L288=0,0,"'"&amp;物品!L288&amp;"'")</f>
        <v>0</v>
      </c>
      <c r="L254" s="55">
        <f>IF(物品!M288=0,0,"'"&amp;物品!M288&amp;"'")</f>
        <v>0</v>
      </c>
      <c r="M254" s="55">
        <f>IF(物品!N288=0,0,"'"&amp;物品!N288&amp;"'")</f>
        <v>0</v>
      </c>
      <c r="N254" s="55">
        <f>IF(物品!O288=0,0,"'"&amp;物品!O288&amp;"'")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物品!A289</f>
        <v>0</v>
      </c>
      <c r="B255" s="55" t="str">
        <f>"'"&amp;物品!B289&amp;"'"</f>
        <v>''</v>
      </c>
      <c r="C255" s="55">
        <f>物品!J289</f>
        <v>0</v>
      </c>
      <c r="D255" s="55">
        <f>物品!K289</f>
        <v>0</v>
      </c>
      <c r="E255" s="55">
        <f>物品!L289</f>
        <v>0</v>
      </c>
      <c r="F255" s="55">
        <f>物品!M289</f>
        <v>0</v>
      </c>
      <c r="G255" s="55">
        <f>物品!N289</f>
        <v>0</v>
      </c>
      <c r="H255" s="55">
        <f>物品!O289</f>
        <v>0</v>
      </c>
      <c r="I255" s="55">
        <f>IF(物品!J289=0,0,"'"&amp;物品!J289&amp;"'")</f>
        <v>0</v>
      </c>
      <c r="J255" s="55">
        <f>IF(物品!K289=0,0,"'"&amp;物品!K289&amp;"'")</f>
        <v>0</v>
      </c>
      <c r="K255" s="55">
        <f>IF(物品!L289=0,0,"'"&amp;物品!L289&amp;"'")</f>
        <v>0</v>
      </c>
      <c r="L255" s="55">
        <f>IF(物品!M289=0,0,"'"&amp;物品!M289&amp;"'")</f>
        <v>0</v>
      </c>
      <c r="M255" s="55">
        <f>IF(物品!N289=0,0,"'"&amp;物品!N289&amp;"'")</f>
        <v>0</v>
      </c>
      <c r="N255" s="55">
        <f>IF(物品!O289=0,0,"'"&amp;物品!O289&amp;"'")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物品!A290</f>
        <v>0</v>
      </c>
      <c r="B256" s="55" t="str">
        <f>"'"&amp;物品!B290&amp;"'"</f>
        <v>''</v>
      </c>
      <c r="C256" s="55">
        <f>物品!J290</f>
        <v>0</v>
      </c>
      <c r="D256" s="55">
        <f>物品!K290</f>
        <v>0</v>
      </c>
      <c r="E256" s="55">
        <f>物品!L290</f>
        <v>0</v>
      </c>
      <c r="F256" s="55">
        <f>物品!M290</f>
        <v>0</v>
      </c>
      <c r="G256" s="55">
        <f>物品!N290</f>
        <v>0</v>
      </c>
      <c r="H256" s="55">
        <f>物品!O290</f>
        <v>0</v>
      </c>
      <c r="I256" s="55">
        <f>IF(物品!J290=0,0,"'"&amp;物品!J290&amp;"'")</f>
        <v>0</v>
      </c>
      <c r="J256" s="55">
        <f>IF(物品!K290=0,0,"'"&amp;物品!K290&amp;"'")</f>
        <v>0</v>
      </c>
      <c r="K256" s="55">
        <f>IF(物品!L290=0,0,"'"&amp;物品!L290&amp;"'")</f>
        <v>0</v>
      </c>
      <c r="L256" s="55">
        <f>IF(物品!M290=0,0,"'"&amp;物品!M290&amp;"'")</f>
        <v>0</v>
      </c>
      <c r="M256" s="55">
        <f>IF(物品!N290=0,0,"'"&amp;物品!N290&amp;"'")</f>
        <v>0</v>
      </c>
      <c r="N256" s="55">
        <f>IF(物品!O290=0,0,"'"&amp;物品!O290&amp;"'")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物品!A291</f>
        <v>0</v>
      </c>
      <c r="B257" s="55" t="str">
        <f>"'"&amp;物品!B291&amp;"'"</f>
        <v>''</v>
      </c>
      <c r="C257" s="55">
        <f>物品!J291</f>
        <v>0</v>
      </c>
      <c r="D257" s="55">
        <f>物品!K291</f>
        <v>0</v>
      </c>
      <c r="E257" s="55">
        <f>物品!L291</f>
        <v>0</v>
      </c>
      <c r="F257" s="55">
        <f>物品!M291</f>
        <v>0</v>
      </c>
      <c r="G257" s="55">
        <f>物品!N291</f>
        <v>0</v>
      </c>
      <c r="H257" s="55">
        <f>物品!O291</f>
        <v>0</v>
      </c>
      <c r="I257" s="55">
        <f>IF(物品!J291=0,0,"'"&amp;物品!J291&amp;"'")</f>
        <v>0</v>
      </c>
      <c r="J257" s="55">
        <f>IF(物品!K291=0,0,"'"&amp;物品!K291&amp;"'")</f>
        <v>0</v>
      </c>
      <c r="K257" s="55">
        <f>IF(物品!L291=0,0,"'"&amp;物品!L291&amp;"'")</f>
        <v>0</v>
      </c>
      <c r="L257" s="55">
        <f>IF(物品!M291=0,0,"'"&amp;物品!M291&amp;"'")</f>
        <v>0</v>
      </c>
      <c r="M257" s="55">
        <f>IF(物品!N291=0,0,"'"&amp;物品!N291&amp;"'")</f>
        <v>0</v>
      </c>
      <c r="N257" s="55">
        <f>IF(物品!O291=0,0,"'"&amp;物品!O291&amp;"'")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物品!A292</f>
        <v>0</v>
      </c>
      <c r="B258" s="55" t="str">
        <f>"'"&amp;物品!B292&amp;"'"</f>
        <v>''</v>
      </c>
      <c r="C258" s="55">
        <f>物品!J292</f>
        <v>0</v>
      </c>
      <c r="D258" s="55">
        <f>物品!K292</f>
        <v>0</v>
      </c>
      <c r="E258" s="55">
        <f>物品!L292</f>
        <v>0</v>
      </c>
      <c r="F258" s="55">
        <f>物品!M292</f>
        <v>0</v>
      </c>
      <c r="G258" s="55">
        <f>物品!N292</f>
        <v>0</v>
      </c>
      <c r="H258" s="55">
        <f>物品!O292</f>
        <v>0</v>
      </c>
      <c r="I258" s="55">
        <f>IF(物品!J292=0,0,"'"&amp;物品!J292&amp;"'")</f>
        <v>0</v>
      </c>
      <c r="J258" s="55">
        <f>IF(物品!K292=0,0,"'"&amp;物品!K292&amp;"'")</f>
        <v>0</v>
      </c>
      <c r="K258" s="55">
        <f>IF(物品!L292=0,0,"'"&amp;物品!L292&amp;"'")</f>
        <v>0</v>
      </c>
      <c r="L258" s="55">
        <f>IF(物品!M292=0,0,"'"&amp;物品!M292&amp;"'")</f>
        <v>0</v>
      </c>
      <c r="M258" s="55">
        <f>IF(物品!N292=0,0,"'"&amp;物品!N292&amp;"'")</f>
        <v>0</v>
      </c>
      <c r="N258" s="55">
        <f>IF(物品!O292=0,0,"'"&amp;物品!O292&amp;"'")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物品!A293</f>
        <v>0</v>
      </c>
      <c r="B259" s="55" t="str">
        <f>"'"&amp;物品!B293&amp;"'"</f>
        <v>''</v>
      </c>
      <c r="C259" s="55">
        <f>物品!J293</f>
        <v>0</v>
      </c>
      <c r="D259" s="55">
        <f>物品!K293</f>
        <v>0</v>
      </c>
      <c r="E259" s="55">
        <f>物品!L293</f>
        <v>0</v>
      </c>
      <c r="F259" s="55">
        <f>物品!M293</f>
        <v>0</v>
      </c>
      <c r="G259" s="55">
        <f>物品!N293</f>
        <v>0</v>
      </c>
      <c r="H259" s="55">
        <f>物品!O293</f>
        <v>0</v>
      </c>
      <c r="I259" s="55">
        <f>IF(物品!J293=0,0,"'"&amp;物品!J293&amp;"'")</f>
        <v>0</v>
      </c>
      <c r="J259" s="55">
        <f>IF(物品!K293=0,0,"'"&amp;物品!K293&amp;"'")</f>
        <v>0</v>
      </c>
      <c r="K259" s="55">
        <f>IF(物品!L293=0,0,"'"&amp;物品!L293&amp;"'")</f>
        <v>0</v>
      </c>
      <c r="L259" s="55">
        <f>IF(物品!M293=0,0,"'"&amp;物品!M293&amp;"'")</f>
        <v>0</v>
      </c>
      <c r="M259" s="55">
        <f>IF(物品!N293=0,0,"'"&amp;物品!N293&amp;"'")</f>
        <v>0</v>
      </c>
      <c r="N259" s="55">
        <f>IF(物品!O293=0,0,"'"&amp;物品!O293&amp;"'")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物品!A294</f>
        <v>0</v>
      </c>
      <c r="B260" s="55" t="str">
        <f>"'"&amp;物品!B294&amp;"'"</f>
        <v>''</v>
      </c>
      <c r="C260" s="55">
        <f>物品!J294</f>
        <v>0</v>
      </c>
      <c r="D260" s="55">
        <f>物品!K294</f>
        <v>0</v>
      </c>
      <c r="E260" s="55">
        <f>物品!L294</f>
        <v>0</v>
      </c>
      <c r="F260" s="55">
        <f>物品!M294</f>
        <v>0</v>
      </c>
      <c r="G260" s="55">
        <f>物品!N294</f>
        <v>0</v>
      </c>
      <c r="H260" s="55">
        <f>物品!O294</f>
        <v>0</v>
      </c>
      <c r="I260" s="55">
        <f>IF(物品!J294=0,0,"'"&amp;物品!J294&amp;"'")</f>
        <v>0</v>
      </c>
      <c r="J260" s="55">
        <f>IF(物品!K294=0,0,"'"&amp;物品!K294&amp;"'")</f>
        <v>0</v>
      </c>
      <c r="K260" s="55">
        <f>IF(物品!L294=0,0,"'"&amp;物品!L294&amp;"'")</f>
        <v>0</v>
      </c>
      <c r="L260" s="55">
        <f>IF(物品!M294=0,0,"'"&amp;物品!M294&amp;"'")</f>
        <v>0</v>
      </c>
      <c r="M260" s="55">
        <f>IF(物品!N294=0,0,"'"&amp;物品!N294&amp;"'")</f>
        <v>0</v>
      </c>
      <c r="N260" s="55">
        <f>IF(物品!O294=0,0,"'"&amp;物品!O294&amp;"'")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物品!A295</f>
        <v>0</v>
      </c>
      <c r="B261" s="55" t="str">
        <f>"'"&amp;物品!B295&amp;"'"</f>
        <v>''</v>
      </c>
      <c r="C261" s="55">
        <f>物品!J295</f>
        <v>0</v>
      </c>
      <c r="D261" s="55">
        <f>物品!K295</f>
        <v>0</v>
      </c>
      <c r="E261" s="55">
        <f>物品!L295</f>
        <v>0</v>
      </c>
      <c r="F261" s="55">
        <f>物品!M295</f>
        <v>0</v>
      </c>
      <c r="G261" s="55">
        <f>物品!N295</f>
        <v>0</v>
      </c>
      <c r="H261" s="55">
        <f>物品!O295</f>
        <v>0</v>
      </c>
      <c r="I261" s="55">
        <f>IF(物品!J295=0,0,"'"&amp;物品!J295&amp;"'")</f>
        <v>0</v>
      </c>
      <c r="J261" s="55">
        <f>IF(物品!K295=0,0,"'"&amp;物品!K295&amp;"'")</f>
        <v>0</v>
      </c>
      <c r="K261" s="55">
        <f>IF(物品!L295=0,0,"'"&amp;物品!L295&amp;"'")</f>
        <v>0</v>
      </c>
      <c r="L261" s="55">
        <f>IF(物品!M295=0,0,"'"&amp;物品!M295&amp;"'")</f>
        <v>0</v>
      </c>
      <c r="M261" s="55">
        <f>IF(物品!N295=0,0,"'"&amp;物品!N295&amp;"'")</f>
        <v>0</v>
      </c>
      <c r="N261" s="55">
        <f>IF(物品!O295=0,0,"'"&amp;物品!O295&amp;"'")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物品!A296</f>
        <v>0</v>
      </c>
      <c r="B262" s="55" t="str">
        <f>"'"&amp;物品!B296&amp;"'"</f>
        <v>''</v>
      </c>
      <c r="C262" s="55">
        <f>物品!J296</f>
        <v>0</v>
      </c>
      <c r="D262" s="55">
        <f>物品!K296</f>
        <v>0</v>
      </c>
      <c r="E262" s="55">
        <f>物品!L296</f>
        <v>0</v>
      </c>
      <c r="F262" s="55">
        <f>物品!M296</f>
        <v>0</v>
      </c>
      <c r="G262" s="55">
        <f>物品!N296</f>
        <v>0</v>
      </c>
      <c r="H262" s="55">
        <f>物品!O296</f>
        <v>0</v>
      </c>
      <c r="I262" s="55">
        <f>IF(物品!J296=0,0,"'"&amp;物品!J296&amp;"'")</f>
        <v>0</v>
      </c>
      <c r="J262" s="55">
        <f>IF(物品!K296=0,0,"'"&amp;物品!K296&amp;"'")</f>
        <v>0</v>
      </c>
      <c r="K262" s="55">
        <f>IF(物品!L296=0,0,"'"&amp;物品!L296&amp;"'")</f>
        <v>0</v>
      </c>
      <c r="L262" s="55">
        <f>IF(物品!M296=0,0,"'"&amp;物品!M296&amp;"'")</f>
        <v>0</v>
      </c>
      <c r="M262" s="55">
        <f>IF(物品!N296=0,0,"'"&amp;物品!N296&amp;"'")</f>
        <v>0</v>
      </c>
      <c r="N262" s="55">
        <f>IF(物品!O296=0,0,"'"&amp;物品!O296&amp;"'")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物品!A297</f>
        <v>0</v>
      </c>
      <c r="B263" s="55" t="str">
        <f>"'"&amp;物品!B297&amp;"'"</f>
        <v>''</v>
      </c>
      <c r="C263" s="55">
        <f>物品!J297</f>
        <v>0</v>
      </c>
      <c r="D263" s="55">
        <f>物品!K297</f>
        <v>0</v>
      </c>
      <c r="E263" s="55">
        <f>物品!L297</f>
        <v>0</v>
      </c>
      <c r="F263" s="55">
        <f>物品!M297</f>
        <v>0</v>
      </c>
      <c r="G263" s="55">
        <f>物品!N297</f>
        <v>0</v>
      </c>
      <c r="H263" s="55">
        <f>物品!O297</f>
        <v>0</v>
      </c>
      <c r="I263" s="55">
        <f>IF(物品!J297=0,0,"'"&amp;物品!J297&amp;"'")</f>
        <v>0</v>
      </c>
      <c r="J263" s="55">
        <f>IF(物品!K297=0,0,"'"&amp;物品!K297&amp;"'")</f>
        <v>0</v>
      </c>
      <c r="K263" s="55">
        <f>IF(物品!L297=0,0,"'"&amp;物品!L297&amp;"'")</f>
        <v>0</v>
      </c>
      <c r="L263" s="55">
        <f>IF(物品!M297=0,0,"'"&amp;物品!M297&amp;"'")</f>
        <v>0</v>
      </c>
      <c r="M263" s="55">
        <f>IF(物品!N297=0,0,"'"&amp;物品!N297&amp;"'")</f>
        <v>0</v>
      </c>
      <c r="N263" s="55">
        <f>IF(物品!O297=0,0,"'"&amp;物品!O297&amp;"'")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832</v>
      </c>
      <c r="H1" s="39" t="s">
        <v>833</v>
      </c>
      <c r="I1" s="43" t="s">
        <v>834</v>
      </c>
      <c r="J1" s="44" t="s">
        <v>830</v>
      </c>
      <c r="K1" s="45" t="s">
        <v>125</v>
      </c>
      <c r="L1" s="46" t="s">
        <v>126</v>
      </c>
      <c r="M1" s="47" t="s">
        <v>835</v>
      </c>
      <c r="N1" s="48" t="s">
        <v>836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"获得一个随机品质的法宝。|n|n|Cff00ff7f副本难度影响法宝品质稀有度。|r"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IF(物品!B156="",0,"'"&amp;物品!B156&amp;"'")</f>
        <v>'IP01'</v>
      </c>
      <c r="B93" t="e">
        <f>物品!#REF!</f>
        <v>#REF!</v>
      </c>
      <c r="C93">
        <f>物品!E156</f>
        <v>0</v>
      </c>
      <c r="D93">
        <f>物品!F156</f>
        <v>0</v>
      </c>
      <c r="E93">
        <f>IF(ISTEXT(物品!G156)=TRUE,"'"&amp;物品!G156&amp;"'",物品!G156)</f>
        <v>0</v>
      </c>
      <c r="F93">
        <f>IF(ISTEXT(物品!H156)=TRUE,"'"&amp;物品!H156&amp;"'",物品!H156)</f>
        <v>0</v>
      </c>
      <c r="G93">
        <f>IF(物品!I156="",0,"'"&amp;物品!I156&amp;"'")</f>
        <v>0</v>
      </c>
      <c r="H93">
        <f>IF(物品!R156="",0,物品!R156)</f>
        <v>0</v>
      </c>
      <c r="I93">
        <f>IF(物品!S156="",0,物品!S156)</f>
        <v>0</v>
      </c>
      <c r="J93" t="str">
        <f>IF(物品!C156="",0,""""&amp;物品!C156&amp;"""")</f>
        <v>"|CffFF0000时渊入场券|r"</v>
      </c>
      <c r="K93" t="str">
        <f>IF(物品!T156="","""""",""""&amp;物品!T156&amp;"""")</f>
        <v>"每次|Cffffd24d完成|r时渊副本将消耗|Cffffd24d1|r个|Cffffd24d时渊入场券|r"</v>
      </c>
      <c r="L93" t="str">
        <f>IF(物品!U156="",0,""""&amp;物品!U156&amp;"""")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IF(物品!B157="",0,"'"&amp;物品!B157&amp;"'")</f>
        <v>'IP02'</v>
      </c>
      <c r="B94">
        <f>物品!D117</f>
        <v>0</v>
      </c>
      <c r="C94">
        <f>物品!E157</f>
        <v>0</v>
      </c>
      <c r="D94">
        <f>物品!F157</f>
        <v>0</v>
      </c>
      <c r="E94">
        <f>IF(ISTEXT(物品!G157)=TRUE,"'"&amp;物品!G157&amp;"'",物品!G157)</f>
        <v>0</v>
      </c>
      <c r="F94">
        <f>IF(ISTEXT(物品!H157)=TRUE,"'"&amp;物品!H157&amp;"'",物品!H157)</f>
        <v>0</v>
      </c>
      <c r="G94">
        <f>IF(物品!I157="",0,"'"&amp;物品!I157&amp;"'")</f>
        <v>0</v>
      </c>
      <c r="H94">
        <f>IF(物品!R157="",0,物品!R157)</f>
        <v>0</v>
      </c>
      <c r="I94">
        <f>IF(物品!S157="",0,物品!S157)</f>
        <v>0</v>
      </c>
      <c r="J94" t="str">
        <f>IF(物品!C157="",0,""""&amp;物品!C157&amp;"""")</f>
        <v>"|CffFFD24D补天石|r"</v>
      </c>
      <c r="K94" t="str">
        <f>IF(物品!T157="","""""",""""&amp;物品!T157&amp;"""")</f>
        <v>"点击|Cffffc926选中指定法宝|r后，再点击|Cffffc926重铸|r，可|Cffffc926重置|r指定法宝，|Cffffc926品质不变|r。|n|n|Cff00ff7f每次重铸消耗1个补天石|r"</v>
      </c>
      <c r="L94" t="str">
        <f>IF(物品!U157="",0,""""&amp;物品!U157&amp;"""")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IF(物品!B158="",0,"'"&amp;物品!B158&amp;"'")</f>
        <v>'IP03'</v>
      </c>
      <c r="B95">
        <f>物品!D118</f>
        <v>0</v>
      </c>
      <c r="C95">
        <f>物品!E158</f>
        <v>0</v>
      </c>
      <c r="D95">
        <f>物品!F158</f>
        <v>0</v>
      </c>
      <c r="E95">
        <f>IF(ISTEXT(物品!G158)=TRUE,"'"&amp;物品!G158&amp;"'",物品!G158)</f>
        <v>0</v>
      </c>
      <c r="F95">
        <f>IF(ISTEXT(物品!H158)=TRUE,"'"&amp;物品!H158&amp;"'",物品!H158)</f>
        <v>0</v>
      </c>
      <c r="G95">
        <f>IF(物品!I158="",0,"'"&amp;物品!I158&amp;"'")</f>
        <v>0</v>
      </c>
      <c r="H95">
        <f>IF(物品!R158="",0,物品!R158)</f>
        <v>0</v>
      </c>
      <c r="I95">
        <f>IF(物品!S158="",0,物品!S158)</f>
        <v>0</v>
      </c>
      <c r="J95" t="str">
        <f>IF(物品!C158="",0,""""&amp;物品!C158&amp;"""")</f>
        <v>"|CffFF0000鸿蒙结晶|r"</v>
      </c>
      <c r="K95" t="str">
        <f>IF(物品!T158="","""""",""""&amp;物品!T158&amp;"""")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IF(物品!U158="",0,""""&amp;物品!U158&amp;"""")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IF(物品!B165="",0,"'"&amp;物品!B165&amp;"'")</f>
        <v>'IT01'</v>
      </c>
      <c r="B96">
        <f>物品!D119</f>
        <v>0</v>
      </c>
      <c r="C96">
        <f>物品!E165</f>
        <v>0</v>
      </c>
      <c r="D96">
        <f>物品!F165</f>
        <v>0</v>
      </c>
      <c r="E96">
        <f>IF(ISTEXT(物品!G165)=TRUE,"'"&amp;物品!G165&amp;"'",物品!G165)</f>
        <v>0</v>
      </c>
      <c r="F96">
        <f>IF(ISTEXT(物品!H165)=TRUE,"'"&amp;物品!H165&amp;"'",物品!H165)</f>
        <v>0</v>
      </c>
      <c r="G96">
        <f>IF(物品!I165="",0,"'"&amp;物品!I165&amp;"'")</f>
        <v>0</v>
      </c>
      <c r="H96">
        <f>IF(物品!R165="",0,物品!R165)</f>
        <v>-8086</v>
      </c>
      <c r="I96">
        <f>IF(物品!S165="",0,物品!S165)</f>
        <v>-3245</v>
      </c>
      <c r="J96" t="str">
        <f>IF(物品!C165="",0,""""&amp;物品!C165&amp;"""")</f>
        <v>"噬心劫"</v>
      </c>
      <c r="K96" t="str">
        <f>IF(物品!T165="","""""",""""&amp;物品!T165&amp;"""")</f>
        <v>"渡过该劫后可结成|CffCCCCCC低级道果|r。|n|n|CffCCCCCC低级道果：|r|n攻击+5000|n业力+4000|n生命值+100000|n生命回复+2000|n物理伤害+12%|n法术伤害+10%|n杀敌攻击+8|n杀敌业力+1|n杀敌生命+30|n"</v>
      </c>
      <c r="L96" t="str">
        <f>IF(物品!U165="",0,""""&amp;物品!U165&amp;"""")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物理伤害+12%|n法术伤害+10%|n杀敌攻击+8|n杀敌业力+1|n杀敌生命+30|n")</v>
      </c>
    </row>
    <row r="97" spans="1:14">
      <c r="A97" t="str">
        <f>IF(物品!B166="",0,"'"&amp;物品!B166&amp;"'")</f>
        <v>'IT02'</v>
      </c>
      <c r="B97">
        <f>物品!D120</f>
        <v>0</v>
      </c>
      <c r="C97">
        <f>物品!E166</f>
        <v>0</v>
      </c>
      <c r="D97">
        <f>物品!F166</f>
        <v>0</v>
      </c>
      <c r="E97">
        <f>IF(ISTEXT(物品!G166)=TRUE,"'"&amp;物品!G166&amp;"'",物品!G166)</f>
        <v>0</v>
      </c>
      <c r="F97">
        <f>IF(ISTEXT(物品!H166)=TRUE,"'"&amp;物品!H166&amp;"'",物品!H166)</f>
        <v>0</v>
      </c>
      <c r="G97">
        <f>IF(物品!I166="",0,"'"&amp;物品!I166&amp;"'")</f>
        <v>0</v>
      </c>
      <c r="H97">
        <f>IF(物品!R166="",0,物品!R166)</f>
        <v>-7991</v>
      </c>
      <c r="I97">
        <f>IF(物品!S166="",0,物品!S166)</f>
        <v>-2312</v>
      </c>
      <c r="J97" t="str">
        <f>IF(物品!C166="",0,""""&amp;物品!C166&amp;"""")</f>
        <v>"三重轰雷劫"</v>
      </c>
      <c r="K97" t="str">
        <f>IF(物品!T166="","""""",""""&amp;物品!T166&amp;"""")</f>
        <v>"渡过该劫后可结成|CffCCCCCC中级道果|r。|n|n|CffCCCCCC中级道果：|r|n攻击+7500|n业力+6000|n生命值+150000|n生命回复+3000|n物理伤害+12%|n法术伤害+10%|n杀敌攻击+8|n杀敌业力+1|n杀敌生命+30|n"</v>
      </c>
      <c r="L97" t="str">
        <f>IF(物品!U166="",0,""""&amp;物品!U166&amp;"""")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物理伤害+12%|n法术伤害+10%|n杀敌攻击+8|n杀敌业力+1|n杀敌生命+30|n")</v>
      </c>
    </row>
    <row r="98" spans="1:14">
      <c r="A98" t="str">
        <f>IF(物品!B167="",0,"'"&amp;物品!B167&amp;"'")</f>
        <v>'IT03'</v>
      </c>
      <c r="B98">
        <f>物品!D121</f>
        <v>0</v>
      </c>
      <c r="C98">
        <f>物品!E167</f>
        <v>0</v>
      </c>
      <c r="D98">
        <f>物品!F167</f>
        <v>0</v>
      </c>
      <c r="E98">
        <f>IF(ISTEXT(物品!G167)=TRUE,"'"&amp;物品!G167&amp;"'",物品!G167)</f>
        <v>0</v>
      </c>
      <c r="F98">
        <f>IF(ISTEXT(物品!H167)=TRUE,"'"&amp;物品!H167&amp;"'",物品!H167)</f>
        <v>0</v>
      </c>
      <c r="G98">
        <f>IF(物品!I167="",0,"'"&amp;物品!I167&amp;"'")</f>
        <v>0</v>
      </c>
      <c r="H98">
        <f>IF(物品!R167="",0,物品!R167)</f>
        <v>-8089</v>
      </c>
      <c r="I98">
        <f>IF(物品!S167="",0,物品!S167)</f>
        <v>-1230</v>
      </c>
      <c r="J98" t="str">
        <f>IF(物品!C167="",0,""""&amp;物品!C167&amp;"""")</f>
        <v>"|Cff00FF7F六重天雷劫|r"</v>
      </c>
      <c r="K98" t="str">
        <f>IF(物品!T167="","""""",""""&amp;物品!T167&amp;"""")</f>
        <v>"渡过该劫后可结成|Cff00ff7f高级道果|r。|n|n|Cff00ff7f高级道果：|r|n攻击+12500|n业力+10000|n生命值+250000|n生命回复+5000|n物理伤害+12%|n法术伤害+10%|n杀敌攻击+8|n杀敌业力+1|n杀敌生命+30|n"</v>
      </c>
      <c r="L98" t="str">
        <f>IF(物品!U167="",0,""""&amp;物品!U167&amp;"""")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物理伤害+12%|n法术伤害+10%|n杀敌攻击+8|n杀敌业力+1|n杀敌生命+30|n")</v>
      </c>
    </row>
    <row r="99" spans="1:14">
      <c r="A99" t="str">
        <f>IF(物品!B168="",0,"'"&amp;物品!B168&amp;"'")</f>
        <v>'IT04'</v>
      </c>
      <c r="B99">
        <f>物品!D122</f>
        <v>0</v>
      </c>
      <c r="C99">
        <f>物品!E168</f>
        <v>0</v>
      </c>
      <c r="D99">
        <f>物品!F168</f>
        <v>0</v>
      </c>
      <c r="E99">
        <f>IF(ISTEXT(物品!G168)=TRUE,"'"&amp;物品!G168&amp;"'",物品!G168)</f>
        <v>0</v>
      </c>
      <c r="F99">
        <f>IF(ISTEXT(物品!H168)=TRUE,"'"&amp;物品!H168&amp;"'",物品!H168)</f>
        <v>0</v>
      </c>
      <c r="G99">
        <f>IF(物品!I168="",0,"'"&amp;物品!I168&amp;"'")</f>
        <v>0</v>
      </c>
      <c r="H99">
        <f>IF(物品!R168="",0,物品!R168)</f>
        <v>-7794</v>
      </c>
      <c r="I99">
        <f>IF(物品!S168="",0,物品!S168)</f>
        <v>195</v>
      </c>
      <c r="J99" t="str">
        <f>IF(物品!C168="",0,""""&amp;物品!C168&amp;"""")</f>
        <v>"|Cff00FF7F九重煅神劫|r"</v>
      </c>
      <c r="K99" t="str">
        <f>IF(物品!T168="","""""",""""&amp;物品!T168&amp;"""")</f>
        <v>"渡过该劫后可结成|Cff00ff7f黄级道果|r。|n|n|Cff00ff7f黄级道果：|r|n攻击+21250|n业力+17000|n生命值+425000|n生命回复+8500|n物理伤害+18%|n法术伤害+15%|n杀敌攻击+8|n杀敌业力+1|n杀敌生命+30|n"</v>
      </c>
      <c r="L99" t="str">
        <f>IF(物品!U168="",0,""""&amp;物品!U168&amp;"""")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物理伤害+18%|n法术伤害+15%|n杀敌攻击+8|n杀敌业力+1|n杀敌生命+30|n")</v>
      </c>
    </row>
    <row r="100" spans="1:14">
      <c r="A100" t="str">
        <f>IF(物品!B169="",0,"'"&amp;物品!B169&amp;"'")</f>
        <v>'IT05'</v>
      </c>
      <c r="B100">
        <f>物品!D124</f>
        <v>0</v>
      </c>
      <c r="C100">
        <f>物品!E169</f>
        <v>0</v>
      </c>
      <c r="D100">
        <f>物品!F169</f>
        <v>0</v>
      </c>
      <c r="E100">
        <f>IF(ISTEXT(物品!G169)=TRUE,"'"&amp;物品!G169&amp;"'",物品!G169)</f>
        <v>0</v>
      </c>
      <c r="F100">
        <f>IF(ISTEXT(物品!H169)=TRUE,"'"&amp;物品!H169&amp;"'",物品!H169)</f>
        <v>0</v>
      </c>
      <c r="G100">
        <f>IF(物品!I169="",0,"'"&amp;物品!I169&amp;"'")</f>
        <v>0</v>
      </c>
      <c r="H100">
        <f>IF(物品!R169="",0,物品!R169)</f>
        <v>-8110</v>
      </c>
      <c r="I100">
        <f>IF(物品!S169="",0,物品!S169)</f>
        <v>1810</v>
      </c>
      <c r="J100" t="str">
        <f>IF(物品!C169="",0,""""&amp;物品!C169&amp;"""")</f>
        <v>"|Cff00BFFF灭魄血煞劫|r"</v>
      </c>
      <c r="K100" t="str">
        <f>IF(物品!T169="","""""",""""&amp;物品!T169&amp;"""")</f>
        <v>"渡过该劫后可结成|Cff00bfff玄级道果|r。|n|n|Cff00bfff玄级道果：|r|n攻击+33750|n业力+27000|n生命值+675000|n生命回复+13500|n物理伤害+18%|n法术伤害+15%|n杀敌攻击+8|n杀敌业力+1|n杀敌生命+30|n"</v>
      </c>
      <c r="L100" t="str">
        <f>IF(物品!U169="",0,""""&amp;物品!U169&amp;"""")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物理伤害+18%|n法术伤害+15%|n杀敌攻击+8|n杀敌业力+1|n杀敌生命+30|n")</v>
      </c>
    </row>
    <row r="101" spans="1:14">
      <c r="A101" t="str">
        <f>IF(物品!B170="",0,"'"&amp;物品!B170&amp;"'")</f>
        <v>'IT06'</v>
      </c>
      <c r="B101">
        <f>物品!D125</f>
        <v>0</v>
      </c>
      <c r="C101">
        <f>物品!E170</f>
        <v>0</v>
      </c>
      <c r="D101">
        <f>物品!F170</f>
        <v>0</v>
      </c>
      <c r="E101">
        <f>IF(ISTEXT(物品!G170)=TRUE,"'"&amp;物品!G170&amp;"'",物品!G170)</f>
        <v>0</v>
      </c>
      <c r="F101">
        <f>IF(ISTEXT(物品!H170)=TRUE,"'"&amp;物品!H170&amp;"'",物品!H170)</f>
        <v>0</v>
      </c>
      <c r="G101">
        <f>IF(物品!I170="",0,"'"&amp;物品!I170&amp;"'")</f>
        <v>0</v>
      </c>
      <c r="H101">
        <f>IF(物品!R170="",0,物品!R170)</f>
        <v>-7896</v>
      </c>
      <c r="I101">
        <f>IF(物品!S170="",0,物品!S170)</f>
        <v>3839</v>
      </c>
      <c r="J101" t="str">
        <f>IF(物品!C170="",0,""""&amp;物品!C170&amp;"""")</f>
        <v>"|Cff00BFFF入微洞虚劫|r"</v>
      </c>
      <c r="K101" t="str">
        <f>IF(物品!T170="","""""",""""&amp;物品!T170&amp;"""")</f>
        <v>"渡过该劫后可结成|Cff00bfff地级道果|r。|n|n|Cff00bfff地级道果：|r|n攻击+50000|n业力+40000|n生命值+1000000|n生命回复+20000|n物理伤害+18%|n法术伤害+15%|n杀敌攻击+8|n杀敌业力+1|n杀敌生命+30|n"</v>
      </c>
      <c r="L101" t="str">
        <f>IF(物品!U170="",0,""""&amp;物品!U170&amp;"""")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物理伤害+18%|n法术伤害+15%|n杀敌攻击+8|n杀敌业力+1|n杀敌生命+30|n")</v>
      </c>
    </row>
    <row r="102" spans="1:14">
      <c r="A102" t="str">
        <f>IF(物品!B171="",0,"'"&amp;物品!B171&amp;"'")</f>
        <v>'IT07'</v>
      </c>
      <c r="B102">
        <f>物品!D126</f>
        <v>0</v>
      </c>
      <c r="C102">
        <f>物品!E171</f>
        <v>0</v>
      </c>
      <c r="D102">
        <f>物品!F171</f>
        <v>0</v>
      </c>
      <c r="E102">
        <f>IF(ISTEXT(物品!G171)=TRUE,"'"&amp;物品!G171&amp;"'",物品!G171)</f>
        <v>0</v>
      </c>
      <c r="F102">
        <f>IF(ISTEXT(物品!H171)=TRUE,"'"&amp;物品!H171&amp;"'",物品!H171)</f>
        <v>0</v>
      </c>
      <c r="G102">
        <f>IF(物品!I171="",0,"'"&amp;物品!I171&amp;"'")</f>
        <v>0</v>
      </c>
      <c r="H102">
        <f>IF(物品!R171="",0,物品!R171)</f>
        <v>-7896</v>
      </c>
      <c r="I102">
        <f>IF(物品!S171="",0,物品!S171)</f>
        <v>5906</v>
      </c>
      <c r="J102" t="str">
        <f>IF(物品!C171="",0,""""&amp;物品!C171&amp;"""")</f>
        <v>"|CffFFD24D因果厄难劫|r"</v>
      </c>
      <c r="K102" t="str">
        <f>IF(物品!T171="","""""",""""&amp;物品!T171&amp;"""")</f>
        <v>"渡过该劫后可结成|Cffffc926天级道果|r。|n|n|Cffffc926天级道果：|r|n攻击+72500|n业力+58000|n生命值+1450000|n生命回复+29000|n物理伤害+24%|n法术伤害+20%|n杀敌攻击+8|n杀敌业力+1|n杀敌生命+30|n"</v>
      </c>
      <c r="L102" t="str">
        <f>IF(物品!U171="",0,""""&amp;物品!U171&amp;"""")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物理伤害+24%|n法术伤害+20%|n杀敌攻击+8|n杀敌业力+1|n杀敌生命+30|n")</v>
      </c>
    </row>
    <row r="103" spans="1:14">
      <c r="A103" t="str">
        <f>IF(物品!B172="",0,"'"&amp;物品!B172&amp;"'")</f>
        <v>'IT08'</v>
      </c>
      <c r="B103">
        <f>物品!D127</f>
        <v>0</v>
      </c>
      <c r="C103">
        <f>物品!E172</f>
        <v>0</v>
      </c>
      <c r="D103">
        <f>物品!F172</f>
        <v>0</v>
      </c>
      <c r="E103">
        <f>IF(ISTEXT(物品!G172)=TRUE,"'"&amp;物品!G172&amp;"'",物品!G172)</f>
        <v>0</v>
      </c>
      <c r="F103">
        <f>IF(ISTEXT(物品!H172)=TRUE,"'"&amp;物品!H172&amp;"'",物品!H172)</f>
        <v>0</v>
      </c>
      <c r="G103">
        <f>IF(物品!I172="",0,"'"&amp;物品!I172&amp;"'")</f>
        <v>0</v>
      </c>
      <c r="H103">
        <f>IF(物品!R172="",0,物品!R172)</f>
        <v>-7970</v>
      </c>
      <c r="I103">
        <f>IF(物品!S172="",0,物品!S172)</f>
        <v>7965</v>
      </c>
      <c r="J103" t="str">
        <f>IF(物品!C172="",0,""""&amp;物品!C172&amp;"""")</f>
        <v>"|CffFFD24D迷魂幻世劫|r"</v>
      </c>
      <c r="K103" t="str">
        <f>IF(物品!T172="","""""",""""&amp;物品!T172&amp;"""")</f>
        <v>"渡过该劫后可结成|Cffffc926仙品道果|r。|n|n|Cffffc926仙品道果：|r|n攻击+102500|n业力+82000|n生命值+2050000|n生命回复+41000|n物理伤害+24%|n法术伤害+20%|n杀敌攻击+8|n杀敌业力+1|n杀敌生命+30|n"</v>
      </c>
      <c r="L103" t="str">
        <f>IF(物品!U172="",0,""""&amp;物品!U172&amp;"""")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物理伤害+24%|n法术伤害+20%|n杀敌攻击+8|n杀敌业力+1|n杀敌生命+30|n")</v>
      </c>
    </row>
    <row r="104" spans="1:14">
      <c r="A104" t="str">
        <f>IF(物品!B173="",0,"'"&amp;物品!B173&amp;"'")</f>
        <v>'IT09'</v>
      </c>
      <c r="B104" t="e">
        <f>物品!#REF!</f>
        <v>#REF!</v>
      </c>
      <c r="C104">
        <f>物品!E173</f>
        <v>0</v>
      </c>
      <c r="D104">
        <f>物品!F173</f>
        <v>0</v>
      </c>
      <c r="E104">
        <f>IF(ISTEXT(物品!G173)=TRUE,"'"&amp;物品!G173&amp;"'",物品!G173)</f>
        <v>0</v>
      </c>
      <c r="F104">
        <f>IF(ISTEXT(物品!H173)=TRUE,"'"&amp;物品!H173&amp;"'",物品!H173)</f>
        <v>0</v>
      </c>
      <c r="G104">
        <f>IF(物品!I173="",0,"'"&amp;物品!I173&amp;"'")</f>
        <v>0</v>
      </c>
      <c r="H104">
        <f>IF(物品!R173="",0,物品!R173)</f>
        <v>2100</v>
      </c>
      <c r="I104">
        <f>IF(物品!S173="",0,物品!S173)</f>
        <v>-5120</v>
      </c>
      <c r="J104" t="str">
        <f>IF(物品!C173="",0,""""&amp;物品!C173&amp;"""")</f>
        <v>"|CffFF0000天人五衰劫|r"</v>
      </c>
      <c r="K104" t="str">
        <f>IF(物品!T173="","""""",""""&amp;物品!T173&amp;"""")</f>
        <v>"渡过该劫后可结成|Cffff0000至圣道果|r。|n|n|Cffff0000至圣道果：|r|n攻击+141250|n业力+113000|n生命值+2825000|n生命回复+56500|n物理伤害+24%|n法术伤害+20%|n杀敌攻击+8|n杀敌业力+1|n杀敌生命+30|n"</v>
      </c>
      <c r="L104" t="str">
        <f>IF(物品!U173="",0,""""&amp;物品!U173&amp;"""")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物理伤害+24%|n法术伤害+20%|n杀敌攻击+8|n杀敌业力+1|n杀敌生命+30|n")</v>
      </c>
    </row>
    <row r="105" spans="1:14">
      <c r="A105" t="str">
        <f>IF(物品!B174="",0,"'"&amp;物品!B174&amp;"'")</f>
        <v>'IT10'</v>
      </c>
      <c r="B105" t="e">
        <f>物品!#REF!</f>
        <v>#REF!</v>
      </c>
      <c r="C105">
        <f>物品!E174</f>
        <v>0</v>
      </c>
      <c r="D105">
        <f>物品!F174</f>
        <v>0</v>
      </c>
      <c r="E105">
        <f>IF(ISTEXT(物品!G174)=TRUE,"'"&amp;物品!G174&amp;"'",物品!G174)</f>
        <v>0</v>
      </c>
      <c r="F105">
        <f>IF(ISTEXT(物品!H174)=TRUE,"'"&amp;物品!H174&amp;"'",物品!H174)</f>
        <v>0</v>
      </c>
      <c r="G105">
        <f>IF(物品!I174="",0,"'"&amp;物品!I174&amp;"'")</f>
        <v>0</v>
      </c>
      <c r="H105">
        <f>IF(物品!R174="",0,物品!R174)</f>
        <v>2268</v>
      </c>
      <c r="I105">
        <f>IF(物品!S174="",0,物品!S174)</f>
        <v>-8065</v>
      </c>
      <c r="J105" t="str">
        <f>IF(物品!C174="",0,""""&amp;物品!C174&amp;"""")</f>
        <v>"|CffFF0000混元灭世劫|r"</v>
      </c>
      <c r="K105" t="str">
        <f>IF(物品!T174="","""""",""""&amp;物品!T174&amp;"""")</f>
        <v>"渡过该劫后可结成|Cffff0000混沌道果|r。|n|n|Cffff0000混沌道果：|r|n攻击+191250|n业力+153000|n生命值+3825000|n生命回复+76500|n物理伤害+36%|n法术伤害+30%|n杀敌攻击+8|n杀敌业力+1|n杀敌生命+30|n"</v>
      </c>
      <c r="L105" t="str">
        <f>IF(物品!U174="",0,""""&amp;物品!U174&amp;"""")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物理伤害+36%|n法术伤害+30%|n杀敌攻击+8|n杀敌业力+1|n杀敌生命+30|n")</v>
      </c>
    </row>
    <row r="106" spans="1:14">
      <c r="A106" t="str">
        <f>IF(物品!B175="",0,"'"&amp;物品!B175&amp;"'")</f>
        <v>'IT11'</v>
      </c>
      <c r="B106" t="e">
        <f>物品!#REF!</f>
        <v>#REF!</v>
      </c>
      <c r="C106">
        <f>物品!E175</f>
        <v>0</v>
      </c>
      <c r="D106">
        <f>物品!F175</f>
        <v>0</v>
      </c>
      <c r="E106">
        <f>IF(ISTEXT(物品!G175)=TRUE,"'"&amp;物品!G175&amp;"'",物品!G175)</f>
        <v>0</v>
      </c>
      <c r="F106">
        <f>IF(ISTEXT(物品!H175)=TRUE,"'"&amp;物品!H175&amp;"'",物品!H175)</f>
        <v>0</v>
      </c>
      <c r="G106">
        <f>IF(物品!I175="",0,"'"&amp;物品!I175&amp;"'")</f>
        <v>0</v>
      </c>
      <c r="H106">
        <f>IF(物品!R175="",0,物品!R175)</f>
        <v>0</v>
      </c>
      <c r="I106">
        <f>IF(物品!S175="",0,物品!S175)</f>
        <v>0</v>
      </c>
      <c r="J106" t="str">
        <f>IF(物品!C175="",0,""""&amp;物品!C175&amp;"""")</f>
        <v>"斩三尸"</v>
      </c>
      <c r="K106" t="str">
        <f>IF(物品!T175="","""""",""""&amp;物品!T175&amp;"""")</f>
        <v>"境界挑战11"</v>
      </c>
      <c r="L106" t="str">
        <f>IF(物品!U175="",0,""""&amp;物品!U175&amp;"""")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IF(物品!B176="",0,"'"&amp;物品!B176&amp;"'")</f>
        <v>'IT12'</v>
      </c>
      <c r="B107" t="e">
        <f>物品!#REF!</f>
        <v>#REF!</v>
      </c>
      <c r="C107">
        <f>物品!E176</f>
        <v>0</v>
      </c>
      <c r="D107">
        <f>物品!F176</f>
        <v>0</v>
      </c>
      <c r="E107">
        <f>IF(ISTEXT(物品!G176)=TRUE,"'"&amp;物品!G176&amp;"'",物品!G176)</f>
        <v>0</v>
      </c>
      <c r="F107">
        <f>IF(ISTEXT(物品!H176)=TRUE,"'"&amp;物品!H176&amp;"'",物品!H176)</f>
        <v>0</v>
      </c>
      <c r="G107">
        <f>IF(物品!I176="",0,"'"&amp;物品!I176&amp;"'")</f>
        <v>0</v>
      </c>
      <c r="H107">
        <f>IF(物品!R176="",0,物品!R176)</f>
        <v>0</v>
      </c>
      <c r="I107">
        <f>IF(物品!S176="",0,物品!S176)</f>
        <v>0</v>
      </c>
      <c r="J107" t="str">
        <f>IF(物品!C176="",0,""""&amp;物品!C176&amp;"""")</f>
        <v>"无量量劫"</v>
      </c>
      <c r="K107" t="str">
        <f>IF(物品!T176="","""""",""""&amp;物品!T176&amp;"""")</f>
        <v>"境界挑战12"</v>
      </c>
      <c r="L107" t="str">
        <f>IF(物品!U176="",0,""""&amp;物品!U176&amp;"""")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IF(物品!B177="",0,"'"&amp;物品!B177&amp;"'")</f>
        <v>'IT13'</v>
      </c>
      <c r="B108" t="e">
        <f>物品!#REF!</f>
        <v>#REF!</v>
      </c>
      <c r="C108">
        <f>物品!E177</f>
        <v>0</v>
      </c>
      <c r="D108">
        <f>物品!F177</f>
        <v>0</v>
      </c>
      <c r="E108">
        <f>IF(ISTEXT(物品!G177)=TRUE,"'"&amp;物品!G177&amp;"'",物品!G177)</f>
        <v>0</v>
      </c>
      <c r="F108">
        <f>IF(ISTEXT(物品!H177)=TRUE,"'"&amp;物品!H177&amp;"'",物品!H177)</f>
        <v>0</v>
      </c>
      <c r="G108">
        <f>IF(物品!I177="",0,"'"&amp;物品!I177&amp;"'")</f>
        <v>0</v>
      </c>
      <c r="H108">
        <f>IF(物品!R177="",0,物品!R177)</f>
        <v>0</v>
      </c>
      <c r="I108">
        <f>IF(物品!S177="",0,物品!S177)</f>
        <v>0</v>
      </c>
      <c r="J108" t="str">
        <f>IF(物品!C177="",0,""""&amp;物品!C177&amp;"""")</f>
        <v>"鸿钧对练"</v>
      </c>
      <c r="K108" t="str">
        <f>IF(物品!T177="","""""",""""&amp;物品!T177&amp;"""")</f>
        <v>"境界挑战13"</v>
      </c>
      <c r="L108" t="str">
        <f>IF(物品!U177="",0,""""&amp;物品!U177&amp;"""")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IF(物品!B178="",0,"'"&amp;物品!B178&amp;"'")</f>
        <v>'IT14'</v>
      </c>
      <c r="B109" t="e">
        <f>物品!#REF!</f>
        <v>#REF!</v>
      </c>
      <c r="C109">
        <f>物品!E178</f>
        <v>0</v>
      </c>
      <c r="D109">
        <f>物品!F178</f>
        <v>0</v>
      </c>
      <c r="E109">
        <f>IF(ISTEXT(物品!G178)=TRUE,"'"&amp;物品!G178&amp;"'",物品!G178)</f>
        <v>0</v>
      </c>
      <c r="F109">
        <f>IF(ISTEXT(物品!H178)=TRUE,"'"&amp;物品!H178&amp;"'",物品!H178)</f>
        <v>0</v>
      </c>
      <c r="G109">
        <f>IF(物品!I178="",0,"'"&amp;物品!I178&amp;"'")</f>
        <v>0</v>
      </c>
      <c r="H109">
        <f>IF(物品!R178="",0,物品!R178)</f>
        <v>0</v>
      </c>
      <c r="I109">
        <f>IF(物品!S178="",0,物品!S178)</f>
        <v>0</v>
      </c>
      <c r="J109" t="str">
        <f>IF(物品!C178="",0,""""&amp;物品!C178&amp;"""")</f>
        <v>"境界挑战14"</v>
      </c>
      <c r="K109" t="str">
        <f>IF(物品!T178="","""""",""""&amp;物品!T178&amp;"""")</f>
        <v>"境界挑战14"</v>
      </c>
      <c r="L109" t="str">
        <f>IF(物品!U178="",0,""""&amp;物品!U178&amp;"""")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IF(物品!B187="",0,"'"&amp;物品!B187&amp;"'")</f>
        <v>'IS02'</v>
      </c>
      <c r="B110" t="e">
        <f>物品!#REF!</f>
        <v>#REF!</v>
      </c>
      <c r="C110">
        <f>物品!E187</f>
        <v>0</v>
      </c>
      <c r="D110">
        <f>物品!F187</f>
        <v>0</v>
      </c>
      <c r="E110">
        <f>IF(ISTEXT(物品!G187)=TRUE,"'"&amp;物品!G187&amp;"'",物品!G187)</f>
        <v>0</v>
      </c>
      <c r="F110">
        <f>IF(ISTEXT(物品!H187)=TRUE,"'"&amp;物品!H187&amp;"'",物品!H187)</f>
        <v>0</v>
      </c>
      <c r="G110">
        <f>IF(物品!I187="",0,"'"&amp;物品!I187&amp;"'")</f>
        <v>0</v>
      </c>
      <c r="H110">
        <f>IF(物品!R187="",0,物品!R187)</f>
        <v>0</v>
      </c>
      <c r="I110">
        <f>IF(物品!S187="",0,物品!S187)</f>
        <v>0</v>
      </c>
      <c r="J110" t="str">
        <f>IF(物品!C187="",0,""""&amp;物品!C187&amp;"""")</f>
        <v>"学习Q技能"</v>
      </c>
      <c r="K110" t="str">
        <f>IF(物品!T187="","""""",""""&amp;物品!T187&amp;"""")</f>
        <v>"学习Q技能"</v>
      </c>
      <c r="L110" t="str">
        <f>IF(物品!U187="",0,""""&amp;物品!U187&amp;"""")</f>
        <v>"ReplaceableTextures\\CommandButtons\\BTN001.blp"</v>
      </c>
      <c r="M110" t="e">
        <f t="shared" si="4"/>
        <v>#REF!</v>
      </c>
      <c r="N110" t="str">
        <f t="shared" si="5"/>
        <v>call InitTypeIdStrings('IS02',"学习Q技能","ReplaceableTextures\\CommandButtons\\BTN001.blp","学习Q技能")</v>
      </c>
    </row>
    <row r="111" spans="1:14">
      <c r="A111" t="str">
        <f>IF(物品!B188="",0,"'"&amp;物品!B188&amp;"'")</f>
        <v>'IS03'</v>
      </c>
      <c r="B111" t="e">
        <f>物品!#REF!</f>
        <v>#REF!</v>
      </c>
      <c r="C111">
        <f>物品!E188</f>
        <v>0</v>
      </c>
      <c r="D111">
        <f>物品!F188</f>
        <v>0</v>
      </c>
      <c r="E111">
        <f>IF(ISTEXT(物品!G188)=TRUE,"'"&amp;物品!G188&amp;"'",物品!G188)</f>
        <v>0</v>
      </c>
      <c r="F111">
        <f>IF(ISTEXT(物品!H188)=TRUE,"'"&amp;物品!H188&amp;"'",物品!H188)</f>
        <v>0</v>
      </c>
      <c r="G111">
        <f>IF(物品!I188="",0,"'"&amp;物品!I188&amp;"'")</f>
        <v>0</v>
      </c>
      <c r="H111">
        <f>IF(物品!R188="",0,物品!R188)</f>
        <v>0</v>
      </c>
      <c r="I111">
        <f>IF(物品!S188="",0,物品!S188)</f>
        <v>0</v>
      </c>
      <c r="J111" t="str">
        <f>IF(物品!C188="",0,""""&amp;物品!C188&amp;"""")</f>
        <v>"学习Q技能"</v>
      </c>
      <c r="K111" t="str">
        <f>IF(物品!T188="","""""",""""&amp;物品!T188&amp;"""")</f>
        <v>"学习Q技能"</v>
      </c>
      <c r="L111" t="str">
        <f>IF(物品!U188="",0,""""&amp;物品!U188&amp;"""")</f>
        <v>"ReplaceableTextures\\CommandButtons\\BTN001.blp"</v>
      </c>
      <c r="M111" t="e">
        <f t="shared" si="4"/>
        <v>#REF!</v>
      </c>
      <c r="N111" t="str">
        <f t="shared" si="5"/>
        <v>call InitTypeIdStrings('IS03',"学习Q技能","ReplaceableTextures\\CommandButtons\\BTN001.blp","学习Q技能")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IF(物品!B199="",0,"'"&amp;物品!B199&amp;"'")</f>
        <v>'IS12'</v>
      </c>
      <c r="B114" t="e">
        <f>物品!#REF!</f>
        <v>#REF!</v>
      </c>
      <c r="C114">
        <f>物品!E199</f>
        <v>0</v>
      </c>
      <c r="D114">
        <f>物品!F199</f>
        <v>0</v>
      </c>
      <c r="E114">
        <f>IF(ISTEXT(物品!G199)=TRUE,"'"&amp;物品!G199&amp;"'",物品!G199)</f>
        <v>0</v>
      </c>
      <c r="F114">
        <f>IF(ISTEXT(物品!H199)=TRUE,"'"&amp;物品!H199&amp;"'",物品!H199)</f>
        <v>0</v>
      </c>
      <c r="G114">
        <f>IF(物品!I199="",0,"'"&amp;物品!I199&amp;"'")</f>
        <v>0</v>
      </c>
      <c r="H114">
        <f>IF(物品!R199="",0,物品!R199)</f>
        <v>0</v>
      </c>
      <c r="I114">
        <f>IF(物品!S199="",0,物品!S199)</f>
        <v>0</v>
      </c>
      <c r="J114" t="str">
        <f>IF(物品!C199="",0,""""&amp;物品!C199&amp;"""")</f>
        <v>"|CffFFD24D兽魂抽奖|r"</v>
      </c>
      <c r="K114" t="str">
        <f>IF(物品!T199="","""""",""""&amp;物品!T199&amp;"""")</f>
        <v>"|CffFFD24D兽魂抽奖|r"</v>
      </c>
      <c r="L114" t="str">
        <f>IF(物品!U199="",0,""""&amp;物品!U199&amp;"""")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IF(物品!B205="",0,"'"&amp;物品!B205&amp;"'")</f>
        <v>'IB01'</v>
      </c>
      <c r="B123" t="e">
        <f>物品!#REF!</f>
        <v>#REF!</v>
      </c>
      <c r="C123">
        <f>物品!E205</f>
        <v>0</v>
      </c>
      <c r="D123">
        <f>物品!F205</f>
        <v>0</v>
      </c>
      <c r="E123">
        <f>IF(ISTEXT(物品!G205)=TRUE,"'"&amp;物品!G205&amp;"'",物品!G205)</f>
        <v>0</v>
      </c>
      <c r="F123">
        <f>IF(ISTEXT(物品!H205)=TRUE,"'"&amp;物品!H205&amp;"'",物品!H205)</f>
        <v>0</v>
      </c>
      <c r="G123">
        <f>IF(物品!I205="",0,"'"&amp;物品!I205&amp;"'")</f>
        <v>0</v>
      </c>
      <c r="H123">
        <f>IF(物品!R205="",0,物品!R205)</f>
        <v>0</v>
      </c>
      <c r="I123">
        <f>IF(物品!S205="",0,物品!S205)</f>
        <v>0</v>
      </c>
      <c r="J123" t="str">
        <f>IF(物品!C205="",0,""""&amp;物品!C205&amp;"""")</f>
        <v>"公众号礼包"</v>
      </c>
      <c r="K123" t="str">
        <f>IF(物品!T205="","""""",""""&amp;物品!T205&amp;"""")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IF(物品!U205="",0,""""&amp;物品!U205&amp;"""")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IF(物品!B206="",0,"'"&amp;物品!B206&amp;"'")</f>
        <v>'IB02'</v>
      </c>
      <c r="B124" t="e">
        <f>物品!#REF!</f>
        <v>#REF!</v>
      </c>
      <c r="C124">
        <f>物品!E206</f>
        <v>0</v>
      </c>
      <c r="D124">
        <f>物品!F206</f>
        <v>0</v>
      </c>
      <c r="E124">
        <f>IF(ISTEXT(物品!G206)=TRUE,"'"&amp;物品!G206&amp;"'",物品!G206)</f>
        <v>0</v>
      </c>
      <c r="F124">
        <f>IF(ISTEXT(物品!H206)=TRUE,"'"&amp;物品!H206&amp;"'",物品!H206)</f>
        <v>0</v>
      </c>
      <c r="G124">
        <f>IF(物品!I206="",0,"'"&amp;物品!I206&amp;"'")</f>
        <v>0</v>
      </c>
      <c r="H124">
        <f>IF(物品!R206="",0,物品!R206)</f>
        <v>0</v>
      </c>
      <c r="I124">
        <f>IF(物品!S206="",0,物品!S206)</f>
        <v>0</v>
      </c>
      <c r="J124" t="str">
        <f>IF(物品!C206="",0,""""&amp;物品!C206&amp;"""")</f>
        <v>"入群礼包"</v>
      </c>
      <c r="K124" t="str">
        <f>IF(物品!T206="","""""",""""&amp;物品!T206&amp;"""")</f>
        <v>"加入《|cff00ffcc全民封神|r》官方QQ群，即可获得入群礼包码！|n|n输入礼包码即可获得：|n|cff00ff7f招魂幡Lv2|r"</v>
      </c>
      <c r="L124" t="str">
        <f>IF(物品!U206="",0,""""&amp;物品!U206&amp;"""")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IF(物品!B207="",0,"'"&amp;物品!B207&amp;"'")</f>
        <v>'IB03'</v>
      </c>
      <c r="B125" t="e">
        <f>物品!#REF!</f>
        <v>#REF!</v>
      </c>
      <c r="C125">
        <f>物品!E207</f>
        <v>0</v>
      </c>
      <c r="D125">
        <f>物品!F207</f>
        <v>0</v>
      </c>
      <c r="E125">
        <f>IF(ISTEXT(物品!G207)=TRUE,"'"&amp;物品!G207&amp;"'",物品!G207)</f>
        <v>0</v>
      </c>
      <c r="F125">
        <f>IF(ISTEXT(物品!H207)=TRUE,"'"&amp;物品!H207&amp;"'",物品!H207)</f>
        <v>0</v>
      </c>
      <c r="G125">
        <f>IF(物品!I207="",0,"'"&amp;物品!I207&amp;"'")</f>
        <v>0</v>
      </c>
      <c r="H125">
        <f>IF(物品!R207="",0,物品!R207)</f>
        <v>0</v>
      </c>
      <c r="I125">
        <f>IF(物品!S207="",0,物品!S207)</f>
        <v>0</v>
      </c>
      <c r="J125" t="str">
        <f>IF(物品!C207="",0,""""&amp;物品!C207&amp;"""")</f>
        <v>"拜年礼包"</v>
      </c>
      <c r="K125" t="str">
        <f>IF(物品!T207="","""""",""""&amp;物品!T207&amp;"""")</f>
        <v>"|cff99ccff给与地图有效评论建议|r即可领取：|n|cffffff00杀敌生命+5+3*通行证等级|n杀敌业力+1|n|n|r|cff808080地图等级达到3级可领取|r"</v>
      </c>
      <c r="L125" t="str">
        <f>IF(物品!U207="",0,""""&amp;物品!U207&amp;"""")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IF(物品!B208="",0,"'"&amp;物品!B208&amp;"'")</f>
        <v>'IB04'</v>
      </c>
      <c r="B126" t="e">
        <f>物品!#REF!</f>
        <v>#REF!</v>
      </c>
      <c r="C126">
        <f>物品!E208</f>
        <v>0</v>
      </c>
      <c r="D126">
        <f>物品!F208</f>
        <v>0</v>
      </c>
      <c r="E126">
        <f>IF(ISTEXT(物品!G208)=TRUE,"'"&amp;物品!G208&amp;"'",物品!G208)</f>
        <v>0</v>
      </c>
      <c r="F126">
        <f>IF(ISTEXT(物品!H208)=TRUE,"'"&amp;物品!H208&amp;"'",物品!H208)</f>
        <v>0</v>
      </c>
      <c r="G126">
        <f>IF(物品!I208="",0,"'"&amp;物品!I208&amp;"'")</f>
        <v>0</v>
      </c>
      <c r="H126">
        <f>IF(物品!R208="",0,物品!R208)</f>
        <v>0</v>
      </c>
      <c r="I126">
        <f>IF(物品!S208="",0,物品!S208)</f>
        <v>0</v>
      </c>
      <c r="J126" t="str">
        <f>IF(物品!C208="",0,""""&amp;物品!C208&amp;"""")</f>
        <v>"收藏礼包"</v>
      </c>
      <c r="K126" t="str">
        <f>IF(物品!T208="","""""",""""&amp;物品!T208&amp;"""")</f>
        <v>"|cff99ccff房间大厅界面点击右上角《|r|cffcc99ff收藏|r|cff99ccff》后可领取该礼包。|n|n|r属性：|n|cffffcc33物理伤害+5%|n法术伤害+5%|r"</v>
      </c>
      <c r="L126" t="str">
        <f>IF(物品!U208="",0,""""&amp;物品!U208&amp;"""")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IF(物品!B209="",0,"'"&amp;物品!B209&amp;"'")</f>
        <v>'IB05'</v>
      </c>
      <c r="B127" t="e">
        <f>物品!#REF!</f>
        <v>#REF!</v>
      </c>
      <c r="C127">
        <f>物品!E209</f>
        <v>0</v>
      </c>
      <c r="D127">
        <f>物品!F209</f>
        <v>0</v>
      </c>
      <c r="E127">
        <f>IF(ISTEXT(物品!G209)=TRUE,"'"&amp;物品!G209&amp;"'",物品!G209)</f>
        <v>0</v>
      </c>
      <c r="F127">
        <f>IF(ISTEXT(物品!H209)=TRUE,"'"&amp;物品!H209&amp;"'",物品!H209)</f>
        <v>0</v>
      </c>
      <c r="G127">
        <f>IF(物品!I209="",0,"'"&amp;物品!I209&amp;"'")</f>
        <v>0</v>
      </c>
      <c r="H127">
        <f>IF(物品!R209="",0,物品!R209)</f>
        <v>0</v>
      </c>
      <c r="I127">
        <f>IF(物品!S209="",0,物品!S209)</f>
        <v>0</v>
      </c>
      <c r="J127" t="str">
        <f>IF(物品!C209="",0,""""&amp;物品!C209&amp;"""")</f>
        <v>"重置版礼包"</v>
      </c>
      <c r="K127" t="str">
        <f>IF(物品!T209="","""""",""""&amp;物品!T209&amp;"""")</f>
        <v>"|cff33ff00购买魔兽重制版可领取该礼包！|n|n|r属性：|n|cffffcc33金币+1000|n每秒攻击+2|n每秒业力+1|r"</v>
      </c>
      <c r="L127" t="str">
        <f>IF(物品!U209="",0,""""&amp;物品!U209&amp;"""")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IF(物品!B227="",0,"'"&amp;物品!B227&amp;"'")</f>
        <v>'IF01'</v>
      </c>
      <c r="B128">
        <f>物品!D129</f>
        <v>0</v>
      </c>
      <c r="C128">
        <f>物品!E227</f>
        <v>0</v>
      </c>
      <c r="D128">
        <f>物品!F227</f>
        <v>0</v>
      </c>
      <c r="E128">
        <f>IF(ISTEXT(物品!G227)=TRUE,"'"&amp;物品!G227&amp;"'",物品!G227)</f>
        <v>0</v>
      </c>
      <c r="F128">
        <f>IF(ISTEXT(物品!H227)=TRUE,"'"&amp;物品!H227&amp;"'",物品!H227)</f>
        <v>0</v>
      </c>
      <c r="G128">
        <f>IF(物品!I227="",0,"'"&amp;物品!I227&amp;"'")</f>
        <v>0</v>
      </c>
      <c r="H128">
        <f>IF(物品!R227="",0,物品!R227)</f>
        <v>0</v>
      </c>
      <c r="I128">
        <f>IF(物品!S227="",0,物品!S227)</f>
        <v>0</v>
      </c>
      <c r="J128" t="str">
        <f>IF(物品!C227="",0,""""&amp;物品!C227&amp;"""")</f>
        <v>"附魔"</v>
      </c>
      <c r="K128" t="str">
        <f>IF(物品!T227="","""""",""""&amp;物品!T227&amp;"""")</f>
        <v>""</v>
      </c>
      <c r="L128">
        <f>IF(物品!U227="",0,""""&amp;物品!U227&amp;"""")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IF(物品!B228="",0,"'"&amp;物品!B228&amp;"'")</f>
        <v>'IF02'</v>
      </c>
      <c r="B129" t="e">
        <f>物品!#REF!</f>
        <v>#REF!</v>
      </c>
      <c r="C129">
        <f>物品!E228</f>
        <v>0</v>
      </c>
      <c r="D129">
        <f>物品!F228</f>
        <v>0</v>
      </c>
      <c r="E129">
        <f>IF(ISTEXT(物品!G228)=TRUE,"'"&amp;物品!G228&amp;"'",物品!G228)</f>
        <v>0</v>
      </c>
      <c r="F129">
        <f>IF(ISTEXT(物品!H228)=TRUE,"'"&amp;物品!H228&amp;"'",物品!H228)</f>
        <v>0</v>
      </c>
      <c r="G129">
        <f>IF(物品!I228="",0,"'"&amp;物品!I228&amp;"'")</f>
        <v>0</v>
      </c>
      <c r="H129">
        <f>IF(物品!R228="",0,物品!R228)</f>
        <v>0</v>
      </c>
      <c r="I129">
        <f>IF(物品!S228="",0,物品!S228)</f>
        <v>0</v>
      </c>
      <c r="J129" t="str">
        <f>IF(物品!C228="",0,""""&amp;物品!C228&amp;"""")</f>
        <v>"附魔"</v>
      </c>
      <c r="K129" t="str">
        <f>IF(物品!T228="","""""",""""&amp;物品!T228&amp;"""")</f>
        <v>""</v>
      </c>
      <c r="L129">
        <f>IF(物品!U228="",0,""""&amp;物品!U228&amp;"""")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IF(物品!B229="",0,"'"&amp;物品!B229&amp;"'")</f>
        <v>'IF03'</v>
      </c>
      <c r="B130" t="e">
        <f>物品!#REF!</f>
        <v>#REF!</v>
      </c>
      <c r="C130">
        <f>物品!E229</f>
        <v>0</v>
      </c>
      <c r="D130">
        <f>物品!F229</f>
        <v>0</v>
      </c>
      <c r="E130">
        <f>IF(ISTEXT(物品!G229)=TRUE,"'"&amp;物品!G229&amp;"'",物品!G229)</f>
        <v>0</v>
      </c>
      <c r="F130">
        <f>IF(ISTEXT(物品!H229)=TRUE,"'"&amp;物品!H229&amp;"'",物品!H229)</f>
        <v>0</v>
      </c>
      <c r="G130">
        <f>IF(物品!I229="",0,"'"&amp;物品!I229&amp;"'")</f>
        <v>0</v>
      </c>
      <c r="H130">
        <f>IF(物品!R229="",0,物品!R229)</f>
        <v>0</v>
      </c>
      <c r="I130">
        <f>IF(物品!S229="",0,物品!S229)</f>
        <v>0</v>
      </c>
      <c r="J130" t="str">
        <f>IF(物品!C229="",0,""""&amp;物品!C229&amp;"""")</f>
        <v>"附魔"</v>
      </c>
      <c r="K130" t="str">
        <f>IF(物品!T229="","""""",""""&amp;物品!T229&amp;"""")</f>
        <v>""</v>
      </c>
      <c r="L130">
        <f>IF(物品!U229="",0,""""&amp;物品!U229&amp;"""")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IF(物品!B230="",0,"'"&amp;物品!B230&amp;"'")</f>
        <v>'IF04'</v>
      </c>
      <c r="B131" t="e">
        <f>物品!#REF!</f>
        <v>#REF!</v>
      </c>
      <c r="C131">
        <f>物品!E230</f>
        <v>0</v>
      </c>
      <c r="D131">
        <f>物品!F230</f>
        <v>0</v>
      </c>
      <c r="E131">
        <f>IF(ISTEXT(物品!G230)=TRUE,"'"&amp;物品!G230&amp;"'",物品!G230)</f>
        <v>0</v>
      </c>
      <c r="F131">
        <f>IF(ISTEXT(物品!H230)=TRUE,"'"&amp;物品!H230&amp;"'",物品!H230)</f>
        <v>0</v>
      </c>
      <c r="G131">
        <f>IF(物品!I230="",0,"'"&amp;物品!I230&amp;"'")</f>
        <v>0</v>
      </c>
      <c r="H131">
        <f>IF(物品!R230="",0,物品!R230)</f>
        <v>0</v>
      </c>
      <c r="I131">
        <f>IF(物品!S230="",0,物品!S230)</f>
        <v>0</v>
      </c>
      <c r="J131" t="str">
        <f>IF(物品!C230="",0,""""&amp;物品!C230&amp;"""")</f>
        <v>"附魔"</v>
      </c>
      <c r="K131" t="str">
        <f>IF(物品!T230="","""""",""""&amp;物品!T230&amp;"""")</f>
        <v>""</v>
      </c>
      <c r="L131">
        <f>IF(物品!U230="",0,""""&amp;物品!U230&amp;"""")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IF(物品!B231="",0,"'"&amp;物品!B231&amp;"'")</f>
        <v>'IF05'</v>
      </c>
      <c r="B132" t="e">
        <f>物品!#REF!</f>
        <v>#REF!</v>
      </c>
      <c r="C132">
        <f>物品!E231</f>
        <v>0</v>
      </c>
      <c r="D132">
        <f>物品!F231</f>
        <v>0</v>
      </c>
      <c r="E132">
        <f>IF(ISTEXT(物品!G231)=TRUE,"'"&amp;物品!G231&amp;"'",物品!G231)</f>
        <v>0</v>
      </c>
      <c r="F132">
        <f>IF(ISTEXT(物品!H231)=TRUE,"'"&amp;物品!H231&amp;"'",物品!H231)</f>
        <v>0</v>
      </c>
      <c r="G132">
        <f>IF(物品!I231="",0,"'"&amp;物品!I231&amp;"'")</f>
        <v>0</v>
      </c>
      <c r="H132">
        <f>IF(物品!R231="",0,物品!R231)</f>
        <v>0</v>
      </c>
      <c r="I132">
        <f>IF(物品!S231="",0,物品!S231)</f>
        <v>0</v>
      </c>
      <c r="J132" t="str">
        <f>IF(物品!C231="",0,""""&amp;物品!C231&amp;"""")</f>
        <v>"附魔"</v>
      </c>
      <c r="K132" t="str">
        <f>IF(物品!T231="","""""",""""&amp;物品!T231&amp;"""")</f>
        <v>""</v>
      </c>
      <c r="L132">
        <f>IF(物品!U231="",0,""""&amp;物品!U231&amp;"""")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IF(物品!B232="",0,"'"&amp;物品!B232&amp;"'")</f>
        <v>'IF06'</v>
      </c>
      <c r="B133" t="e">
        <f>物品!#REF!</f>
        <v>#REF!</v>
      </c>
      <c r="C133">
        <f>物品!E232</f>
        <v>0</v>
      </c>
      <c r="D133">
        <f>物品!F232</f>
        <v>0</v>
      </c>
      <c r="E133">
        <f>IF(ISTEXT(物品!G232)=TRUE,"'"&amp;物品!G232&amp;"'",物品!G232)</f>
        <v>0</v>
      </c>
      <c r="F133">
        <f>IF(ISTEXT(物品!H232)=TRUE,"'"&amp;物品!H232&amp;"'",物品!H232)</f>
        <v>0</v>
      </c>
      <c r="G133">
        <f>IF(物品!I232="",0,"'"&amp;物品!I232&amp;"'")</f>
        <v>0</v>
      </c>
      <c r="H133">
        <f>IF(物品!R232="",0,物品!R232)</f>
        <v>0</v>
      </c>
      <c r="I133">
        <f>IF(物品!S232="",0,物品!S232)</f>
        <v>0</v>
      </c>
      <c r="J133" t="str">
        <f>IF(物品!C232="",0,""""&amp;物品!C232&amp;"""")</f>
        <v>"附魔"</v>
      </c>
      <c r="K133" t="str">
        <f>IF(物品!T232="","""""",""""&amp;物品!T232&amp;"""")</f>
        <v>""</v>
      </c>
      <c r="L133">
        <f>IF(物品!U232="",0,""""&amp;物品!U232&amp;"""")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IF(物品!B233="",0,"'"&amp;物品!B233&amp;"'")</f>
        <v>'IF07'</v>
      </c>
      <c r="B134" t="e">
        <f>物品!#REF!</f>
        <v>#REF!</v>
      </c>
      <c r="C134">
        <f>物品!E233</f>
        <v>0</v>
      </c>
      <c r="D134">
        <f>物品!F233</f>
        <v>0</v>
      </c>
      <c r="E134">
        <f>IF(ISTEXT(物品!G233)=TRUE,"'"&amp;物品!G233&amp;"'",物品!G233)</f>
        <v>0</v>
      </c>
      <c r="F134">
        <f>IF(ISTEXT(物品!H233)=TRUE,"'"&amp;物品!H233&amp;"'",物品!H233)</f>
        <v>0</v>
      </c>
      <c r="G134">
        <f>IF(物品!I233="",0,"'"&amp;物品!I233&amp;"'")</f>
        <v>0</v>
      </c>
      <c r="H134">
        <f>IF(物品!R233="",0,物品!R233)</f>
        <v>0</v>
      </c>
      <c r="I134">
        <f>IF(物品!S233="",0,物品!S233)</f>
        <v>0</v>
      </c>
      <c r="J134" t="str">
        <f>IF(物品!C233="",0,""""&amp;物品!C233&amp;"""")</f>
        <v>"附魔"</v>
      </c>
      <c r="K134" t="str">
        <f>IF(物品!T233="","""""",""""&amp;物品!T233&amp;"""")</f>
        <v>""</v>
      </c>
      <c r="L134">
        <f>IF(物品!U233="",0,""""&amp;物品!U233&amp;"""")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IF(物品!B234="",0,"'"&amp;物品!B234&amp;"'")</f>
        <v>'IF08'</v>
      </c>
      <c r="B135">
        <f>物品!D130</f>
        <v>0</v>
      </c>
      <c r="C135">
        <f>物品!E234</f>
        <v>0</v>
      </c>
      <c r="D135">
        <f>物品!F234</f>
        <v>0</v>
      </c>
      <c r="E135">
        <f>IF(ISTEXT(物品!G234)=TRUE,"'"&amp;物品!G234&amp;"'",物品!G234)</f>
        <v>0</v>
      </c>
      <c r="F135">
        <f>IF(ISTEXT(物品!H234)=TRUE,"'"&amp;物品!H234&amp;"'",物品!H234)</f>
        <v>0</v>
      </c>
      <c r="G135">
        <f>IF(物品!I234="",0,"'"&amp;物品!I234&amp;"'")</f>
        <v>0</v>
      </c>
      <c r="H135">
        <f>IF(物品!R234="",0,物品!R234)</f>
        <v>0</v>
      </c>
      <c r="I135">
        <f>IF(物品!S234="",0,物品!S234)</f>
        <v>0</v>
      </c>
      <c r="J135" t="str">
        <f>IF(物品!C234="",0,""""&amp;物品!C234&amp;"""")</f>
        <v>"附魔"</v>
      </c>
      <c r="K135" t="str">
        <f>IF(物品!T234="","""""",""""&amp;物品!T234&amp;"""")</f>
        <v>""</v>
      </c>
      <c r="L135">
        <f>IF(物品!U234="",0,""""&amp;物品!U234&amp;"""")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IF(物品!B235="",0,"'"&amp;物品!B235&amp;"'")</f>
        <v>'IF09'</v>
      </c>
      <c r="B136">
        <f>物品!D131</f>
        <v>0</v>
      </c>
      <c r="C136">
        <f>物品!E235</f>
        <v>0</v>
      </c>
      <c r="D136">
        <f>物品!F235</f>
        <v>0</v>
      </c>
      <c r="E136">
        <f>IF(ISTEXT(物品!G235)=TRUE,"'"&amp;物品!G235&amp;"'",物品!G235)</f>
        <v>0</v>
      </c>
      <c r="F136">
        <f>IF(ISTEXT(物品!H235)=TRUE,"'"&amp;物品!H235&amp;"'",物品!H235)</f>
        <v>0</v>
      </c>
      <c r="G136">
        <f>IF(物品!I235="",0,"'"&amp;物品!I235&amp;"'")</f>
        <v>0</v>
      </c>
      <c r="H136">
        <f>IF(物品!R235="",0,物品!R235)</f>
        <v>0</v>
      </c>
      <c r="I136">
        <f>IF(物品!S235="",0,物品!S235)</f>
        <v>0</v>
      </c>
      <c r="J136" t="str">
        <f>IF(物品!C235="",0,""""&amp;物品!C235&amp;"""")</f>
        <v>"附魔"</v>
      </c>
      <c r="K136" t="str">
        <f>IF(物品!T235="","""""",""""&amp;物品!T235&amp;"""")</f>
        <v>""</v>
      </c>
      <c r="L136">
        <f>IF(物品!U235="",0,""""&amp;物品!U235&amp;"""")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IF(物品!B236="",0,"'"&amp;物品!B236&amp;"'")</f>
        <v>'IF10'</v>
      </c>
      <c r="B137">
        <f>物品!D132</f>
        <v>0</v>
      </c>
      <c r="C137">
        <f>物品!E236</f>
        <v>0</v>
      </c>
      <c r="D137">
        <f>物品!F236</f>
        <v>0</v>
      </c>
      <c r="E137">
        <f>IF(ISTEXT(物品!G236)=TRUE,"'"&amp;物品!G236&amp;"'",物品!G236)</f>
        <v>0</v>
      </c>
      <c r="F137">
        <f>IF(ISTEXT(物品!H236)=TRUE,"'"&amp;物品!H236&amp;"'",物品!H236)</f>
        <v>0</v>
      </c>
      <c r="G137">
        <f>IF(物品!I236="",0,"'"&amp;物品!I236&amp;"'")</f>
        <v>0</v>
      </c>
      <c r="H137">
        <f>IF(物品!R236="",0,物品!R236)</f>
        <v>0</v>
      </c>
      <c r="I137">
        <f>IF(物品!S236="",0,物品!S236)</f>
        <v>0</v>
      </c>
      <c r="J137" t="str">
        <f>IF(物品!C236="",0,""""&amp;物品!C236&amp;"""")</f>
        <v>"附魔"</v>
      </c>
      <c r="K137" t="str">
        <f>IF(物品!T236="","""""",""""&amp;物品!T236&amp;"""")</f>
        <v>""</v>
      </c>
      <c r="L137">
        <f>IF(物品!U236="",0,""""&amp;物品!U236&amp;"""")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IF(物品!B237="",0,"'"&amp;物品!B237&amp;"'")</f>
        <v>'IF11'</v>
      </c>
      <c r="B138">
        <f>物品!D133</f>
        <v>0</v>
      </c>
      <c r="C138">
        <f>物品!E237</f>
        <v>0</v>
      </c>
      <c r="D138">
        <f>物品!F237</f>
        <v>0</v>
      </c>
      <c r="E138">
        <f>IF(ISTEXT(物品!G237)=TRUE,"'"&amp;物品!G237&amp;"'",物品!G237)</f>
        <v>0</v>
      </c>
      <c r="F138">
        <f>IF(ISTEXT(物品!H237)=TRUE,"'"&amp;物品!H237&amp;"'",物品!H237)</f>
        <v>0</v>
      </c>
      <c r="G138">
        <f>IF(物品!I237="",0,"'"&amp;物品!I237&amp;"'")</f>
        <v>0</v>
      </c>
      <c r="H138">
        <f>IF(物品!R237="",0,物品!R237)</f>
        <v>0</v>
      </c>
      <c r="I138">
        <f>IF(物品!S237="",0,物品!S237)</f>
        <v>0</v>
      </c>
      <c r="J138" t="str">
        <f>IF(物品!C237="",0,""""&amp;物品!C237&amp;"""")</f>
        <v>"附魔"</v>
      </c>
      <c r="K138" t="str">
        <f>IF(物品!T237="","""""",""""&amp;物品!T237&amp;"""")</f>
        <v>""</v>
      </c>
      <c r="L138">
        <f>IF(物品!U237="",0,""""&amp;物品!U237&amp;"""")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IF(物品!B238="",0,"'"&amp;物品!B238&amp;"'")</f>
        <v>'IF12'</v>
      </c>
      <c r="B139">
        <f>物品!D134</f>
        <v>0</v>
      </c>
      <c r="C139">
        <f>物品!E238</f>
        <v>0</v>
      </c>
      <c r="D139">
        <f>物品!F238</f>
        <v>0</v>
      </c>
      <c r="E139">
        <f>IF(ISTEXT(物品!G238)=TRUE,"'"&amp;物品!G238&amp;"'",物品!G238)</f>
        <v>0</v>
      </c>
      <c r="F139">
        <f>IF(ISTEXT(物品!H238)=TRUE,"'"&amp;物品!H238&amp;"'",物品!H238)</f>
        <v>0</v>
      </c>
      <c r="G139">
        <f>IF(物品!I238="",0,"'"&amp;物品!I238&amp;"'")</f>
        <v>0</v>
      </c>
      <c r="H139">
        <f>IF(物品!R238="",0,物品!R238)</f>
        <v>0</v>
      </c>
      <c r="I139">
        <f>IF(物品!S238="",0,物品!S238)</f>
        <v>0</v>
      </c>
      <c r="J139" t="str">
        <f>IF(物品!C238="",0,""""&amp;物品!C238&amp;"""")</f>
        <v>"附魔"</v>
      </c>
      <c r="K139" t="str">
        <f>IF(物品!T238="","""""",""""&amp;物品!T238&amp;"""")</f>
        <v>""</v>
      </c>
      <c r="L139">
        <f>IF(物品!U238="",0,""""&amp;物品!U238&amp;"""")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IF(物品!B239="",0,"'"&amp;物品!B239&amp;"'")</f>
        <v>'IF13'</v>
      </c>
      <c r="B140">
        <f>物品!D135</f>
        <v>0</v>
      </c>
      <c r="C140">
        <f>物品!E239</f>
        <v>0</v>
      </c>
      <c r="D140">
        <f>物品!F239</f>
        <v>0</v>
      </c>
      <c r="E140">
        <f>IF(ISTEXT(物品!G239)=TRUE,"'"&amp;物品!G239&amp;"'",物品!G239)</f>
        <v>0</v>
      </c>
      <c r="F140">
        <f>IF(ISTEXT(物品!H239)=TRUE,"'"&amp;物品!H239&amp;"'",物品!H239)</f>
        <v>0</v>
      </c>
      <c r="G140">
        <f>IF(物品!I239="",0,"'"&amp;物品!I239&amp;"'")</f>
        <v>0</v>
      </c>
      <c r="H140">
        <f>IF(物品!R239="",0,物品!R239)</f>
        <v>0</v>
      </c>
      <c r="I140">
        <f>IF(物品!S239="",0,物品!S239)</f>
        <v>0</v>
      </c>
      <c r="J140" t="str">
        <f>IF(物品!C239="",0,""""&amp;物品!C239&amp;"""")</f>
        <v>"附魔"</v>
      </c>
      <c r="K140" t="str">
        <f>IF(物品!T239="","""""",""""&amp;物品!T239&amp;"""")</f>
        <v>""</v>
      </c>
      <c r="L140">
        <f>IF(物品!U239="",0,""""&amp;物品!U239&amp;"""")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IF(物品!B240="",0,"'"&amp;物品!B240&amp;"'")</f>
        <v>'IF14'</v>
      </c>
      <c r="B141">
        <f>物品!D136</f>
        <v>0</v>
      </c>
      <c r="C141">
        <f>物品!E240</f>
        <v>0</v>
      </c>
      <c r="D141">
        <f>物品!F240</f>
        <v>0</v>
      </c>
      <c r="E141">
        <f>IF(ISTEXT(物品!G240)=TRUE,"'"&amp;物品!G240&amp;"'",物品!G240)</f>
        <v>0</v>
      </c>
      <c r="F141">
        <f>IF(ISTEXT(物品!H240)=TRUE,"'"&amp;物品!H240&amp;"'",物品!H240)</f>
        <v>0</v>
      </c>
      <c r="G141">
        <f>IF(物品!I240="",0,"'"&amp;物品!I240&amp;"'")</f>
        <v>0</v>
      </c>
      <c r="H141">
        <f>IF(物品!R240="",0,物品!R240)</f>
        <v>0</v>
      </c>
      <c r="I141">
        <f>IF(物品!S240="",0,物品!S240)</f>
        <v>0</v>
      </c>
      <c r="J141" t="str">
        <f>IF(物品!C240="",0,""""&amp;物品!C240&amp;"""")</f>
        <v>"附魔"</v>
      </c>
      <c r="K141" t="str">
        <f>IF(物品!T240="","""""",""""&amp;物品!T240&amp;"""")</f>
        <v>""</v>
      </c>
      <c r="L141">
        <f>IF(物品!U240="",0,""""&amp;物品!U240&amp;"""")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IF(物品!B241="",0,"'"&amp;物品!B241&amp;"'")</f>
        <v>'IF15'</v>
      </c>
      <c r="B142">
        <f>物品!D137</f>
        <v>0</v>
      </c>
      <c r="C142">
        <f>物品!E241</f>
        <v>0</v>
      </c>
      <c r="D142">
        <f>物品!F241</f>
        <v>0</v>
      </c>
      <c r="E142">
        <f>IF(ISTEXT(物品!G241)=TRUE,"'"&amp;物品!G241&amp;"'",物品!G241)</f>
        <v>0</v>
      </c>
      <c r="F142">
        <f>IF(ISTEXT(物品!H241)=TRUE,"'"&amp;物品!H241&amp;"'",物品!H241)</f>
        <v>0</v>
      </c>
      <c r="G142">
        <f>IF(物品!I241="",0,"'"&amp;物品!I241&amp;"'")</f>
        <v>0</v>
      </c>
      <c r="H142">
        <f>IF(物品!R241="",0,物品!R241)</f>
        <v>0</v>
      </c>
      <c r="I142">
        <f>IF(物品!S241="",0,物品!S241)</f>
        <v>0</v>
      </c>
      <c r="J142" t="str">
        <f>IF(物品!C241="",0,""""&amp;物品!C241&amp;"""")</f>
        <v>"附魔"</v>
      </c>
      <c r="K142" t="str">
        <f>IF(物品!T241="","""""",""""&amp;物品!T241&amp;"""")</f>
        <v>""</v>
      </c>
      <c r="L142">
        <f>IF(物品!U241="",0,""""&amp;物品!U241&amp;"""")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IF(物品!B242="",0,"'"&amp;物品!B242&amp;"'")</f>
        <v>'IF16'</v>
      </c>
      <c r="B143">
        <f>物品!D138</f>
        <v>0</v>
      </c>
      <c r="C143">
        <f>物品!E242</f>
        <v>0</v>
      </c>
      <c r="D143">
        <f>物品!F242</f>
        <v>0</v>
      </c>
      <c r="E143">
        <f>IF(ISTEXT(物品!G242)=TRUE,"'"&amp;物品!G242&amp;"'",物品!G242)</f>
        <v>0</v>
      </c>
      <c r="F143">
        <f>IF(ISTEXT(物品!H242)=TRUE,"'"&amp;物品!H242&amp;"'",物品!H242)</f>
        <v>0</v>
      </c>
      <c r="G143">
        <f>IF(物品!I242="",0,"'"&amp;物品!I242&amp;"'")</f>
        <v>0</v>
      </c>
      <c r="H143">
        <f>IF(物品!R242="",0,物品!R242)</f>
        <v>0</v>
      </c>
      <c r="I143">
        <f>IF(物品!S242="",0,物品!S242)</f>
        <v>0</v>
      </c>
      <c r="J143" t="str">
        <f>IF(物品!C242="",0,""""&amp;物品!C242&amp;"""")</f>
        <v>"附魔"</v>
      </c>
      <c r="K143" t="str">
        <f>IF(物品!T242="","""""",""""&amp;物品!T242&amp;"""")</f>
        <v>""</v>
      </c>
      <c r="L143">
        <f>IF(物品!U242="",0,""""&amp;物品!U242&amp;"""")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IF(物品!B243="",0,"'"&amp;物品!B243&amp;"'")</f>
        <v>'IF17'</v>
      </c>
      <c r="B144">
        <f>物品!D139</f>
        <v>0</v>
      </c>
      <c r="C144">
        <f>物品!E243</f>
        <v>0</v>
      </c>
      <c r="D144">
        <f>物品!F243</f>
        <v>0</v>
      </c>
      <c r="E144">
        <f>IF(ISTEXT(物品!G243)=TRUE,"'"&amp;物品!G243&amp;"'",物品!G243)</f>
        <v>0</v>
      </c>
      <c r="F144">
        <f>IF(ISTEXT(物品!H243)=TRUE,"'"&amp;物品!H243&amp;"'",物品!H243)</f>
        <v>0</v>
      </c>
      <c r="G144">
        <f>IF(物品!I243="",0,"'"&amp;物品!I243&amp;"'")</f>
        <v>0</v>
      </c>
      <c r="H144">
        <f>IF(物品!R243="",0,物品!R243)</f>
        <v>0</v>
      </c>
      <c r="I144">
        <f>IF(物品!S243="",0,物品!S243)</f>
        <v>0</v>
      </c>
      <c r="J144" t="str">
        <f>IF(物品!C243="",0,""""&amp;物品!C243&amp;"""")</f>
        <v>"附魔"</v>
      </c>
      <c r="K144" t="str">
        <f>IF(物品!T243="","""""",""""&amp;物品!T243&amp;"""")</f>
        <v>""</v>
      </c>
      <c r="L144">
        <f>IF(物品!U243="",0,""""&amp;物品!U243&amp;"""")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IF(物品!B244="",0,"'"&amp;物品!B244&amp;"'")</f>
        <v>'IF18'</v>
      </c>
      <c r="B145">
        <f>物品!D140</f>
        <v>0</v>
      </c>
      <c r="C145">
        <f>物品!E244</f>
        <v>0</v>
      </c>
      <c r="D145">
        <f>物品!F244</f>
        <v>0</v>
      </c>
      <c r="E145">
        <f>IF(ISTEXT(物品!G244)=TRUE,"'"&amp;物品!G244&amp;"'",物品!G244)</f>
        <v>0</v>
      </c>
      <c r="F145">
        <f>IF(ISTEXT(物品!H244)=TRUE,"'"&amp;物品!H244&amp;"'",物品!H244)</f>
        <v>0</v>
      </c>
      <c r="G145">
        <f>IF(物品!I244="",0,"'"&amp;物品!I244&amp;"'")</f>
        <v>0</v>
      </c>
      <c r="H145">
        <f>IF(物品!R244="",0,物品!R244)</f>
        <v>0</v>
      </c>
      <c r="I145">
        <f>IF(物品!S244="",0,物品!S244)</f>
        <v>0</v>
      </c>
      <c r="J145" t="str">
        <f>IF(物品!C244="",0,""""&amp;物品!C244&amp;"""")</f>
        <v>"附魔"</v>
      </c>
      <c r="K145" t="str">
        <f>IF(物品!T244="","""""",""""&amp;物品!T244&amp;"""")</f>
        <v>""</v>
      </c>
      <c r="L145">
        <f>IF(物品!U244="",0,""""&amp;物品!U244&amp;"""")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IF(物品!B245="",0,"'"&amp;物品!B245&amp;"'")</f>
        <v>'IF19'</v>
      </c>
      <c r="B146">
        <f>物品!D141</f>
        <v>0</v>
      </c>
      <c r="C146">
        <f>物品!E245</f>
        <v>0</v>
      </c>
      <c r="D146">
        <f>物品!F245</f>
        <v>0</v>
      </c>
      <c r="E146">
        <f>IF(ISTEXT(物品!G245)=TRUE,"'"&amp;物品!G245&amp;"'",物品!G245)</f>
        <v>0</v>
      </c>
      <c r="F146">
        <f>IF(ISTEXT(物品!H245)=TRUE,"'"&amp;物品!H245&amp;"'",物品!H245)</f>
        <v>0</v>
      </c>
      <c r="G146">
        <f>IF(物品!I245="",0,"'"&amp;物品!I245&amp;"'")</f>
        <v>0</v>
      </c>
      <c r="H146">
        <f>IF(物品!R245="",0,物品!R245)</f>
        <v>0</v>
      </c>
      <c r="I146">
        <f>IF(物品!S245="",0,物品!S245)</f>
        <v>0</v>
      </c>
      <c r="J146" t="str">
        <f>IF(物品!C245="",0,""""&amp;物品!C245&amp;"""")</f>
        <v>"附魔"</v>
      </c>
      <c r="K146" t="str">
        <f>IF(物品!T245="","""""",""""&amp;物品!T245&amp;"""")</f>
        <v>""</v>
      </c>
      <c r="L146">
        <f>IF(物品!U245="",0,""""&amp;物品!U245&amp;"""")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IF(物品!B246="",0,"'"&amp;物品!B246&amp;"'")</f>
        <v>'IF20'</v>
      </c>
      <c r="B147">
        <f>物品!D142</f>
        <v>0</v>
      </c>
      <c r="C147">
        <f>物品!E246</f>
        <v>0</v>
      </c>
      <c r="D147">
        <f>物品!F246</f>
        <v>0</v>
      </c>
      <c r="E147">
        <f>IF(ISTEXT(物品!G246)=TRUE,"'"&amp;物品!G246&amp;"'",物品!G246)</f>
        <v>0</v>
      </c>
      <c r="F147">
        <f>IF(ISTEXT(物品!H246)=TRUE,"'"&amp;物品!H246&amp;"'",物品!H246)</f>
        <v>0</v>
      </c>
      <c r="G147">
        <f>IF(物品!I246="",0,"'"&amp;物品!I246&amp;"'")</f>
        <v>0</v>
      </c>
      <c r="H147">
        <f>IF(物品!R246="",0,物品!R246)</f>
        <v>0</v>
      </c>
      <c r="I147">
        <f>IF(物品!S246="",0,物品!S246)</f>
        <v>0</v>
      </c>
      <c r="J147" t="str">
        <f>IF(物品!C246="",0,""""&amp;物品!C246&amp;"""")</f>
        <v>"附魔"</v>
      </c>
      <c r="K147" t="str">
        <f>IF(物品!T246="","""""",""""&amp;物品!T246&amp;"""")</f>
        <v>""</v>
      </c>
      <c r="L147">
        <f>IF(物品!U246="",0,""""&amp;物品!U246&amp;"""")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IF(物品!B247="",0,"'"&amp;物品!B247&amp;"'")</f>
        <v>'IF21'</v>
      </c>
      <c r="B148">
        <f>物品!D156</f>
        <v>0</v>
      </c>
      <c r="C148">
        <f>物品!E247</f>
        <v>0</v>
      </c>
      <c r="D148">
        <f>物品!F247</f>
        <v>0</v>
      </c>
      <c r="E148">
        <f>IF(ISTEXT(物品!G247)=TRUE,"'"&amp;物品!G247&amp;"'",物品!G247)</f>
        <v>0</v>
      </c>
      <c r="F148">
        <f>IF(ISTEXT(物品!H247)=TRUE,"'"&amp;物品!H247&amp;"'",物品!H247)</f>
        <v>0</v>
      </c>
      <c r="G148">
        <f>IF(物品!I247="",0,"'"&amp;物品!I247&amp;"'")</f>
        <v>0</v>
      </c>
      <c r="H148">
        <f>IF(物品!R247="",0,物品!R247)</f>
        <v>0</v>
      </c>
      <c r="I148">
        <f>IF(物品!S247="",0,物品!S247)</f>
        <v>0</v>
      </c>
      <c r="J148" t="str">
        <f>IF(物品!C247="",0,""""&amp;物品!C247&amp;"""")</f>
        <v>"附魔"</v>
      </c>
      <c r="K148" t="str">
        <f>IF(物品!T247="","""""",""""&amp;物品!T247&amp;"""")</f>
        <v>""</v>
      </c>
      <c r="L148">
        <f>IF(物品!U247="",0,""""&amp;物品!U247&amp;"""")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IF(物品!B248="",0,"'"&amp;物品!B248&amp;"'")</f>
        <v>'IF22'</v>
      </c>
      <c r="B149">
        <f>物品!D157</f>
        <v>0</v>
      </c>
      <c r="C149">
        <f>物品!E248</f>
        <v>0</v>
      </c>
      <c r="D149">
        <f>物品!F248</f>
        <v>0</v>
      </c>
      <c r="E149">
        <f>IF(ISTEXT(物品!G248)=TRUE,"'"&amp;物品!G248&amp;"'",物品!G248)</f>
        <v>0</v>
      </c>
      <c r="F149">
        <f>IF(ISTEXT(物品!H248)=TRUE,"'"&amp;物品!H248&amp;"'",物品!H248)</f>
        <v>0</v>
      </c>
      <c r="G149">
        <f>IF(物品!I248="",0,"'"&amp;物品!I248&amp;"'")</f>
        <v>0</v>
      </c>
      <c r="H149">
        <f>IF(物品!R248="",0,物品!R248)</f>
        <v>0</v>
      </c>
      <c r="I149">
        <f>IF(物品!S248="",0,物品!S248)</f>
        <v>0</v>
      </c>
      <c r="J149" t="str">
        <f>IF(物品!C248="",0,""""&amp;物品!C248&amp;"""")</f>
        <v>"附魔"</v>
      </c>
      <c r="K149" t="str">
        <f>IF(物品!T248="","""""",""""&amp;物品!T248&amp;"""")</f>
        <v>""</v>
      </c>
      <c r="L149">
        <f>IF(物品!U248="",0,""""&amp;物品!U248&amp;"""")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IF(物品!B249="",0,"'"&amp;物品!B249&amp;"'")</f>
        <v>'IF23'</v>
      </c>
      <c r="B150">
        <f>物品!D158</f>
        <v>0</v>
      </c>
      <c r="C150">
        <f>物品!E249</f>
        <v>0</v>
      </c>
      <c r="D150">
        <f>物品!F249</f>
        <v>0</v>
      </c>
      <c r="E150">
        <f>IF(ISTEXT(物品!G249)=TRUE,"'"&amp;物品!G249&amp;"'",物品!G249)</f>
        <v>0</v>
      </c>
      <c r="F150">
        <f>IF(ISTEXT(物品!H249)=TRUE,"'"&amp;物品!H249&amp;"'",物品!H249)</f>
        <v>0</v>
      </c>
      <c r="G150">
        <f>IF(物品!I249="",0,"'"&amp;物品!I249&amp;"'")</f>
        <v>0</v>
      </c>
      <c r="H150">
        <f>IF(物品!R249="",0,物品!R249)</f>
        <v>0</v>
      </c>
      <c r="I150">
        <f>IF(物品!S249="",0,物品!S249)</f>
        <v>0</v>
      </c>
      <c r="J150" t="str">
        <f>IF(物品!C249="",0,""""&amp;物品!C249&amp;"""")</f>
        <v>"附魔"</v>
      </c>
      <c r="K150" t="str">
        <f>IF(物品!T249="","""""",""""&amp;物品!T249&amp;"""")</f>
        <v>""</v>
      </c>
      <c r="L150">
        <f>IF(物品!U249="",0,""""&amp;物品!U249&amp;"""")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IF(物品!B250="",0,"'"&amp;物品!B250&amp;"'")</f>
        <v>'IF24'</v>
      </c>
      <c r="B151">
        <f>物品!D159</f>
        <v>0</v>
      </c>
      <c r="C151">
        <f>物品!E250</f>
        <v>0</v>
      </c>
      <c r="D151">
        <f>物品!F250</f>
        <v>0</v>
      </c>
      <c r="E151">
        <f>IF(ISTEXT(物品!G250)=TRUE,"'"&amp;物品!G250&amp;"'",物品!G250)</f>
        <v>0</v>
      </c>
      <c r="F151">
        <f>IF(ISTEXT(物品!H250)=TRUE,"'"&amp;物品!H250&amp;"'",物品!H250)</f>
        <v>0</v>
      </c>
      <c r="G151">
        <f>IF(物品!I250="",0,"'"&amp;物品!I250&amp;"'")</f>
        <v>0</v>
      </c>
      <c r="H151">
        <f>IF(物品!R250="",0,物品!R250)</f>
        <v>0</v>
      </c>
      <c r="I151">
        <f>IF(物品!S250="",0,物品!S250)</f>
        <v>0</v>
      </c>
      <c r="J151" t="str">
        <f>IF(物品!C250="",0,""""&amp;物品!C250&amp;"""")</f>
        <v>"附魔"</v>
      </c>
      <c r="K151" t="str">
        <f>IF(物品!T250="","""""",""""&amp;物品!T250&amp;"""")</f>
        <v>""</v>
      </c>
      <c r="L151">
        <f>IF(物品!U250="",0,""""&amp;物品!U250&amp;"""")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IF(物品!B251="",0,"'"&amp;物品!B251&amp;"'")</f>
        <v>'IF25'</v>
      </c>
      <c r="B152">
        <f>物品!D160</f>
        <v>0</v>
      </c>
      <c r="C152">
        <f>物品!E251</f>
        <v>0</v>
      </c>
      <c r="D152">
        <f>物品!F251</f>
        <v>0</v>
      </c>
      <c r="E152">
        <f>IF(ISTEXT(物品!G251)=TRUE,"'"&amp;物品!G251&amp;"'",物品!G251)</f>
        <v>0</v>
      </c>
      <c r="F152">
        <f>IF(ISTEXT(物品!H251)=TRUE,"'"&amp;物品!H251&amp;"'",物品!H251)</f>
        <v>0</v>
      </c>
      <c r="G152">
        <f>IF(物品!I251="",0,"'"&amp;物品!I251&amp;"'")</f>
        <v>0</v>
      </c>
      <c r="H152">
        <f>IF(物品!R251="",0,物品!R251)</f>
        <v>0</v>
      </c>
      <c r="I152">
        <f>IF(物品!S251="",0,物品!S251)</f>
        <v>0</v>
      </c>
      <c r="J152" t="str">
        <f>IF(物品!C251="",0,""""&amp;物品!C251&amp;"""")</f>
        <v>"附魔"</v>
      </c>
      <c r="K152" t="str">
        <f>IF(物品!T251="","""""",""""&amp;物品!T251&amp;"""")</f>
        <v>""</v>
      </c>
      <c r="L152">
        <f>IF(物品!U251="",0,""""&amp;物品!U251&amp;"""")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IF(物品!B252="",0,"'"&amp;物品!B252&amp;"'")</f>
        <v>'IF26'</v>
      </c>
      <c r="B153">
        <f>物品!D165</f>
        <v>0</v>
      </c>
      <c r="C153">
        <f>物品!E252</f>
        <v>0</v>
      </c>
      <c r="D153">
        <f>物品!F252</f>
        <v>0</v>
      </c>
      <c r="E153">
        <f>IF(ISTEXT(物品!G252)=TRUE,"'"&amp;物品!G252&amp;"'",物品!G252)</f>
        <v>0</v>
      </c>
      <c r="F153">
        <f>IF(ISTEXT(物品!H252)=TRUE,"'"&amp;物品!H252&amp;"'",物品!H252)</f>
        <v>0</v>
      </c>
      <c r="G153">
        <f>IF(物品!I252="",0,"'"&amp;物品!I252&amp;"'")</f>
        <v>0</v>
      </c>
      <c r="H153">
        <f>IF(物品!R252="",0,物品!R252)</f>
        <v>0</v>
      </c>
      <c r="I153">
        <f>IF(物品!S252="",0,物品!S252)</f>
        <v>0</v>
      </c>
      <c r="J153" t="str">
        <f>IF(物品!C252="",0,""""&amp;物品!C252&amp;"""")</f>
        <v>"附魔"</v>
      </c>
      <c r="K153" t="str">
        <f>IF(物品!T252="","""""",""""&amp;物品!T252&amp;"""")</f>
        <v>""</v>
      </c>
      <c r="L153">
        <f>IF(物品!U252="",0,""""&amp;物品!U252&amp;"""")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IF(物品!B253="",0,"'"&amp;物品!B253&amp;"'")</f>
        <v>'IF27'</v>
      </c>
      <c r="B154">
        <f>物品!D166</f>
        <v>0</v>
      </c>
      <c r="C154">
        <f>物品!E253</f>
        <v>0</v>
      </c>
      <c r="D154">
        <f>物品!F253</f>
        <v>0</v>
      </c>
      <c r="E154">
        <f>IF(ISTEXT(物品!G253)=TRUE,"'"&amp;物品!G253&amp;"'",物品!G253)</f>
        <v>0</v>
      </c>
      <c r="F154">
        <f>IF(ISTEXT(物品!H253)=TRUE,"'"&amp;物品!H253&amp;"'",物品!H253)</f>
        <v>0</v>
      </c>
      <c r="G154">
        <f>IF(物品!I253="",0,"'"&amp;物品!I253&amp;"'")</f>
        <v>0</v>
      </c>
      <c r="H154">
        <f>IF(物品!R253="",0,物品!R253)</f>
        <v>0</v>
      </c>
      <c r="I154">
        <f>IF(物品!S253="",0,物品!S253)</f>
        <v>0</v>
      </c>
      <c r="J154" t="str">
        <f>IF(物品!C253="",0,""""&amp;物品!C253&amp;"""")</f>
        <v>"附魔"</v>
      </c>
      <c r="K154" t="str">
        <f>IF(物品!T253="","""""",""""&amp;物品!T253&amp;"""")</f>
        <v>""</v>
      </c>
      <c r="L154">
        <f>IF(物品!U253="",0,""""&amp;物品!U253&amp;"""")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IF(物品!B260="",0,"'"&amp;物品!B260&amp;"'")</f>
        <v>'IC01'</v>
      </c>
      <c r="B155">
        <f>物品!D167</f>
        <v>0</v>
      </c>
      <c r="C155">
        <f>物品!E260</f>
        <v>0</v>
      </c>
      <c r="D155">
        <f>物品!F260</f>
        <v>0</v>
      </c>
      <c r="E155">
        <f>IF(ISTEXT(物品!G260)=TRUE,"'"&amp;物品!G260&amp;"'",物品!G260)</f>
        <v>0</v>
      </c>
      <c r="F155">
        <f>IF(ISTEXT(物品!H260)=TRUE,"'"&amp;物品!H260&amp;"'",物品!H260)</f>
        <v>0</v>
      </c>
      <c r="G155">
        <f>IF(物品!I260="",0,"'"&amp;物品!I260&amp;"'")</f>
        <v>0</v>
      </c>
      <c r="H155">
        <f>IF(物品!R260="",0,物品!R260)</f>
        <v>0</v>
      </c>
      <c r="I155">
        <f>IF(物品!S260="",0,物品!S260)</f>
        <v>0</v>
      </c>
      <c r="J155" t="str">
        <f>IF(物品!C260="",0,""""&amp;物品!C260&amp;"""")</f>
        <v>"玄铁"</v>
      </c>
      <c r="K155" t="str">
        <f>IF(物品!T260="","""""",""""&amp;物品!T260&amp;"""")</f>
        <v>""</v>
      </c>
      <c r="L155">
        <f>IF(物品!U260="",0,""""&amp;物品!U260&amp;"""")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IF(物品!B261="",0,"'"&amp;物品!B261&amp;"'")</f>
        <v>'IC02'</v>
      </c>
      <c r="B156">
        <f>物品!D168</f>
        <v>0</v>
      </c>
      <c r="C156">
        <f>物品!E261</f>
        <v>0</v>
      </c>
      <c r="D156">
        <f>物品!F261</f>
        <v>0</v>
      </c>
      <c r="E156">
        <f>IF(ISTEXT(物品!G261)=TRUE,"'"&amp;物品!G261&amp;"'",物品!G261)</f>
        <v>0</v>
      </c>
      <c r="F156">
        <f>IF(ISTEXT(物品!H261)=TRUE,"'"&amp;物品!H261&amp;"'",物品!H261)</f>
        <v>0</v>
      </c>
      <c r="G156">
        <f>IF(物品!I261="",0,"'"&amp;物品!I261&amp;"'")</f>
        <v>0</v>
      </c>
      <c r="H156">
        <f>IF(物品!R261="",0,物品!R261)</f>
        <v>0</v>
      </c>
      <c r="I156">
        <f>IF(物品!S261="",0,物品!S261)</f>
        <v>0</v>
      </c>
      <c r="J156" t="str">
        <f>IF(物品!C261="",0,""""&amp;物品!C261&amp;"""")</f>
        <v>"杀敌数"</v>
      </c>
      <c r="K156" t="str">
        <f>IF(物品!T261="","""""",""""&amp;物品!T261&amp;"""")</f>
        <v>""</v>
      </c>
      <c r="L156">
        <f>IF(物品!U261="",0,""""&amp;物品!U261&amp;"""")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IF(物品!B262="",0,"'"&amp;物品!B262&amp;"'")</f>
        <v>'IC03'</v>
      </c>
      <c r="B157">
        <f>物品!D169</f>
        <v>0</v>
      </c>
      <c r="C157">
        <f>物品!E262</f>
        <v>0</v>
      </c>
      <c r="D157">
        <f>物品!F262</f>
        <v>0</v>
      </c>
      <c r="E157">
        <f>IF(ISTEXT(物品!G262)=TRUE,"'"&amp;物品!G262&amp;"'",物品!G262)</f>
        <v>0</v>
      </c>
      <c r="F157">
        <f>IF(ISTEXT(物品!H262)=TRUE,"'"&amp;物品!H262&amp;"'",物品!H262)</f>
        <v>0</v>
      </c>
      <c r="G157">
        <f>IF(物品!I262="",0,"'"&amp;物品!I262&amp;"'")</f>
        <v>0</v>
      </c>
      <c r="H157">
        <f>IF(物品!R262="",0,物品!R262)</f>
        <v>0</v>
      </c>
      <c r="I157">
        <f>IF(物品!S262="",0,物品!S262)</f>
        <v>0</v>
      </c>
      <c r="J157" t="str">
        <f>IF(物品!C262="",0,""""&amp;物品!C262&amp;"""")</f>
        <v>"攻击力低"</v>
      </c>
      <c r="K157" t="str">
        <f>IF(物品!T262="","""""",""""&amp;物品!T262&amp;"""")</f>
        <v>""</v>
      </c>
      <c r="L157">
        <f>IF(物品!U262="",0,""""&amp;物品!U262&amp;"""")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IF(物品!B263="",0,"'"&amp;物品!B263&amp;"'")</f>
        <v>'IC04'</v>
      </c>
      <c r="B158">
        <f>物品!D170</f>
        <v>0</v>
      </c>
      <c r="C158">
        <f>物品!E263</f>
        <v>0</v>
      </c>
      <c r="D158">
        <f>物品!F263</f>
        <v>0</v>
      </c>
      <c r="E158">
        <f>IF(ISTEXT(物品!G263)=TRUE,"'"&amp;物品!G263&amp;"'",物品!G263)</f>
        <v>0</v>
      </c>
      <c r="F158">
        <f>IF(ISTEXT(物品!H263)=TRUE,"'"&amp;物品!H263&amp;"'",物品!H263)</f>
        <v>0</v>
      </c>
      <c r="G158">
        <f>IF(物品!I263="",0,"'"&amp;物品!I263&amp;"'")</f>
        <v>0</v>
      </c>
      <c r="H158">
        <f>IF(物品!R263="",0,物品!R263)</f>
        <v>0</v>
      </c>
      <c r="I158">
        <f>IF(物品!S263="",0,物品!S263)</f>
        <v>0</v>
      </c>
      <c r="J158" t="str">
        <f>IF(物品!C263="",0,""""&amp;物品!C263&amp;"""")</f>
        <v>"攻击力中"</v>
      </c>
      <c r="K158" t="str">
        <f>IF(物品!T263="","""""",""""&amp;物品!T263&amp;"""")</f>
        <v>""</v>
      </c>
      <c r="L158">
        <f>IF(物品!U263="",0,""""&amp;物品!U263&amp;"""")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IF(物品!B264="",0,"'"&amp;物品!B264&amp;"'")</f>
        <v>'IC05'</v>
      </c>
      <c r="B159">
        <f>物品!D171</f>
        <v>0</v>
      </c>
      <c r="C159">
        <f>物品!E264</f>
        <v>0</v>
      </c>
      <c r="D159">
        <f>物品!F264</f>
        <v>0</v>
      </c>
      <c r="E159">
        <f>IF(ISTEXT(物品!G264)=TRUE,"'"&amp;物品!G264&amp;"'",物品!G264)</f>
        <v>0</v>
      </c>
      <c r="F159">
        <f>IF(ISTEXT(物品!H264)=TRUE,"'"&amp;物品!H264&amp;"'",物品!H264)</f>
        <v>0</v>
      </c>
      <c r="G159">
        <f>IF(物品!I264="",0,"'"&amp;物品!I264&amp;"'")</f>
        <v>0</v>
      </c>
      <c r="H159">
        <f>IF(物品!R264="",0,物品!R264)</f>
        <v>0</v>
      </c>
      <c r="I159">
        <f>IF(物品!S264="",0,物品!S264)</f>
        <v>0</v>
      </c>
      <c r="J159" t="str">
        <f>IF(物品!C264="",0,""""&amp;物品!C264&amp;"""")</f>
        <v>"攻击力高"</v>
      </c>
      <c r="K159" t="str">
        <f>IF(物品!T264="","""""",""""&amp;物品!T264&amp;"""")</f>
        <v>""</v>
      </c>
      <c r="L159">
        <f>IF(物品!U264="",0,""""&amp;物品!U264&amp;"""")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IF(物品!B265="",0,"'"&amp;物品!B265&amp;"'")</f>
        <v>'IC06'</v>
      </c>
      <c r="B160">
        <f>物品!D172</f>
        <v>0</v>
      </c>
      <c r="C160">
        <f>物品!E265</f>
        <v>0</v>
      </c>
      <c r="D160">
        <f>物品!F265</f>
        <v>0</v>
      </c>
      <c r="E160">
        <f>IF(ISTEXT(物品!G265)=TRUE,"'"&amp;物品!G265&amp;"'",物品!G265)</f>
        <v>0</v>
      </c>
      <c r="F160">
        <f>IF(ISTEXT(物品!H265)=TRUE,"'"&amp;物品!H265&amp;"'",物品!H265)</f>
        <v>0</v>
      </c>
      <c r="G160">
        <f>IF(物品!I265="",0,"'"&amp;物品!I265&amp;"'")</f>
        <v>0</v>
      </c>
      <c r="H160">
        <f>IF(物品!R265="",0,物品!R265)</f>
        <v>0</v>
      </c>
      <c r="I160">
        <f>IF(物品!S265="",0,物品!S265)</f>
        <v>0</v>
      </c>
      <c r="J160" t="str">
        <f>IF(物品!C265="",0,""""&amp;物品!C265&amp;"""")</f>
        <v>"生命值低"</v>
      </c>
      <c r="K160" t="str">
        <f>IF(物品!T265="","""""",""""&amp;物品!T265&amp;"""")</f>
        <v>""</v>
      </c>
      <c r="L160">
        <f>IF(物品!U265="",0,""""&amp;物品!U265&amp;"""")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IF(物品!B266="",0,"'"&amp;物品!B266&amp;"'")</f>
        <v>'IC07'</v>
      </c>
      <c r="B161">
        <f>物品!D173</f>
        <v>0</v>
      </c>
      <c r="C161">
        <f>物品!E266</f>
        <v>0</v>
      </c>
      <c r="D161">
        <f>物品!F266</f>
        <v>0</v>
      </c>
      <c r="E161">
        <f>IF(ISTEXT(物品!G266)=TRUE,"'"&amp;物品!G266&amp;"'",物品!G266)</f>
        <v>0</v>
      </c>
      <c r="F161">
        <f>IF(ISTEXT(物品!H266)=TRUE,"'"&amp;物品!H266&amp;"'",物品!H266)</f>
        <v>0</v>
      </c>
      <c r="G161">
        <f>IF(物品!I266="",0,"'"&amp;物品!I266&amp;"'")</f>
        <v>0</v>
      </c>
      <c r="H161">
        <f>IF(物品!R266="",0,物品!R266)</f>
        <v>0</v>
      </c>
      <c r="I161">
        <f>IF(物品!S266="",0,物品!S266)</f>
        <v>0</v>
      </c>
      <c r="J161" t="str">
        <f>IF(物品!C266="",0,""""&amp;物品!C266&amp;"""")</f>
        <v>"生命值中"</v>
      </c>
      <c r="K161" t="str">
        <f>IF(物品!T266="","""""",""""&amp;物品!T266&amp;"""")</f>
        <v>""</v>
      </c>
      <c r="L161">
        <f>IF(物品!U266="",0,""""&amp;物品!U266&amp;"""")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IF(物品!B267="",0,"'"&amp;物品!B267&amp;"'")</f>
        <v>'IC08'</v>
      </c>
      <c r="B162">
        <f>物品!D174</f>
        <v>0</v>
      </c>
      <c r="C162">
        <f>物品!E267</f>
        <v>0</v>
      </c>
      <c r="D162">
        <f>物品!F267</f>
        <v>0</v>
      </c>
      <c r="E162">
        <f>IF(ISTEXT(物品!G267)=TRUE,"'"&amp;物品!G267&amp;"'",物品!G267)</f>
        <v>0</v>
      </c>
      <c r="F162">
        <f>IF(ISTEXT(物品!H267)=TRUE,"'"&amp;物品!H267&amp;"'",物品!H267)</f>
        <v>0</v>
      </c>
      <c r="G162">
        <f>IF(物品!I267="",0,"'"&amp;物品!I267&amp;"'")</f>
        <v>0</v>
      </c>
      <c r="H162">
        <f>IF(物品!R267="",0,物品!R267)</f>
        <v>0</v>
      </c>
      <c r="I162">
        <f>IF(物品!S267="",0,物品!S267)</f>
        <v>0</v>
      </c>
      <c r="J162" t="str">
        <f>IF(物品!C267="",0,""""&amp;物品!C267&amp;"""")</f>
        <v>"生命值高"</v>
      </c>
      <c r="K162" t="str">
        <f>IF(物品!T267="","""""",""""&amp;物品!T267&amp;"""")</f>
        <v>""</v>
      </c>
      <c r="L162">
        <f>IF(物品!U267="",0,""""&amp;物品!U267&amp;"""")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IF(物品!B268="",0,"'"&amp;物品!B268&amp;"'")</f>
        <v>'IC09'</v>
      </c>
      <c r="B163">
        <f>物品!D175</f>
        <v>0</v>
      </c>
      <c r="C163">
        <f>物品!E268</f>
        <v>0</v>
      </c>
      <c r="D163">
        <f>物品!F268</f>
        <v>0</v>
      </c>
      <c r="E163">
        <f>IF(ISTEXT(物品!G268)=TRUE,"'"&amp;物品!G268&amp;"'",物品!G268)</f>
        <v>0</v>
      </c>
      <c r="F163">
        <f>IF(ISTEXT(物品!H268)=TRUE,"'"&amp;物品!H268&amp;"'",物品!H268)</f>
        <v>0</v>
      </c>
      <c r="G163">
        <f>IF(物品!I268="",0,"'"&amp;物品!I268&amp;"'")</f>
        <v>0</v>
      </c>
      <c r="H163">
        <f>IF(物品!R268="",0,物品!R268)</f>
        <v>0</v>
      </c>
      <c r="I163">
        <f>IF(物品!S268="",0,物品!S268)</f>
        <v>0</v>
      </c>
      <c r="J163" t="str">
        <f>IF(物品!C268="",0,""""&amp;物品!C268&amp;"""")</f>
        <v>"业力低"</v>
      </c>
      <c r="K163" t="str">
        <f>IF(物品!T268="","""""",""""&amp;物品!T268&amp;"""")</f>
        <v>""</v>
      </c>
      <c r="L163">
        <f>IF(物品!U268="",0,""""&amp;物品!U268&amp;"""")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IF(物品!B269="",0,"'"&amp;物品!B269&amp;"'")</f>
        <v>'IC10'</v>
      </c>
      <c r="B164">
        <f>物品!D176</f>
        <v>0</v>
      </c>
      <c r="C164">
        <f>物品!E269</f>
        <v>0</v>
      </c>
      <c r="D164">
        <f>物品!F269</f>
        <v>0</v>
      </c>
      <c r="E164">
        <f>IF(ISTEXT(物品!G269)=TRUE,"'"&amp;物品!G269&amp;"'",物品!G269)</f>
        <v>0</v>
      </c>
      <c r="F164">
        <f>IF(ISTEXT(物品!H269)=TRUE,"'"&amp;物品!H269&amp;"'",物品!H269)</f>
        <v>0</v>
      </c>
      <c r="G164">
        <f>IF(物品!I269="",0,"'"&amp;物品!I269&amp;"'")</f>
        <v>0</v>
      </c>
      <c r="H164">
        <f>IF(物品!R269="",0,物品!R269)</f>
        <v>0</v>
      </c>
      <c r="I164">
        <f>IF(物品!S269="",0,物品!S269)</f>
        <v>0</v>
      </c>
      <c r="J164" t="str">
        <f>IF(物品!C269="",0,""""&amp;物品!C269&amp;"""")</f>
        <v>"业力中"</v>
      </c>
      <c r="K164" t="str">
        <f>IF(物品!T269="","""""",""""&amp;物品!T269&amp;"""")</f>
        <v>""</v>
      </c>
      <c r="L164">
        <f>IF(物品!U269="",0,""""&amp;物品!U269&amp;"""")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IF(物品!B270="",0,"'"&amp;物品!B270&amp;"'")</f>
        <v>'IC11'</v>
      </c>
      <c r="B165">
        <f>物品!D177</f>
        <v>0</v>
      </c>
      <c r="C165">
        <f>物品!E270</f>
        <v>0</v>
      </c>
      <c r="D165">
        <f>物品!F270</f>
        <v>0</v>
      </c>
      <c r="E165">
        <f>IF(ISTEXT(物品!G270)=TRUE,"'"&amp;物品!G270&amp;"'",物品!G270)</f>
        <v>0</v>
      </c>
      <c r="F165">
        <f>IF(ISTEXT(物品!H270)=TRUE,"'"&amp;物品!H270&amp;"'",物品!H270)</f>
        <v>0</v>
      </c>
      <c r="G165">
        <f>IF(物品!I270="",0,"'"&amp;物品!I270&amp;"'")</f>
        <v>0</v>
      </c>
      <c r="H165">
        <f>IF(物品!R270="",0,物品!R270)</f>
        <v>0</v>
      </c>
      <c r="I165">
        <f>IF(物品!S270="",0,物品!S270)</f>
        <v>0</v>
      </c>
      <c r="J165" t="str">
        <f>IF(物品!C270="",0,""""&amp;物品!C270&amp;"""")</f>
        <v>"业力高"</v>
      </c>
      <c r="K165" t="str">
        <f>IF(物品!T270="","""""",""""&amp;物品!T270&amp;"""")</f>
        <v>""</v>
      </c>
      <c r="L165">
        <f>IF(物品!U270="",0,""""&amp;物品!U270&amp;"""")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IF(物品!B271="",0,"'"&amp;物品!B271&amp;"'")</f>
        <v>0</v>
      </c>
      <c r="B166">
        <f>物品!D178</f>
        <v>0</v>
      </c>
      <c r="C166">
        <f>物品!E271</f>
        <v>0</v>
      </c>
      <c r="D166">
        <f>物品!F271</f>
        <v>0</v>
      </c>
      <c r="E166">
        <f>IF(ISTEXT(物品!G271)=TRUE,"'"&amp;物品!G271&amp;"'",物品!G271)</f>
        <v>0</v>
      </c>
      <c r="F166">
        <f>IF(ISTEXT(物品!H271)=TRUE,"'"&amp;物品!H271&amp;"'",物品!H271)</f>
        <v>0</v>
      </c>
      <c r="G166">
        <f>IF(物品!I271="",0,"'"&amp;物品!I271&amp;"'")</f>
        <v>0</v>
      </c>
      <c r="H166">
        <f>IF(物品!R271="",0,物品!R271)</f>
        <v>0</v>
      </c>
      <c r="I166">
        <f>IF(物品!S271="",0,物品!S271)</f>
        <v>0</v>
      </c>
      <c r="J166">
        <f>IF(物品!C271="",0,""""&amp;物品!C271&amp;"""")</f>
        <v>0</v>
      </c>
      <c r="K166" t="str">
        <f>IF(物品!T271="","""""",""""&amp;物品!T271&amp;"""")</f>
        <v>""</v>
      </c>
      <c r="L166">
        <f>IF(物品!U271="",0,""""&amp;物品!U271&amp;"""")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IF(物品!B272="",0,"'"&amp;物品!B272&amp;"'")</f>
        <v>0</v>
      </c>
      <c r="B167">
        <f>物品!D185</f>
        <v>0</v>
      </c>
      <c r="C167">
        <f>物品!E272</f>
        <v>0</v>
      </c>
      <c r="D167">
        <f>物品!F272</f>
        <v>0</v>
      </c>
      <c r="E167">
        <f>IF(ISTEXT(物品!G272)=TRUE,"'"&amp;物品!G272&amp;"'",物品!G272)</f>
        <v>0</v>
      </c>
      <c r="F167">
        <f>IF(ISTEXT(物品!H272)=TRUE,"'"&amp;物品!H272&amp;"'",物品!H272)</f>
        <v>0</v>
      </c>
      <c r="G167">
        <f>IF(物品!I272="",0,"'"&amp;物品!I272&amp;"'")</f>
        <v>0</v>
      </c>
      <c r="H167">
        <f>IF(物品!R272="",0,物品!R272)</f>
        <v>0</v>
      </c>
      <c r="I167">
        <f>IF(物品!S272="",0,物品!S272)</f>
        <v>0</v>
      </c>
      <c r="J167">
        <f>IF(物品!C272="",0,""""&amp;物品!C272&amp;"""")</f>
        <v>0</v>
      </c>
      <c r="K167" t="str">
        <f>IF(物品!T272="","""""",""""&amp;物品!T272&amp;"""")</f>
        <v>""</v>
      </c>
      <c r="L167">
        <f>IF(物品!U272="",0,""""&amp;物品!U272&amp;"""")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IF(物品!B273="",0,"'"&amp;物品!B273&amp;"'")</f>
        <v>0</v>
      </c>
      <c r="B168">
        <f>物品!D186</f>
        <v>0</v>
      </c>
      <c r="C168">
        <f>物品!E273</f>
        <v>0</v>
      </c>
      <c r="D168">
        <f>物品!F273</f>
        <v>0</v>
      </c>
      <c r="E168">
        <f>IF(ISTEXT(物品!G273)=TRUE,"'"&amp;物品!G273&amp;"'",物品!G273)</f>
        <v>0</v>
      </c>
      <c r="F168">
        <f>IF(ISTEXT(物品!H273)=TRUE,"'"&amp;物品!H273&amp;"'",物品!H273)</f>
        <v>0</v>
      </c>
      <c r="G168">
        <f>IF(物品!I273="",0,"'"&amp;物品!I273&amp;"'")</f>
        <v>0</v>
      </c>
      <c r="H168">
        <f>IF(物品!R273="",0,物品!R273)</f>
        <v>0</v>
      </c>
      <c r="I168">
        <f>IF(物品!S273="",0,物品!S273)</f>
        <v>0</v>
      </c>
      <c r="J168">
        <f>IF(物品!C273="",0,""""&amp;物品!C273&amp;"""")</f>
        <v>0</v>
      </c>
      <c r="K168" t="str">
        <f>IF(物品!T273="","""""",""""&amp;物品!T273&amp;"""")</f>
        <v>""</v>
      </c>
      <c r="L168">
        <f>IF(物品!U273="",0,""""&amp;物品!U273&amp;"""")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IF(物品!B274="",0,"'"&amp;物品!B274&amp;"'")</f>
        <v>0</v>
      </c>
      <c r="B169">
        <f>物品!D187</f>
        <v>0</v>
      </c>
      <c r="C169">
        <f>物品!E274</f>
        <v>0</v>
      </c>
      <c r="D169">
        <f>物品!F274</f>
        <v>0</v>
      </c>
      <c r="E169">
        <f>IF(ISTEXT(物品!G274)=TRUE,"'"&amp;物品!G274&amp;"'",物品!G274)</f>
        <v>0</v>
      </c>
      <c r="F169">
        <f>IF(ISTEXT(物品!H274)=TRUE,"'"&amp;物品!H274&amp;"'",物品!H274)</f>
        <v>0</v>
      </c>
      <c r="G169">
        <f>IF(物品!I274="",0,"'"&amp;物品!I274&amp;"'")</f>
        <v>0</v>
      </c>
      <c r="H169">
        <f>IF(物品!R274="",0,物品!R274)</f>
        <v>0</v>
      </c>
      <c r="I169">
        <f>IF(物品!S274="",0,物品!S274)</f>
        <v>0</v>
      </c>
      <c r="J169">
        <f>IF(物品!C274="",0,""""&amp;物品!C274&amp;"""")</f>
        <v>0</v>
      </c>
      <c r="K169" t="str">
        <f>IF(物品!T274="","""""",""""&amp;物品!T274&amp;"""")</f>
        <v>""</v>
      </c>
      <c r="L169">
        <f>IF(物品!U274="",0,""""&amp;物品!U274&amp;"""")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IF(物品!B275="",0,"'"&amp;物品!B275&amp;"'")</f>
        <v>0</v>
      </c>
      <c r="B170">
        <f>物品!D188</f>
        <v>0</v>
      </c>
      <c r="C170">
        <f>物品!E275</f>
        <v>0</v>
      </c>
      <c r="D170">
        <f>物品!F275</f>
        <v>0</v>
      </c>
      <c r="E170">
        <f>IF(ISTEXT(物品!G275)=TRUE,"'"&amp;物品!G275&amp;"'",物品!G275)</f>
        <v>0</v>
      </c>
      <c r="F170">
        <f>IF(ISTEXT(物品!H275)=TRUE,"'"&amp;物品!H275&amp;"'",物品!H275)</f>
        <v>0</v>
      </c>
      <c r="G170">
        <f>IF(物品!I275="",0,"'"&amp;物品!I275&amp;"'")</f>
        <v>0</v>
      </c>
      <c r="H170">
        <f>IF(物品!R275="",0,物品!R275)</f>
        <v>0</v>
      </c>
      <c r="I170">
        <f>IF(物品!S275="",0,物品!S275)</f>
        <v>0</v>
      </c>
      <c r="J170">
        <f>IF(物品!C275="",0,""""&amp;物品!C275&amp;"""")</f>
        <v>0</v>
      </c>
      <c r="K170" t="str">
        <f>IF(物品!T275="","""""",""""&amp;物品!T275&amp;"""")</f>
        <v>""</v>
      </c>
      <c r="L170">
        <f>IF(物品!U275="",0,""""&amp;物品!U275&amp;"""")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IF(物品!B276="",0,"'"&amp;物品!B276&amp;"'")</f>
        <v>0</v>
      </c>
      <c r="B171">
        <f>物品!D192</f>
        <v>0</v>
      </c>
      <c r="C171">
        <f>物品!E276</f>
        <v>0</v>
      </c>
      <c r="D171">
        <f>物品!F276</f>
        <v>0</v>
      </c>
      <c r="E171">
        <f>IF(ISTEXT(物品!G276)=TRUE,"'"&amp;物品!G276&amp;"'",物品!G276)</f>
        <v>0</v>
      </c>
      <c r="F171">
        <f>IF(ISTEXT(物品!H276)=TRUE,"'"&amp;物品!H276&amp;"'",物品!H276)</f>
        <v>0</v>
      </c>
      <c r="G171">
        <f>IF(物品!I276="",0,"'"&amp;物品!I276&amp;"'")</f>
        <v>0</v>
      </c>
      <c r="H171">
        <f>IF(物品!R276="",0,物品!R276)</f>
        <v>0</v>
      </c>
      <c r="I171">
        <f>IF(物品!S276="",0,物品!S276)</f>
        <v>0</v>
      </c>
      <c r="J171">
        <f>IF(物品!C276="",0,""""&amp;物品!C276&amp;"""")</f>
        <v>0</v>
      </c>
      <c r="K171" t="str">
        <f>IF(物品!T276="","""""",""""&amp;物品!T276&amp;"""")</f>
        <v>""</v>
      </c>
      <c r="L171">
        <f>IF(物品!U276="",0,""""&amp;物品!U276&amp;"""")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IF(物品!B277="",0,"'"&amp;物品!B277&amp;"'")</f>
        <v>0</v>
      </c>
      <c r="B172">
        <f>物品!D193</f>
        <v>0</v>
      </c>
      <c r="C172">
        <f>物品!E277</f>
        <v>0</v>
      </c>
      <c r="D172">
        <f>物品!F277</f>
        <v>0</v>
      </c>
      <c r="E172">
        <f>IF(ISTEXT(物品!G277)=TRUE,"'"&amp;物品!G277&amp;"'",物品!G277)</f>
        <v>0</v>
      </c>
      <c r="F172">
        <f>IF(ISTEXT(物品!H277)=TRUE,"'"&amp;物品!H277&amp;"'",物品!H277)</f>
        <v>0</v>
      </c>
      <c r="G172">
        <f>IF(物品!I277="",0,"'"&amp;物品!I277&amp;"'")</f>
        <v>0</v>
      </c>
      <c r="H172">
        <f>IF(物品!R277="",0,物品!R277)</f>
        <v>0</v>
      </c>
      <c r="I172">
        <f>IF(物品!S277="",0,物品!S277)</f>
        <v>0</v>
      </c>
      <c r="J172">
        <f>IF(物品!C277="",0,""""&amp;物品!C277&amp;"""")</f>
        <v>0</v>
      </c>
      <c r="K172" t="str">
        <f>IF(物品!T277="","""""",""""&amp;物品!T277&amp;"""")</f>
        <v>""</v>
      </c>
      <c r="L172">
        <f>IF(物品!U277="",0,""""&amp;物品!U277&amp;"""")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IF(物品!B278="",0,"'"&amp;物品!B278&amp;"'")</f>
        <v>0</v>
      </c>
      <c r="B173">
        <f>物品!D194</f>
        <v>0</v>
      </c>
      <c r="C173">
        <f>物品!E278</f>
        <v>0</v>
      </c>
      <c r="D173">
        <f>物品!F278</f>
        <v>0</v>
      </c>
      <c r="E173">
        <f>IF(ISTEXT(物品!G278)=TRUE,"'"&amp;物品!G278&amp;"'",物品!G278)</f>
        <v>0</v>
      </c>
      <c r="F173">
        <f>IF(ISTEXT(物品!H278)=TRUE,"'"&amp;物品!H278&amp;"'",物品!H278)</f>
        <v>0</v>
      </c>
      <c r="G173">
        <f>IF(物品!I278="",0,"'"&amp;物品!I278&amp;"'")</f>
        <v>0</v>
      </c>
      <c r="H173">
        <f>IF(物品!R278="",0,物品!R278)</f>
        <v>0</v>
      </c>
      <c r="I173">
        <f>IF(物品!S278="",0,物品!S278)</f>
        <v>0</v>
      </c>
      <c r="J173">
        <f>IF(物品!C278="",0,""""&amp;物品!C278&amp;"""")</f>
        <v>0</v>
      </c>
      <c r="K173" t="str">
        <f>IF(物品!T278="","""""",""""&amp;物品!T278&amp;"""")</f>
        <v>""</v>
      </c>
      <c r="L173">
        <f>IF(物品!U278="",0,""""&amp;物品!U278&amp;"""")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IF(物品!B279="",0,"'"&amp;物品!B279&amp;"'")</f>
        <v>0</v>
      </c>
      <c r="B174">
        <f>物品!D198</f>
        <v>0</v>
      </c>
      <c r="C174">
        <f>物品!E279</f>
        <v>0</v>
      </c>
      <c r="D174">
        <f>物品!F279</f>
        <v>0</v>
      </c>
      <c r="E174">
        <f>IF(ISTEXT(物品!G279)=TRUE,"'"&amp;物品!G279&amp;"'",物品!G279)</f>
        <v>0</v>
      </c>
      <c r="F174">
        <f>IF(ISTEXT(物品!H279)=TRUE,"'"&amp;物品!H279&amp;"'",物品!H279)</f>
        <v>0</v>
      </c>
      <c r="G174">
        <f>IF(物品!I279="",0,"'"&amp;物品!I279&amp;"'")</f>
        <v>0</v>
      </c>
      <c r="H174">
        <f>IF(物品!R279="",0,物品!R279)</f>
        <v>0</v>
      </c>
      <c r="I174">
        <f>IF(物品!S279="",0,物品!S279)</f>
        <v>0</v>
      </c>
      <c r="J174">
        <f>IF(物品!C279="",0,""""&amp;物品!C279&amp;"""")</f>
        <v>0</v>
      </c>
      <c r="K174" t="str">
        <f>IF(物品!T279="","""""",""""&amp;物品!T279&amp;"""")</f>
        <v>""</v>
      </c>
      <c r="L174">
        <f>IF(物品!U279="",0,""""&amp;物品!U279&amp;"""")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IF(物品!B280="",0,"'"&amp;物品!B280&amp;"'")</f>
        <v>0</v>
      </c>
      <c r="B175">
        <f>物品!D199</f>
        <v>0</v>
      </c>
      <c r="C175">
        <f>物品!E280</f>
        <v>0</v>
      </c>
      <c r="D175">
        <f>物品!F280</f>
        <v>0</v>
      </c>
      <c r="E175">
        <f>IF(ISTEXT(物品!G280)=TRUE,"'"&amp;物品!G280&amp;"'",物品!G280)</f>
        <v>0</v>
      </c>
      <c r="F175">
        <f>IF(ISTEXT(物品!H280)=TRUE,"'"&amp;物品!H280&amp;"'",物品!H280)</f>
        <v>0</v>
      </c>
      <c r="G175">
        <f>IF(物品!I280="",0,"'"&amp;物品!I280&amp;"'")</f>
        <v>0</v>
      </c>
      <c r="H175">
        <f>IF(物品!R280="",0,物品!R280)</f>
        <v>0</v>
      </c>
      <c r="I175">
        <f>IF(物品!S280="",0,物品!S280)</f>
        <v>0</v>
      </c>
      <c r="J175">
        <f>IF(物品!C280="",0,""""&amp;物品!C280&amp;"""")</f>
        <v>0</v>
      </c>
      <c r="K175" t="str">
        <f>IF(物品!T280="","""""",""""&amp;物品!T280&amp;"""")</f>
        <v>""</v>
      </c>
      <c r="L175">
        <f>IF(物品!U280="",0,""""&amp;物品!U280&amp;"""")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IF(物品!B281="",0,"'"&amp;物品!B281&amp;"'")</f>
        <v>0</v>
      </c>
      <c r="B176" t="e">
        <f>物品!#REF!</f>
        <v>#REF!</v>
      </c>
      <c r="C176">
        <f>物品!E281</f>
        <v>0</v>
      </c>
      <c r="D176">
        <f>物品!F281</f>
        <v>0</v>
      </c>
      <c r="E176">
        <f>IF(ISTEXT(物品!G281)=TRUE,"'"&amp;物品!G281&amp;"'",物品!G281)</f>
        <v>0</v>
      </c>
      <c r="F176">
        <f>IF(ISTEXT(物品!H281)=TRUE,"'"&amp;物品!H281&amp;"'",物品!H281)</f>
        <v>0</v>
      </c>
      <c r="G176">
        <f>IF(物品!I281="",0,"'"&amp;物品!I281&amp;"'")</f>
        <v>0</v>
      </c>
      <c r="H176">
        <f>IF(物品!R281="",0,物品!R281)</f>
        <v>0</v>
      </c>
      <c r="I176">
        <f>IF(物品!S281="",0,物品!S281)</f>
        <v>0</v>
      </c>
      <c r="J176">
        <f>IF(物品!C281="",0,""""&amp;物品!C281&amp;"""")</f>
        <v>0</v>
      </c>
      <c r="K176" t="str">
        <f>IF(物品!T281="","""""",""""&amp;物品!T281&amp;"""")</f>
        <v>""</v>
      </c>
      <c r="L176">
        <f>IF(物品!U281="",0,""""&amp;物品!U281&amp;"""")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IF(物品!B282="",0,"'"&amp;物品!B282&amp;"'")</f>
        <v>0</v>
      </c>
      <c r="B177" t="e">
        <f>物品!#REF!</f>
        <v>#REF!</v>
      </c>
      <c r="C177">
        <f>物品!E282</f>
        <v>0</v>
      </c>
      <c r="D177">
        <f>物品!F282</f>
        <v>0</v>
      </c>
      <c r="E177">
        <f>IF(ISTEXT(物品!G282)=TRUE,"'"&amp;物品!G282&amp;"'",物品!G282)</f>
        <v>0</v>
      </c>
      <c r="F177">
        <f>IF(ISTEXT(物品!H282)=TRUE,"'"&amp;物品!H282&amp;"'",物品!H282)</f>
        <v>0</v>
      </c>
      <c r="G177">
        <f>IF(物品!I282="",0,"'"&amp;物品!I282&amp;"'")</f>
        <v>0</v>
      </c>
      <c r="H177">
        <f>IF(物品!R282="",0,物品!R282)</f>
        <v>0</v>
      </c>
      <c r="I177">
        <f>IF(物品!S282="",0,物品!S282)</f>
        <v>0</v>
      </c>
      <c r="J177">
        <f>IF(物品!C282="",0,""""&amp;物品!C282&amp;"""")</f>
        <v>0</v>
      </c>
      <c r="K177" t="str">
        <f>IF(物品!T282="","""""",""""&amp;物品!T282&amp;"""")</f>
        <v>""</v>
      </c>
      <c r="L177">
        <f>IF(物品!U282="",0,""""&amp;物品!U282&amp;"""")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IF(物品!B283="",0,"'"&amp;物品!B283&amp;"'")</f>
        <v>0</v>
      </c>
      <c r="B178" t="e">
        <f>物品!#REF!</f>
        <v>#REF!</v>
      </c>
      <c r="C178">
        <f>物品!E283</f>
        <v>0</v>
      </c>
      <c r="D178">
        <f>物品!F283</f>
        <v>0</v>
      </c>
      <c r="E178">
        <f>IF(ISTEXT(物品!G283)=TRUE,"'"&amp;物品!G283&amp;"'",物品!G283)</f>
        <v>0</v>
      </c>
      <c r="F178">
        <f>IF(ISTEXT(物品!H283)=TRUE,"'"&amp;物品!H283&amp;"'",物品!H283)</f>
        <v>0</v>
      </c>
      <c r="G178">
        <f>IF(物品!I283="",0,"'"&amp;物品!I283&amp;"'")</f>
        <v>0</v>
      </c>
      <c r="H178">
        <f>IF(物品!R283="",0,物品!R283)</f>
        <v>0</v>
      </c>
      <c r="I178">
        <f>IF(物品!S283="",0,物品!S283)</f>
        <v>0</v>
      </c>
      <c r="J178">
        <f>IF(物品!C283="",0,""""&amp;物品!C283&amp;"""")</f>
        <v>0</v>
      </c>
      <c r="K178" t="str">
        <f>IF(物品!T283="","""""",""""&amp;物品!T283&amp;"""")</f>
        <v>""</v>
      </c>
      <c r="L178">
        <f>IF(物品!U283="",0,""""&amp;物品!U283&amp;"""")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IF(物品!B284="",0,"'"&amp;物品!B284&amp;"'")</f>
        <v>0</v>
      </c>
      <c r="B179" t="e">
        <f>物品!#REF!</f>
        <v>#REF!</v>
      </c>
      <c r="C179">
        <f>物品!E284</f>
        <v>0</v>
      </c>
      <c r="D179">
        <f>物品!F284</f>
        <v>0</v>
      </c>
      <c r="E179">
        <f>IF(ISTEXT(物品!G284)=TRUE,"'"&amp;物品!G284&amp;"'",物品!G284)</f>
        <v>0</v>
      </c>
      <c r="F179">
        <f>IF(ISTEXT(物品!H284)=TRUE,"'"&amp;物品!H284&amp;"'",物品!H284)</f>
        <v>0</v>
      </c>
      <c r="G179">
        <f>IF(物品!I284="",0,"'"&amp;物品!I284&amp;"'")</f>
        <v>0</v>
      </c>
      <c r="H179">
        <f>IF(物品!R284="",0,物品!R284)</f>
        <v>0</v>
      </c>
      <c r="I179">
        <f>IF(物品!S284="",0,物品!S284)</f>
        <v>0</v>
      </c>
      <c r="J179">
        <f>IF(物品!C284="",0,""""&amp;物品!C284&amp;"""")</f>
        <v>0</v>
      </c>
      <c r="K179" t="str">
        <f>IF(物品!T284="","""""",""""&amp;物品!T284&amp;"""")</f>
        <v>""</v>
      </c>
      <c r="L179">
        <f>IF(物品!U284="",0,""""&amp;物品!U284&amp;"""")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IF(物品!B285="",0,"'"&amp;物品!B285&amp;"'")</f>
        <v>0</v>
      </c>
      <c r="B180" t="e">
        <f>物品!#REF!</f>
        <v>#REF!</v>
      </c>
      <c r="C180">
        <f>物品!E285</f>
        <v>0</v>
      </c>
      <c r="D180">
        <f>物品!F285</f>
        <v>0</v>
      </c>
      <c r="E180">
        <f>IF(ISTEXT(物品!G285)=TRUE,"'"&amp;物品!G285&amp;"'",物品!G285)</f>
        <v>0</v>
      </c>
      <c r="F180">
        <f>IF(ISTEXT(物品!H285)=TRUE,"'"&amp;物品!H285&amp;"'",物品!H285)</f>
        <v>0</v>
      </c>
      <c r="G180">
        <f>IF(物品!I285="",0,"'"&amp;物品!I285&amp;"'")</f>
        <v>0</v>
      </c>
      <c r="H180">
        <f>IF(物品!R285="",0,物品!R285)</f>
        <v>0</v>
      </c>
      <c r="I180">
        <f>IF(物品!S285="",0,物品!S285)</f>
        <v>0</v>
      </c>
      <c r="J180">
        <f>IF(物品!C285="",0,""""&amp;物品!C285&amp;"""")</f>
        <v>0</v>
      </c>
      <c r="K180" t="str">
        <f>IF(物品!T285="","""""",""""&amp;物品!T285&amp;"""")</f>
        <v>""</v>
      </c>
      <c r="L180">
        <f>IF(物品!U285="",0,""""&amp;物品!U285&amp;"""")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IF(物品!B286="",0,"'"&amp;物品!B286&amp;"'")</f>
        <v>0</v>
      </c>
      <c r="B181" t="e">
        <f>物品!#REF!</f>
        <v>#REF!</v>
      </c>
      <c r="C181">
        <f>物品!E286</f>
        <v>0</v>
      </c>
      <c r="D181">
        <f>物品!F286</f>
        <v>0</v>
      </c>
      <c r="E181">
        <f>IF(ISTEXT(物品!G286)=TRUE,"'"&amp;物品!G286&amp;"'",物品!G286)</f>
        <v>0</v>
      </c>
      <c r="F181">
        <f>IF(ISTEXT(物品!H286)=TRUE,"'"&amp;物品!H286&amp;"'",物品!H286)</f>
        <v>0</v>
      </c>
      <c r="G181">
        <f>IF(物品!I286="",0,"'"&amp;物品!I286&amp;"'")</f>
        <v>0</v>
      </c>
      <c r="H181">
        <f>IF(物品!R286="",0,物品!R286)</f>
        <v>0</v>
      </c>
      <c r="I181">
        <f>IF(物品!S286="",0,物品!S286)</f>
        <v>0</v>
      </c>
      <c r="J181">
        <f>IF(物品!C286="",0,""""&amp;物品!C286&amp;"""")</f>
        <v>0</v>
      </c>
      <c r="K181" t="str">
        <f>IF(物品!T286="","""""",""""&amp;物品!T286&amp;"""")</f>
        <v>""</v>
      </c>
      <c r="L181">
        <f>IF(物品!U286="",0,""""&amp;物品!U286&amp;"""")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IF(物品!B287="",0,"'"&amp;物品!B287&amp;"'")</f>
        <v>0</v>
      </c>
      <c r="B182" t="e">
        <f>物品!#REF!</f>
        <v>#REF!</v>
      </c>
      <c r="C182">
        <f>物品!E287</f>
        <v>0</v>
      </c>
      <c r="D182">
        <f>物品!F287</f>
        <v>0</v>
      </c>
      <c r="E182">
        <f>IF(ISTEXT(物品!G287)=TRUE,"'"&amp;物品!G287&amp;"'",物品!G287)</f>
        <v>0</v>
      </c>
      <c r="F182">
        <f>IF(ISTEXT(物品!H287)=TRUE,"'"&amp;物品!H287&amp;"'",物品!H287)</f>
        <v>0</v>
      </c>
      <c r="G182">
        <f>IF(物品!I287="",0,"'"&amp;物品!I287&amp;"'")</f>
        <v>0</v>
      </c>
      <c r="H182">
        <f>IF(物品!R287="",0,物品!R287)</f>
        <v>0</v>
      </c>
      <c r="I182">
        <f>IF(物品!S287="",0,物品!S287)</f>
        <v>0</v>
      </c>
      <c r="J182">
        <f>IF(物品!C287="",0,""""&amp;物品!C287&amp;"""")</f>
        <v>0</v>
      </c>
      <c r="K182" t="str">
        <f>IF(物品!T287="","""""",""""&amp;物品!T287&amp;"""")</f>
        <v>""</v>
      </c>
      <c r="L182">
        <f>IF(物品!U287="",0,""""&amp;物品!U287&amp;"""")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IF(物品!B288="",0,"'"&amp;物品!B288&amp;"'")</f>
        <v>0</v>
      </c>
      <c r="B183" t="e">
        <f>物品!#REF!</f>
        <v>#REF!</v>
      </c>
      <c r="C183">
        <f>物品!E288</f>
        <v>0</v>
      </c>
      <c r="D183">
        <f>物品!F288</f>
        <v>0</v>
      </c>
      <c r="E183">
        <f>IF(ISTEXT(物品!G288)=TRUE,"'"&amp;物品!G288&amp;"'",物品!G288)</f>
        <v>0</v>
      </c>
      <c r="F183">
        <f>IF(ISTEXT(物品!H288)=TRUE,"'"&amp;物品!H288&amp;"'",物品!H288)</f>
        <v>0</v>
      </c>
      <c r="G183">
        <f>IF(物品!I288="",0,"'"&amp;物品!I288&amp;"'")</f>
        <v>0</v>
      </c>
      <c r="H183">
        <f>IF(物品!R288="",0,物品!R288)</f>
        <v>0</v>
      </c>
      <c r="I183">
        <f>IF(物品!S288="",0,物品!S288)</f>
        <v>0</v>
      </c>
      <c r="J183">
        <f>IF(物品!C288="",0,""""&amp;物品!C288&amp;"""")</f>
        <v>0</v>
      </c>
      <c r="K183" t="str">
        <f>IF(物品!T288="","""""",""""&amp;物品!T288&amp;"""")</f>
        <v>""</v>
      </c>
      <c r="L183">
        <f>IF(物品!U288="",0,""""&amp;物品!U288&amp;"""")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IF(物品!B289="",0,"'"&amp;物品!B289&amp;"'")</f>
        <v>0</v>
      </c>
      <c r="B184">
        <f>物品!D205</f>
        <v>0</v>
      </c>
      <c r="C184">
        <f>物品!E289</f>
        <v>0</v>
      </c>
      <c r="D184">
        <f>物品!F289</f>
        <v>0</v>
      </c>
      <c r="E184">
        <f>IF(ISTEXT(物品!G289)=TRUE,"'"&amp;物品!G289&amp;"'",物品!G289)</f>
        <v>0</v>
      </c>
      <c r="F184">
        <f>IF(ISTEXT(物品!H289)=TRUE,"'"&amp;物品!H289&amp;"'",物品!H289)</f>
        <v>0</v>
      </c>
      <c r="G184">
        <f>IF(物品!I289="",0,"'"&amp;物品!I289&amp;"'")</f>
        <v>0</v>
      </c>
      <c r="H184">
        <f>IF(物品!R289="",0,物品!R289)</f>
        <v>0</v>
      </c>
      <c r="I184">
        <f>IF(物品!S289="",0,物品!S289)</f>
        <v>0</v>
      </c>
      <c r="J184">
        <f>IF(物品!C289="",0,""""&amp;物品!C289&amp;"""")</f>
        <v>0</v>
      </c>
      <c r="K184" t="str">
        <f>IF(物品!T289="","""""",""""&amp;物品!T289&amp;"""")</f>
        <v>""</v>
      </c>
      <c r="L184">
        <f>IF(物品!U289="",0,""""&amp;物品!U289&amp;"""")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IF(物品!B299="",0,"'"&amp;物品!B299&amp;"'")</f>
        <v>0</v>
      </c>
      <c r="B185">
        <f>物品!D206</f>
        <v>0</v>
      </c>
      <c r="C185">
        <f>物品!E299</f>
        <v>0</v>
      </c>
      <c r="D185">
        <f>物品!F299</f>
        <v>0</v>
      </c>
      <c r="E185">
        <f>IF(ISTEXT(物品!G290)=TRUE,"'"&amp;物品!G290&amp;"'",物品!G290)</f>
        <v>0</v>
      </c>
      <c r="F185">
        <f>IF(ISTEXT(物品!H290)=TRUE,"'"&amp;物品!H290&amp;"'",物品!H290)</f>
        <v>0</v>
      </c>
      <c r="G185">
        <f>IF(物品!I299="",0,"'"&amp;物品!I299&amp;"'")</f>
        <v>0</v>
      </c>
      <c r="H185">
        <f>IF(物品!R290="",0,物品!R290)</f>
        <v>0</v>
      </c>
      <c r="I185">
        <f>IF(物品!S290="",0,物品!S290)</f>
        <v>0</v>
      </c>
      <c r="J185">
        <f>IF(物品!C299="",0,""""&amp;物品!C299&amp;"""")</f>
        <v>0</v>
      </c>
      <c r="K185" t="str">
        <f>IF(物品!T299="","""""",""""&amp;物品!T299&amp;"""")</f>
        <v>""</v>
      </c>
      <c r="L185">
        <f>IF(物品!U299="",0,""""&amp;物品!U299&amp;"""")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IF(物品!B300="",0,"'"&amp;物品!B300&amp;"'")</f>
        <v>0</v>
      </c>
      <c r="B186">
        <f>物品!D207</f>
        <v>0</v>
      </c>
      <c r="C186">
        <f>物品!E300</f>
        <v>0</v>
      </c>
      <c r="D186">
        <f>物品!F300</f>
        <v>0</v>
      </c>
      <c r="E186">
        <f>IF(ISTEXT(物品!G291)=TRUE,"'"&amp;物品!G291&amp;"'",物品!G291)</f>
        <v>0</v>
      </c>
      <c r="F186">
        <f>IF(ISTEXT(物品!H291)=TRUE,"'"&amp;物品!H291&amp;"'",物品!H291)</f>
        <v>0</v>
      </c>
      <c r="G186">
        <f>IF(物品!I300="",0,"'"&amp;物品!I300&amp;"'")</f>
        <v>0</v>
      </c>
      <c r="H186">
        <f>IF(物品!R291="",0,物品!R291)</f>
        <v>0</v>
      </c>
      <c r="I186">
        <f>IF(物品!S291="",0,物品!S291)</f>
        <v>0</v>
      </c>
      <c r="J186">
        <f>IF(物品!C300="",0,""""&amp;物品!C300&amp;"""")</f>
        <v>0</v>
      </c>
      <c r="K186" t="str">
        <f>IF(物品!T300="","""""",""""&amp;物品!T300&amp;"""")</f>
        <v>""</v>
      </c>
      <c r="L186">
        <f>IF(物品!U300="",0,""""&amp;物品!U300&amp;"""")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IF(物品!B301="",0,"'"&amp;物品!B301&amp;"'")</f>
        <v>0</v>
      </c>
      <c r="B187">
        <f>物品!D208</f>
        <v>0</v>
      </c>
      <c r="C187">
        <f>物品!E301</f>
        <v>0</v>
      </c>
      <c r="D187">
        <f>物品!F301</f>
        <v>0</v>
      </c>
      <c r="E187">
        <f>IF(ISTEXT(物品!G292)=TRUE,"'"&amp;物品!G292&amp;"'",物品!G292)</f>
        <v>0</v>
      </c>
      <c r="F187">
        <f>IF(ISTEXT(物品!H292)=TRUE,"'"&amp;物品!H292&amp;"'",物品!H292)</f>
        <v>0</v>
      </c>
      <c r="G187">
        <f>IF(物品!I301="",0,"'"&amp;物品!I301&amp;"'")</f>
        <v>0</v>
      </c>
      <c r="H187">
        <f>IF(物品!R292="",0,物品!R292)</f>
        <v>0</v>
      </c>
      <c r="I187">
        <f>IF(物品!S292="",0,物品!S292)</f>
        <v>0</v>
      </c>
      <c r="J187">
        <f>IF(物品!C301="",0,""""&amp;物品!C301&amp;"""")</f>
        <v>0</v>
      </c>
      <c r="K187" t="str">
        <f>IF(物品!T301="","""""",""""&amp;物品!T301&amp;"""")</f>
        <v>""</v>
      </c>
      <c r="L187">
        <f>IF(物品!U301="",0,""""&amp;物品!U301&amp;"""")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IF(物品!B302="",0,"'"&amp;物品!B302&amp;"'")</f>
        <v>0</v>
      </c>
      <c r="B188">
        <f>物品!D209</f>
        <v>0</v>
      </c>
      <c r="C188">
        <f>物品!E302</f>
        <v>0</v>
      </c>
      <c r="D188">
        <f>物品!F302</f>
        <v>0</v>
      </c>
      <c r="E188">
        <f>IF(ISTEXT(物品!G293)=TRUE,"'"&amp;物品!G293&amp;"'",物品!G293)</f>
        <v>0</v>
      </c>
      <c r="F188">
        <f>IF(ISTEXT(物品!H293)=TRUE,"'"&amp;物品!H293&amp;"'",物品!H293)</f>
        <v>0</v>
      </c>
      <c r="G188">
        <f>IF(物品!I302="",0,"'"&amp;物品!I302&amp;"'")</f>
        <v>0</v>
      </c>
      <c r="H188">
        <f>IF(物品!R293="",0,物品!R293)</f>
        <v>0</v>
      </c>
      <c r="I188">
        <f>IF(物品!S293="",0,物品!S293)</f>
        <v>0</v>
      </c>
      <c r="J188">
        <f>IF(物品!C302="",0,""""&amp;物品!C302&amp;"""")</f>
        <v>0</v>
      </c>
      <c r="K188" t="str">
        <f>IF(物品!T302="","""""",""""&amp;物品!T302&amp;"""")</f>
        <v>""</v>
      </c>
      <c r="L188">
        <f>IF(物品!U302="",0,""""&amp;物品!U302&amp;"""")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IF(物品!B303="",0,"'"&amp;物品!B303&amp;"'")</f>
        <v>0</v>
      </c>
      <c r="B189">
        <f>物品!D210</f>
        <v>0</v>
      </c>
      <c r="C189">
        <f>物品!E303</f>
        <v>0</v>
      </c>
      <c r="D189">
        <f>物品!F303</f>
        <v>0</v>
      </c>
      <c r="E189">
        <f>IF(ISTEXT(物品!G294)=TRUE,"'"&amp;物品!G294&amp;"'",物品!G294)</f>
        <v>0</v>
      </c>
      <c r="F189">
        <f>IF(ISTEXT(物品!H294)=TRUE,"'"&amp;物品!H294&amp;"'",物品!H294)</f>
        <v>0</v>
      </c>
      <c r="G189">
        <f>IF(物品!I303="",0,"'"&amp;物品!I303&amp;"'")</f>
        <v>0</v>
      </c>
      <c r="H189">
        <f>IF(物品!R294="",0,物品!R294)</f>
        <v>0</v>
      </c>
      <c r="I189">
        <f>IF(物品!S294="",0,物品!S294)</f>
        <v>0</v>
      </c>
      <c r="J189">
        <f>IF(物品!C303="",0,""""&amp;物品!C303&amp;"""")</f>
        <v>0</v>
      </c>
      <c r="K189" t="str">
        <f>IF(物品!T303="","""""",""""&amp;物品!T303&amp;"""")</f>
        <v>""</v>
      </c>
      <c r="L189">
        <f>IF(物品!U303="",0,""""&amp;物品!U303&amp;"""")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IF(物品!B304="",0,"'"&amp;物品!B304&amp;"'")</f>
        <v>0</v>
      </c>
      <c r="B190">
        <f>物品!D211</f>
        <v>0</v>
      </c>
      <c r="C190">
        <f>物品!E304</f>
        <v>0</v>
      </c>
      <c r="D190">
        <f>物品!F304</f>
        <v>0</v>
      </c>
      <c r="E190">
        <f>IF(ISTEXT(物品!G295)=TRUE,"'"&amp;物品!G295&amp;"'",物品!G295)</f>
        <v>0</v>
      </c>
      <c r="F190">
        <f>IF(ISTEXT(物品!H295)=TRUE,"'"&amp;物品!H295&amp;"'",物品!H295)</f>
        <v>0</v>
      </c>
      <c r="G190">
        <f>IF(物品!I304="",0,"'"&amp;物品!I304&amp;"'")</f>
        <v>0</v>
      </c>
      <c r="H190">
        <f>IF(物品!R295="",0,物品!R295)</f>
        <v>0</v>
      </c>
      <c r="I190">
        <f>IF(物品!S295="",0,物品!S295)</f>
        <v>0</v>
      </c>
      <c r="J190">
        <f>IF(物品!C304="",0,""""&amp;物品!C304&amp;"""")</f>
        <v>0</v>
      </c>
      <c r="K190" t="str">
        <f>IF(物品!T304="","""""",""""&amp;物品!T304&amp;"""")</f>
        <v>""</v>
      </c>
      <c r="L190">
        <f>IF(物品!U304="",0,""""&amp;物品!U304&amp;"""")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IF(物品!B305="",0,"'"&amp;物品!B305&amp;"'")</f>
        <v>0</v>
      </c>
      <c r="B191">
        <f>物品!D212</f>
        <v>0</v>
      </c>
      <c r="C191">
        <f>物品!E305</f>
        <v>0</v>
      </c>
      <c r="D191">
        <f>物品!F305</f>
        <v>0</v>
      </c>
      <c r="E191">
        <f>IF(ISTEXT(物品!G296)=TRUE,"'"&amp;物品!G296&amp;"'",物品!G296)</f>
        <v>0</v>
      </c>
      <c r="F191">
        <f>IF(ISTEXT(物品!H296)=TRUE,"'"&amp;物品!H296&amp;"'",物品!H296)</f>
        <v>0</v>
      </c>
      <c r="G191">
        <f>IF(物品!I305="",0,"'"&amp;物品!I305&amp;"'")</f>
        <v>0</v>
      </c>
      <c r="H191">
        <f>IF(物品!R296="",0,物品!R296)</f>
        <v>0</v>
      </c>
      <c r="I191">
        <f>IF(物品!S296="",0,物品!S296)</f>
        <v>0</v>
      </c>
      <c r="J191">
        <f>IF(物品!C305="",0,""""&amp;物品!C305&amp;"""")</f>
        <v>0</v>
      </c>
      <c r="K191" t="str">
        <f>IF(物品!T305="","""""",""""&amp;物品!T305&amp;"""")</f>
        <v>""</v>
      </c>
      <c r="L191">
        <f>IF(物品!U305="",0,""""&amp;物品!U305&amp;"""")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IF(物品!B306="",0,"'"&amp;物品!B306&amp;"'")</f>
        <v>0</v>
      </c>
      <c r="B192">
        <f>物品!D227</f>
        <v>0</v>
      </c>
      <c r="C192">
        <f>物品!E306</f>
        <v>0</v>
      </c>
      <c r="D192">
        <f>物品!F306</f>
        <v>0</v>
      </c>
      <c r="E192">
        <f>IF(ISTEXT(物品!G297)=TRUE,"'"&amp;物品!G297&amp;"'",物品!G297)</f>
        <v>0</v>
      </c>
      <c r="F192">
        <f>IF(ISTEXT(物品!H297)=TRUE,"'"&amp;物品!H297&amp;"'",物品!H297)</f>
        <v>0</v>
      </c>
      <c r="G192">
        <f>IF(物品!I306="",0,"'"&amp;物品!I306&amp;"'")</f>
        <v>0</v>
      </c>
      <c r="H192">
        <f>IF(物品!R297="",0,物品!R297)</f>
        <v>0</v>
      </c>
      <c r="I192">
        <f>IF(物品!S297="",0,物品!S297)</f>
        <v>0</v>
      </c>
      <c r="J192">
        <f>IF(物品!C306="",0,""""&amp;物品!C306&amp;"""")</f>
        <v>0</v>
      </c>
      <c r="K192" t="str">
        <f>IF(物品!T306="","""""",""""&amp;物品!T306&amp;"""")</f>
        <v>""</v>
      </c>
      <c r="L192">
        <f>IF(物品!U306="",0,""""&amp;物品!U306&amp;"""")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IF(物品!B307="",0,"'"&amp;物品!B307&amp;"'")</f>
        <v>0</v>
      </c>
      <c r="B193">
        <f>物品!D228</f>
        <v>0</v>
      </c>
      <c r="C193">
        <f>物品!E307</f>
        <v>0</v>
      </c>
      <c r="D193">
        <f>物品!F307</f>
        <v>0</v>
      </c>
      <c r="E193">
        <f>IF(ISTEXT(物品!G298)=TRUE,"'"&amp;物品!G298&amp;"'",物品!G298)</f>
        <v>0</v>
      </c>
      <c r="F193">
        <f>IF(ISTEXT(物品!H298)=TRUE,"'"&amp;物品!H298&amp;"'",物品!H298)</f>
        <v>0</v>
      </c>
      <c r="G193">
        <f>IF(物品!I307="",0,"'"&amp;物品!I307&amp;"'")</f>
        <v>0</v>
      </c>
      <c r="H193">
        <f>IF(物品!R298="",0,物品!R298)</f>
        <v>0</v>
      </c>
      <c r="I193">
        <f>IF(物品!S298="",0,物品!S298)</f>
        <v>0</v>
      </c>
      <c r="J193">
        <f>IF(物品!C307="",0,""""&amp;物品!C307&amp;"""")</f>
        <v>0</v>
      </c>
      <c r="K193" t="str">
        <f>IF(物品!T307="","""""",""""&amp;物品!T307&amp;"""")</f>
        <v>""</v>
      </c>
      <c r="L193">
        <f>IF(物品!U307="",0,""""&amp;物品!U307&amp;"""")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IF(物品!B308="",0,"'"&amp;物品!B308&amp;"'")</f>
        <v>0</v>
      </c>
      <c r="B194">
        <f>物品!D229</f>
        <v>0</v>
      </c>
      <c r="C194">
        <f>物品!E308</f>
        <v>0</v>
      </c>
      <c r="D194">
        <f>物品!F308</f>
        <v>0</v>
      </c>
      <c r="E194">
        <f>IF(ISTEXT(物品!G299)=TRUE,"'"&amp;物品!G299&amp;"'",物品!G299)</f>
        <v>0</v>
      </c>
      <c r="F194">
        <f>IF(ISTEXT(物品!H299)=TRUE,"'"&amp;物品!H299&amp;"'",物品!H299)</f>
        <v>0</v>
      </c>
      <c r="G194">
        <f>IF(物品!I308="",0,"'"&amp;物品!I308&amp;"'")</f>
        <v>0</v>
      </c>
      <c r="H194">
        <f>IF(物品!R299="",0,物品!R299)</f>
        <v>0</v>
      </c>
      <c r="I194">
        <f>IF(物品!S299="",0,物品!S299)</f>
        <v>0</v>
      </c>
      <c r="J194">
        <f>IF(物品!C308="",0,""""&amp;物品!C308&amp;"""")</f>
        <v>0</v>
      </c>
      <c r="K194" t="str">
        <f>IF(物品!T308="","""""",""""&amp;物品!T308&amp;"""")</f>
        <v>""</v>
      </c>
      <c r="L194">
        <f>IF(物品!U308="",0,""""&amp;物品!U308&amp;"""")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IF(物品!B309="",0,"'"&amp;物品!B309&amp;"'")</f>
        <v>0</v>
      </c>
      <c r="B195">
        <f>物品!D230</f>
        <v>0</v>
      </c>
      <c r="C195">
        <f>物品!E309</f>
        <v>0</v>
      </c>
      <c r="D195">
        <f>物品!F309</f>
        <v>0</v>
      </c>
      <c r="E195">
        <f>IF(ISTEXT(物品!G300)=TRUE,"'"&amp;物品!G300&amp;"'",物品!G300)</f>
        <v>0</v>
      </c>
      <c r="F195">
        <f>IF(ISTEXT(物品!H300)=TRUE,"'"&amp;物品!H300&amp;"'",物品!H300)</f>
        <v>0</v>
      </c>
      <c r="G195">
        <f>IF(物品!I309="",0,"'"&amp;物品!I309&amp;"'")</f>
        <v>0</v>
      </c>
      <c r="H195">
        <f>IF(物品!R300="",0,物品!R300)</f>
        <v>0</v>
      </c>
      <c r="I195">
        <f>IF(物品!S300="",0,物品!S300)</f>
        <v>0</v>
      </c>
      <c r="J195">
        <f>IF(物品!C309="",0,""""&amp;物品!C309&amp;"""")</f>
        <v>0</v>
      </c>
      <c r="K195" t="str">
        <f>IF(物品!T309="","""""",""""&amp;物品!T309&amp;"""")</f>
        <v>""</v>
      </c>
      <c r="L195">
        <f>IF(物品!U309="",0,""""&amp;物品!U309&amp;"""")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IF(物品!B310="",0,"'"&amp;物品!B310&amp;"'")</f>
        <v>0</v>
      </c>
      <c r="B196">
        <f>物品!D231</f>
        <v>0</v>
      </c>
      <c r="C196">
        <f>物品!E310</f>
        <v>0</v>
      </c>
      <c r="D196">
        <f>物品!F310</f>
        <v>0</v>
      </c>
      <c r="E196">
        <f>IF(ISTEXT(物品!G301)=TRUE,"'"&amp;物品!G301&amp;"'",物品!G301)</f>
        <v>0</v>
      </c>
      <c r="F196">
        <f>IF(ISTEXT(物品!H301)=TRUE,"'"&amp;物品!H301&amp;"'",物品!H301)</f>
        <v>0</v>
      </c>
      <c r="G196">
        <f>IF(物品!I310="",0,"'"&amp;物品!I310&amp;"'")</f>
        <v>0</v>
      </c>
      <c r="H196">
        <f>IF(物品!R301="",0,物品!R301)</f>
        <v>0</v>
      </c>
      <c r="I196">
        <f>IF(物品!S301="",0,物品!S301)</f>
        <v>0</v>
      </c>
      <c r="J196">
        <f>IF(物品!C310="",0,""""&amp;物品!C310&amp;"""")</f>
        <v>0</v>
      </c>
      <c r="K196" t="str">
        <f>IF(物品!T310="","""""",""""&amp;物品!T310&amp;"""")</f>
        <v>""</v>
      </c>
      <c r="L196">
        <f>IF(物品!U310="",0,""""&amp;物品!U310&amp;"""")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IF(物品!B311="",0,"'"&amp;物品!B311&amp;"'")</f>
        <v>0</v>
      </c>
      <c r="B197">
        <f>物品!D232</f>
        <v>0</v>
      </c>
      <c r="C197">
        <f>物品!E311</f>
        <v>0</v>
      </c>
      <c r="D197">
        <f>物品!F311</f>
        <v>0</v>
      </c>
      <c r="E197">
        <f>IF(ISTEXT(物品!G302)=TRUE,"'"&amp;物品!G302&amp;"'",物品!G302)</f>
        <v>0</v>
      </c>
      <c r="F197">
        <f>IF(ISTEXT(物品!H302)=TRUE,"'"&amp;物品!H302&amp;"'",物品!H302)</f>
        <v>0</v>
      </c>
      <c r="G197">
        <f>IF(物品!I311="",0,"'"&amp;物品!I311&amp;"'")</f>
        <v>0</v>
      </c>
      <c r="H197">
        <f>IF(物品!R302="",0,物品!R302)</f>
        <v>0</v>
      </c>
      <c r="I197">
        <f>IF(物品!S302="",0,物品!S302)</f>
        <v>0</v>
      </c>
      <c r="J197">
        <f>IF(物品!C311="",0,""""&amp;物品!C311&amp;"""")</f>
        <v>0</v>
      </c>
      <c r="K197" t="str">
        <f>IF(物品!T311="","""""",""""&amp;物品!T311&amp;"""")</f>
        <v>""</v>
      </c>
      <c r="L197">
        <f>IF(物品!U311="",0,""""&amp;物品!U311&amp;"""")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IF(物品!B312="",0,"'"&amp;物品!B312&amp;"'")</f>
        <v>0</v>
      </c>
      <c r="B198">
        <f>物品!D233</f>
        <v>0</v>
      </c>
      <c r="C198">
        <f>物品!E312</f>
        <v>0</v>
      </c>
      <c r="D198">
        <f>物品!F312</f>
        <v>0</v>
      </c>
      <c r="E198">
        <f>IF(ISTEXT(物品!G303)=TRUE,"'"&amp;物品!G303&amp;"'",物品!G303)</f>
        <v>0</v>
      </c>
      <c r="F198">
        <f>IF(ISTEXT(物品!H303)=TRUE,"'"&amp;物品!H303&amp;"'",物品!H303)</f>
        <v>0</v>
      </c>
      <c r="G198">
        <f>IF(物品!I312="",0,"'"&amp;物品!I312&amp;"'")</f>
        <v>0</v>
      </c>
      <c r="H198">
        <f>IF(物品!R303="",0,物品!R303)</f>
        <v>0</v>
      </c>
      <c r="I198">
        <f>IF(物品!S303="",0,物品!S303)</f>
        <v>0</v>
      </c>
      <c r="J198">
        <f>IF(物品!C312="",0,""""&amp;物品!C312&amp;"""")</f>
        <v>0</v>
      </c>
      <c r="K198" t="str">
        <f>IF(物品!T312="","""""",""""&amp;物品!T312&amp;"""")</f>
        <v>""</v>
      </c>
      <c r="L198">
        <f>IF(物品!U312="",0,""""&amp;物品!U312&amp;"""")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IF(物品!B313="",0,"'"&amp;物品!B313&amp;"'")</f>
        <v>0</v>
      </c>
      <c r="B199">
        <f>物品!D234</f>
        <v>0</v>
      </c>
      <c r="C199">
        <f>物品!E313</f>
        <v>0</v>
      </c>
      <c r="D199">
        <f>物品!F313</f>
        <v>0</v>
      </c>
      <c r="E199">
        <f>IF(ISTEXT(物品!G304)=TRUE,"'"&amp;物品!G304&amp;"'",物品!G304)</f>
        <v>0</v>
      </c>
      <c r="F199">
        <f>IF(ISTEXT(物品!H304)=TRUE,"'"&amp;物品!H304&amp;"'",物品!H304)</f>
        <v>0</v>
      </c>
      <c r="G199">
        <f>IF(物品!I313="",0,"'"&amp;物品!I313&amp;"'")</f>
        <v>0</v>
      </c>
      <c r="H199">
        <f>IF(物品!R304="",0,物品!R304)</f>
        <v>0</v>
      </c>
      <c r="I199">
        <f>IF(物品!S304="",0,物品!S304)</f>
        <v>0</v>
      </c>
      <c r="J199">
        <f>IF(物品!C313="",0,""""&amp;物品!C313&amp;"""")</f>
        <v>0</v>
      </c>
      <c r="K199" t="str">
        <f>IF(物品!T313="","""""",""""&amp;物品!T313&amp;"""")</f>
        <v>""</v>
      </c>
      <c r="L199">
        <f>IF(物品!U313="",0,""""&amp;物品!U313&amp;"""")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IF(物品!B314="",0,"'"&amp;物品!B314&amp;"'")</f>
        <v>0</v>
      </c>
      <c r="B200">
        <f>物品!D235</f>
        <v>0</v>
      </c>
      <c r="C200">
        <f>物品!E314</f>
        <v>0</v>
      </c>
      <c r="D200">
        <f>物品!F314</f>
        <v>0</v>
      </c>
      <c r="E200">
        <f>IF(ISTEXT(物品!G305)=TRUE,"'"&amp;物品!G305&amp;"'",物品!G305)</f>
        <v>0</v>
      </c>
      <c r="F200">
        <f>IF(ISTEXT(物品!H305)=TRUE,"'"&amp;物品!H305&amp;"'",物品!H305)</f>
        <v>0</v>
      </c>
      <c r="G200">
        <f>IF(物品!I314="",0,"'"&amp;物品!I314&amp;"'")</f>
        <v>0</v>
      </c>
      <c r="H200">
        <f>IF(物品!R305="",0,物品!R305)</f>
        <v>0</v>
      </c>
      <c r="I200">
        <f>IF(物品!S305="",0,物品!S305)</f>
        <v>0</v>
      </c>
      <c r="J200">
        <f>IF(物品!C314="",0,""""&amp;物品!C314&amp;"""")</f>
        <v>0</v>
      </c>
      <c r="K200" t="str">
        <f>IF(物品!T314="","""""",""""&amp;物品!T314&amp;"""")</f>
        <v>""</v>
      </c>
      <c r="L200">
        <f>IF(物品!U314="",0,""""&amp;物品!U314&amp;"""")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IF(物品!B315="",0,"'"&amp;物品!B315&amp;"'")</f>
        <v>0</v>
      </c>
      <c r="B201">
        <f>物品!D236</f>
        <v>0</v>
      </c>
      <c r="C201">
        <f>物品!E315</f>
        <v>0</v>
      </c>
      <c r="D201">
        <f>物品!F315</f>
        <v>0</v>
      </c>
      <c r="E201">
        <f>IF(ISTEXT(物品!G306)=TRUE,"'"&amp;物品!G306&amp;"'",物品!G306)</f>
        <v>0</v>
      </c>
      <c r="F201">
        <f>IF(ISTEXT(物品!H306)=TRUE,"'"&amp;物品!H306&amp;"'",物品!H306)</f>
        <v>0</v>
      </c>
      <c r="G201">
        <f>IF(物品!I315="",0,"'"&amp;物品!I315&amp;"'")</f>
        <v>0</v>
      </c>
      <c r="H201">
        <f>IF(物品!R306="",0,物品!R306)</f>
        <v>0</v>
      </c>
      <c r="I201">
        <f>IF(物品!S306="",0,物品!S306)</f>
        <v>0</v>
      </c>
      <c r="J201">
        <f>IF(物品!C315="",0,""""&amp;物品!C315&amp;"""")</f>
        <v>0</v>
      </c>
      <c r="K201" t="str">
        <f>IF(物品!T315="","""""",""""&amp;物品!T315&amp;"""")</f>
        <v>""</v>
      </c>
      <c r="L201">
        <f>IF(物品!U315="",0,""""&amp;物品!U315&amp;"""")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IF(物品!B316="",0,"'"&amp;物品!B316&amp;"'")</f>
        <v>0</v>
      </c>
      <c r="B202">
        <f>物品!D237</f>
        <v>0</v>
      </c>
      <c r="C202">
        <f>物品!E316</f>
        <v>0</v>
      </c>
      <c r="D202">
        <f>物品!F316</f>
        <v>0</v>
      </c>
      <c r="E202">
        <f>IF(ISTEXT(物品!G307)=TRUE,"'"&amp;物品!G307&amp;"'",物品!G307)</f>
        <v>0</v>
      </c>
      <c r="F202">
        <f>IF(ISTEXT(物品!H307)=TRUE,"'"&amp;物品!H307&amp;"'",物品!H307)</f>
        <v>0</v>
      </c>
      <c r="G202">
        <f>IF(物品!I316="",0,"'"&amp;物品!I316&amp;"'")</f>
        <v>0</v>
      </c>
      <c r="H202">
        <f>IF(物品!R307="",0,物品!R307)</f>
        <v>0</v>
      </c>
      <c r="I202">
        <f>IF(物品!S307="",0,物品!S307)</f>
        <v>0</v>
      </c>
      <c r="J202">
        <f>IF(物品!C316="",0,""""&amp;物品!C316&amp;"""")</f>
        <v>0</v>
      </c>
      <c r="K202" t="str">
        <f>IF(物品!T316="","""""",""""&amp;物品!T316&amp;"""")</f>
        <v>""</v>
      </c>
      <c r="L202">
        <f>IF(物品!U316="",0,""""&amp;物品!U316&amp;"""")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IF(物品!B317="",0,"'"&amp;物品!B317&amp;"'")</f>
        <v>0</v>
      </c>
      <c r="B203">
        <f>物品!D238</f>
        <v>0</v>
      </c>
      <c r="C203">
        <f>物品!E317</f>
        <v>0</v>
      </c>
      <c r="D203">
        <f>物品!F317</f>
        <v>0</v>
      </c>
      <c r="E203">
        <f>IF(ISTEXT(物品!G308)=TRUE,"'"&amp;物品!G308&amp;"'",物品!G308)</f>
        <v>0</v>
      </c>
      <c r="F203">
        <f>IF(ISTEXT(物品!H308)=TRUE,"'"&amp;物品!H308&amp;"'",物品!H308)</f>
        <v>0</v>
      </c>
      <c r="G203">
        <f>IF(物品!I317="",0,"'"&amp;物品!I317&amp;"'")</f>
        <v>0</v>
      </c>
      <c r="H203">
        <f>IF(物品!R308="",0,物品!R308)</f>
        <v>0</v>
      </c>
      <c r="I203">
        <f>IF(物品!S308="",0,物品!S308)</f>
        <v>0</v>
      </c>
      <c r="J203">
        <f>IF(物品!C317="",0,""""&amp;物品!C317&amp;"""")</f>
        <v>0</v>
      </c>
      <c r="K203" t="str">
        <f>IF(物品!T317="","""""",""""&amp;物品!T317&amp;"""")</f>
        <v>""</v>
      </c>
      <c r="L203">
        <f>IF(物品!U317="",0,""""&amp;物品!U317&amp;"""")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IF(物品!B318="",0,"'"&amp;物品!B318&amp;"'")</f>
        <v>0</v>
      </c>
      <c r="B204">
        <f>物品!D239</f>
        <v>0</v>
      </c>
      <c r="C204">
        <f>物品!E318</f>
        <v>0</v>
      </c>
      <c r="D204">
        <f>物品!F318</f>
        <v>0</v>
      </c>
      <c r="E204">
        <f>IF(ISTEXT(物品!G309)=TRUE,"'"&amp;物品!G309&amp;"'",物品!G309)</f>
        <v>0</v>
      </c>
      <c r="F204">
        <f>IF(ISTEXT(物品!H309)=TRUE,"'"&amp;物品!H309&amp;"'",物品!H309)</f>
        <v>0</v>
      </c>
      <c r="G204">
        <f>IF(物品!I318="",0,"'"&amp;物品!I318&amp;"'")</f>
        <v>0</v>
      </c>
      <c r="H204">
        <f>IF(物品!R309="",0,物品!R309)</f>
        <v>0</v>
      </c>
      <c r="I204">
        <f>IF(物品!S309="",0,物品!S309)</f>
        <v>0</v>
      </c>
      <c r="J204">
        <f>IF(物品!C318="",0,""""&amp;物品!C318&amp;"""")</f>
        <v>0</v>
      </c>
      <c r="K204" t="str">
        <f>IF(物品!T318="","""""",""""&amp;物品!T318&amp;"""")</f>
        <v>""</v>
      </c>
      <c r="L204">
        <f>IF(物品!U318="",0,""""&amp;物品!U318&amp;"""")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IF(物品!B319="",0,"'"&amp;物品!B319&amp;"'")</f>
        <v>0</v>
      </c>
      <c r="B205">
        <f>物品!D240</f>
        <v>0</v>
      </c>
      <c r="C205">
        <f>物品!E319</f>
        <v>0</v>
      </c>
      <c r="D205">
        <f>物品!F319</f>
        <v>0</v>
      </c>
      <c r="E205">
        <f>IF(ISTEXT(物品!G310)=TRUE,"'"&amp;物品!G310&amp;"'",物品!G310)</f>
        <v>0</v>
      </c>
      <c r="F205">
        <f>IF(ISTEXT(物品!H310)=TRUE,"'"&amp;物品!H310&amp;"'",物品!H310)</f>
        <v>0</v>
      </c>
      <c r="G205">
        <f>IF(物品!I319="",0,"'"&amp;物品!I319&amp;"'")</f>
        <v>0</v>
      </c>
      <c r="H205">
        <f>IF(物品!R310="",0,物品!R310)</f>
        <v>0</v>
      </c>
      <c r="I205">
        <f>IF(物品!S310="",0,物品!S310)</f>
        <v>0</v>
      </c>
      <c r="J205">
        <f>IF(物品!C319="",0,""""&amp;物品!C319&amp;"""")</f>
        <v>0</v>
      </c>
      <c r="K205" t="str">
        <f>IF(物品!T319="","""""",""""&amp;物品!T319&amp;"""")</f>
        <v>""</v>
      </c>
      <c r="L205">
        <f>IF(物品!U319="",0,""""&amp;物品!U319&amp;"""")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IF(物品!B320="",0,"'"&amp;物品!B320&amp;"'")</f>
        <v>0</v>
      </c>
      <c r="B206">
        <f>物品!D241</f>
        <v>0</v>
      </c>
      <c r="C206">
        <f>物品!E320</f>
        <v>0</v>
      </c>
      <c r="D206">
        <f>物品!F320</f>
        <v>0</v>
      </c>
      <c r="E206">
        <f>IF(ISTEXT(物品!G311)=TRUE,"'"&amp;物品!G311&amp;"'",物品!G311)</f>
        <v>0</v>
      </c>
      <c r="F206">
        <f>IF(ISTEXT(物品!H311)=TRUE,"'"&amp;物品!H311&amp;"'",物品!H311)</f>
        <v>0</v>
      </c>
      <c r="G206">
        <f>IF(物品!I320="",0,"'"&amp;物品!I320&amp;"'")</f>
        <v>0</v>
      </c>
      <c r="H206">
        <f>IF(物品!R311="",0,物品!R311)</f>
        <v>0</v>
      </c>
      <c r="I206">
        <f>IF(物品!S311="",0,物品!S311)</f>
        <v>0</v>
      </c>
      <c r="J206">
        <f>IF(物品!C320="",0,""""&amp;物品!C320&amp;"""")</f>
        <v>0</v>
      </c>
      <c r="K206" t="str">
        <f>IF(物品!T320="","""""",""""&amp;物品!T320&amp;"""")</f>
        <v>""</v>
      </c>
      <c r="L206">
        <f>IF(物品!U320="",0,""""&amp;物品!U320&amp;"""")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IF(物品!B321="",0,"'"&amp;物品!B321&amp;"'")</f>
        <v>0</v>
      </c>
      <c r="B207">
        <f>物品!D242</f>
        <v>0</v>
      </c>
      <c r="C207">
        <f>物品!E321</f>
        <v>0</v>
      </c>
      <c r="D207">
        <f>物品!F321</f>
        <v>0</v>
      </c>
      <c r="E207">
        <f>IF(ISTEXT(物品!G312)=TRUE,"'"&amp;物品!G312&amp;"'",物品!G312)</f>
        <v>0</v>
      </c>
      <c r="F207">
        <f>IF(ISTEXT(物品!H312)=TRUE,"'"&amp;物品!H312&amp;"'",物品!H312)</f>
        <v>0</v>
      </c>
      <c r="G207">
        <f>IF(物品!I321="",0,"'"&amp;物品!I321&amp;"'")</f>
        <v>0</v>
      </c>
      <c r="H207">
        <f>IF(物品!R312="",0,物品!R312)</f>
        <v>0</v>
      </c>
      <c r="I207">
        <f>IF(物品!S312="",0,物品!S312)</f>
        <v>0</v>
      </c>
      <c r="J207">
        <f>IF(物品!C321="",0,""""&amp;物品!C321&amp;"""")</f>
        <v>0</v>
      </c>
      <c r="K207" t="str">
        <f>IF(物品!T321="","""""",""""&amp;物品!T321&amp;"""")</f>
        <v>""</v>
      </c>
      <c r="L207">
        <f>IF(物品!U321="",0,""""&amp;物品!U321&amp;"""")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IF(物品!B322="",0,"'"&amp;物品!B322&amp;"'")</f>
        <v>0</v>
      </c>
      <c r="B208">
        <f>物品!D243</f>
        <v>0</v>
      </c>
      <c r="C208">
        <f>物品!E322</f>
        <v>0</v>
      </c>
      <c r="D208">
        <f>物品!F322</f>
        <v>0</v>
      </c>
      <c r="E208">
        <f>IF(ISTEXT(物品!G313)=TRUE,"'"&amp;物品!G313&amp;"'",物品!G313)</f>
        <v>0</v>
      </c>
      <c r="F208">
        <f>IF(ISTEXT(物品!H313)=TRUE,"'"&amp;物品!H313&amp;"'",物品!H313)</f>
        <v>0</v>
      </c>
      <c r="G208">
        <f>IF(物品!I322="",0,"'"&amp;物品!I322&amp;"'")</f>
        <v>0</v>
      </c>
      <c r="H208">
        <f>IF(物品!R313="",0,物品!R313)</f>
        <v>0</v>
      </c>
      <c r="I208">
        <f>IF(物品!S313="",0,物品!S313)</f>
        <v>0</v>
      </c>
      <c r="J208">
        <f>IF(物品!C322="",0,""""&amp;物品!C322&amp;"""")</f>
        <v>0</v>
      </c>
      <c r="K208" t="str">
        <f>IF(物品!T322="","""""",""""&amp;物品!T322&amp;"""")</f>
        <v>""</v>
      </c>
      <c r="L208">
        <f>IF(物品!U322="",0,""""&amp;物品!U322&amp;"""")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IF(物品!B323="",0,"'"&amp;物品!B323&amp;"'")</f>
        <v>0</v>
      </c>
      <c r="B209">
        <f>物品!D244</f>
        <v>0</v>
      </c>
      <c r="C209">
        <f>物品!E323</f>
        <v>0</v>
      </c>
      <c r="D209">
        <f>物品!F323</f>
        <v>0</v>
      </c>
      <c r="E209">
        <f>IF(ISTEXT(物品!G314)=TRUE,"'"&amp;物品!G314&amp;"'",物品!G314)</f>
        <v>0</v>
      </c>
      <c r="F209">
        <f>IF(ISTEXT(物品!H314)=TRUE,"'"&amp;物品!H314&amp;"'",物品!H314)</f>
        <v>0</v>
      </c>
      <c r="G209">
        <f>IF(物品!I323="",0,"'"&amp;物品!I323&amp;"'")</f>
        <v>0</v>
      </c>
      <c r="H209">
        <f>IF(物品!R314="",0,物品!R314)</f>
        <v>0</v>
      </c>
      <c r="I209">
        <f>IF(物品!S314="",0,物品!S314)</f>
        <v>0</v>
      </c>
      <c r="J209">
        <f>IF(物品!C323="",0,""""&amp;物品!C323&amp;"""")</f>
        <v>0</v>
      </c>
      <c r="K209" t="str">
        <f>IF(物品!T323="","""""",""""&amp;物品!T323&amp;"""")</f>
        <v>""</v>
      </c>
      <c r="L209">
        <f>IF(物品!U323="",0,""""&amp;物品!U323&amp;"""")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IF(物品!B324="",0,"'"&amp;物品!B324&amp;"'")</f>
        <v>0</v>
      </c>
      <c r="B210">
        <f>物品!D245</f>
        <v>0</v>
      </c>
      <c r="C210">
        <f>物品!E324</f>
        <v>0</v>
      </c>
      <c r="D210">
        <f>物品!F324</f>
        <v>0</v>
      </c>
      <c r="E210">
        <f>IF(ISTEXT(物品!G315)=TRUE,"'"&amp;物品!G315&amp;"'",物品!G315)</f>
        <v>0</v>
      </c>
      <c r="F210">
        <f>IF(ISTEXT(物品!H315)=TRUE,"'"&amp;物品!H315&amp;"'",物品!H315)</f>
        <v>0</v>
      </c>
      <c r="G210">
        <f>IF(物品!I324="",0,"'"&amp;物品!I324&amp;"'")</f>
        <v>0</v>
      </c>
      <c r="H210">
        <f>IF(物品!R315="",0,物品!R315)</f>
        <v>0</v>
      </c>
      <c r="I210">
        <f>IF(物品!S315="",0,物品!S315)</f>
        <v>0</v>
      </c>
      <c r="J210">
        <f>IF(物品!C324="",0,""""&amp;物品!C324&amp;"""")</f>
        <v>0</v>
      </c>
      <c r="K210" t="str">
        <f>IF(物品!T324="","""""",""""&amp;物品!T324&amp;"""")</f>
        <v>""</v>
      </c>
      <c r="L210">
        <f>IF(物品!U324="",0,""""&amp;物品!U324&amp;"""")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IF(物品!B325="",0,"'"&amp;物品!B325&amp;"'")</f>
        <v>0</v>
      </c>
      <c r="B211">
        <f>物品!D246</f>
        <v>0</v>
      </c>
      <c r="C211">
        <f>物品!E325</f>
        <v>0</v>
      </c>
      <c r="D211">
        <f>物品!F325</f>
        <v>0</v>
      </c>
      <c r="E211">
        <f>IF(ISTEXT(物品!G316)=TRUE,"'"&amp;物品!G316&amp;"'",物品!G316)</f>
        <v>0</v>
      </c>
      <c r="F211">
        <f>IF(ISTEXT(物品!H316)=TRUE,"'"&amp;物品!H316&amp;"'",物品!H316)</f>
        <v>0</v>
      </c>
      <c r="G211">
        <f>IF(物品!I325="",0,"'"&amp;物品!I325&amp;"'")</f>
        <v>0</v>
      </c>
      <c r="H211">
        <f>IF(物品!R316="",0,物品!R316)</f>
        <v>0</v>
      </c>
      <c r="I211">
        <f>IF(物品!S316="",0,物品!S316)</f>
        <v>0</v>
      </c>
      <c r="J211">
        <f>IF(物品!C325="",0,""""&amp;物品!C325&amp;"""")</f>
        <v>0</v>
      </c>
      <c r="K211" t="str">
        <f>IF(物品!T325="","""""",""""&amp;物品!T325&amp;"""")</f>
        <v>""</v>
      </c>
      <c r="L211">
        <f>IF(物品!U325="",0,""""&amp;物品!U325&amp;"""")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IF(物品!B326="",0,"'"&amp;物品!B326&amp;"'")</f>
        <v>0</v>
      </c>
      <c r="B212">
        <f>物品!D247</f>
        <v>0</v>
      </c>
      <c r="C212">
        <f>物品!E326</f>
        <v>0</v>
      </c>
      <c r="D212">
        <f>物品!F326</f>
        <v>0</v>
      </c>
      <c r="E212">
        <f>IF(ISTEXT(物品!G317)=TRUE,"'"&amp;物品!G317&amp;"'",物品!G317)</f>
        <v>0</v>
      </c>
      <c r="F212">
        <f>IF(ISTEXT(物品!H317)=TRUE,"'"&amp;物品!H317&amp;"'",物品!H317)</f>
        <v>0</v>
      </c>
      <c r="G212">
        <f>IF(物品!I326="",0,"'"&amp;物品!I326&amp;"'")</f>
        <v>0</v>
      </c>
      <c r="H212">
        <f>IF(物品!R317="",0,物品!R317)</f>
        <v>0</v>
      </c>
      <c r="I212">
        <f>IF(物品!S317="",0,物品!S317)</f>
        <v>0</v>
      </c>
      <c r="J212">
        <f>IF(物品!C326="",0,""""&amp;物品!C326&amp;"""")</f>
        <v>0</v>
      </c>
      <c r="K212" t="str">
        <f>IF(物品!T326="","""""",""""&amp;物品!T326&amp;"""")</f>
        <v>""</v>
      </c>
      <c r="L212">
        <f>IF(物品!U326="",0,""""&amp;物品!U326&amp;"""")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IF(物品!B327="",0,"'"&amp;物品!B327&amp;"'")</f>
        <v>0</v>
      </c>
      <c r="B213">
        <f>物品!D248</f>
        <v>0</v>
      </c>
      <c r="C213">
        <f>物品!E327</f>
        <v>0</v>
      </c>
      <c r="D213">
        <f>物品!F327</f>
        <v>0</v>
      </c>
      <c r="E213">
        <f>IF(ISTEXT(物品!G318)=TRUE,"'"&amp;物品!G318&amp;"'",物品!G318)</f>
        <v>0</v>
      </c>
      <c r="F213">
        <f>IF(ISTEXT(物品!H318)=TRUE,"'"&amp;物品!H318&amp;"'",物品!H318)</f>
        <v>0</v>
      </c>
      <c r="G213">
        <f>IF(物品!I327="",0,"'"&amp;物品!I327&amp;"'")</f>
        <v>0</v>
      </c>
      <c r="H213">
        <f>IF(物品!R318="",0,物品!R318)</f>
        <v>0</v>
      </c>
      <c r="I213">
        <f>IF(物品!S318="",0,物品!S318)</f>
        <v>0</v>
      </c>
      <c r="J213">
        <f>IF(物品!C327="",0,""""&amp;物品!C327&amp;"""")</f>
        <v>0</v>
      </c>
      <c r="K213" t="str">
        <f>IF(物品!T327="","""""",""""&amp;物品!T327&amp;"""")</f>
        <v>""</v>
      </c>
      <c r="L213">
        <f>IF(物品!U327="",0,""""&amp;物品!U327&amp;"""")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IF(物品!B328="",0,"'"&amp;物品!B328&amp;"'")</f>
        <v>0</v>
      </c>
      <c r="B214">
        <f>物品!D249</f>
        <v>0</v>
      </c>
      <c r="C214">
        <f>物品!E328</f>
        <v>0</v>
      </c>
      <c r="D214">
        <f>物品!F328</f>
        <v>0</v>
      </c>
      <c r="E214">
        <f>IF(ISTEXT(物品!G319)=TRUE,"'"&amp;物品!G319&amp;"'",物品!G319)</f>
        <v>0</v>
      </c>
      <c r="F214">
        <f>IF(ISTEXT(物品!H319)=TRUE,"'"&amp;物品!H319&amp;"'",物品!H319)</f>
        <v>0</v>
      </c>
      <c r="G214">
        <f>IF(物品!I328="",0,"'"&amp;物品!I328&amp;"'")</f>
        <v>0</v>
      </c>
      <c r="H214">
        <f>IF(物品!R319="",0,物品!R319)</f>
        <v>0</v>
      </c>
      <c r="I214">
        <f>IF(物品!S319="",0,物品!S319)</f>
        <v>0</v>
      </c>
      <c r="J214">
        <f>IF(物品!C328="",0,""""&amp;物品!C328&amp;"""")</f>
        <v>0</v>
      </c>
      <c r="K214" t="str">
        <f>IF(物品!T328="","""""",""""&amp;物品!T328&amp;"""")</f>
        <v>""</v>
      </c>
      <c r="L214">
        <f>IF(物品!U328="",0,""""&amp;物品!U328&amp;"""")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IF(物品!B329="",0,"'"&amp;物品!B329&amp;"'")</f>
        <v>0</v>
      </c>
      <c r="B215">
        <f>物品!D250</f>
        <v>0</v>
      </c>
      <c r="C215">
        <f>物品!E329</f>
        <v>0</v>
      </c>
      <c r="D215">
        <f>物品!F329</f>
        <v>0</v>
      </c>
      <c r="E215">
        <f>IF(ISTEXT(物品!G320)=TRUE,"'"&amp;物品!G320&amp;"'",物品!G320)</f>
        <v>0</v>
      </c>
      <c r="F215">
        <f>IF(ISTEXT(物品!H320)=TRUE,"'"&amp;物品!H320&amp;"'",物品!H320)</f>
        <v>0</v>
      </c>
      <c r="G215">
        <f>IF(物品!I329="",0,"'"&amp;物品!I329&amp;"'")</f>
        <v>0</v>
      </c>
      <c r="H215">
        <f>IF(物品!R320="",0,物品!R320)</f>
        <v>0</v>
      </c>
      <c r="I215">
        <f>IF(物品!S320="",0,物品!S320)</f>
        <v>0</v>
      </c>
      <c r="J215">
        <f>IF(物品!C329="",0,""""&amp;物品!C329&amp;"""")</f>
        <v>0</v>
      </c>
      <c r="K215" t="str">
        <f>IF(物品!T329="","""""",""""&amp;物品!T329&amp;"""")</f>
        <v>""</v>
      </c>
      <c r="L215">
        <f>IF(物品!U329="",0,""""&amp;物品!U329&amp;"""")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IF(物品!B330="",0,"'"&amp;物品!B330&amp;"'")</f>
        <v>0</v>
      </c>
      <c r="B216">
        <f>物品!D251</f>
        <v>0</v>
      </c>
      <c r="C216">
        <f>物品!E330</f>
        <v>0</v>
      </c>
      <c r="D216">
        <f>物品!F330</f>
        <v>0</v>
      </c>
      <c r="E216">
        <f>IF(ISTEXT(物品!G321)=TRUE,"'"&amp;物品!G321&amp;"'",物品!G321)</f>
        <v>0</v>
      </c>
      <c r="F216">
        <f>IF(ISTEXT(物品!H321)=TRUE,"'"&amp;物品!H321&amp;"'",物品!H321)</f>
        <v>0</v>
      </c>
      <c r="G216">
        <f>IF(物品!I330="",0,"'"&amp;物品!I330&amp;"'")</f>
        <v>0</v>
      </c>
      <c r="H216">
        <f>IF(物品!R321="",0,物品!R321)</f>
        <v>0</v>
      </c>
      <c r="I216">
        <f>IF(物品!S321="",0,物品!S321)</f>
        <v>0</v>
      </c>
      <c r="J216">
        <f>IF(物品!C330="",0,""""&amp;物品!C330&amp;"""")</f>
        <v>0</v>
      </c>
      <c r="K216" t="str">
        <f>IF(物品!T330="","""""",""""&amp;物品!T330&amp;"""")</f>
        <v>""</v>
      </c>
      <c r="L216">
        <f>IF(物品!U330="",0,""""&amp;物品!U330&amp;"""")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IF(物品!B331="",0,"'"&amp;物品!B331&amp;"'")</f>
        <v>0</v>
      </c>
      <c r="B217">
        <f>物品!D252</f>
        <v>0</v>
      </c>
      <c r="C217">
        <f>物品!E331</f>
        <v>0</v>
      </c>
      <c r="D217">
        <f>物品!F331</f>
        <v>0</v>
      </c>
      <c r="E217">
        <f>IF(ISTEXT(物品!G322)=TRUE,"'"&amp;物品!G322&amp;"'",物品!G322)</f>
        <v>0</v>
      </c>
      <c r="F217">
        <f>IF(ISTEXT(物品!H322)=TRUE,"'"&amp;物品!H322&amp;"'",物品!H322)</f>
        <v>0</v>
      </c>
      <c r="G217">
        <f>IF(物品!I331="",0,"'"&amp;物品!I331&amp;"'")</f>
        <v>0</v>
      </c>
      <c r="H217">
        <f>IF(物品!R322="",0,物品!R322)</f>
        <v>0</v>
      </c>
      <c r="I217">
        <f>IF(物品!S322="",0,物品!S322)</f>
        <v>0</v>
      </c>
      <c r="J217">
        <f>IF(物品!C331="",0,""""&amp;物品!C331&amp;"""")</f>
        <v>0</v>
      </c>
      <c r="K217" t="str">
        <f>IF(物品!T331="","""""",""""&amp;物品!T331&amp;"""")</f>
        <v>""</v>
      </c>
      <c r="L217">
        <f>IF(物品!U331="",0,""""&amp;物品!U331&amp;"""")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IF(物品!B332="",0,"'"&amp;物品!B332&amp;"'")</f>
        <v>0</v>
      </c>
      <c r="B218">
        <f>物品!D253</f>
        <v>0</v>
      </c>
      <c r="C218">
        <f>物品!E332</f>
        <v>0</v>
      </c>
      <c r="D218">
        <f>物品!F332</f>
        <v>0</v>
      </c>
      <c r="E218">
        <f>IF(ISTEXT(物品!G323)=TRUE,"'"&amp;物品!G323&amp;"'",物品!G323)</f>
        <v>0</v>
      </c>
      <c r="F218">
        <f>IF(ISTEXT(物品!H323)=TRUE,"'"&amp;物品!H323&amp;"'",物品!H323)</f>
        <v>0</v>
      </c>
      <c r="G218">
        <f>IF(物品!I332="",0,"'"&amp;物品!I332&amp;"'")</f>
        <v>0</v>
      </c>
      <c r="H218">
        <f>IF(物品!R323="",0,物品!R323)</f>
        <v>0</v>
      </c>
      <c r="I218">
        <f>IF(物品!S323="",0,物品!S323)</f>
        <v>0</v>
      </c>
      <c r="J218">
        <f>IF(物品!C332="",0,""""&amp;物品!C332&amp;"""")</f>
        <v>0</v>
      </c>
      <c r="K218" t="str">
        <f>IF(物品!T332="","""""",""""&amp;物品!T332&amp;"""")</f>
        <v>""</v>
      </c>
      <c r="L218">
        <f>IF(物品!U332="",0,""""&amp;物品!U332&amp;"""")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IF(物品!B333="",0,"'"&amp;物品!B333&amp;"'")</f>
        <v>0</v>
      </c>
      <c r="B219">
        <f>物品!D260</f>
        <v>0</v>
      </c>
      <c r="C219">
        <f>物品!E333</f>
        <v>0</v>
      </c>
      <c r="D219">
        <f>物品!F333</f>
        <v>0</v>
      </c>
      <c r="E219">
        <f>IF(ISTEXT(物品!G324)=TRUE,"'"&amp;物品!G324&amp;"'",物品!G324)</f>
        <v>0</v>
      </c>
      <c r="F219">
        <f>IF(ISTEXT(物品!H324)=TRUE,"'"&amp;物品!H324&amp;"'",物品!H324)</f>
        <v>0</v>
      </c>
      <c r="G219">
        <f>IF(物品!I333="",0,"'"&amp;物品!I333&amp;"'")</f>
        <v>0</v>
      </c>
      <c r="H219">
        <f>IF(物品!R324="",0,物品!R324)</f>
        <v>0</v>
      </c>
      <c r="I219">
        <f>IF(物品!S324="",0,物品!S324)</f>
        <v>0</v>
      </c>
      <c r="J219">
        <f>IF(物品!C333="",0,""""&amp;物品!C333&amp;"""")</f>
        <v>0</v>
      </c>
      <c r="K219" t="str">
        <f>IF(物品!T333="","""""",""""&amp;物品!T333&amp;"""")</f>
        <v>""</v>
      </c>
      <c r="L219">
        <f>IF(物品!U333="",0,""""&amp;物品!U333&amp;"""")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IF(物品!B334="",0,"'"&amp;物品!B334&amp;"'")</f>
        <v>0</v>
      </c>
      <c r="B220">
        <f>物品!D261</f>
        <v>0</v>
      </c>
      <c r="C220">
        <f>物品!E334</f>
        <v>0</v>
      </c>
      <c r="D220">
        <f>物品!F334</f>
        <v>0</v>
      </c>
      <c r="E220">
        <f>IF(ISTEXT(物品!G325)=TRUE,"'"&amp;物品!G325&amp;"'",物品!G325)</f>
        <v>0</v>
      </c>
      <c r="F220">
        <f>IF(ISTEXT(物品!H325)=TRUE,"'"&amp;物品!H325&amp;"'",物品!H325)</f>
        <v>0</v>
      </c>
      <c r="G220">
        <f>IF(物品!I334="",0,"'"&amp;物品!I334&amp;"'")</f>
        <v>0</v>
      </c>
      <c r="H220">
        <f>IF(物品!R325="",0,物品!R325)</f>
        <v>0</v>
      </c>
      <c r="I220">
        <f>IF(物品!S325="",0,物品!S325)</f>
        <v>0</v>
      </c>
      <c r="J220">
        <f>IF(物品!C334="",0,""""&amp;物品!C334&amp;"""")</f>
        <v>0</v>
      </c>
      <c r="K220" t="str">
        <f>IF(物品!T334="","""""",""""&amp;物品!T334&amp;"""")</f>
        <v>""</v>
      </c>
      <c r="L220">
        <f>IF(物品!U334="",0,""""&amp;物品!U334&amp;"""")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IF(物品!B335="",0,"'"&amp;物品!B335&amp;"'")</f>
        <v>0</v>
      </c>
      <c r="B221">
        <f>物品!D262</f>
        <v>0</v>
      </c>
      <c r="C221">
        <f>物品!E335</f>
        <v>0</v>
      </c>
      <c r="D221">
        <f>物品!F335</f>
        <v>0</v>
      </c>
      <c r="E221">
        <f>IF(ISTEXT(物品!G326)=TRUE,"'"&amp;物品!G326&amp;"'",物品!G326)</f>
        <v>0</v>
      </c>
      <c r="F221">
        <f>IF(ISTEXT(物品!H326)=TRUE,"'"&amp;物品!H326&amp;"'",物品!H326)</f>
        <v>0</v>
      </c>
      <c r="G221">
        <f>IF(物品!I335="",0,"'"&amp;物品!I335&amp;"'")</f>
        <v>0</v>
      </c>
      <c r="H221">
        <f>IF(物品!R326="",0,物品!R326)</f>
        <v>0</v>
      </c>
      <c r="I221">
        <f>IF(物品!S326="",0,物品!S326)</f>
        <v>0</v>
      </c>
      <c r="J221">
        <f>IF(物品!C335="",0,""""&amp;物品!C335&amp;"""")</f>
        <v>0</v>
      </c>
      <c r="K221" t="str">
        <f>IF(物品!T335="","""""",""""&amp;物品!T335&amp;"""")</f>
        <v>""</v>
      </c>
      <c r="L221">
        <f>IF(物品!U335="",0,""""&amp;物品!U335&amp;"""")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IF(物品!B336="",0,"'"&amp;物品!B336&amp;"'")</f>
        <v>0</v>
      </c>
      <c r="B222">
        <f>物品!D263</f>
        <v>0</v>
      </c>
      <c r="C222">
        <f>物品!E336</f>
        <v>0</v>
      </c>
      <c r="D222">
        <f>物品!F336</f>
        <v>0</v>
      </c>
      <c r="E222">
        <f>IF(ISTEXT(物品!G327)=TRUE,"'"&amp;物品!G327&amp;"'",物品!G327)</f>
        <v>0</v>
      </c>
      <c r="F222">
        <f>IF(ISTEXT(物品!H327)=TRUE,"'"&amp;物品!H327&amp;"'",物品!H327)</f>
        <v>0</v>
      </c>
      <c r="G222">
        <f>IF(物品!I336="",0,"'"&amp;物品!I336&amp;"'")</f>
        <v>0</v>
      </c>
      <c r="H222">
        <f>IF(物品!R327="",0,物品!R327)</f>
        <v>0</v>
      </c>
      <c r="I222">
        <f>IF(物品!S327="",0,物品!S327)</f>
        <v>0</v>
      </c>
      <c r="J222">
        <f>IF(物品!C336="",0,""""&amp;物品!C336&amp;"""")</f>
        <v>0</v>
      </c>
      <c r="K222" t="str">
        <f>IF(物品!T336="","""""",""""&amp;物品!T336&amp;"""")</f>
        <v>""</v>
      </c>
      <c r="L222">
        <f>IF(物品!U336="",0,""""&amp;物品!U336&amp;"""")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IF(物品!B337="",0,"'"&amp;物品!B337&amp;"'")</f>
        <v>0</v>
      </c>
      <c r="B223">
        <f>物品!D264</f>
        <v>0</v>
      </c>
      <c r="C223">
        <f>物品!E337</f>
        <v>0</v>
      </c>
      <c r="D223">
        <f>物品!F337</f>
        <v>0</v>
      </c>
      <c r="E223">
        <f>IF(ISTEXT(物品!G328)=TRUE,"'"&amp;物品!G328&amp;"'",物品!G328)</f>
        <v>0</v>
      </c>
      <c r="F223">
        <f>IF(ISTEXT(物品!H328)=TRUE,"'"&amp;物品!H328&amp;"'",物品!H328)</f>
        <v>0</v>
      </c>
      <c r="G223">
        <f>IF(物品!I337="",0,"'"&amp;物品!I337&amp;"'")</f>
        <v>0</v>
      </c>
      <c r="H223">
        <f>IF(物品!R328="",0,物品!R328)</f>
        <v>0</v>
      </c>
      <c r="I223">
        <f>IF(物品!S328="",0,物品!S328)</f>
        <v>0</v>
      </c>
      <c r="J223">
        <f>IF(物品!C337="",0,""""&amp;物品!C337&amp;"""")</f>
        <v>0</v>
      </c>
      <c r="K223" t="str">
        <f>IF(物品!T337="","""""",""""&amp;物品!T337&amp;"""")</f>
        <v>""</v>
      </c>
      <c r="L223">
        <f>IF(物品!U337="",0,""""&amp;物品!U337&amp;"""")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IF(物品!B338="",0,"'"&amp;物品!B338&amp;"'")</f>
        <v>0</v>
      </c>
      <c r="B224">
        <f>物品!D265</f>
        <v>0</v>
      </c>
      <c r="C224">
        <f>物品!E338</f>
        <v>0</v>
      </c>
      <c r="D224">
        <f>物品!F338</f>
        <v>0</v>
      </c>
      <c r="E224">
        <f>IF(ISTEXT(物品!G329)=TRUE,"'"&amp;物品!G329&amp;"'",物品!G329)</f>
        <v>0</v>
      </c>
      <c r="F224">
        <f>IF(ISTEXT(物品!H329)=TRUE,"'"&amp;物品!H329&amp;"'",物品!H329)</f>
        <v>0</v>
      </c>
      <c r="G224">
        <f>IF(物品!I338="",0,"'"&amp;物品!I338&amp;"'")</f>
        <v>0</v>
      </c>
      <c r="H224">
        <f>IF(物品!R329="",0,物品!R329)</f>
        <v>0</v>
      </c>
      <c r="I224">
        <f>IF(物品!S329="",0,物品!S329)</f>
        <v>0</v>
      </c>
      <c r="J224">
        <f>IF(物品!C338="",0,""""&amp;物品!C338&amp;"""")</f>
        <v>0</v>
      </c>
      <c r="K224" t="str">
        <f>IF(物品!T338="","""""",""""&amp;物品!T338&amp;"""")</f>
        <v>""</v>
      </c>
      <c r="L224">
        <f>IF(物品!U338="",0,""""&amp;物品!U338&amp;"""")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IF(物品!B339="",0,"'"&amp;物品!B339&amp;"'")</f>
        <v>0</v>
      </c>
      <c r="B225">
        <f>物品!D266</f>
        <v>0</v>
      </c>
      <c r="C225">
        <f>物品!E339</f>
        <v>0</v>
      </c>
      <c r="D225">
        <f>物品!F339</f>
        <v>0</v>
      </c>
      <c r="E225">
        <f>IF(ISTEXT(物品!G330)=TRUE,"'"&amp;物品!G330&amp;"'",物品!G330)</f>
        <v>0</v>
      </c>
      <c r="F225">
        <f>IF(ISTEXT(物品!H330)=TRUE,"'"&amp;物品!H330&amp;"'",物品!H330)</f>
        <v>0</v>
      </c>
      <c r="G225">
        <f>IF(物品!I339="",0,"'"&amp;物品!I339&amp;"'")</f>
        <v>0</v>
      </c>
      <c r="H225">
        <f>IF(物品!R330="",0,物品!R330)</f>
        <v>0</v>
      </c>
      <c r="I225">
        <f>IF(物品!S330="",0,物品!S330)</f>
        <v>0</v>
      </c>
      <c r="J225">
        <f>IF(物品!C339="",0,""""&amp;物品!C339&amp;"""")</f>
        <v>0</v>
      </c>
      <c r="K225" t="str">
        <f>IF(物品!T339="","""""",""""&amp;物品!T339&amp;"""")</f>
        <v>""</v>
      </c>
      <c r="L225">
        <f>IF(物品!U339="",0,""""&amp;物品!U339&amp;"""")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837</v>
      </c>
      <c r="CD1" s="10" t="s">
        <v>837</v>
      </c>
      <c r="CE1" s="10" t="s">
        <v>837</v>
      </c>
      <c r="CF1" s="10" t="s">
        <v>837</v>
      </c>
      <c r="CH1" s="10" t="s">
        <v>837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838</v>
      </c>
      <c r="CC2" s="10" t="s">
        <v>839</v>
      </c>
      <c r="CD2" s="10" t="s">
        <v>840</v>
      </c>
      <c r="CE2" s="10" t="s">
        <v>841</v>
      </c>
      <c r="CF2" s="10" t="s">
        <v>842</v>
      </c>
      <c r="CG2" s="10" t="s">
        <v>843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844</v>
      </c>
      <c r="B1" s="10" t="s">
        <v>845</v>
      </c>
      <c r="C1" s="10" t="s">
        <v>846</v>
      </c>
      <c r="D1" s="10" t="s">
        <v>847</v>
      </c>
      <c r="E1" s="10" t="s">
        <v>848</v>
      </c>
    </row>
    <row r="2" spans="1:11" ht="16.5">
      <c r="A2" s="9">
        <v>1</v>
      </c>
      <c r="B2" s="9" t="s">
        <v>849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850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851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852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853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854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513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516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519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522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525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528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531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534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537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540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543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546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774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776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777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778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779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780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781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782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783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784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785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786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787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788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789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790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791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792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793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794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795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796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797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798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799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800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801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855</v>
      </c>
      <c r="G1" t="s">
        <v>856</v>
      </c>
      <c r="I1" t="s">
        <v>857</v>
      </c>
      <c r="J1">
        <v>11</v>
      </c>
      <c r="P1" t="s">
        <v>858</v>
      </c>
      <c r="U1" t="s">
        <v>859</v>
      </c>
      <c r="V1" t="s">
        <v>860</v>
      </c>
      <c r="X1" s="10" t="s">
        <v>861</v>
      </c>
    </row>
    <row r="2" spans="1:25">
      <c r="A2" t="s">
        <v>862</v>
      </c>
      <c r="D2">
        <v>800</v>
      </c>
      <c r="E2" s="30">
        <v>1</v>
      </c>
      <c r="F2" s="31">
        <f>D2/E2</f>
        <v>800</v>
      </c>
      <c r="I2" t="s">
        <v>863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864</v>
      </c>
      <c r="D3">
        <v>800</v>
      </c>
      <c r="E3" s="30">
        <v>1</v>
      </c>
      <c r="F3" s="31">
        <f t="shared" ref="F3:F25" si="1">D3/E3</f>
        <v>800</v>
      </c>
      <c r="I3" t="s">
        <v>865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866</v>
      </c>
      <c r="D4">
        <v>800</v>
      </c>
      <c r="E4" s="30">
        <v>1</v>
      </c>
      <c r="F4" s="31">
        <f t="shared" si="1"/>
        <v>800</v>
      </c>
      <c r="I4" t="s">
        <v>867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868</v>
      </c>
      <c r="D5">
        <v>800</v>
      </c>
      <c r="E5" s="30">
        <v>1</v>
      </c>
      <c r="F5" s="31">
        <f t="shared" si="1"/>
        <v>800</v>
      </c>
      <c r="I5" t="s">
        <v>869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870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871</v>
      </c>
      <c r="D7">
        <v>2500</v>
      </c>
      <c r="E7" s="30">
        <v>0.85</v>
      </c>
      <c r="F7" s="31">
        <f t="shared" si="1"/>
        <v>2941.1764705882401</v>
      </c>
      <c r="J7" t="s">
        <v>872</v>
      </c>
      <c r="K7" s="10" t="s">
        <v>873</v>
      </c>
      <c r="L7" s="10" t="s">
        <v>874</v>
      </c>
      <c r="M7" t="s">
        <v>875</v>
      </c>
      <c r="N7" t="s">
        <v>876</v>
      </c>
      <c r="P7">
        <f t="shared" si="0"/>
        <v>85</v>
      </c>
    </row>
    <row r="8" spans="1:25">
      <c r="A8" t="s">
        <v>877</v>
      </c>
      <c r="D8">
        <v>2500</v>
      </c>
      <c r="E8" s="30">
        <v>0.85</v>
      </c>
      <c r="F8" s="31">
        <f t="shared" si="1"/>
        <v>2941.1764705882401</v>
      </c>
      <c r="I8" t="s">
        <v>878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879</v>
      </c>
      <c r="D9">
        <v>2500</v>
      </c>
      <c r="E9" s="30">
        <v>0.85</v>
      </c>
      <c r="F9" s="31">
        <f t="shared" si="1"/>
        <v>2941.1764705882401</v>
      </c>
      <c r="I9" t="s">
        <v>880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881</v>
      </c>
      <c r="D10">
        <v>2500</v>
      </c>
      <c r="E10" s="30">
        <v>0.85</v>
      </c>
      <c r="F10" s="31">
        <f t="shared" si="1"/>
        <v>2941.1764705882401</v>
      </c>
      <c r="I10" t="s">
        <v>882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883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884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885</v>
      </c>
      <c r="D12">
        <v>8000</v>
      </c>
      <c r="E12" s="30">
        <v>0.7</v>
      </c>
      <c r="F12" s="31">
        <f t="shared" si="1"/>
        <v>11428.5714285714</v>
      </c>
      <c r="I12" t="s">
        <v>886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887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888</v>
      </c>
      <c r="N13">
        <f>SUM(N8:N12)</f>
        <v>1061280</v>
      </c>
      <c r="P13">
        <f t="shared" si="0"/>
        <v>70</v>
      </c>
    </row>
    <row r="14" spans="1:25">
      <c r="A14" t="s">
        <v>889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890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891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892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893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894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895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896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897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900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901</v>
      </c>
      <c r="E26" t="s">
        <v>902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903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904</v>
      </c>
      <c r="B31" s="10" t="s">
        <v>112</v>
      </c>
      <c r="C31" s="10" t="s">
        <v>122</v>
      </c>
      <c r="F31" s="10" t="s">
        <v>905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906</v>
      </c>
      <c r="G32" s="10" t="s">
        <v>907</v>
      </c>
      <c r="H32" s="10" t="s">
        <v>855</v>
      </c>
      <c r="J32" s="10" t="s">
        <v>908</v>
      </c>
      <c r="K32" s="10" t="s">
        <v>909</v>
      </c>
      <c r="L32" s="10" t="s">
        <v>1</v>
      </c>
      <c r="M32" s="10" t="s">
        <v>855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902</v>
      </c>
      <c r="N41">
        <f>SUM(N33:N40)</f>
        <v>28860</v>
      </c>
      <c r="O41">
        <f>SUM(O33:O40)</f>
        <v>9600</v>
      </c>
    </row>
    <row r="42" spans="1:15">
      <c r="A42" s="10" t="s">
        <v>902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910</v>
      </c>
      <c r="B45" s="10" t="s">
        <v>911</v>
      </c>
      <c r="C45" s="10" t="s">
        <v>912</v>
      </c>
      <c r="F45" s="10" t="s">
        <v>913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914</v>
      </c>
      <c r="G46" s="32" t="s">
        <v>915</v>
      </c>
      <c r="H46" s="32" t="s">
        <v>164</v>
      </c>
      <c r="I46" s="10" t="s">
        <v>916</v>
      </c>
      <c r="K46" s="10"/>
    </row>
    <row r="47" spans="1:15">
      <c r="A47">
        <v>2</v>
      </c>
      <c r="B47">
        <f t="shared" si="11"/>
        <v>200</v>
      </c>
      <c r="C47" s="10" t="s">
        <v>917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902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591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491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498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506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572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812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814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818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820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824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826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580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568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596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612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619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623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919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549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807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920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605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599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602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814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816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820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822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826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828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572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576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498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506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580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919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549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596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612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619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807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568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572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619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623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576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619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623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587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809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811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812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814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816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818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820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822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824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826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828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616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807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510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513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516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519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522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525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528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531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534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537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540</v>
      </c>
      <c r="H106" t="str">
        <f t="shared" si="1"/>
        <v>赌输可退</v>
      </c>
    </row>
    <row r="107" spans="1:8" ht="16.5">
      <c r="A107" s="9" t="s">
        <v>462</v>
      </c>
      <c r="B107" s="9" t="s">
        <v>449</v>
      </c>
      <c r="G107" s="9" t="s">
        <v>543</v>
      </c>
      <c r="H107" t="str">
        <f t="shared" si="1"/>
        <v>来点玄铁</v>
      </c>
    </row>
    <row r="108" spans="1:8" ht="16.5">
      <c r="A108" s="9" t="s">
        <v>464</v>
      </c>
      <c r="B108" s="9" t="s">
        <v>921</v>
      </c>
      <c r="G108" s="9" t="s">
        <v>546</v>
      </c>
      <c r="H108" t="str">
        <f t="shared" si="1"/>
        <v>恭喜发财</v>
      </c>
    </row>
    <row r="109" spans="1:8" ht="16.5">
      <c r="A109" s="9" t="s">
        <v>466</v>
      </c>
      <c r="B109" s="9" t="s">
        <v>457</v>
      </c>
      <c r="G109" s="9" t="s">
        <v>553</v>
      </c>
      <c r="H109" t="str">
        <f t="shared" si="1"/>
        <v>鼠年大吉</v>
      </c>
    </row>
    <row r="110" spans="1:8" ht="16.5">
      <c r="A110" s="9" t="s">
        <v>468</v>
      </c>
      <c r="B110" s="9" t="s">
        <v>922</v>
      </c>
      <c r="G110" s="9" t="s">
        <v>556</v>
      </c>
      <c r="H110" t="str">
        <f t="shared" si="1"/>
        <v>兄弟们拼了</v>
      </c>
    </row>
    <row r="111" spans="1:8" ht="16.5">
      <c r="A111" s="9" t="s">
        <v>469</v>
      </c>
      <c r="B111" s="14" t="s">
        <v>470</v>
      </c>
      <c r="G111" s="9" t="s">
        <v>559</v>
      </c>
      <c r="H111" t="str">
        <f t="shared" si="1"/>
        <v>老铁忍住啊</v>
      </c>
    </row>
    <row r="112" spans="1:8" ht="16.5">
      <c r="A112" s="9" t="s">
        <v>472</v>
      </c>
      <c r="B112" s="9" t="s">
        <v>473</v>
      </c>
      <c r="G112" s="9" t="s">
        <v>562</v>
      </c>
      <c r="H112" t="str">
        <f t="shared" si="1"/>
        <v>老铁忍住呀</v>
      </c>
    </row>
    <row r="113" spans="1:8" ht="16.5">
      <c r="A113" s="9" t="s">
        <v>475</v>
      </c>
      <c r="B113" s="9" t="s">
        <v>476</v>
      </c>
      <c r="G113" s="9" t="s">
        <v>565</v>
      </c>
      <c r="H113" t="str">
        <f t="shared" si="1"/>
        <v>跳不动了</v>
      </c>
    </row>
    <row r="114" spans="1:8" ht="16.5">
      <c r="A114" s="9" t="s">
        <v>478</v>
      </c>
      <c r="B114" s="9" t="s">
        <v>479</v>
      </c>
      <c r="G114" s="9" t="s">
        <v>812</v>
      </c>
      <c r="H114" t="str">
        <f t="shared" si="1"/>
        <v>攻击力低</v>
      </c>
    </row>
    <row r="115" spans="1:8" ht="16.5">
      <c r="A115" s="9" t="s">
        <v>481</v>
      </c>
      <c r="B115" s="9" t="s">
        <v>482</v>
      </c>
      <c r="G115" s="9" t="s">
        <v>818</v>
      </c>
      <c r="H115" t="str">
        <f t="shared" si="1"/>
        <v>生命值低</v>
      </c>
    </row>
    <row r="116" spans="1:8" ht="16.5">
      <c r="A116" s="9" t="s">
        <v>484</v>
      </c>
      <c r="B116" s="9" t="s">
        <v>485</v>
      </c>
      <c r="G116" s="9" t="s">
        <v>824</v>
      </c>
      <c r="H116" t="str">
        <f t="shared" si="1"/>
        <v>业力低</v>
      </c>
    </row>
    <row r="117" spans="1:8" ht="16.5">
      <c r="A117" s="9" t="s">
        <v>491</v>
      </c>
      <c r="B117" s="15" t="s">
        <v>492</v>
      </c>
      <c r="G117" s="11"/>
      <c r="H117" t="str">
        <f t="shared" si="1"/>
        <v/>
      </c>
    </row>
    <row r="118" spans="1:8" ht="16.5">
      <c r="A118" s="9" t="s">
        <v>494</v>
      </c>
      <c r="B118" s="16" t="s">
        <v>495</v>
      </c>
      <c r="G118" s="8" t="s">
        <v>549</v>
      </c>
      <c r="H118" t="str">
        <f t="shared" si="1"/>
        <v>附魔宝箱</v>
      </c>
    </row>
    <row r="119" spans="1:8" ht="16.5">
      <c r="A119" s="9" t="s">
        <v>498</v>
      </c>
      <c r="B119" s="16" t="s">
        <v>499</v>
      </c>
      <c r="G119" s="9" t="s">
        <v>681</v>
      </c>
      <c r="H119" t="str">
        <f t="shared" si="1"/>
        <v>Q技能附魔卷</v>
      </c>
    </row>
    <row r="120" spans="1:8" ht="16.5">
      <c r="A120" s="9" t="s">
        <v>502</v>
      </c>
      <c r="B120" s="16" t="s">
        <v>503</v>
      </c>
      <c r="G120" s="9" t="s">
        <v>685</v>
      </c>
      <c r="H120" t="str">
        <f t="shared" si="1"/>
        <v>W技能附魔卷</v>
      </c>
    </row>
    <row r="121" spans="1:8" ht="16.5">
      <c r="A121" s="9" t="s">
        <v>506</v>
      </c>
      <c r="B121" s="16" t="s">
        <v>507</v>
      </c>
      <c r="G121" s="9" t="s">
        <v>689</v>
      </c>
      <c r="H121" t="str">
        <f t="shared" si="1"/>
        <v>E技能附魔卷</v>
      </c>
    </row>
    <row r="122" spans="1:8" ht="16.5">
      <c r="A122" s="9" t="s">
        <v>510</v>
      </c>
      <c r="B122" s="9" t="s">
        <v>923</v>
      </c>
      <c r="G122" s="9" t="s">
        <v>693</v>
      </c>
      <c r="H122" t="str">
        <f t="shared" si="1"/>
        <v>|CffFFD24DQ强力附魔卷|r</v>
      </c>
    </row>
    <row r="123" spans="1:8" ht="16.5">
      <c r="A123" s="17" t="s">
        <v>513</v>
      </c>
      <c r="B123" s="18" t="s">
        <v>514</v>
      </c>
      <c r="G123" s="9" t="s">
        <v>696</v>
      </c>
      <c r="H123" t="str">
        <f t="shared" si="1"/>
        <v>|CffFFD24DW强力附魔卷|r</v>
      </c>
    </row>
    <row r="124" spans="1:8" ht="16.5">
      <c r="A124" s="9" t="s">
        <v>516</v>
      </c>
      <c r="B124" s="19" t="s">
        <v>517</v>
      </c>
      <c r="G124" s="9" t="s">
        <v>699</v>
      </c>
      <c r="H124" t="str">
        <f t="shared" si="1"/>
        <v>|CffFFD24DE强力附魔卷|r</v>
      </c>
    </row>
    <row r="125" spans="1:8" ht="16.5">
      <c r="A125" s="17" t="s">
        <v>519</v>
      </c>
      <c r="B125" s="18" t="s">
        <v>520</v>
      </c>
      <c r="G125" s="11"/>
      <c r="H125" t="str">
        <f t="shared" si="1"/>
        <v/>
      </c>
    </row>
    <row r="126" spans="1:8" ht="16.5">
      <c r="A126" s="17" t="s">
        <v>522</v>
      </c>
      <c r="B126" s="18" t="s">
        <v>523</v>
      </c>
      <c r="G126" s="8" t="s">
        <v>580</v>
      </c>
      <c r="H126" t="str">
        <f t="shared" si="1"/>
        <v>|CffFFD24D技能宝箱|r</v>
      </c>
    </row>
    <row r="127" spans="1:8" ht="16.5">
      <c r="A127" s="17" t="s">
        <v>525</v>
      </c>
      <c r="B127" s="18" t="s">
        <v>526</v>
      </c>
      <c r="G127" s="9" t="s">
        <v>466</v>
      </c>
      <c r="H127" t="str">
        <f t="shared" si="1"/>
        <v>|Cff00FF7F技能进阶石【残缺】|r</v>
      </c>
    </row>
    <row r="128" spans="1:8" ht="16.5">
      <c r="A128" s="17" t="s">
        <v>528</v>
      </c>
      <c r="B128" s="18" t="s">
        <v>529</v>
      </c>
      <c r="G128" s="9" t="s">
        <v>462</v>
      </c>
      <c r="H128" t="str">
        <f t="shared" si="1"/>
        <v>|Cff00BFFF技能进阶石【完美】|r</v>
      </c>
    </row>
    <row r="129" spans="1:8" ht="16.5">
      <c r="A129" s="17" t="s">
        <v>531</v>
      </c>
      <c r="B129" s="18" t="s">
        <v>532</v>
      </c>
      <c r="G129" s="9" t="s">
        <v>464</v>
      </c>
      <c r="H129" t="str">
        <f t="shared" si="1"/>
        <v>|CffFF0000技能进化石【完美】|r</v>
      </c>
    </row>
    <row r="130" spans="1:8" ht="16.5">
      <c r="A130" s="17" t="s">
        <v>534</v>
      </c>
      <c r="B130" s="18" t="s">
        <v>535</v>
      </c>
      <c r="G130" s="9" t="s">
        <v>468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537</v>
      </c>
      <c r="B131" s="18" t="s">
        <v>538</v>
      </c>
      <c r="G131" s="11"/>
      <c r="H131" t="str">
        <f t="shared" si="2"/>
        <v/>
      </c>
    </row>
    <row r="132" spans="1:8" ht="16.5">
      <c r="A132" s="17" t="s">
        <v>540</v>
      </c>
      <c r="B132" s="17" t="s">
        <v>541</v>
      </c>
      <c r="G132" s="8" t="s">
        <v>595</v>
      </c>
      <c r="H132" t="str">
        <f t="shared" si="2"/>
        <v>|CffFFD24D技能宝箱|r</v>
      </c>
    </row>
    <row r="133" spans="1:8" ht="16.5">
      <c r="A133" s="17" t="s">
        <v>543</v>
      </c>
      <c r="B133" s="18" t="s">
        <v>544</v>
      </c>
      <c r="G133" s="9" t="s">
        <v>466</v>
      </c>
      <c r="H133" t="str">
        <f t="shared" si="2"/>
        <v>|Cff00FF7F技能进阶石【残缺】|r</v>
      </c>
    </row>
    <row r="134" spans="1:8" ht="16.5">
      <c r="A134" s="17" t="s">
        <v>546</v>
      </c>
      <c r="B134" s="18" t="s">
        <v>547</v>
      </c>
      <c r="G134" s="9" t="s">
        <v>462</v>
      </c>
      <c r="H134" t="str">
        <f t="shared" si="2"/>
        <v>|Cff00BFFF技能进阶石【完美】|r</v>
      </c>
    </row>
    <row r="135" spans="1:8" ht="16.5">
      <c r="A135" s="9" t="s">
        <v>549</v>
      </c>
      <c r="B135" s="20" t="s">
        <v>550</v>
      </c>
      <c r="G135" s="11"/>
      <c r="H135" t="str">
        <f t="shared" si="2"/>
        <v/>
      </c>
    </row>
    <row r="136" spans="1:8" ht="16.5">
      <c r="A136" s="17" t="s">
        <v>553</v>
      </c>
      <c r="B136" s="21" t="s">
        <v>554</v>
      </c>
      <c r="G136" s="8" t="s">
        <v>584</v>
      </c>
      <c r="H136" t="str">
        <f t="shared" si="2"/>
        <v>|CffFFD24D附魔宝箱|r</v>
      </c>
    </row>
    <row r="137" spans="1:8" ht="16.5">
      <c r="A137" s="17" t="s">
        <v>556</v>
      </c>
      <c r="B137" s="22" t="s">
        <v>557</v>
      </c>
      <c r="G137" s="9" t="s">
        <v>681</v>
      </c>
      <c r="H137" t="str">
        <f t="shared" si="2"/>
        <v>Q技能附魔卷</v>
      </c>
    </row>
    <row r="138" spans="1:8" ht="16.5">
      <c r="A138" s="9" t="s">
        <v>559</v>
      </c>
      <c r="B138" s="23" t="s">
        <v>560</v>
      </c>
      <c r="G138" s="9" t="s">
        <v>693</v>
      </c>
      <c r="H138" t="str">
        <f t="shared" si="2"/>
        <v>|CffFFD24DQ强力附魔卷|r</v>
      </c>
    </row>
    <row r="139" spans="1:8" ht="16.5">
      <c r="A139" s="17" t="s">
        <v>562</v>
      </c>
      <c r="B139" s="21" t="s">
        <v>563</v>
      </c>
      <c r="G139" s="9"/>
      <c r="H139" t="str">
        <f t="shared" si="2"/>
        <v/>
      </c>
    </row>
    <row r="140" spans="1:8" ht="16.5">
      <c r="A140" s="17" t="s">
        <v>565</v>
      </c>
      <c r="B140" s="21" t="s">
        <v>566</v>
      </c>
      <c r="G140" s="8"/>
      <c r="H140" t="str">
        <f t="shared" si="2"/>
        <v/>
      </c>
    </row>
    <row r="141" spans="1:8" ht="16.5">
      <c r="A141" s="24" t="s">
        <v>568</v>
      </c>
      <c r="B141" s="23" t="s">
        <v>569</v>
      </c>
      <c r="G141" s="9" t="s">
        <v>774</v>
      </c>
      <c r="H141" t="str">
        <f t="shared" si="2"/>
        <v>附魔</v>
      </c>
    </row>
    <row r="142" spans="1:8" ht="16.5">
      <c r="A142" s="24" t="s">
        <v>572</v>
      </c>
      <c r="B142" s="23" t="s">
        <v>573</v>
      </c>
      <c r="G142" s="9" t="s">
        <v>776</v>
      </c>
      <c r="H142" t="str">
        <f t="shared" si="2"/>
        <v>附魔</v>
      </c>
    </row>
    <row r="143" spans="1:8" ht="16.5">
      <c r="A143" s="24" t="s">
        <v>576</v>
      </c>
      <c r="B143" s="23" t="s">
        <v>577</v>
      </c>
      <c r="G143" s="9" t="s">
        <v>777</v>
      </c>
      <c r="H143" t="str">
        <f t="shared" si="2"/>
        <v>附魔</v>
      </c>
    </row>
    <row r="144" spans="1:8" ht="16.5">
      <c r="A144" s="24" t="s">
        <v>580</v>
      </c>
      <c r="B144" s="20" t="s">
        <v>581</v>
      </c>
      <c r="G144" s="9" t="s">
        <v>778</v>
      </c>
      <c r="H144" t="str">
        <f t="shared" si="2"/>
        <v>附魔</v>
      </c>
    </row>
    <row r="145" spans="1:8" ht="16.5">
      <c r="A145" s="24" t="s">
        <v>584</v>
      </c>
      <c r="B145" s="20" t="s">
        <v>585</v>
      </c>
      <c r="G145" s="9" t="s">
        <v>779</v>
      </c>
      <c r="H145" t="str">
        <f t="shared" si="2"/>
        <v>附魔</v>
      </c>
    </row>
    <row r="146" spans="1:8" ht="16.5">
      <c r="A146" s="24" t="s">
        <v>587</v>
      </c>
      <c r="B146" s="20" t="s">
        <v>924</v>
      </c>
      <c r="G146" s="9" t="s">
        <v>780</v>
      </c>
      <c r="H146" t="str">
        <f t="shared" si="2"/>
        <v>附魔</v>
      </c>
    </row>
    <row r="147" spans="1:8" ht="16.5">
      <c r="A147" s="24" t="s">
        <v>591</v>
      </c>
      <c r="B147" s="20" t="s">
        <v>925</v>
      </c>
      <c r="G147" s="9" t="s">
        <v>781</v>
      </c>
      <c r="H147" t="str">
        <f t="shared" si="2"/>
        <v>附魔</v>
      </c>
    </row>
    <row r="148" spans="1:8" ht="16.5">
      <c r="A148" s="24" t="s">
        <v>595</v>
      </c>
      <c r="B148" s="20" t="s">
        <v>581</v>
      </c>
      <c r="G148" s="9" t="s">
        <v>782</v>
      </c>
      <c r="H148" t="str">
        <f t="shared" si="2"/>
        <v>附魔</v>
      </c>
    </row>
    <row r="149" spans="1:8" ht="16.5">
      <c r="A149" s="9" t="s">
        <v>596</v>
      </c>
      <c r="B149" s="9" t="s">
        <v>926</v>
      </c>
      <c r="G149" s="9" t="s">
        <v>783</v>
      </c>
      <c r="H149" t="str">
        <f t="shared" si="2"/>
        <v>附魔</v>
      </c>
    </row>
    <row r="150" spans="1:8" ht="16.5">
      <c r="A150" s="9" t="s">
        <v>599</v>
      </c>
      <c r="B150" s="15" t="s">
        <v>600</v>
      </c>
      <c r="G150" s="9" t="s">
        <v>784</v>
      </c>
      <c r="H150" t="str">
        <f t="shared" si="2"/>
        <v>附魔</v>
      </c>
    </row>
    <row r="151" spans="1:8" ht="16.5">
      <c r="A151" s="9" t="s">
        <v>602</v>
      </c>
      <c r="B151" s="15" t="s">
        <v>603</v>
      </c>
      <c r="G151" s="9" t="s">
        <v>785</v>
      </c>
      <c r="H151" t="str">
        <f t="shared" si="2"/>
        <v>附魔</v>
      </c>
    </row>
    <row r="152" spans="1:8" ht="16.5">
      <c r="A152" s="9" t="s">
        <v>605</v>
      </c>
      <c r="B152" s="15" t="s">
        <v>606</v>
      </c>
      <c r="G152" s="9" t="s">
        <v>786</v>
      </c>
      <c r="H152" t="str">
        <f t="shared" si="2"/>
        <v>附魔</v>
      </c>
    </row>
    <row r="153" spans="1:8" ht="16.5">
      <c r="A153" s="9" t="s">
        <v>609</v>
      </c>
      <c r="B153" s="15" t="s">
        <v>610</v>
      </c>
      <c r="G153" s="9" t="s">
        <v>787</v>
      </c>
      <c r="H153" t="str">
        <f t="shared" si="2"/>
        <v>附魔</v>
      </c>
    </row>
    <row r="154" spans="1:8" ht="16.5">
      <c r="A154" s="9" t="s">
        <v>612</v>
      </c>
      <c r="B154" s="25" t="s">
        <v>613</v>
      </c>
      <c r="G154" s="9" t="s">
        <v>788</v>
      </c>
      <c r="H154" t="str">
        <f t="shared" si="2"/>
        <v>附魔</v>
      </c>
    </row>
    <row r="155" spans="1:8" ht="16.5">
      <c r="A155" s="9" t="s">
        <v>616</v>
      </c>
      <c r="B155" s="25" t="s">
        <v>617</v>
      </c>
      <c r="G155" s="9" t="s">
        <v>789</v>
      </c>
      <c r="H155" t="str">
        <f t="shared" si="2"/>
        <v>附魔</v>
      </c>
    </row>
    <row r="156" spans="1:8" ht="16.5">
      <c r="A156" s="9" t="s">
        <v>619</v>
      </c>
      <c r="B156" s="25" t="s">
        <v>620</v>
      </c>
      <c r="G156" s="9" t="s">
        <v>790</v>
      </c>
      <c r="H156" t="str">
        <f t="shared" si="2"/>
        <v>附魔</v>
      </c>
    </row>
    <row r="157" spans="1:8" ht="16.5">
      <c r="A157" s="9" t="s">
        <v>623</v>
      </c>
      <c r="B157" s="25" t="s">
        <v>624</v>
      </c>
      <c r="G157" s="11"/>
      <c r="H157" t="str">
        <f t="shared" si="2"/>
        <v/>
      </c>
    </row>
    <row r="158" spans="1:8" ht="16.5">
      <c r="A158" s="9" t="s">
        <v>627</v>
      </c>
      <c r="B158" s="15" t="s">
        <v>628</v>
      </c>
      <c r="G158" s="8"/>
      <c r="H158" t="str">
        <f t="shared" si="2"/>
        <v/>
      </c>
    </row>
    <row r="159" spans="1:8" ht="16.5">
      <c r="A159" s="9" t="s">
        <v>629</v>
      </c>
      <c r="B159" s="15" t="s">
        <v>630</v>
      </c>
      <c r="G159" s="9" t="s">
        <v>791</v>
      </c>
      <c r="H159" t="str">
        <f t="shared" si="2"/>
        <v>附魔</v>
      </c>
    </row>
    <row r="160" spans="1:8" ht="16.5">
      <c r="A160" s="9" t="s">
        <v>631</v>
      </c>
      <c r="B160" s="15" t="s">
        <v>632</v>
      </c>
      <c r="G160" s="9" t="s">
        <v>792</v>
      </c>
      <c r="H160" t="str">
        <f t="shared" si="2"/>
        <v>附魔</v>
      </c>
    </row>
    <row r="161" spans="1:8" ht="16.5">
      <c r="A161" s="9" t="s">
        <v>633</v>
      </c>
      <c r="B161" s="15" t="s">
        <v>634</v>
      </c>
      <c r="G161" s="9" t="s">
        <v>793</v>
      </c>
      <c r="H161" t="str">
        <f t="shared" si="2"/>
        <v>附魔</v>
      </c>
    </row>
    <row r="162" spans="1:8" ht="16.5">
      <c r="A162" s="9" t="s">
        <v>635</v>
      </c>
      <c r="B162" s="15" t="s">
        <v>636</v>
      </c>
      <c r="G162" s="9" t="s">
        <v>794</v>
      </c>
      <c r="H162" t="str">
        <f t="shared" si="2"/>
        <v>附魔</v>
      </c>
    </row>
    <row r="163" spans="1:8" ht="16.5">
      <c r="A163" s="9" t="s">
        <v>637</v>
      </c>
      <c r="B163" s="15" t="s">
        <v>638</v>
      </c>
      <c r="G163" s="9" t="s">
        <v>795</v>
      </c>
      <c r="H163" t="str">
        <f t="shared" si="2"/>
        <v>附魔</v>
      </c>
    </row>
    <row r="164" spans="1:8" ht="16.5">
      <c r="A164" s="9" t="s">
        <v>639</v>
      </c>
      <c r="B164" s="15" t="s">
        <v>640</v>
      </c>
      <c r="G164" s="9" t="s">
        <v>796</v>
      </c>
      <c r="H164" t="str">
        <f t="shared" si="2"/>
        <v>附魔</v>
      </c>
    </row>
    <row r="165" spans="1:8" ht="16.5">
      <c r="A165" s="9" t="s">
        <v>642</v>
      </c>
      <c r="B165" s="15" t="s">
        <v>643</v>
      </c>
      <c r="G165" s="9" t="s">
        <v>797</v>
      </c>
      <c r="H165" t="str">
        <f t="shared" si="2"/>
        <v>附魔</v>
      </c>
    </row>
    <row r="166" spans="1:8" ht="16.5">
      <c r="A166" s="9" t="s">
        <v>644</v>
      </c>
      <c r="B166" s="15" t="s">
        <v>645</v>
      </c>
      <c r="G166" s="9" t="s">
        <v>798</v>
      </c>
      <c r="H166" t="str">
        <f t="shared" si="2"/>
        <v>附魔</v>
      </c>
    </row>
    <row r="167" spans="1:8" ht="16.5">
      <c r="A167" s="9" t="s">
        <v>646</v>
      </c>
      <c r="B167" s="15" t="s">
        <v>647</v>
      </c>
      <c r="G167" s="9" t="s">
        <v>799</v>
      </c>
      <c r="H167" t="str">
        <f t="shared" si="2"/>
        <v>附魔</v>
      </c>
    </row>
    <row r="168" spans="1:8" ht="16.5">
      <c r="A168" s="9" t="s">
        <v>648</v>
      </c>
      <c r="B168" s="15" t="s">
        <v>649</v>
      </c>
      <c r="G168" s="9" t="s">
        <v>800</v>
      </c>
      <c r="H168" t="str">
        <f t="shared" si="2"/>
        <v>附魔</v>
      </c>
    </row>
    <row r="169" spans="1:8" ht="16.5">
      <c r="A169" s="9" t="s">
        <v>651</v>
      </c>
      <c r="B169" s="15" t="s">
        <v>652</v>
      </c>
      <c r="G169" s="9" t="s">
        <v>801</v>
      </c>
      <c r="H169" t="str">
        <f t="shared" si="2"/>
        <v>附魔</v>
      </c>
    </row>
    <row r="170" spans="1:8" ht="16.5">
      <c r="A170" s="9" t="s">
        <v>654</v>
      </c>
      <c r="B170" s="15" t="s">
        <v>655</v>
      </c>
      <c r="G170" s="9" t="s">
        <v>802</v>
      </c>
      <c r="H170" t="str">
        <f t="shared" si="2"/>
        <v>附魔</v>
      </c>
    </row>
    <row r="171" spans="1:8" ht="16.5">
      <c r="A171" s="9" t="s">
        <v>657</v>
      </c>
      <c r="B171" s="15" t="s">
        <v>658</v>
      </c>
      <c r="G171" s="9" t="s">
        <v>803</v>
      </c>
      <c r="H171" t="str">
        <f t="shared" si="2"/>
        <v>附魔</v>
      </c>
    </row>
    <row r="172" spans="1:8" ht="16.5">
      <c r="A172" s="9" t="s">
        <v>659</v>
      </c>
      <c r="B172" s="15" t="s">
        <v>660</v>
      </c>
      <c r="G172" s="9" t="s">
        <v>804</v>
      </c>
      <c r="H172" t="str">
        <f t="shared" si="2"/>
        <v>附魔</v>
      </c>
    </row>
    <row r="173" spans="1:8" ht="16.5">
      <c r="A173" s="9" t="s">
        <v>662</v>
      </c>
      <c r="B173" s="15" t="s">
        <v>663</v>
      </c>
      <c r="G173" s="9" t="s">
        <v>805</v>
      </c>
      <c r="H173" t="str">
        <f t="shared" si="2"/>
        <v>附魔</v>
      </c>
    </row>
    <row r="174" spans="1:8" ht="16.5">
      <c r="A174" s="9" t="s">
        <v>669</v>
      </c>
      <c r="B174" s="15" t="s">
        <v>670</v>
      </c>
      <c r="G174" s="9" t="s">
        <v>806</v>
      </c>
      <c r="H174" t="e">
        <f t="shared" si="2"/>
        <v>#N/A</v>
      </c>
    </row>
    <row r="175" spans="1:8" ht="16.5">
      <c r="A175" s="9" t="s">
        <v>672</v>
      </c>
      <c r="B175" s="15" t="s">
        <v>673</v>
      </c>
    </row>
    <row r="176" spans="1:8" ht="16.5">
      <c r="A176" s="9" t="s">
        <v>674</v>
      </c>
      <c r="B176" s="15" t="s">
        <v>677</v>
      </c>
    </row>
    <row r="177" spans="1:2" ht="16.5">
      <c r="A177" s="9" t="s">
        <v>675</v>
      </c>
      <c r="B177" s="15" t="s">
        <v>927</v>
      </c>
    </row>
    <row r="178" spans="1:2" ht="16.5">
      <c r="A178" s="9" t="s">
        <v>681</v>
      </c>
      <c r="B178" s="15" t="s">
        <v>928</v>
      </c>
    </row>
    <row r="179" spans="1:2" ht="16.5">
      <c r="A179" s="9" t="s">
        <v>685</v>
      </c>
      <c r="B179" s="15" t="s">
        <v>929</v>
      </c>
    </row>
    <row r="180" spans="1:2" ht="16.5">
      <c r="A180" s="9" t="s">
        <v>689</v>
      </c>
      <c r="B180" s="15" t="s">
        <v>930</v>
      </c>
    </row>
    <row r="181" spans="1:2" ht="16.5">
      <c r="A181" s="9" t="s">
        <v>693</v>
      </c>
      <c r="B181" s="25" t="s">
        <v>931</v>
      </c>
    </row>
    <row r="182" spans="1:2" ht="16.5">
      <c r="A182" s="9" t="s">
        <v>696</v>
      </c>
      <c r="B182" s="26" t="s">
        <v>932</v>
      </c>
    </row>
    <row r="183" spans="1:2" ht="16.5">
      <c r="A183" s="9" t="s">
        <v>699</v>
      </c>
      <c r="B183" s="26" t="s">
        <v>933</v>
      </c>
    </row>
    <row r="184" spans="1:2" ht="16.5">
      <c r="A184" s="9" t="s">
        <v>702</v>
      </c>
      <c r="B184" s="15" t="s">
        <v>703</v>
      </c>
    </row>
    <row r="185" spans="1:2" ht="16.5">
      <c r="A185" s="9" t="s">
        <v>704</v>
      </c>
      <c r="B185" s="15" t="s">
        <v>705</v>
      </c>
    </row>
    <row r="186" spans="1:2" ht="16.5">
      <c r="A186" s="9" t="s">
        <v>714</v>
      </c>
      <c r="B186" s="15" t="s">
        <v>715</v>
      </c>
    </row>
    <row r="187" spans="1:2" ht="16.5">
      <c r="A187" s="9" t="s">
        <v>717</v>
      </c>
      <c r="B187" s="15" t="s">
        <v>718</v>
      </c>
    </row>
    <row r="188" spans="1:2">
      <c r="A188" s="27" t="s">
        <v>721</v>
      </c>
      <c r="B188" s="28" t="s">
        <v>722</v>
      </c>
    </row>
    <row r="189" spans="1:2">
      <c r="A189" s="27" t="s">
        <v>724</v>
      </c>
      <c r="B189" s="28" t="s">
        <v>725</v>
      </c>
    </row>
    <row r="190" spans="1:2">
      <c r="A190" s="27" t="s">
        <v>727</v>
      </c>
      <c r="B190" s="28" t="s">
        <v>728</v>
      </c>
    </row>
    <row r="191" spans="1:2">
      <c r="A191" s="27" t="s">
        <v>730</v>
      </c>
      <c r="B191" s="28" t="s">
        <v>731</v>
      </c>
    </row>
    <row r="192" spans="1:2">
      <c r="A192" s="27" t="s">
        <v>733</v>
      </c>
      <c r="B192" s="28" t="s">
        <v>734</v>
      </c>
    </row>
    <row r="193" spans="1:2">
      <c r="A193" s="27" t="s">
        <v>736</v>
      </c>
      <c r="B193" s="28" t="s">
        <v>737</v>
      </c>
    </row>
    <row r="194" spans="1:2">
      <c r="A194" s="27" t="s">
        <v>739</v>
      </c>
      <c r="B194" s="28" t="s">
        <v>740</v>
      </c>
    </row>
    <row r="195" spans="1:2">
      <c r="A195" s="27" t="s">
        <v>742</v>
      </c>
      <c r="B195" s="28" t="s">
        <v>743</v>
      </c>
    </row>
    <row r="196" spans="1:2">
      <c r="A196" s="27" t="s">
        <v>745</v>
      </c>
      <c r="B196" s="28" t="s">
        <v>746</v>
      </c>
    </row>
    <row r="197" spans="1:2">
      <c r="A197" s="27" t="s">
        <v>747</v>
      </c>
      <c r="B197" s="28" t="str">
        <f>"已领取"&amp;B188</f>
        <v>已领取公众号礼包</v>
      </c>
    </row>
    <row r="198" spans="1:2">
      <c r="A198" s="27" t="s">
        <v>750</v>
      </c>
      <c r="B198" s="28" t="str">
        <f t="shared" ref="B198:B205" si="3">"已领取"&amp;B189</f>
        <v>已领取入群礼包</v>
      </c>
    </row>
    <row r="199" spans="1:2">
      <c r="A199" s="27" t="s">
        <v>752</v>
      </c>
      <c r="B199" s="28" t="str">
        <f t="shared" si="3"/>
        <v>已领取拜年礼包</v>
      </c>
    </row>
    <row r="200" spans="1:2">
      <c r="A200" s="27" t="s">
        <v>754</v>
      </c>
      <c r="B200" s="28" t="str">
        <f t="shared" si="3"/>
        <v>已领取收藏礼包</v>
      </c>
    </row>
    <row r="201" spans="1:2">
      <c r="A201" s="27" t="s">
        <v>756</v>
      </c>
      <c r="B201" s="28" t="str">
        <f t="shared" si="3"/>
        <v>已领取重置版礼包</v>
      </c>
    </row>
    <row r="202" spans="1:2">
      <c r="A202" s="27" t="s">
        <v>758</v>
      </c>
      <c r="B202" s="28" t="str">
        <f t="shared" si="3"/>
        <v>已领取公会福利</v>
      </c>
    </row>
    <row r="203" spans="1:2">
      <c r="A203" s="27" t="s">
        <v>759</v>
      </c>
      <c r="B203" s="28" t="str">
        <f t="shared" si="3"/>
        <v>已领取星耀礼包</v>
      </c>
    </row>
    <row r="204" spans="1:2">
      <c r="A204" s="27" t="s">
        <v>761</v>
      </c>
      <c r="B204" s="28" t="str">
        <f t="shared" si="3"/>
        <v>已领取魔芝RPG礼包</v>
      </c>
    </row>
    <row r="205" spans="1:2">
      <c r="A205" s="27" t="s">
        <v>763</v>
      </c>
      <c r="B205" s="28" t="str">
        <f t="shared" si="3"/>
        <v>已领取老铁礼包</v>
      </c>
    </row>
    <row r="206" spans="1:2">
      <c r="A206" s="27" t="s">
        <v>774</v>
      </c>
      <c r="B206" s="29" t="s">
        <v>775</v>
      </c>
    </row>
    <row r="207" spans="1:2">
      <c r="A207" s="27" t="s">
        <v>776</v>
      </c>
      <c r="B207" s="29" t="s">
        <v>775</v>
      </c>
    </row>
    <row r="208" spans="1:2">
      <c r="A208" s="27" t="s">
        <v>777</v>
      </c>
      <c r="B208" s="29" t="s">
        <v>775</v>
      </c>
    </row>
    <row r="209" spans="1:2">
      <c r="A209" s="27" t="s">
        <v>778</v>
      </c>
      <c r="B209" s="29" t="s">
        <v>775</v>
      </c>
    </row>
    <row r="210" spans="1:2">
      <c r="A210" s="27" t="s">
        <v>779</v>
      </c>
      <c r="B210" s="29" t="s">
        <v>775</v>
      </c>
    </row>
    <row r="211" spans="1:2">
      <c r="A211" s="27" t="s">
        <v>780</v>
      </c>
      <c r="B211" s="29" t="s">
        <v>775</v>
      </c>
    </row>
    <row r="212" spans="1:2">
      <c r="A212" s="27" t="s">
        <v>781</v>
      </c>
      <c r="B212" s="29" t="s">
        <v>775</v>
      </c>
    </row>
    <row r="213" spans="1:2">
      <c r="A213" s="27" t="s">
        <v>782</v>
      </c>
      <c r="B213" s="29" t="s">
        <v>775</v>
      </c>
    </row>
    <row r="214" spans="1:2">
      <c r="A214" s="27" t="s">
        <v>783</v>
      </c>
      <c r="B214" s="29" t="s">
        <v>775</v>
      </c>
    </row>
    <row r="215" spans="1:2">
      <c r="A215" s="27" t="s">
        <v>784</v>
      </c>
      <c r="B215" s="29" t="s">
        <v>775</v>
      </c>
    </row>
    <row r="216" spans="1:2">
      <c r="A216" s="27" t="s">
        <v>785</v>
      </c>
      <c r="B216" s="29" t="s">
        <v>775</v>
      </c>
    </row>
    <row r="217" spans="1:2">
      <c r="A217" s="27" t="s">
        <v>786</v>
      </c>
      <c r="B217" s="29" t="s">
        <v>775</v>
      </c>
    </row>
    <row r="218" spans="1:2">
      <c r="A218" s="27" t="s">
        <v>787</v>
      </c>
      <c r="B218" s="29" t="s">
        <v>775</v>
      </c>
    </row>
    <row r="219" spans="1:2">
      <c r="A219" s="27" t="s">
        <v>788</v>
      </c>
      <c r="B219" s="29" t="s">
        <v>775</v>
      </c>
    </row>
    <row r="220" spans="1:2">
      <c r="A220" s="27" t="s">
        <v>789</v>
      </c>
      <c r="B220" s="29" t="s">
        <v>775</v>
      </c>
    </row>
    <row r="221" spans="1:2">
      <c r="A221" s="27" t="s">
        <v>790</v>
      </c>
      <c r="B221" s="29" t="s">
        <v>775</v>
      </c>
    </row>
    <row r="222" spans="1:2">
      <c r="A222" s="27" t="s">
        <v>791</v>
      </c>
      <c r="B222" s="29" t="s">
        <v>775</v>
      </c>
    </row>
    <row r="223" spans="1:2">
      <c r="A223" s="27" t="s">
        <v>792</v>
      </c>
      <c r="B223" s="29" t="s">
        <v>775</v>
      </c>
    </row>
    <row r="224" spans="1:2">
      <c r="A224" s="27" t="s">
        <v>793</v>
      </c>
      <c r="B224" s="29" t="s">
        <v>775</v>
      </c>
    </row>
    <row r="225" spans="1:2">
      <c r="A225" s="27" t="s">
        <v>794</v>
      </c>
      <c r="B225" s="29" t="s">
        <v>775</v>
      </c>
    </row>
    <row r="226" spans="1:2">
      <c r="A226" s="27" t="s">
        <v>795</v>
      </c>
      <c r="B226" s="29" t="s">
        <v>775</v>
      </c>
    </row>
    <row r="227" spans="1:2">
      <c r="A227" s="27" t="s">
        <v>796</v>
      </c>
      <c r="B227" s="29" t="s">
        <v>775</v>
      </c>
    </row>
    <row r="228" spans="1:2">
      <c r="A228" s="27" t="s">
        <v>797</v>
      </c>
      <c r="B228" s="29" t="s">
        <v>775</v>
      </c>
    </row>
    <row r="229" spans="1:2">
      <c r="A229" s="27" t="s">
        <v>798</v>
      </c>
      <c r="B229" s="29" t="s">
        <v>775</v>
      </c>
    </row>
    <row r="230" spans="1:2">
      <c r="A230" s="27" t="s">
        <v>799</v>
      </c>
      <c r="B230" s="29" t="s">
        <v>775</v>
      </c>
    </row>
    <row r="231" spans="1:2">
      <c r="A231" s="27" t="s">
        <v>800</v>
      </c>
      <c r="B231" s="29" t="s">
        <v>775</v>
      </c>
    </row>
    <row r="232" spans="1:2">
      <c r="A232" s="27" t="s">
        <v>801</v>
      </c>
      <c r="B232" s="29" t="s">
        <v>775</v>
      </c>
    </row>
    <row r="233" spans="1:2">
      <c r="A233" s="27" t="s">
        <v>802</v>
      </c>
      <c r="B233" s="29" t="s">
        <v>775</v>
      </c>
    </row>
    <row r="234" spans="1:2">
      <c r="A234" s="27" t="s">
        <v>803</v>
      </c>
      <c r="B234" s="29" t="s">
        <v>775</v>
      </c>
    </row>
    <row r="235" spans="1:2">
      <c r="A235" s="27" t="s">
        <v>804</v>
      </c>
      <c r="B235" s="29" t="s">
        <v>775</v>
      </c>
    </row>
    <row r="236" spans="1:2">
      <c r="A236" s="27" t="s">
        <v>805</v>
      </c>
      <c r="B236" s="29" t="s">
        <v>775</v>
      </c>
    </row>
    <row r="237" spans="1:2" ht="16.5">
      <c r="A237" s="9" t="s">
        <v>807</v>
      </c>
      <c r="B237" s="9" t="s">
        <v>808</v>
      </c>
    </row>
    <row r="238" spans="1:2" ht="16.5">
      <c r="A238" s="9" t="s">
        <v>809</v>
      </c>
      <c r="B238" s="9" t="s">
        <v>810</v>
      </c>
    </row>
    <row r="239" spans="1:2" ht="16.5">
      <c r="A239" s="9" t="s">
        <v>811</v>
      </c>
      <c r="B239" s="9" t="s">
        <v>114</v>
      </c>
    </row>
    <row r="240" spans="1:2" ht="16.5">
      <c r="A240" s="9" t="s">
        <v>812</v>
      </c>
      <c r="B240" s="9" t="s">
        <v>813</v>
      </c>
    </row>
    <row r="241" spans="1:2" ht="16.5">
      <c r="A241" s="9" t="s">
        <v>814</v>
      </c>
      <c r="B241" s="9" t="s">
        <v>815</v>
      </c>
    </row>
    <row r="242" spans="1:2" ht="16.5">
      <c r="A242" s="9" t="s">
        <v>816</v>
      </c>
      <c r="B242" s="9" t="s">
        <v>817</v>
      </c>
    </row>
    <row r="243" spans="1:2" ht="16.5">
      <c r="A243" s="9" t="s">
        <v>818</v>
      </c>
      <c r="B243" s="9" t="s">
        <v>819</v>
      </c>
    </row>
    <row r="244" spans="1:2" ht="16.5">
      <c r="A244" s="9" t="s">
        <v>820</v>
      </c>
      <c r="B244" s="9" t="s">
        <v>821</v>
      </c>
    </row>
    <row r="245" spans="1:2" ht="16.5">
      <c r="A245" s="9" t="s">
        <v>822</v>
      </c>
      <c r="B245" s="9" t="s">
        <v>823</v>
      </c>
    </row>
    <row r="246" spans="1:2" ht="16.5">
      <c r="A246" s="9" t="s">
        <v>824</v>
      </c>
      <c r="B246" s="9" t="s">
        <v>825</v>
      </c>
    </row>
    <row r="247" spans="1:2" ht="16.5">
      <c r="A247" s="9" t="s">
        <v>826</v>
      </c>
      <c r="B247" s="9" t="s">
        <v>827</v>
      </c>
    </row>
    <row r="248" spans="1:2" ht="16.5">
      <c r="A248" s="9" t="s">
        <v>828</v>
      </c>
      <c r="B248" s="9" t="s">
        <v>829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2020-02-25T02:04:02Z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